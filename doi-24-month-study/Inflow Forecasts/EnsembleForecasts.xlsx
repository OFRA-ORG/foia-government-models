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Temp\05_May\Inflow Forecasts\"/>
    </mc:Choice>
  </mc:AlternateContent>
  <xr:revisionPtr revIDLastSave="0" documentId="8_{94D6ACAE-A253-491D-A530-A3BCDC612973}" xr6:coauthVersionLast="47" xr6:coauthVersionMax="47" xr10:uidLastSave="{00000000-0000-0000-0000-000000000000}"/>
  <bookViews>
    <workbookView xWindow="-110" yWindow="-110" windowWidth="19420" windowHeight="10300" xr2:uid="{30EC7FD6-6090-4B7D-AB6C-9AC85BBFDEC6}"/>
  </bookViews>
  <sheets>
    <sheet name="BlueMesaInflow.Unregulated" sheetId="2" r:id="rId1"/>
    <sheet name="CrystalInflow.Unregulated" sheetId="3" r:id="rId2"/>
    <sheet name="Fontenelle.Inflow" sheetId="4" r:id="rId3"/>
    <sheet name="PowellInflow.Unregulated" sheetId="5" r:id="rId4"/>
    <sheet name="FlamingGorgeInflow.Unregulated" sheetId="6" r:id="rId5"/>
    <sheet name="MorrowPointInflow.Unregulated" sheetId="7" r:id="rId6"/>
    <sheet name="NavajoInflow.ModUnregulated" sheetId="8" r:id="rId7"/>
    <sheet name="TaylorPark.Inflow" sheetId="9" r:id="rId8"/>
    <sheet name="Vallecito.Inflow" sheetId="10" r:id="rId9"/>
    <sheet name="YampaRiverInflow.TotalOutflow" sheetId="11" r:id="rId10"/>
    <sheet name="AnimasRiverTotalOutflow" sheetId="12" r:id="rId11"/>
    <sheet name="GainsCrystalToGJ" sheetId="13" r:id="rId12"/>
    <sheet name="PowellToMeadGainsGrandCanyon" sheetId="14" r:id="rId13"/>
    <sheet name="PowellToMeadGainsAboveHoover" sheetId="15" r:id="rId14"/>
    <sheet name="PowellToMeadGainsAbvLeesFerry" sheetId="16" r:id="rId15"/>
    <sheet name="GainsImpToNIB" sheetId="17" r:id="rId16"/>
    <sheet name="GainsAboveDavis" sheetId="18" r:id="rId17"/>
    <sheet name="GainsPkrToImp" sheetId="19" r:id="rId18"/>
    <sheet name="GainsAboveParker" sheetId="20" r:id="rId19"/>
    <sheet name="DONOTCHANGE" sheetId="21" r:id="rId20"/>
    <sheet name="SacWYTypeDes" sheetId="22" r:id="rId21"/>
  </sheets>
  <externalReferences>
    <externalReference r:id="rId22"/>
  </externalReferences>
  <definedNames>
    <definedName name="ARFN5_IN_1991">AnimasRiverTotalOutflow!$E$4:$E$80</definedName>
    <definedName name="ARFN5_IN_1992">AnimasRiverTotalOutflow!$F$4:$F$80</definedName>
    <definedName name="ARFN5_IN_1993">AnimasRiverTotalOutflow!$G$4:$G$80</definedName>
    <definedName name="ARFN5_IN_1994">AnimasRiverTotalOutflow!$H$4:$H$80</definedName>
    <definedName name="ARFN5_IN_1995">AnimasRiverTotalOutflow!$I$4:$I$80</definedName>
    <definedName name="ARFN5_IN_1996">AnimasRiverTotalOutflow!$J$4:$J$80</definedName>
    <definedName name="ARFN5_IN_1997">AnimasRiverTotalOutflow!$K$4:$K$80</definedName>
    <definedName name="ARFN5_IN_1998">AnimasRiverTotalOutflow!$L$4:$L$80</definedName>
    <definedName name="ARFN5_IN_1999">AnimasRiverTotalOutflow!$M$4:$M$80</definedName>
    <definedName name="ARFN5_IN_2000">AnimasRiverTotalOutflow!$N$4:$N$80</definedName>
    <definedName name="ARFN5_IN_2001">AnimasRiverTotalOutflow!$O$4:$O$80</definedName>
    <definedName name="ARFN5_IN_2002">AnimasRiverTotalOutflow!$P$4:$P$80</definedName>
    <definedName name="ARFN5_IN_2003">AnimasRiverTotalOutflow!$Q$4:$Q$80</definedName>
    <definedName name="ARFN5_IN_2004">AnimasRiverTotalOutflow!$R$4:$R$80</definedName>
    <definedName name="ARFN5_IN_2005">AnimasRiverTotalOutflow!$S$4:$S$80</definedName>
    <definedName name="ARFN5_IN_2006">AnimasRiverTotalOutflow!$T$4:$T$80</definedName>
    <definedName name="ARFN5_IN_2007">AnimasRiverTotalOutflow!$U$4:$U$80</definedName>
    <definedName name="ARFN5_IN_2008">AnimasRiverTotalOutflow!$V$4:$V$80</definedName>
    <definedName name="ARFN5_IN_2009">AnimasRiverTotalOutflow!$W$4:$W$80</definedName>
    <definedName name="ARFN5_IN_2010">AnimasRiverTotalOutflow!$X$4:$X$80</definedName>
    <definedName name="ARFN5_IN_2011">AnimasRiverTotalOutflow!$Y$4:$Y$80</definedName>
    <definedName name="ARFN5_IN_2012">AnimasRiverTotalOutflow!$Z$4:$Z$80</definedName>
    <definedName name="ARFN5_IN_2013">AnimasRiverTotalOutflow!$AA$4:$AA$80</definedName>
    <definedName name="ARFN5_IN_2014">AnimasRiverTotalOutflow!$AB$4:$AB$80</definedName>
    <definedName name="ARFN5_IN_2015">AnimasRiverTotalOutflow!$AC$4:$AC$80</definedName>
    <definedName name="ARFN5_IN_2016">AnimasRiverTotalOutflow!$AD$4:$AD$80</definedName>
    <definedName name="ARFN5_IN_2017">AnimasRiverTotalOutflow!$AE$4:$AE$80</definedName>
    <definedName name="ARFN5_IN_2018">AnimasRiverTotalOutflow!$AF$4:$AF$80</definedName>
    <definedName name="ARFN5_IN_2019">AnimasRiverTotalOutflow!$AG$4:$AG$80</definedName>
    <definedName name="ARFN5_IN_2020">AnimasRiverTotalOutflow!$AH$4:$AH$80</definedName>
    <definedName name="ARFN5_IN_2021">AnimasRiverTotalOutflow!$AS$4:$AS$80</definedName>
    <definedName name="ARFN5_IN_2022">AnimasRiverTotalOutflow!$AT$4:$AT$80</definedName>
    <definedName name="ARFN5_IN_2023">AnimasRiverTotalOutflow!$AU$4:$AU$80</definedName>
    <definedName name="ARFN5_IN_2024">AnimasRiverTotalOutflow!$AV$4:$AV$80</definedName>
    <definedName name="ARFN5_IN_2025">AnimasRiverTotalOutflow!$AW$4:$AW$80</definedName>
    <definedName name="ARFN5_IN_2026">AnimasRiverTotalOutflow!$AX$4:$AX$80</definedName>
    <definedName name="ARFN5_IN_2027">AnimasRiverTotalOutflow!$AY$4:$AY$80</definedName>
    <definedName name="ARFN5_IN_2028">AnimasRiverTotalOutflow!$AZ$4:$AZ$80</definedName>
    <definedName name="ARFN5_IN_2029">AnimasRiverTotalOutflow!$BA$4:$BA$80</definedName>
    <definedName name="ARFN5_IN_Max">AnimasRiverTotalOutflow!$B$4:$B$80</definedName>
    <definedName name="ARFN5_IN_Min">AnimasRiverTotalOutflow!$C$4:$C$80</definedName>
    <definedName name="ARFN5_IN_Most">AnimasRiverTotalOutflow!$D$4:$D$80</definedName>
    <definedName name="ARFN5_IN_TIME">AnimasRiverTotalOutflow!$A$4:$A$80</definedName>
    <definedName name="BlwImpGainsAbvDavis">GainsAboveDavis!$A$4:$A$71</definedName>
    <definedName name="BMESA_IN_1991">BlueMesaInflow.Unregulated!$E$4:$E$80</definedName>
    <definedName name="BMESA_IN_1992">BlueMesaInflow.Unregulated!$F$4:$F$80</definedName>
    <definedName name="BMESA_IN_1993">BlueMesaInflow.Unregulated!$G$4:$G$80</definedName>
    <definedName name="BMESA_IN_1994">BlueMesaInflow.Unregulated!$H$4:$H$80</definedName>
    <definedName name="BMESA_IN_1995">BlueMesaInflow.Unregulated!$I$4:$I$80</definedName>
    <definedName name="BMESA_IN_1996">BlueMesaInflow.Unregulated!$J$4:$J$80</definedName>
    <definedName name="BMESA_IN_1997">BlueMesaInflow.Unregulated!$K$4:$K$80</definedName>
    <definedName name="BMESA_IN_1998">BlueMesaInflow.Unregulated!$L$4:$L$80</definedName>
    <definedName name="BMESA_IN_1999">BlueMesaInflow.Unregulated!$M$4:$M$80</definedName>
    <definedName name="BMESA_IN_2000">BlueMesaInflow.Unregulated!$N$4:$N$80</definedName>
    <definedName name="BMESA_IN_2001">BlueMesaInflow.Unregulated!$O$4:$O$80</definedName>
    <definedName name="BMESA_IN_2002">BlueMesaInflow.Unregulated!$P$4:$P$80</definedName>
    <definedName name="BMESA_IN_2003">BlueMesaInflow.Unregulated!$Q$4:$Q$80</definedName>
    <definedName name="BMESA_IN_2004">BlueMesaInflow.Unregulated!$R$4:$R$80</definedName>
    <definedName name="BMESA_IN_2005">BlueMesaInflow.Unregulated!$S$4:$S$80</definedName>
    <definedName name="BMESA_IN_2006">BlueMesaInflow.Unregulated!$T$4:$T$80</definedName>
    <definedName name="BMESA_IN_2007">BlueMesaInflow.Unregulated!$U$4:$U$80</definedName>
    <definedName name="BMESA_IN_2008">BlueMesaInflow.Unregulated!$V$4:$V$80</definedName>
    <definedName name="BMESA_IN_2009">BlueMesaInflow.Unregulated!$W$4:$W$80</definedName>
    <definedName name="BMESA_IN_2010">BlueMesaInflow.Unregulated!$X$4:$X$80</definedName>
    <definedName name="BMESA_IN_2011">BlueMesaInflow.Unregulated!$Y$4:$Y$80</definedName>
    <definedName name="BMESA_IN_2012">BlueMesaInflow.Unregulated!$Z$4:$Z$80</definedName>
    <definedName name="BMESA_IN_2013">BlueMesaInflow.Unregulated!$AA$4:$AA$80</definedName>
    <definedName name="BMESA_IN_2014">BlueMesaInflow.Unregulated!$AB$4:$AB$80</definedName>
    <definedName name="BMESA_IN_2015">BlueMesaInflow.Unregulated!$AC$4:$AC$80</definedName>
    <definedName name="BMESA_IN_2016">BlueMesaInflow.Unregulated!$AD$4:$AD$80</definedName>
    <definedName name="BMESA_IN_2017">BlueMesaInflow.Unregulated!$AE$4:$AE$80</definedName>
    <definedName name="BMESA_IN_2018">BlueMesaInflow.Unregulated!$AF$4:$AF$80</definedName>
    <definedName name="BMESA_IN_2019">BlueMesaInflow.Unregulated!$AG$4:$AG$80</definedName>
    <definedName name="BMESA_IN_2020">BlueMesaInflow.Unregulated!$AH$4:$AH$80</definedName>
    <definedName name="BMESA_IN_2021">BlueMesaInflow.Unregulated!$AS$4:$AS$80</definedName>
    <definedName name="BMESA_IN_2022">BlueMesaInflow.Unregulated!$AT$4:$AT$80</definedName>
    <definedName name="BMESA_IN_2023">BlueMesaInflow.Unregulated!$AU$4:$AU$80</definedName>
    <definedName name="BMESA_IN_2024">BlueMesaInflow.Unregulated!$AV$4:$AV$80</definedName>
    <definedName name="BMESA_IN_2025">BlueMesaInflow.Unregulated!$AW$4:$AW$80</definedName>
    <definedName name="BMESA_IN_2026">BlueMesaInflow.Unregulated!$AX$4:$AX$80</definedName>
    <definedName name="BMESA_IN_2027">BlueMesaInflow.Unregulated!$AY$4:$AY$80</definedName>
    <definedName name="BMESA_IN_2028">BlueMesaInflow.Unregulated!$AZ$4:$AZ$80</definedName>
    <definedName name="BMESA_IN_2029">BlueMesaInflow.Unregulated!$BA$4:$BA$80</definedName>
    <definedName name="BMESA_IN_Max">BlueMesaInflow.Unregulated!$B$4:$B$80</definedName>
    <definedName name="BMESA_IN_Min">BlueMesaInflow.Unregulated!$C$4:$C$80</definedName>
    <definedName name="BMESA_IN_Most">BlueMesaInflow.Unregulated!$D$4:$D$80</definedName>
    <definedName name="BMESA_IN_TIME">BlueMesaInflow.Unregulated!$A$4:$A$80</definedName>
    <definedName name="CRYST_IN_1991">'CrystalInflow.Unregulated'!$E$4:$E$80</definedName>
    <definedName name="CRYST_IN_1992">'CrystalInflow.Unregulated'!$F$4:$F$80</definedName>
    <definedName name="CRYST_IN_1993">'CrystalInflow.Unregulated'!$G$4:$G$80</definedName>
    <definedName name="CRYST_IN_1994">'CrystalInflow.Unregulated'!$H$4:$H$80</definedName>
    <definedName name="CRYST_IN_1995">'CrystalInflow.Unregulated'!$I$4:$I$80</definedName>
    <definedName name="CRYST_IN_1996">'CrystalInflow.Unregulated'!$J$4:$J$80</definedName>
    <definedName name="CRYST_IN_1997">'CrystalInflow.Unregulated'!$K$4:$K$80</definedName>
    <definedName name="CRYST_IN_1998">'CrystalInflow.Unregulated'!$L$4:$L$80</definedName>
    <definedName name="CRYST_IN_1999">'CrystalInflow.Unregulated'!$M$4:$M$80</definedName>
    <definedName name="CRYST_IN_2000">'CrystalInflow.Unregulated'!$N$4:$N$80</definedName>
    <definedName name="CRYST_IN_2001">'CrystalInflow.Unregulated'!$O$4:$O$80</definedName>
    <definedName name="CRYST_IN_2002">'CrystalInflow.Unregulated'!$P$4:$P$80</definedName>
    <definedName name="CRYST_IN_2003">'CrystalInflow.Unregulated'!$Q$4:$Q$80</definedName>
    <definedName name="CRYST_IN_2004">'CrystalInflow.Unregulated'!$R$4:$R$80</definedName>
    <definedName name="CRYST_IN_2005">'CrystalInflow.Unregulated'!$S$4:$S$80</definedName>
    <definedName name="CRYST_IN_2006">'CrystalInflow.Unregulated'!$T$4:$T$80</definedName>
    <definedName name="CRYST_IN_2007">'CrystalInflow.Unregulated'!$U$4:$U$80</definedName>
    <definedName name="CRYST_IN_2008">'CrystalInflow.Unregulated'!$V$4:$V$80</definedName>
    <definedName name="CRYST_IN_2009">'CrystalInflow.Unregulated'!$W$4:$W$80</definedName>
    <definedName name="CRYST_IN_2010">'CrystalInflow.Unregulated'!$X$4:$X$80</definedName>
    <definedName name="CRYST_IN_2011">'CrystalInflow.Unregulated'!$Y$4:$Y$80</definedName>
    <definedName name="CRYST_IN_2012">'CrystalInflow.Unregulated'!$Z$4:$Z$80</definedName>
    <definedName name="CRYST_IN_2013">'CrystalInflow.Unregulated'!$AA$4:$AA$80</definedName>
    <definedName name="CRYST_IN_2014">'CrystalInflow.Unregulated'!$AB$4:$AB$80</definedName>
    <definedName name="CRYST_IN_2015">'CrystalInflow.Unregulated'!$AC$4:$AC$80</definedName>
    <definedName name="CRYST_IN_2016">'CrystalInflow.Unregulated'!$AD$4:$AD$80</definedName>
    <definedName name="CRYST_IN_2017">'CrystalInflow.Unregulated'!$AE$4:$AE$80</definedName>
    <definedName name="CRYST_IN_2018">'CrystalInflow.Unregulated'!$AF$4:$AF$80</definedName>
    <definedName name="CRYST_IN_2019">'CrystalInflow.Unregulated'!$AG$4:$AG$80</definedName>
    <definedName name="CRYST_IN_2020">'CrystalInflow.Unregulated'!$AH$4:$AH$80</definedName>
    <definedName name="CRYST_IN_2021">'CrystalInflow.Unregulated'!$AS$4:$AS$80</definedName>
    <definedName name="CRYST_IN_2022">'CrystalInflow.Unregulated'!$AT$4:$AT$80</definedName>
    <definedName name="CRYST_IN_2023">'CrystalInflow.Unregulated'!$AU$4:$AU$80</definedName>
    <definedName name="CRYST_IN_2024">'CrystalInflow.Unregulated'!$AV$4:$AV$80</definedName>
    <definedName name="CRYST_IN_2025">'CrystalInflow.Unregulated'!$AW$4:$AW$80</definedName>
    <definedName name="CRYST_IN_2026">'CrystalInflow.Unregulated'!$AX$4:$AX$80</definedName>
    <definedName name="CRYST_IN_2027">'CrystalInflow.Unregulated'!$AY$4:$AY$80</definedName>
    <definedName name="CRYST_IN_2028">'CrystalInflow.Unregulated'!$AZ$4:$AZ$80</definedName>
    <definedName name="CRYST_IN_2029">'CrystalInflow.Unregulated'!$BA$4:$BA$80</definedName>
    <definedName name="CRYST_IN_Max">'CrystalInflow.Unregulated'!$B$4:$B$80</definedName>
    <definedName name="CRYST_IN_Min">'CrystalInflow.Unregulated'!$C$4:$C$80</definedName>
    <definedName name="CRYST_IN_Most">'CrystalInflow.Unregulated'!$D$4:$D$80</definedName>
    <definedName name="CRYST_IN_TIME">'CrystalInflow.Unregulated'!$A$4:$A$80</definedName>
    <definedName name="Duration">[1]RunInformation!$L$3:$L$52</definedName>
    <definedName name="DvsToPkr_In_1991">GainsAboveParker!$E$4:$E$71</definedName>
    <definedName name="DvsToPkr_In_1992">GainsAboveParker!$F$4:$F$71</definedName>
    <definedName name="DvsToPkr_In_1993">GainsAboveParker!$G$4:$G$71</definedName>
    <definedName name="DvsToPkr_In_1994">GainsAboveParker!$H$4:$H$71</definedName>
    <definedName name="DvsToPkr_In_1995">GainsAboveParker!$I$4:$I$71</definedName>
    <definedName name="DvsToPkr_In_1996">GainsAboveParker!$J$4:$J$71</definedName>
    <definedName name="DvsToPkr_In_1997">GainsAboveParker!$K$4:$K$71</definedName>
    <definedName name="DvsToPkr_In_1998">GainsAboveParker!$L$4:$L$71</definedName>
    <definedName name="DvsToPkr_In_1999">GainsAboveParker!$M$4:$M$71</definedName>
    <definedName name="DvsToPkr_In_2000">GainsAboveParker!$N$4:$N$71</definedName>
    <definedName name="DvsToPkr_In_2001">GainsAboveParker!$O$4:$O$71</definedName>
    <definedName name="DvsToPkr_In_2002">GainsAboveParker!$P$4:$P$71</definedName>
    <definedName name="DvsToPkr_In_2003">GainsAboveParker!$Q$4:$Q$71</definedName>
    <definedName name="DvsToPkr_In_2004">GainsAboveParker!$R$4:$R$71</definedName>
    <definedName name="DvsToPkr_In_2005">GainsAboveParker!$S$4:$S$71</definedName>
    <definedName name="DvsToPkr_In_2006">GainsAboveParker!$T$4:$T$71</definedName>
    <definedName name="DvsToPkr_In_2007">GainsAboveParker!$U$4:$U$71</definedName>
    <definedName name="DvsToPkr_In_2008">GainsAboveParker!$V$4:$V$71</definedName>
    <definedName name="DvsToPkr_In_2009">GainsAboveParker!$W$4:$W$71</definedName>
    <definedName name="DvsToPkr_In_2010">GainsAboveParker!$X$4:$X$71</definedName>
    <definedName name="DvsToPkr_In_2011">GainsAboveParker!$Y$4:$Y$71</definedName>
    <definedName name="DvsToPkr_In_2012">GainsAboveParker!$Z$4:$Z$71</definedName>
    <definedName name="DvsToPkr_In_2013">GainsAboveParker!$AA$4:$AA$71</definedName>
    <definedName name="DvsToPkr_In_2014">GainsAboveParker!$AB$4:$AB$71</definedName>
    <definedName name="DvsToPkr_In_2015">GainsAboveParker!$AC$4:$AC$71</definedName>
    <definedName name="DvsToPkr_In_2016">GainsAboveParker!$AD$4:$AD$71</definedName>
    <definedName name="DvsToPkr_In_2017">GainsAboveParker!$AE$4:AD$71</definedName>
    <definedName name="DvsToPkr_In_2018">GainsAboveParker!$AF$4:$AF$71</definedName>
    <definedName name="DvsToPkr_In_2019">GainsAboveParker!$AG$4:$AG$71</definedName>
    <definedName name="DvsToPkr_In_2020">GainsAboveParker!$AH$4:$AH$71</definedName>
    <definedName name="DvsToPkr_In_Max">GainsAboveParker!$B$4:$B$71</definedName>
    <definedName name="DvsToPkr_In_Min">GainsAboveParker!$C$4:$C$71</definedName>
    <definedName name="DvsToPkr_In_Most">GainsAboveParker!$D$4:$D$71</definedName>
    <definedName name="DvsToPkr_In_Time">GainsAboveParker!$A$4:$A$71</definedName>
    <definedName name="FGORG_IN_1991">FlamingGorgeInflow.Unregulated!$E$4:$E$80</definedName>
    <definedName name="FGORG_IN_1992">FlamingGorgeInflow.Unregulated!$F$4:$F$80</definedName>
    <definedName name="FGORG_IN_1993">FlamingGorgeInflow.Unregulated!$G$4:$G$80</definedName>
    <definedName name="FGORG_IN_1994">FlamingGorgeInflow.Unregulated!$H$4:$H$80</definedName>
    <definedName name="FGORG_IN_1995">FlamingGorgeInflow.Unregulated!$I$4:$I$80</definedName>
    <definedName name="FGORG_IN_1996">FlamingGorgeInflow.Unregulated!$J$4:$J$80</definedName>
    <definedName name="FGORG_IN_1997">FlamingGorgeInflow.Unregulated!$K$4:$K$80</definedName>
    <definedName name="FGORG_IN_1998">FlamingGorgeInflow.Unregulated!$L$4:$L$80</definedName>
    <definedName name="FGORG_IN_1999">FlamingGorgeInflow.Unregulated!$M$4:$M$80</definedName>
    <definedName name="FGORG_IN_2000">FlamingGorgeInflow.Unregulated!$N$4:$N$80</definedName>
    <definedName name="FGORG_IN_2001">FlamingGorgeInflow.Unregulated!$O$4:$O$80</definedName>
    <definedName name="FGORG_IN_2002">FlamingGorgeInflow.Unregulated!$P$4:$P$80</definedName>
    <definedName name="FGORG_IN_2003">FlamingGorgeInflow.Unregulated!$Q$4:$Q$80</definedName>
    <definedName name="FGORG_IN_2004">FlamingGorgeInflow.Unregulated!$R$4:$R$80</definedName>
    <definedName name="FGORG_IN_2005">FlamingGorgeInflow.Unregulated!$S$4:$S$80</definedName>
    <definedName name="FGORG_IN_2006">FlamingGorgeInflow.Unregulated!$T$4:$T$80</definedName>
    <definedName name="FGORG_IN_2007">FlamingGorgeInflow.Unregulated!$U$4:$U$80</definedName>
    <definedName name="FGORG_IN_2008">FlamingGorgeInflow.Unregulated!$V$4:$V$80</definedName>
    <definedName name="FGORG_IN_2009">FlamingGorgeInflow.Unregulated!$W$4:$W$80</definedName>
    <definedName name="FGORG_IN_2010">FlamingGorgeInflow.Unregulated!$X$4:$X$80</definedName>
    <definedName name="FGORG_IN_2011">FlamingGorgeInflow.Unregulated!$Y$4:$Y$80</definedName>
    <definedName name="FGORG_IN_2012">FlamingGorgeInflow.Unregulated!$Z$4:$Z$80</definedName>
    <definedName name="FGORG_IN_2013">FlamingGorgeInflow.Unregulated!$AA$4:$AA$80</definedName>
    <definedName name="FGORG_IN_2014">FlamingGorgeInflow.Unregulated!$AB$4:$AB$80</definedName>
    <definedName name="FGORG_IN_2015">FlamingGorgeInflow.Unregulated!$AC$4:$AC$80</definedName>
    <definedName name="FGORG_IN_2016">FlamingGorgeInflow.Unregulated!$AD$4:$AD$80</definedName>
    <definedName name="FGORG_IN_2017">FlamingGorgeInflow.Unregulated!$AE$4:$AE$80</definedName>
    <definedName name="FGORG_IN_2018">FlamingGorgeInflow.Unregulated!$AF$4:$AF$80</definedName>
    <definedName name="FGORG_IN_2019">FlamingGorgeInflow.Unregulated!$AG$4:$AG$80</definedName>
    <definedName name="FGORG_IN_2020">FlamingGorgeInflow.Unregulated!$AH$4:$AH$80</definedName>
    <definedName name="FGORG_IN_2021">FlamingGorgeInflow.Unregulated!$AS$4:$AS$80</definedName>
    <definedName name="FGORG_IN_2022">FlamingGorgeInflow.Unregulated!$AT$4:$AT$80</definedName>
    <definedName name="FGORG_IN_2023">FlamingGorgeInflow.Unregulated!$AU$4:$AU$80</definedName>
    <definedName name="FGORG_IN_2024">FlamingGorgeInflow.Unregulated!$AV$4:$AV$80</definedName>
    <definedName name="FGORG_IN_2025">FlamingGorgeInflow.Unregulated!$AW$4:$AW$80</definedName>
    <definedName name="FGORG_IN_2026">FlamingGorgeInflow.Unregulated!$AX$4:$AX$80</definedName>
    <definedName name="FGORG_IN_2027">FlamingGorgeInflow.Unregulated!$AY$4:$AY$80</definedName>
    <definedName name="FGORG_IN_2028">FlamingGorgeInflow.Unregulated!$AZ$4:$AZ$80</definedName>
    <definedName name="FGORG_IN_2029">FlamingGorgeInflow.Unregulated!$BA$4:$BA$80</definedName>
    <definedName name="FGORG_IN_Max">FlamingGorgeInflow.Unregulated!$B$4:$B$80</definedName>
    <definedName name="FGORG_IN_Min">FlamingGorgeInflow.Unregulated!$C$4:$C$80</definedName>
    <definedName name="FGORG_IN_Most">FlamingGorgeInflow.Unregulated!$D$4:$D$80</definedName>
    <definedName name="FGORG_IN_TIME">FlamingGorgeInflow.Unregulated!$A$4:$A$80</definedName>
    <definedName name="FONTE_IN_1991">Fontenelle.Inflow!$E$4:$E$80</definedName>
    <definedName name="FONTE_IN_1992">Fontenelle.Inflow!$F$4:$F$80</definedName>
    <definedName name="FONTE_IN_1993">Fontenelle.Inflow!$G$4:$G$80</definedName>
    <definedName name="FONTE_IN_1994">Fontenelle.Inflow!$H$4:$H$80</definedName>
    <definedName name="FONTE_IN_1995">Fontenelle.Inflow!$I$4:$I$80</definedName>
    <definedName name="FONTE_IN_1996">Fontenelle.Inflow!$J$4:$J$80</definedName>
    <definedName name="FONTE_IN_1997">Fontenelle.Inflow!$K$4:$K$80</definedName>
    <definedName name="FONTE_IN_1998">Fontenelle.Inflow!$L$4:$L$80</definedName>
    <definedName name="FONTE_IN_1999">Fontenelle.Inflow!$M$4:$M$80</definedName>
    <definedName name="FONTE_IN_2000">Fontenelle.Inflow!$N$4:$N$80</definedName>
    <definedName name="FONTE_IN_2001">Fontenelle.Inflow!$O$4:$O$80</definedName>
    <definedName name="FONTE_IN_2002">Fontenelle.Inflow!$P$4:$P$80</definedName>
    <definedName name="FONTE_IN_2003">Fontenelle.Inflow!$Q$4:$Q$80</definedName>
    <definedName name="FONTE_IN_2004">Fontenelle.Inflow!$R$4:$R$80</definedName>
    <definedName name="FONTE_IN_2005">Fontenelle.Inflow!$S$4:$S$80</definedName>
    <definedName name="FONTE_IN_2006">Fontenelle.Inflow!$T$4:$T$80</definedName>
    <definedName name="FONTE_IN_2007">Fontenelle.Inflow!$U$4:$U$80</definedName>
    <definedName name="FONTE_IN_2008">Fontenelle.Inflow!$V$4:$V$80</definedName>
    <definedName name="FONTE_IN_2009">Fontenelle.Inflow!$W$4:$W$80</definedName>
    <definedName name="FONTE_IN_2010">Fontenelle.Inflow!$X$4:$X$80</definedName>
    <definedName name="FONTE_IN_2011">Fontenelle.Inflow!$Y$4:$YI$80</definedName>
    <definedName name="FONTE_IN_2012">Fontenelle.Inflow!$Z$4:$Z$80</definedName>
    <definedName name="FONTE_IN_2013">Fontenelle.Inflow!$AA$4:$AA$80</definedName>
    <definedName name="FONTE_IN_2014">Fontenelle.Inflow!$AB$4:$AB$80</definedName>
    <definedName name="FONTE_IN_2015">Fontenelle.Inflow!$AC$4:$AC$80</definedName>
    <definedName name="FONTE_IN_2016">Fontenelle.Inflow!$AD$4:$AD$80</definedName>
    <definedName name="FONTE_IN_2017">Fontenelle.Inflow!$AE$4:$AE$80</definedName>
    <definedName name="FONTE_IN_2018">Fontenelle.Inflow!$AF$4:$AF$80</definedName>
    <definedName name="FONTE_IN_2019">Fontenelle.Inflow!$AG$4:$AG$80</definedName>
    <definedName name="FONTE_IN_2020">Fontenelle.Inflow!$AH$4:$AH$80</definedName>
    <definedName name="FONTE_IN_2021">Fontenelle.Inflow!$AS$4:$AS$80</definedName>
    <definedName name="FONTE_IN_2022">Fontenelle.Inflow!$AT$4:$AT$80</definedName>
    <definedName name="FONTE_IN_2023">Fontenelle.Inflow!$AU$4:$AU$80</definedName>
    <definedName name="FONTE_IN_2024">Fontenelle.Inflow!$AV$4:$AV$80</definedName>
    <definedName name="FONTE_IN_2025">Fontenelle.Inflow!$AW$4:$AW$80</definedName>
    <definedName name="FONTE_IN_2026">Fontenelle.Inflow!$AX$4:$AX$80</definedName>
    <definedName name="FONTE_IN_2027">Fontenelle.Inflow!$AY$4:$AY$80</definedName>
    <definedName name="FONTE_IN_2028">Fontenelle.Inflow!$AZ$4:$AZ$80</definedName>
    <definedName name="FONTE_IN_2029">Fontenelle.Inflow!$BA$4:$BA$80</definedName>
    <definedName name="FONTE_IN_Max">Fontenelle.Inflow!$B$4:$B$80</definedName>
    <definedName name="FONTE_IN_Min">Fontenelle.Inflow!$C$4:$C$80</definedName>
    <definedName name="FONTE_IN_Most">Fontenelle.Inflow!$D$4:$D$80</definedName>
    <definedName name="FONTE_IN_TIME">Fontenelle.Inflow!$A$4:$A$80</definedName>
    <definedName name="HvrToDvs_In_1991">GainsAboveDavis!$E$4:$E$71</definedName>
    <definedName name="HvrToDvs_In_1992">GainsAboveDavis!$F$4:$F$71</definedName>
    <definedName name="HvrToDvs_In_1993">GainsAboveDavis!$G$4:$G$71</definedName>
    <definedName name="HvrToDvs_In_1994">GainsAboveDavis!$H$4:$H$71</definedName>
    <definedName name="HvrToDvs_In_1995">GainsAboveDavis!$I$4:$I$71</definedName>
    <definedName name="HvrToDvs_In_1996">GainsAboveDavis!$J$4:$J$71</definedName>
    <definedName name="HvrToDvs_In_1997">GainsAboveDavis!$K$4:$K$71</definedName>
    <definedName name="HvrToDvs_In_1998">GainsAboveDavis!$L$4:$L$71</definedName>
    <definedName name="HvrToDvs_In_1999">GainsAboveDavis!$M$4:$M$71</definedName>
    <definedName name="HvrToDvs_In_2000">GainsAboveDavis!$N$4:$N$71</definedName>
    <definedName name="HvrToDvs_In_2001">GainsAboveDavis!$O$4:$O$71</definedName>
    <definedName name="HvrToDvs_In_2002">GainsAboveDavis!$P$4:$P$71</definedName>
    <definedName name="HvrToDvs_In_2003">GainsAboveDavis!$Q$4:$Q$71</definedName>
    <definedName name="HvrToDvs_In_2004">GainsAboveDavis!$R$4:$R$71</definedName>
    <definedName name="HvrToDvs_In_2005">GainsAboveDavis!$S$4:$S$71</definedName>
    <definedName name="HvrToDvs_In_2006">GainsAboveDavis!$T$4:$T$71</definedName>
    <definedName name="HvrToDvs_In_2007">GainsAboveDavis!$U$4:$U$71</definedName>
    <definedName name="HvrToDvs_In_2008">GainsAboveDavis!$V$4:$V$71</definedName>
    <definedName name="HvrToDvs_In_2009">GainsAboveDavis!$W$4:$W$71</definedName>
    <definedName name="HvrToDvs_In_2010">GainsAboveDavis!$X$4:$X$71</definedName>
    <definedName name="HvrToDvs_In_2011">GainsAboveDavis!$Y$4:$Y$71</definedName>
    <definedName name="HvrToDvs_In_2012">GainsAboveDavis!$Z$4:$Z$71</definedName>
    <definedName name="HvrToDvs_In_2013">GainsAboveDavis!$AA$4:$AA$71</definedName>
    <definedName name="HvrToDvs_In_2014">GainsAboveDavis!$AB$4:$AB$71</definedName>
    <definedName name="HvrToDvs_In_2015">GainsAboveDavis!$AC$4:$AC$71</definedName>
    <definedName name="HvrToDvs_In_2016">GainsAboveDavis!$AD$4:$AD$71</definedName>
    <definedName name="HvrToDvs_In_2017">GainsAboveDavis!$AE$4:$AE$71</definedName>
    <definedName name="HvrToDvs_In_2018">GainsAboveDavis!$AF$4:$AF$71</definedName>
    <definedName name="HvrToDvs_In_2019">GainsAboveDavis!$AG$4:$AG$71</definedName>
    <definedName name="HvrToDvs_In_2020">GainsAboveDavis!$AH$4:$AH$71</definedName>
    <definedName name="HvrToDvs_In_Max">GainsAboveDavis!$B$4:$B$71</definedName>
    <definedName name="HvrToDvs_In_Min">GainsAboveDavis!$C$4:$C$71</definedName>
    <definedName name="HvrToDvs_In_Most">GainsAboveDavis!$D$4:$D$71</definedName>
    <definedName name="HvrToDvs_In_Time">GainsAboveDavis!$A$4:$A$71</definedName>
    <definedName name="ImpToMex_In_1991">GainsImpToNIB!$E$4:$E$71</definedName>
    <definedName name="ImpToMex_In_1992">GainsImpToNIB!$F$4:$F$71</definedName>
    <definedName name="ImpToMex_In_1993">GainsImpToNIB!$G$4:$G$71</definedName>
    <definedName name="ImpToMex_In_1994">GainsImpToNIB!$H$4:$H$71</definedName>
    <definedName name="ImpToMex_In_1995">GainsImpToNIB!$I$4:$I$71</definedName>
    <definedName name="ImpToMex_In_1996">GainsImpToNIB!$J$4:$J$71</definedName>
    <definedName name="ImpToMex_In_1997">GainsImpToNIB!$K$4:$K$71</definedName>
    <definedName name="ImpToMex_In_1998">GainsImpToNIB!$L$4:$L$71</definedName>
    <definedName name="ImpToMex_In_1999">GainsImpToNIB!$M$4:$M$71</definedName>
    <definedName name="ImpToMex_In_2000">GainsImpToNIB!$N$4:$N$71</definedName>
    <definedName name="ImpToMex_In_2001">GainsImpToNIB!$O$4:$O$71</definedName>
    <definedName name="ImpToMex_In_2002">GainsImpToNIB!$P$4:$P$71</definedName>
    <definedName name="ImpToMex_In_2003">GainsImpToNIB!$Q$4:$Q$71</definedName>
    <definedName name="ImpToMex_In_2004">GainsImpToNIB!$R$4:$R$71</definedName>
    <definedName name="ImpToMex_In_2005">GainsImpToNIB!$S$4:$S$71</definedName>
    <definedName name="ImpToMex_In_2006">GainsImpToNIB!$T$4:$T$71</definedName>
    <definedName name="ImpToMex_In_2007">GainsImpToNIB!$U$4:$U$71</definedName>
    <definedName name="ImpToMex_In_2008">GainsImpToNIB!$V$4:$V$71</definedName>
    <definedName name="ImpToMex_In_2009">GainsImpToNIB!$W$4:$W$71</definedName>
    <definedName name="ImpToMex_In_2010">GainsImpToNIB!$X$4:$X$71</definedName>
    <definedName name="ImpToMex_In_2011">GainsImpToNIB!$Y$4:$Y$71</definedName>
    <definedName name="ImpToMex_In_2012">GainsImpToNIB!$Z$4:$Z$71</definedName>
    <definedName name="ImpToMex_In_2013">GainsImpToNIB!$AA$4:$AA$71</definedName>
    <definedName name="ImpToMex_In_2014">GainsImpToNIB!$AB$4:$AB$71</definedName>
    <definedName name="ImpToMex_In_2015">GainsImpToNIB!$AC$4:$AC$71</definedName>
    <definedName name="ImpToMex_In_2016">GainsImpToNIB!$AD$4:$AD$71</definedName>
    <definedName name="ImpToMex_In_2017">GainsImpToNIB!$AE$4:$AE$71</definedName>
    <definedName name="ImpToMex_In_2018">GainsImpToNIB!$AF$4:$AF$71</definedName>
    <definedName name="ImpToMex_In_2019">GainsImpToNIB!$AG$4:$AG$71</definedName>
    <definedName name="ImpToMex_In_2020">GainsImpToNIB!$AH$4:$AH$71</definedName>
    <definedName name="ImpToMex_In_Max">GainsImpToNIB!$B$4:$B$71</definedName>
    <definedName name="ImpToMex_In_Min">GainsImpToNIB!$C$4:$C$71</definedName>
    <definedName name="ImpToMex_In_Most">GainsImpToNIB!$D$4:$D$71</definedName>
    <definedName name="ImpToMex_In_Time">GainsImpToNIB!$A$4:$A$71</definedName>
    <definedName name="MPOIN_IN_1991">MorrowPointInflow.Unregulated!$E$4:$E$80</definedName>
    <definedName name="MPOIN_IN_1992">MorrowPointInflow.Unregulated!$F$4:$F$80</definedName>
    <definedName name="MPOIN_IN_1993">MorrowPointInflow.Unregulated!$G$4:$G$80</definedName>
    <definedName name="MPOIN_IN_1994">MorrowPointInflow.Unregulated!$H$4:$H$80</definedName>
    <definedName name="MPOIN_IN_1995">MorrowPointInflow.Unregulated!$I$4:$I$80</definedName>
    <definedName name="MPOIN_IN_1996">MorrowPointInflow.Unregulated!$J$4:$J$80</definedName>
    <definedName name="MPOIN_IN_1997">MorrowPointInflow.Unregulated!$K$4:$K$80</definedName>
    <definedName name="MPOIN_IN_1998">MorrowPointInflow.Unregulated!$L$4:$L$80</definedName>
    <definedName name="MPOIN_IN_1999">MorrowPointInflow.Unregulated!$M$4:$M$80</definedName>
    <definedName name="MPOIN_IN_2000">MorrowPointInflow.Unregulated!$N$4:$N$80</definedName>
    <definedName name="MPOIN_IN_2001">MorrowPointInflow.Unregulated!$O$4:$O$80</definedName>
    <definedName name="MPOIN_IN_2002">MorrowPointInflow.Unregulated!$P$4:$P$80</definedName>
    <definedName name="MPOIN_IN_2003">MorrowPointInflow.Unregulated!$Q$4:$Q$80</definedName>
    <definedName name="MPOIN_IN_2004">MorrowPointInflow.Unregulated!$R$4:$R$80</definedName>
    <definedName name="MPOIN_IN_2005">MorrowPointInflow.Unregulated!$S$4:$S$80</definedName>
    <definedName name="MPOIN_IN_2006">MorrowPointInflow.Unregulated!$T$4:$T$80</definedName>
    <definedName name="MPOIN_IN_2007">MorrowPointInflow.Unregulated!$U$4:$U$80</definedName>
    <definedName name="MPOIN_IN_2008">MorrowPointInflow.Unregulated!$V$4:$V$80</definedName>
    <definedName name="MPOIN_IN_2009">MorrowPointInflow.Unregulated!$W$4:$W$80</definedName>
    <definedName name="MPOIN_IN_2010">MorrowPointInflow.Unregulated!$X$4:$X$80</definedName>
    <definedName name="MPOIN_IN_2011">MorrowPointInflow.Unregulated!$Y$4:$Y$80</definedName>
    <definedName name="MPOIN_IN_2012">MorrowPointInflow.Unregulated!$Z$4:$Z$80</definedName>
    <definedName name="MPOIN_IN_2013">MorrowPointInflow.Unregulated!$AA$4:$AA$80</definedName>
    <definedName name="MPOIN_IN_2014">MorrowPointInflow.Unregulated!$AB$4:$AB$80</definedName>
    <definedName name="MPOIN_IN_2015">MorrowPointInflow.Unregulated!$AC$4:$AC$80</definedName>
    <definedName name="MPOIN_IN_2016">MorrowPointInflow.Unregulated!$AD$4:$AD80</definedName>
    <definedName name="MPOIN_IN_2017">MorrowPointInflow.Unregulated!$AE$4:$AE$80</definedName>
    <definedName name="MPOIN_IN_2018">MorrowPointInflow.Unregulated!$AF$4:$AF$80</definedName>
    <definedName name="MPOIN_IN_2019">MorrowPointInflow.Unregulated!$AG$4:$AG$80</definedName>
    <definedName name="MPOIN_IN_2020">MorrowPointInflow.Unregulated!$AH$4:$AH$80</definedName>
    <definedName name="MPOIN_IN_2021">MorrowPointInflow.Unregulated!$AS$4:$AS$80</definedName>
    <definedName name="MPOIN_IN_2022">MorrowPointInflow.Unregulated!$AT$4:$AT$80</definedName>
    <definedName name="MPOIN_IN_2023">MorrowPointInflow.Unregulated!$AU$4:$AU$80</definedName>
    <definedName name="MPOIN_IN_2024">MorrowPointInflow.Unregulated!$AV$4:$AV$80</definedName>
    <definedName name="MPOIN_IN_2025">MorrowPointInflow.Unregulated!$AW$4:$AW$80</definedName>
    <definedName name="MPOIN_IN_2026">MorrowPointInflow.Unregulated!$AX$4:$AX$80</definedName>
    <definedName name="MPOIN_IN_2027">MorrowPointInflow.Unregulated!$AY$4:$AY$80</definedName>
    <definedName name="MPOIN_IN_2028">MorrowPointInflow.Unregulated!$AZ$4:$AZ$80</definedName>
    <definedName name="MPOIN_IN_2029">MorrowPointInflow.Unregulated!$BA$4:$BA$80</definedName>
    <definedName name="MPOIN_IN_Max">MorrowPointInflow.Unregulated!$B$4:$B$80</definedName>
    <definedName name="MPOIN_IN_Min">MorrowPointInflow.Unregulated!$C$4:$C$80</definedName>
    <definedName name="MPOIN_IN_Most">MorrowPointInflow.Unregulated!$D$4:$D$80</definedName>
    <definedName name="MPOIN_IN_TIME">MorrowPointInflow.Unregulated!$A$4:$A$80</definedName>
    <definedName name="NAVAJ_IN_1991">NavajoInflow.ModUnregulated!$E$4:$E$80</definedName>
    <definedName name="NAVAJ_IN_1992">NavajoInflow.ModUnregulated!$F$4:$F$80</definedName>
    <definedName name="NAVAJ_IN_1993">NavajoInflow.ModUnregulated!$G$4:$G$80</definedName>
    <definedName name="NAVAJ_IN_1994">NavajoInflow.ModUnregulated!$H$4:$H$80</definedName>
    <definedName name="NAVAJ_IN_1995">NavajoInflow.ModUnregulated!$I$4:$I$80</definedName>
    <definedName name="NAVAJ_IN_1996">NavajoInflow.ModUnregulated!$J$4:$J$80</definedName>
    <definedName name="NAVAJ_IN_1997">NavajoInflow.ModUnregulated!$K$4:$K$80</definedName>
    <definedName name="NAVAJ_IN_1998">NavajoInflow.ModUnregulated!$L$4:$L$80</definedName>
    <definedName name="NAVAJ_IN_1999">NavajoInflow.ModUnregulated!$M$4:$M$80</definedName>
    <definedName name="NAVAJ_IN_2000">NavajoInflow.ModUnregulated!$N$4:$N$80</definedName>
    <definedName name="NAVAJ_IN_2001">NavajoInflow.ModUnregulated!$O$4:$O$80</definedName>
    <definedName name="NAVAJ_IN_2002">NavajoInflow.ModUnregulated!$P$4:$P$80</definedName>
    <definedName name="NAVAJ_IN_2003">NavajoInflow.ModUnregulated!$Q$4:$Q$80</definedName>
    <definedName name="NAVAJ_IN_2004">NavajoInflow.ModUnregulated!$R$4:$R$80</definedName>
    <definedName name="NAVAJ_IN_2005">NavajoInflow.ModUnregulated!$S$4:$S$80</definedName>
    <definedName name="NAVAJ_IN_2006">NavajoInflow.ModUnregulated!$T$4:$T$80</definedName>
    <definedName name="NAVAJ_IN_2007">NavajoInflow.ModUnregulated!$U$4:$U$80</definedName>
    <definedName name="NAVAJ_IN_2008">NavajoInflow.ModUnregulated!$V$4:$V$80</definedName>
    <definedName name="NAVAJ_IN_2009">NavajoInflow.ModUnregulated!$W$4:$W$80</definedName>
    <definedName name="NAVAJ_IN_2010">NavajoInflow.ModUnregulated!$X$4:$X$80</definedName>
    <definedName name="NAVAJ_IN_2011">NavajoInflow.ModUnregulated!$Y$4:$Y$80</definedName>
    <definedName name="NAVAJ_IN_2012">NavajoInflow.ModUnregulated!$Z$4:$Z$80</definedName>
    <definedName name="NAVAJ_IN_2013">NavajoInflow.ModUnregulated!$AA$4:$AA$80</definedName>
    <definedName name="NAVAJ_IN_2014">NavajoInflow.ModUnregulated!$AB$4:$AB$80</definedName>
    <definedName name="NAVAJ_IN_2015">NavajoInflow.ModUnregulated!$AC$4:$AC$80</definedName>
    <definedName name="NAVAJ_IN_2016">NavajoInflow.ModUnregulated!$AD$4:$AD$80</definedName>
    <definedName name="NAVAJ_IN_2017">NavajoInflow.ModUnregulated!$AE$4:$AE$80</definedName>
    <definedName name="NAVAJ_IN_2018">NavajoInflow.ModUnregulated!$AF$4:$AF$80</definedName>
    <definedName name="NAVAJ_IN_2019">NavajoInflow.ModUnregulated!$AG$4:$AG$80</definedName>
    <definedName name="NAVAJ_IN_2020">NavajoInflow.ModUnregulated!$AH$4:$AH$80</definedName>
    <definedName name="NAVAJ_IN_2021">NavajoInflow.ModUnregulated!$AS$4:$AS$80</definedName>
    <definedName name="NAVAJ_IN_2022">NavajoInflow.ModUnregulated!$AT$4:$AT$80</definedName>
    <definedName name="NAVAJ_IN_2023">NavajoInflow.ModUnregulated!$AU$4:$AU$80</definedName>
    <definedName name="NAVAJ_IN_2024">NavajoInflow.ModUnregulated!$AV$4:$AV$80</definedName>
    <definedName name="NAVAJ_IN_2025">NavajoInflow.ModUnregulated!$AW$4:$AW$80</definedName>
    <definedName name="NAVAJ_IN_2026">NavajoInflow.ModUnregulated!$AX$4:$AX$80</definedName>
    <definedName name="NAVAJ_IN_2027">NavajoInflow.ModUnregulated!$AY$4:$AY$80</definedName>
    <definedName name="NAVAJ_IN_2028">NavajoInflow.ModUnregulated!$AZ$4:$AZ$80</definedName>
    <definedName name="NAVAJ_IN_2029">NavajoInflow.ModUnregulated!$BA$4:$BA$80</definedName>
    <definedName name="NAVAJ_IN_Max">NavajoInflow.ModUnregulated!$B$4:$B$80</definedName>
    <definedName name="NAVAJ_IN_Min">NavajoInflow.ModUnregulated!$C$4:$C$80</definedName>
    <definedName name="NAVAJ_IN_Most">NavajoInflow.ModUnregulated!$D$4:$D$80</definedName>
    <definedName name="NAVAJ_IN_TIME">NavajoInflow.ModUnregulated!$A$4:$A$80</definedName>
    <definedName name="NFTOF_IN_1991">GainsCrystalToGJ!$E$4:$E$80</definedName>
    <definedName name="NFTOF_IN_1992">GainsCrystalToGJ!$F$4:$F$80</definedName>
    <definedName name="NFTOF_IN_1993">GainsCrystalToGJ!$G$4:$G$80</definedName>
    <definedName name="NFTOF_IN_1994">GainsCrystalToGJ!$H$4:$H$80</definedName>
    <definedName name="NFTOF_IN_1995">GainsCrystalToGJ!$I$4:$I$80</definedName>
    <definedName name="NFTOF_IN_1996">GainsCrystalToGJ!$J$4:$J$80</definedName>
    <definedName name="NFTOF_IN_1997">GainsCrystalToGJ!$K$4:$K$80</definedName>
    <definedName name="NFTOF_IN_1998">GainsCrystalToGJ!$L$4:$L$80</definedName>
    <definedName name="NFTOF_IN_1999">GainsCrystalToGJ!$M$4:$M$80</definedName>
    <definedName name="NFTOF_IN_2000">GainsCrystalToGJ!$N$4:$N$80</definedName>
    <definedName name="NFTOF_IN_2001">GainsCrystalToGJ!$O$4:$O$80</definedName>
    <definedName name="NFTOF_IN_2002">GainsCrystalToGJ!$P$4:$P$80</definedName>
    <definedName name="NFTOF_IN_2003">GainsCrystalToGJ!$Q$4:$Q$80</definedName>
    <definedName name="NFTOF_IN_2004">GainsCrystalToGJ!$R$4:$R$80</definedName>
    <definedName name="NFTOF_IN_2005">GainsCrystalToGJ!$S$4:$S$80</definedName>
    <definedName name="NFTOF_IN_2006">GainsCrystalToGJ!$T$4:$T$80</definedName>
    <definedName name="NFTOF_IN_2007">GainsCrystalToGJ!$U$4:$U$80</definedName>
    <definedName name="NFTOF_IN_2008">GainsCrystalToGJ!$V$4:$V$80</definedName>
    <definedName name="NFTOF_IN_2009">GainsCrystalToGJ!$W$4:$W$80</definedName>
    <definedName name="NFTOF_IN_2010">GainsCrystalToGJ!$X$4:$X$80</definedName>
    <definedName name="NFTOF_IN_2011">GainsCrystalToGJ!$Y$4:$Y$80</definedName>
    <definedName name="NFTOF_IN_2012">GainsCrystalToGJ!$Z$4:$Z$80</definedName>
    <definedName name="NFTOF_IN_2013">GainsCrystalToGJ!$AA$4:$AA$80</definedName>
    <definedName name="NFTOF_IN_2014">GainsCrystalToGJ!$AB$4:$AB$80</definedName>
    <definedName name="NFTOF_IN_2015">GainsCrystalToGJ!$AC$4:$AC$80</definedName>
    <definedName name="NFTOF_IN_2016">GainsCrystalToGJ!$AD$4:$AD$80</definedName>
    <definedName name="NFTOF_IN_2017">GainsCrystalToGJ!$AE$4:$AE$80</definedName>
    <definedName name="NFTOF_IN_2018">GainsCrystalToGJ!$F$4:$F$80</definedName>
    <definedName name="NFTOF_IN_2019">GainsCrystalToGJ!$AG$4:$AG$80</definedName>
    <definedName name="NFTOF_IN_2020">GainsCrystalToGJ!$AH$4:$AH$80</definedName>
    <definedName name="NFTOF_IN_2021">GainsCrystalToGJ!$AS$4:$AS$80</definedName>
    <definedName name="NFTOF_IN_2022">GainsCrystalToGJ!$AT$4:$AT$80</definedName>
    <definedName name="NFTOF_IN_2023">GainsCrystalToGJ!$AU$4:$AU$80</definedName>
    <definedName name="NFTOF_IN_2024">GainsCrystalToGJ!$AV$4:$AV$80</definedName>
    <definedName name="NFTOF_IN_2025">GainsCrystalToGJ!$AW$4:$AW$80</definedName>
    <definedName name="NFTOF_IN_2026">GainsCrystalToGJ!$AX$4:$AX$80</definedName>
    <definedName name="NFTOF_IN_2027">GainsCrystalToGJ!$AY$4:$AY$80</definedName>
    <definedName name="NFTOF_IN_2028">GainsCrystalToGJ!$AZ$4:$AZ$80</definedName>
    <definedName name="NFTOF_IN_2029">GainsCrystalToGJ!$BA$4:$BA$80</definedName>
    <definedName name="NFTOF_IN_Max">GainsCrystalToGJ!$B$4:$B$80</definedName>
    <definedName name="NFTOF_IN_Min">GainsCrystalToGJ!$C$4:$C$80</definedName>
    <definedName name="NFTOF_IN_Most">GainsCrystalToGJ!$D$4:$D$80</definedName>
    <definedName name="NFTOF_IN_Time">GainsCrystalToGJ!$A$4:$A$80</definedName>
    <definedName name="NodeID">[1]RunInformation!$B$3:$B$21</definedName>
    <definedName name="PkrToImp_In_1991">GainsPkrToImp!$E$4:$E$71</definedName>
    <definedName name="PkrToImp_In_1992">GainsPkrToImp!$F$4:$F$71</definedName>
    <definedName name="PkrToImp_In_1993">GainsPkrToImp!$G$4:$G$71</definedName>
    <definedName name="PkrToImp_In_1994">GainsPkrToImp!$H$4:$H$71</definedName>
    <definedName name="PkrToImp_In_1995">GainsPkrToImp!$I$4:$I$71</definedName>
    <definedName name="PkrToImp_In_1996">GainsPkrToImp!$J$4:$J$71</definedName>
    <definedName name="PkrToImp_In_1997">GainsPkrToImp!$K$4:$K$71</definedName>
    <definedName name="PkrToImp_In_1998">GainsPkrToImp!$L$4:$L$71</definedName>
    <definedName name="PkrToImp_In_1999">GainsPkrToImp!$M$4:$M$71</definedName>
    <definedName name="PkrToImp_In_2000">GainsPkrToImp!$N$4:$N$71</definedName>
    <definedName name="PkrToImp_In_2001">GainsPkrToImp!$O$4:$O$71</definedName>
    <definedName name="PkrToImp_In_2002">GainsPkrToImp!$P$4:$P$71</definedName>
    <definedName name="PkrToImp_In_2003">GainsPkrToImp!$Q$4:$Q$71</definedName>
    <definedName name="PkrToImp_In_2004">GainsPkrToImp!$R$4:$R$71</definedName>
    <definedName name="PkrToImp_In_2005">GainsPkrToImp!$S$4:$S$71</definedName>
    <definedName name="PkrToImp_In_2006">GainsPkrToImp!$T$4:$T$71</definedName>
    <definedName name="PkrToImp_In_2007">GainsPkrToImp!$U$4:$U$71</definedName>
    <definedName name="PkrToImp_In_2008">GainsPkrToImp!$V$4:$V$71</definedName>
    <definedName name="PkrToImp_In_2009">GainsPkrToImp!$W$4:$W$71</definedName>
    <definedName name="PkrToImp_In_2010">GainsPkrToImp!$X$4:$X$71</definedName>
    <definedName name="PkrToImp_In_2011">GainsPkrToImp!$Y$4:$Y$71</definedName>
    <definedName name="PkrToImp_In_2012">GainsPkrToImp!$Z$4:$Z$71</definedName>
    <definedName name="PkrToImp_In_2013">GainsPkrToImp!$AA$4:$AA$71</definedName>
    <definedName name="PkrToImp_In_2014">GainsPkrToImp!$AB$4:$AB$71</definedName>
    <definedName name="PkrToImp_In_2015">GainsPkrToImp!$AC$4:$AC$71</definedName>
    <definedName name="PkrToImp_In_2016">GainsPkrToImp!$AD$4:$AD$71</definedName>
    <definedName name="PkrToImp_In_2017">GainsPkrToImp!$AE$4:$AE$71</definedName>
    <definedName name="PkrToImp_In_2018">GainsPkrToImp!$AE$4:$AE$71</definedName>
    <definedName name="PkrToImp_In_2019">GainsPkrToImp!$AG$4:$AG$71</definedName>
    <definedName name="PkrToImp_In_2020">GainsPkrToImp!$AH$4:$AH$71</definedName>
    <definedName name="PkrToImp_In_Max">GainsPkrToImp!$B$4:$B$71</definedName>
    <definedName name="PkrToImp_In_Min">GainsPkrToImp!$C$4:$C$71</definedName>
    <definedName name="PkrToImp_In_Most">GainsPkrToImp!$D$4:$D$71</definedName>
    <definedName name="PkrToImp_In_Time">GainsPkrToImp!$A$4:$A$71</definedName>
    <definedName name="POWEL_IN_1991">PowellInflow.Unregulated!$E$4:$E$80</definedName>
    <definedName name="POWEL_IN_1992">PowellInflow.Unregulated!$F$4:$F$80</definedName>
    <definedName name="POWEL_IN_1993">PowellInflow.Unregulated!$G$4:$G$80</definedName>
    <definedName name="POWEL_IN_1994">PowellInflow.Unregulated!$H$4:$H$80</definedName>
    <definedName name="POWEL_IN_1995">PowellInflow.Unregulated!$I$4:$I$80</definedName>
    <definedName name="POWEL_IN_1996">PowellInflow.Unregulated!$J$4:$J$80</definedName>
    <definedName name="POWEL_IN_1997">PowellInflow.Unregulated!$K$4:$K$80</definedName>
    <definedName name="POWEL_IN_1998">PowellInflow.Unregulated!$L$4:$L$80</definedName>
    <definedName name="POWEL_IN_1999">PowellInflow.Unregulated!$M$4:$M$80</definedName>
    <definedName name="POWEL_IN_2000">PowellInflow.Unregulated!$N$4:$N$80</definedName>
    <definedName name="POWEL_IN_2001">PowellInflow.Unregulated!$O$4:$O$80</definedName>
    <definedName name="POWEL_IN_2002">PowellInflow.Unregulated!$P$4:$P$80</definedName>
    <definedName name="POWEL_IN_2003">PowellInflow.Unregulated!$Q$4:$Q$80</definedName>
    <definedName name="POWEL_IN_2004">PowellInflow.Unregulated!$R$4:$R$80</definedName>
    <definedName name="POWEL_IN_2005">PowellInflow.Unregulated!$S$4:$S$80</definedName>
    <definedName name="POWEL_IN_2006">PowellInflow.Unregulated!$T$4:$T$80</definedName>
    <definedName name="POWEL_IN_2007">PowellInflow.Unregulated!$U$4:$U$80</definedName>
    <definedName name="POWEL_IN_2008">PowellInflow.Unregulated!$V$4:$V$80</definedName>
    <definedName name="POWEL_IN_2009">PowellInflow.Unregulated!$W$4:$W$80</definedName>
    <definedName name="POWEL_IN_2010">PowellInflow.Unregulated!$X$4:$X$80</definedName>
    <definedName name="POWEL_IN_2011">PowellInflow.Unregulated!$Y$4:$Y$80</definedName>
    <definedName name="POWEL_IN_2012">PowellInflow.Unregulated!$Z$4:$Z$80</definedName>
    <definedName name="POWEL_IN_2013">PowellInflow.Unregulated!$AA$4:$AA$80</definedName>
    <definedName name="POWEL_IN_2014">PowellInflow.Unregulated!$AB$4:$AB$80</definedName>
    <definedName name="POWEL_IN_2015">PowellInflow.Unregulated!$AC$4:$AC$80</definedName>
    <definedName name="POWEL_IN_2016">PowellInflow.Unregulated!$AD$4:$AD$80</definedName>
    <definedName name="POWEL_IN_2017">PowellInflow.Unregulated!$AE$4:$AE$80</definedName>
    <definedName name="POWEL_IN_2018">PowellInflow.Unregulated!$AF$4:$AF$80</definedName>
    <definedName name="POWEL_IN_2019">PowellInflow.Unregulated!$AG$4:$AG$80</definedName>
    <definedName name="POWEL_IN_2020">PowellInflow.Unregulated!$AH$4:$AH$80</definedName>
    <definedName name="POWEL_IN_2021">PowellInflow.Unregulated!$AS$4:$AS$80</definedName>
    <definedName name="POWEL_IN_2022">PowellInflow.Unregulated!$AT$4:$AT$80</definedName>
    <definedName name="POWEL_IN_2023">PowellInflow.Unregulated!$AU$4:$AU$80</definedName>
    <definedName name="POWEL_IN_2024">PowellInflow.Unregulated!$AV$4:$AV$80</definedName>
    <definedName name="POWEL_IN_2025">PowellInflow.Unregulated!$AW$4:$AW$80</definedName>
    <definedName name="POWEL_IN_2026">PowellInflow.Unregulated!$AX$4:$AX$80</definedName>
    <definedName name="POWEL_IN_2027">PowellInflow.Unregulated!$AY$4:$AY$80</definedName>
    <definedName name="POWEL_IN_2028">PowellInflow.Unregulated!$AZ$4:$AZ$80</definedName>
    <definedName name="POWEL_IN_2029">PowellInflow.Unregulated!$BA$4:$BA$80</definedName>
    <definedName name="POWEL_IN_Max">PowellInflow.Unregulated!$B$4:$B$80</definedName>
    <definedName name="POWEL_IN_Min">PowellInflow.Unregulated!$C$4:$C$80</definedName>
    <definedName name="POWEL_IN_Most">PowellInflow.Unregulated!$D$4:$D$80</definedName>
    <definedName name="POWEL_IN_TIME">PowellInflow.Unregulated!$A$4:$A$80</definedName>
    <definedName name="PTMGAL_IN_1991">PowellToMeadGainsAbvLeesFerry!$E$4:$E$71</definedName>
    <definedName name="PTMGAL_IN_1992">PowellToMeadGainsAbvLeesFerry!$F$4:$F$71</definedName>
    <definedName name="PTMGAL_IN_1993">PowellToMeadGainsAbvLeesFerry!$G$4:$G$71</definedName>
    <definedName name="PTMGAL_IN_1994">PowellToMeadGainsAbvLeesFerry!$H$4:$H$71</definedName>
    <definedName name="PTMGAL_IN_1995">PowellToMeadGainsAbvLeesFerry!$I$4:$I$71</definedName>
    <definedName name="PTMGAL_IN_1996">PowellToMeadGainsAbvLeesFerry!$J$4:$J$71</definedName>
    <definedName name="PTMGAL_IN_1997">PowellToMeadGainsAbvLeesFerry!$K$4:$K$71</definedName>
    <definedName name="PTMGAL_IN_1998">PowellToMeadGainsAbvLeesFerry!$L$4:$L$71</definedName>
    <definedName name="PTMGAL_IN_1999">PowellToMeadGainsAbvLeesFerry!$M$4:$M$71</definedName>
    <definedName name="PTMGAL_IN_2000">PowellToMeadGainsAbvLeesFerry!$N$4:$N$71</definedName>
    <definedName name="PTMGAL_IN_2001">PowellToMeadGainsAbvLeesFerry!$O$4:$O$71</definedName>
    <definedName name="PTMGAL_IN_2002">PowellToMeadGainsAbvLeesFerry!$P$4:$P$71</definedName>
    <definedName name="PTMGAL_IN_2003">PowellToMeadGainsAbvLeesFerry!$Q$4:$Q$71</definedName>
    <definedName name="PTMGAL_IN_2004">PowellToMeadGainsAbvLeesFerry!$R$4:$R$71</definedName>
    <definedName name="PTMGAL_IN_2005">PowellToMeadGainsAbvLeesFerry!$S$4:$S$71</definedName>
    <definedName name="PTMGAL_IN_2006">PowellToMeadGainsAbvLeesFerry!$T$4:$T$71</definedName>
    <definedName name="PTMGAL_IN_2007">PowellToMeadGainsAbvLeesFerry!$U$4:$U$71</definedName>
    <definedName name="PTMGAL_IN_2008">PowellToMeadGainsAbvLeesFerry!$V$4:$V$71</definedName>
    <definedName name="PTMGAL_IN_2009">PowellToMeadGainsAbvLeesFerry!$W$4:$W$71</definedName>
    <definedName name="PTMGAL_IN_2010">PowellToMeadGainsAbvLeesFerry!$X$4:$X$71</definedName>
    <definedName name="PTMGAL_IN_2011">PowellToMeadGainsAbvLeesFerry!$Y$4:$Y$71</definedName>
    <definedName name="PTMGAL_IN_2012">PowellToMeadGainsAbvLeesFerry!$Z$4:$Z$71</definedName>
    <definedName name="PTMGAL_IN_2013">PowellToMeadGainsAbvLeesFerry!$AA$4:$AA$71</definedName>
    <definedName name="PTMGAL_IN_2014">PowellToMeadGainsAbvLeesFerry!$AB$4:$AB$71</definedName>
    <definedName name="PTMGAL_IN_2015">PowellToMeadGainsAbvLeesFerry!$AC$4:$AC$71</definedName>
    <definedName name="PTMGAL_IN_2016">PowellToMeadGainsAbvLeesFerry!$AD$4:$AD$71</definedName>
    <definedName name="PTMGAL_IN_2017">PowellToMeadGainsAbvLeesFerry!$AE$4:$AE$71</definedName>
    <definedName name="PTMGAL_IN_2018">PowellToMeadGainsAbvLeesFerry!$AF$4:$AF$71</definedName>
    <definedName name="PTMGAL_IN_2019">PowellToMeadGainsAbvLeesFerry!$AG$4:$AG$71</definedName>
    <definedName name="PTMGAL_IN_2020">PowellToMeadGainsAbvLeesFerry!$AH$4:$AH$71</definedName>
    <definedName name="PTMGAL_IN_2021">PowellToMeadGainsAbvLeesFerry!$AS$4:$AS$71</definedName>
    <definedName name="PTMGAL_IN_2022">PowellToMeadGainsAbvLeesFerry!$AT$4:$AT$71</definedName>
    <definedName name="PTMGAL_IN_2023">PowellToMeadGainsAbvLeesFerry!$AU$4:$AU$71</definedName>
    <definedName name="PTMGAL_IN_2024">PowellToMeadGainsAbvLeesFerry!$AV$4:$AV$71</definedName>
    <definedName name="PTMGAL_IN_2025">PowellToMeadGainsAbvLeesFerry!$AW$4:$AW$71</definedName>
    <definedName name="PTMGAL_IN_2026">PowellToMeadGainsAbvLeesFerry!$AX$4:$AX$71</definedName>
    <definedName name="PTMGAL_IN_2027">PowellToMeadGainsAbvLeesFerry!$AY$4:$AY$71</definedName>
    <definedName name="PTMGAL_IN_2028">PowellToMeadGainsAbvLeesFerry!$AZ$4:$AZ$71</definedName>
    <definedName name="PTMGAL_IN_2029">PowellToMeadGainsAbvLeesFerry!$BA$4:$BA$71</definedName>
    <definedName name="PTMGAL_IN_Max">PowellToMeadGainsAbvLeesFerry!$B$4:$B$71</definedName>
    <definedName name="PTMGAL_IN_Min">PowellToMeadGainsAbvLeesFerry!$C$4:$C$71</definedName>
    <definedName name="PTMGAL_IN_Most">PowellToMeadGainsAbvLeesFerry!$D$4:$D$71</definedName>
    <definedName name="PTMGAL_IN_Time">PowellToMeadGainsAbvLeesFerry!$A$4:$A$71</definedName>
    <definedName name="PTMGC_IN_1991">PowellToMeadGainsGrandCanyon!$E$4:$E$71</definedName>
    <definedName name="PTMGC_IN_1992">PowellToMeadGainsGrandCanyon!$F$4:$F$71</definedName>
    <definedName name="PTMGC_IN_1993">PowellToMeadGainsGrandCanyon!$G$4:$G$71</definedName>
    <definedName name="PTMGC_IN_1994">PowellToMeadGainsGrandCanyon!$H$4:$H$71</definedName>
    <definedName name="PTMGC_IN_1995">PowellToMeadGainsGrandCanyon!$I$4:$I$71</definedName>
    <definedName name="PTMGC_IN_1996">PowellToMeadGainsGrandCanyon!$J$4:$J$71</definedName>
    <definedName name="PTMGC_IN_1997">PowellToMeadGainsGrandCanyon!$K$4:$K$71</definedName>
    <definedName name="PTMGC_IN_1998">PowellToMeadGainsGrandCanyon!$L$4:$L$71</definedName>
    <definedName name="PTMGC_IN_1999">PowellToMeadGainsGrandCanyon!$M$4:$M$71</definedName>
    <definedName name="PTMGC_IN_2000">PowellToMeadGainsGrandCanyon!$N$4:$N$71</definedName>
    <definedName name="PTMGC_IN_2001">PowellToMeadGainsGrandCanyon!$O$4:$O$71</definedName>
    <definedName name="PTMGC_IN_2002">PowellToMeadGainsGrandCanyon!$P$4:$P$71</definedName>
    <definedName name="PTMGC_IN_2003">PowellToMeadGainsGrandCanyon!$Q$4:$Q$71</definedName>
    <definedName name="PTMGC_IN_2004">PowellToMeadGainsGrandCanyon!$R$4:$R$71</definedName>
    <definedName name="PTMGC_IN_2005">PowellToMeadGainsGrandCanyon!$S$4:$S$71</definedName>
    <definedName name="PTMGC_IN_2006">PowellToMeadGainsGrandCanyon!$T$4:$T$71</definedName>
    <definedName name="PTMGC_IN_2007">PowellToMeadGainsGrandCanyon!$U$4:$U$71</definedName>
    <definedName name="PTMGC_IN_2008">PowellToMeadGainsGrandCanyon!$V$4:$V$71</definedName>
    <definedName name="PTMGC_IN_2009">PowellToMeadGainsGrandCanyon!$W$4:$W$71</definedName>
    <definedName name="PTMGC_IN_2010">PowellToMeadGainsGrandCanyon!$X$4:$X$71</definedName>
    <definedName name="PTMGC_IN_2011">PowellToMeadGainsGrandCanyon!$Y$4:$Y$71</definedName>
    <definedName name="PTMGC_IN_2012">PowellToMeadGainsGrandCanyon!$Z$4:$Z$71</definedName>
    <definedName name="PTMGC_IN_2013">PowellToMeadGainsGrandCanyon!$AA$4:$AA$71</definedName>
    <definedName name="PTMGC_IN_2014">PowellToMeadGainsGrandCanyon!$AB$4:$AB$71</definedName>
    <definedName name="PTMGC_IN_2015">PowellToMeadGainsGrandCanyon!$AC$4:$AC$71</definedName>
    <definedName name="PTMGC_IN_2016">PowellToMeadGainsGrandCanyon!$AD$4:$AD$71</definedName>
    <definedName name="PTMGC_IN_2017">PowellToMeadGainsGrandCanyon!$AE$4:$AE$71</definedName>
    <definedName name="PTMGC_IN_2018">PowellToMeadGainsGrandCanyon!$AF$4:$AF$71</definedName>
    <definedName name="PTMGC_IN_2019">PowellToMeadGainsGrandCanyon!$AG$4:$AG$71</definedName>
    <definedName name="PTMGC_IN_2020">PowellToMeadGainsGrandCanyon!$AH$4:$AH$71</definedName>
    <definedName name="PTMGC_IN_2021">PowellToMeadGainsGrandCanyon!$AS$4:$AS$71</definedName>
    <definedName name="PTMGC_IN_2022">PowellToMeadGainsGrandCanyon!$AT$4:$AT$71</definedName>
    <definedName name="PTMGC_IN_2023">PowellToMeadGainsGrandCanyon!$AU$4:$AU$71</definedName>
    <definedName name="PTMGC_IN_2024">PowellToMeadGainsGrandCanyon!$AV$4:$AV$71</definedName>
    <definedName name="PTMGC_IN_2025">PowellToMeadGainsGrandCanyon!$AW$4:$AW$71</definedName>
    <definedName name="PTMGC_IN_2026">PowellToMeadGainsGrandCanyon!$AX$4:$AX$71</definedName>
    <definedName name="PTMGC_IN_2027">PowellToMeadGainsGrandCanyon!$AY$4:$AY$71</definedName>
    <definedName name="PTMGC_IN_2028">PowellToMeadGainsGrandCanyon!$AZ$4:$AZ$71</definedName>
    <definedName name="PTMGC_IN_2029">PowellToMeadGainsGrandCanyon!$BA$4:$BA$71</definedName>
    <definedName name="PTMGC_IN_Max">PowellToMeadGainsGrandCanyon!$B$4:$B$71</definedName>
    <definedName name="PTMGC_IN_Min">PowellToMeadGainsGrandCanyon!$C$4:$C$71</definedName>
    <definedName name="PTMGC_IN_Most">PowellToMeadGainsGrandCanyon!$D$4:$D$71</definedName>
    <definedName name="PTMGC_IN_Time">PowellToMeadGainsGrandCanyon!$A$4:$A$71</definedName>
    <definedName name="PTMGH_IN_1991">PowellToMeadGainsAboveHoover!$E$4:$E$71</definedName>
    <definedName name="PTMGH_IN_1992">PowellToMeadGainsAboveHoover!$F$4:$F$71</definedName>
    <definedName name="PTMGH_IN_1993">PowellToMeadGainsAboveHoover!$G$4:$G$71</definedName>
    <definedName name="PTMGH_IN_1994">PowellToMeadGainsAboveHoover!$H$4:$H$71</definedName>
    <definedName name="PTMGH_IN_1995">PowellToMeadGainsAboveHoover!$I$4:$I$71</definedName>
    <definedName name="PTMGH_IN_1996">PowellToMeadGainsAboveHoover!$J$4:$J$71</definedName>
    <definedName name="PTMGH_IN_1997">PowellToMeadGainsAboveHoover!$K$4:$K$71</definedName>
    <definedName name="PTMGH_IN_1998">PowellToMeadGainsAboveHoover!$L$4:$L$71</definedName>
    <definedName name="PTMGH_IN_1999">PowellToMeadGainsAboveHoover!$M$4:$M$71</definedName>
    <definedName name="PTMGH_IN_2000">PowellToMeadGainsAboveHoover!$N$4:$N$71</definedName>
    <definedName name="PTMGH_IN_2001">PowellToMeadGainsAboveHoover!$O$4:$O$71</definedName>
    <definedName name="PTMGH_IN_2002">PowellToMeadGainsAboveHoover!$P$4:$P$71</definedName>
    <definedName name="PTMGH_IN_2003">PowellToMeadGainsAboveHoover!$Q$4:$Q$71</definedName>
    <definedName name="PTMGH_IN_2004">PowellToMeadGainsAboveHoover!$R$4:$R$71</definedName>
    <definedName name="PTMGH_IN_2005">PowellToMeadGainsAboveHoover!$S$4:$S$71</definedName>
    <definedName name="PTMGH_IN_2006">PowellToMeadGainsAboveHoover!$T$4:$T$71</definedName>
    <definedName name="PTMGH_IN_2007">PowellToMeadGainsAboveHoover!$U$4:$U$71</definedName>
    <definedName name="PTMGH_IN_2008">PowellToMeadGainsAboveHoover!$V$4:$V$71</definedName>
    <definedName name="PTMGH_IN_2009">PowellToMeadGainsAboveHoover!$W$4:$W$71</definedName>
    <definedName name="PTMGH_IN_2010">PowellToMeadGainsAboveHoover!$X$4:$X$71</definedName>
    <definedName name="PTMGH_IN_2011">PowellToMeadGainsAboveHoover!$Y$4:$Y$71</definedName>
    <definedName name="PTMGH_IN_2012">PowellToMeadGainsAboveHoover!$Z$4:$Z$71</definedName>
    <definedName name="PTMGH_IN_2013">PowellToMeadGainsAboveHoover!$AA$4:$AA$71</definedName>
    <definedName name="PTMGH_IN_2014">PowellToMeadGainsAboveHoover!$AB$4:$AB$71</definedName>
    <definedName name="PTMGH_IN_2015">PowellToMeadGainsAboveHoover!$AC$4:$AC$71</definedName>
    <definedName name="PTMGH_IN_2016">PowellToMeadGainsAboveHoover!$AD$4:$AD$71</definedName>
    <definedName name="PTMGH_IN_2017">PowellToMeadGainsAboveHoover!$AE$4:$AE$71</definedName>
    <definedName name="PTMGH_IN_2018">PowellToMeadGainsAboveHoover!$AF$4:$AF$71</definedName>
    <definedName name="PTMGH_IN_2019">PowellToMeadGainsAboveHoover!$AG$4:$AG$71</definedName>
    <definedName name="PTMGH_IN_2020">PowellToMeadGainsAboveHoover!$AH$4:$AH$71</definedName>
    <definedName name="PTMGH_IN_2021">PowellToMeadGainsAboveHoover!$AS$4:$AS$71</definedName>
    <definedName name="PTMGH_IN_2022">PowellToMeadGainsAboveHoover!$AT$4:$AT$71</definedName>
    <definedName name="PTMGH_IN_2023">PowellToMeadGainsAboveHoover!$AU$4:$AU$71</definedName>
    <definedName name="PTMGH_IN_2024">PowellToMeadGainsAboveHoover!$AV$4:$AV$71</definedName>
    <definedName name="PTMGH_IN_2025">PowellToMeadGainsAboveHoover!$AW$4:$AW$71</definedName>
    <definedName name="PTMGH_IN_2026">PowellToMeadGainsAboveHoover!$AX$4:$AX$71</definedName>
    <definedName name="PTMGH_IN_2027">PowellToMeadGainsAboveHoover!$AY$4:$AY$71</definedName>
    <definedName name="PTMGH_IN_2028">PowellToMeadGainsAboveHoover!$AZ$4:$AZ$71</definedName>
    <definedName name="PTMGH_IN_2029">PowellToMeadGainsAboveHoover!$BA$4:$BA$71</definedName>
    <definedName name="PTMGH_IN_Max">PowellToMeadGainsAboveHoover!$B$4:$B$71</definedName>
    <definedName name="PTMGH_IN_Min">PowellToMeadGainsAboveHoover!$C$4:$C$71</definedName>
    <definedName name="PTMGH_IN_Most">PowellToMeadGainsAboveHoover!$D$4:$D$71</definedName>
    <definedName name="PTMGH_IN_Time">PowellToMeadGainsAboveHoover!$A$4:$A$71</definedName>
    <definedName name="RangeName">[1]RunInformation!$D$3:$D$21</definedName>
    <definedName name="SheetName">[1]RunInformation!$C$3:$C$21</definedName>
    <definedName name="StartYear">[1]RunInformation!$K$3:$K$52</definedName>
    <definedName name="TimestepID">[1]RunInformation!$I$3:$I$52</definedName>
    <definedName name="TPARK_IN_1991">TaylorPark.Inflow!$E$4:$E$80</definedName>
    <definedName name="TPARK_IN_1992">TaylorPark.Inflow!$F$4:$F$80</definedName>
    <definedName name="TPARK_IN_1993">TaylorPark.Inflow!$G$4:$G$80</definedName>
    <definedName name="TPARK_IN_1994">TaylorPark.Inflow!$H$4:$H$80</definedName>
    <definedName name="TPARK_IN_1995">TaylorPark.Inflow!$I$4:$I$80</definedName>
    <definedName name="TPARK_IN_1996">TaylorPark.Inflow!$J$4:$J$80</definedName>
    <definedName name="TPARK_IN_1997">TaylorPark.Inflow!$K$4:$K$80</definedName>
    <definedName name="TPARK_IN_1998">TaylorPark.Inflow!$L$4:$L$80</definedName>
    <definedName name="TPARK_IN_1999">TaylorPark.Inflow!$M$4:$M$80</definedName>
    <definedName name="TPARK_IN_2000">TaylorPark.Inflow!$N$4:$N$80</definedName>
    <definedName name="TPARK_IN_2001">TaylorPark.Inflow!$O$4:$O$80</definedName>
    <definedName name="TPARK_IN_2002">TaylorPark.Inflow!$P$4:$P$80</definedName>
    <definedName name="TPARK_IN_2003">TaylorPark.Inflow!$Q$4:$Q$80</definedName>
    <definedName name="TPARK_IN_2004">TaylorPark.Inflow!$R$4:$R$80</definedName>
    <definedName name="TPARK_IN_2005">TaylorPark.Inflow!$S$4:$S$80</definedName>
    <definedName name="TPARK_IN_2006">TaylorPark.Inflow!$T$4:$T$80</definedName>
    <definedName name="TPARK_IN_2007">TaylorPark.Inflow!$U$4:$U$80</definedName>
    <definedName name="TPARK_IN_2008">TaylorPark.Inflow!$V$4:$V$80</definedName>
    <definedName name="TPARK_IN_2009">TaylorPark.Inflow!$W$4:$W$80</definedName>
    <definedName name="TPARK_IN_2010">TaylorPark.Inflow!$X$4:$X$80</definedName>
    <definedName name="TPARK_IN_2011">TaylorPark.Inflow!$Y$4:$Y$80</definedName>
    <definedName name="TPARK_IN_2012">TaylorPark.Inflow!$Z$4:$Z$80</definedName>
    <definedName name="TPARK_IN_2013">TaylorPark.Inflow!$AA$4:$AA$80</definedName>
    <definedName name="TPARK_IN_2014">TaylorPark.Inflow!$AB$4:$AB$80</definedName>
    <definedName name="TPARK_IN_2015">TaylorPark.Inflow!$AC$4:$AC$80</definedName>
    <definedName name="TPARK_IN_2016">TaylorPark.Inflow!$AD$4:$AD$80</definedName>
    <definedName name="TPARK_IN_2017">TaylorPark.Inflow!$AE$4:$AE$80</definedName>
    <definedName name="TPARK_IN_2018">TaylorPark.Inflow!$AF$4:$AF$80</definedName>
    <definedName name="TPARK_IN_2019">TaylorPark.Inflow!$AG$4:$AG$80</definedName>
    <definedName name="TPARK_IN_2020">TaylorPark.Inflow!$AH$4:$AH$80</definedName>
    <definedName name="TPARK_IN_2021">TaylorPark.Inflow!$AS$4:$AS$80</definedName>
    <definedName name="TPARK_IN_2022">TaylorPark.Inflow!$AT$4:$AT$80</definedName>
    <definedName name="TPARK_IN_2023">TaylorPark.Inflow!$AU$4:$AU$80</definedName>
    <definedName name="TPARK_IN_2024">TaylorPark.Inflow!$AV$4:$AV$80</definedName>
    <definedName name="TPARK_IN_2025">TaylorPark.Inflow!$AW$4:$AW$80</definedName>
    <definedName name="TPARK_IN_2026">TaylorPark.Inflow!$AX$4:$AX$80</definedName>
    <definedName name="TPARK_IN_2027">TaylorPark.Inflow!$AY$4:$AY$80</definedName>
    <definedName name="TPARK_IN_2028">TaylorPark.Inflow!$AZ$4:$AZ$80</definedName>
    <definedName name="TPARK_IN_2029">TaylorPark.Inflow!$BA$4:$BA$80</definedName>
    <definedName name="TPARK_IN_Max">TaylorPark.Inflow!$B$4:$B$80</definedName>
    <definedName name="TPARK_IN_Min">TaylorPark.Inflow!$C$4:$C$80</definedName>
    <definedName name="TPARK_IN_Most">TaylorPark.Inflow!$D$4:$D$80</definedName>
    <definedName name="TPARK_IN_TIME">TaylorPark.Inflow!$A$4:$A$80</definedName>
    <definedName name="VALLE_IN_1991">Vallecito.Inflow!$E$4:$E$80</definedName>
    <definedName name="VALLE_IN_1992">Vallecito.Inflow!$F$4:$F$80</definedName>
    <definedName name="VALLE_IN_1993">Vallecito.Inflow!$G$4:$G$80</definedName>
    <definedName name="VALLE_IN_1994">Vallecito.Inflow!$H$4:$H$80</definedName>
    <definedName name="VALLE_IN_1995">Vallecito.Inflow!$I$4:$I$80</definedName>
    <definedName name="VALLE_IN_1996">Vallecito.Inflow!$J$4:$J$80</definedName>
    <definedName name="VALLE_IN_1997">Vallecito.Inflow!$K$4:$K$80</definedName>
    <definedName name="VALLE_IN_1998">Vallecito.Inflow!$L$4:$L$80</definedName>
    <definedName name="VALLE_IN_1999">Vallecito.Inflow!$M$4:$M$80</definedName>
    <definedName name="VALLE_IN_2000">Vallecito.Inflow!$N$4:$N$80</definedName>
    <definedName name="VALLE_IN_2001">Vallecito.Inflow!$O$4:$O$80</definedName>
    <definedName name="VALLE_IN_2002">Vallecito.Inflow!$P$4:$P$80</definedName>
    <definedName name="VALLE_IN_2003">Vallecito.Inflow!$Q$4:$Q$80</definedName>
    <definedName name="VALLE_IN_2004">Vallecito.Inflow!$R$4:$R$80</definedName>
    <definedName name="VALLE_IN_2005">Vallecito.Inflow!$S$4:$S$80</definedName>
    <definedName name="VALLE_IN_2006">Vallecito.Inflow!$T$4:$T$80</definedName>
    <definedName name="VALLE_IN_2007">Vallecito.Inflow!$U$4:$U$80</definedName>
    <definedName name="VALLE_IN_2008">Vallecito.Inflow!$V$4:$V$80</definedName>
    <definedName name="VALLE_IN_2009">Vallecito.Inflow!$W$4:$W$80</definedName>
    <definedName name="VALLE_IN_2010">Vallecito.Inflow!$X$4:$X$80</definedName>
    <definedName name="VALLE_IN_2011">Vallecito.Inflow!$Y$4:$Y$80</definedName>
    <definedName name="VALLE_IN_2012">Vallecito.Inflow!$Z$4:$Z$80</definedName>
    <definedName name="VALLE_IN_2013">Vallecito.Inflow!$AA$4:$AA$80</definedName>
    <definedName name="VALLE_IN_2014">Vallecito.Inflow!$AB$4:$AB$80</definedName>
    <definedName name="VALLE_IN_2015">Vallecito.Inflow!$AC$4:$AC$80</definedName>
    <definedName name="VALLE_IN_2016">Vallecito.Inflow!$AD$4:$AD$80</definedName>
    <definedName name="VALLE_IN_2017">Vallecito.Inflow!$AE$4:$AE$80</definedName>
    <definedName name="VALLE_IN_2018">Vallecito.Inflow!$AF$4:$AF$80</definedName>
    <definedName name="VALLE_IN_2019">Vallecito.Inflow!$AG$4:$AG$80</definedName>
    <definedName name="VALLE_IN_2020">Vallecito.Inflow!$AH$4:$AH$80</definedName>
    <definedName name="VALLE_IN_2021">Vallecito.Inflow!$AS$4:$AS$80</definedName>
    <definedName name="VALLE_IN_2022">Vallecito.Inflow!$AT$4:$AT$80</definedName>
    <definedName name="VALLE_IN_2023">Vallecito.Inflow!$AU$4:$AU$80</definedName>
    <definedName name="VALLE_IN_2024">Vallecito.Inflow!$AV$4:$AV$80</definedName>
    <definedName name="VALLE_IN_2025">Vallecito.Inflow!$AW$4:$AW$80</definedName>
    <definedName name="VALLE_IN_2026">Vallecito.Inflow!$AX$4:$AX$80</definedName>
    <definedName name="VALLE_IN_2027">Vallecito.Inflow!$AY$4:$AY$80</definedName>
    <definedName name="VALLE_IN_2028">Vallecito.Inflow!$AZ$4:$AZ$80</definedName>
    <definedName name="VALLE_IN_2029">Vallecito.Inflow!$BA$4:$BA$80</definedName>
    <definedName name="VALLE_IN_Max">Vallecito.Inflow!$B$4:$B$80</definedName>
    <definedName name="VALLE_IN_Min">Vallecito.Inflow!$C$4:$C$80</definedName>
    <definedName name="VALLE_IN_Most">Vallecito.Inflow!$D$4:$D$80</definedName>
    <definedName name="VALLE_IN_TIME">Vallecito.Inflow!$A$4:$A$80</definedName>
    <definedName name="YRITO_IN_1991">YampaRiverInflow.TotalOutflow!$E$4:$E$80</definedName>
    <definedName name="YRITO_IN_1992">YampaRiverInflow.TotalOutflow!$F$4:$F$80</definedName>
    <definedName name="YRITO_IN_1993">YampaRiverInflow.TotalOutflow!$G$4:$G$80</definedName>
    <definedName name="YRITO_IN_1994">YampaRiverInflow.TotalOutflow!$H$4:$H$80</definedName>
    <definedName name="YRITO_IN_1995">YampaRiverInflow.TotalOutflow!$I$4:$I$80</definedName>
    <definedName name="YRITO_IN_1996">YampaRiverInflow.TotalOutflow!$J$4:$J$80</definedName>
    <definedName name="YRITO_IN_1997">YampaRiverInflow.TotalOutflow!$K$4:$K$80</definedName>
    <definedName name="YRITO_IN_1998">YampaRiverInflow.TotalOutflow!$L$4:$L$80</definedName>
    <definedName name="YRITO_IN_1999">YampaRiverInflow.TotalOutflow!$M$4:$M$80</definedName>
    <definedName name="YRITO_IN_2000">YampaRiverInflow.TotalOutflow!$N$4:$N$80</definedName>
    <definedName name="YRITO_IN_2001">YampaRiverInflow.TotalOutflow!$O$4:$O$80</definedName>
    <definedName name="YRITO_IN_2002">YampaRiverInflow.TotalOutflow!$P$4:$P$80</definedName>
    <definedName name="YRITO_IN_2003">YampaRiverInflow.TotalOutflow!$Q$4:$Q$80</definedName>
    <definedName name="YRITO_IN_2004">YampaRiverInflow.TotalOutflow!$R$4:$R$80</definedName>
    <definedName name="YRITO_IN_2005">YampaRiverInflow.TotalOutflow!$S$4:$S$80</definedName>
    <definedName name="YRITO_IN_2006">YampaRiverInflow.TotalOutflow!$T$4:$T$80</definedName>
    <definedName name="YRITO_IN_2007">YampaRiverInflow.TotalOutflow!$U$4:$U$80</definedName>
    <definedName name="YRITO_IN_2008">YampaRiverInflow.TotalOutflow!$V$4:$V$80</definedName>
    <definedName name="YRITO_IN_2009">YampaRiverInflow.TotalOutflow!$W$4:$W$80</definedName>
    <definedName name="YRITO_IN_2010">YampaRiverInflow.TotalOutflow!$X$4:$X$80</definedName>
    <definedName name="YRITO_IN_2011">YampaRiverInflow.TotalOutflow!$Y$4:$Y$80</definedName>
    <definedName name="YRITO_IN_2012">YampaRiverInflow.TotalOutflow!$Z$4:$Z$80</definedName>
    <definedName name="YRITO_IN_2013">YampaRiverInflow.TotalOutflow!$AA$4:$AA$80</definedName>
    <definedName name="YRITO_IN_2014">YampaRiverInflow.TotalOutflow!$AB$4:$AB$80</definedName>
    <definedName name="YRITO_IN_2015">YampaRiverInflow.TotalOutflow!$AC$4:$AC$80</definedName>
    <definedName name="YRITO_IN_2016">YampaRiverInflow.TotalOutflow!$AD$4:$AD$80</definedName>
    <definedName name="YRITO_IN_2017">YampaRiverInflow.TotalOutflow!$AE$4:$AE$80</definedName>
    <definedName name="YRITO_IN_2018">YampaRiverInflow.TotalOutflow!$AF$4:$AF$80</definedName>
    <definedName name="YRITO_IN_2019">YampaRiverInflow.TotalOutflow!$AG$4:$AG$80</definedName>
    <definedName name="YRITO_IN_2020">YampaRiverInflow.TotalOutflow!$AH$4:$AH$80</definedName>
    <definedName name="YRITO_IN_2021">YampaRiverInflow.TotalOutflow!$AS$4:$AS$80</definedName>
    <definedName name="YRITO_IN_2022">YampaRiverInflow.TotalOutflow!$AT$4:$AT$80</definedName>
    <definedName name="YRITO_IN_2023">YampaRiverInflow.TotalOutflow!$AU$4:$AU$80</definedName>
    <definedName name="YRITO_IN_2024">YampaRiverInflow.TotalOutflow!$AV$4:$AV$80</definedName>
    <definedName name="YRITO_IN_2025">YampaRiverInflow.TotalOutflow!$AW$4:$AW$80</definedName>
    <definedName name="YRITO_IN_2026">YampaRiverInflow.TotalOutflow!$AX$4:$AX$80</definedName>
    <definedName name="YRITO_IN_2027">YampaRiverInflow.TotalOutflow!$AY$4:$AY$80</definedName>
    <definedName name="YRITO_IN_2028">YampaRiverInflow.TotalOutflow!$AZ$4:$AZ$80</definedName>
    <definedName name="YRITO_IN_2029">YampaRiverInflow.TotalOutflow!$BA$4:$BA$80</definedName>
    <definedName name="YRITO_IN_Max" localSheetId="10">AnimasRiverTotalOutflow!$B$4:$B$80</definedName>
    <definedName name="YRITO_IN_Max">YampaRiverInflow.TotalOutflow!$B$4:$B$80</definedName>
    <definedName name="YRITO_IN_Min" localSheetId="10">AnimasRiverTotalOutflow!$C$4:$C$80</definedName>
    <definedName name="YRITO_IN_Min">YampaRiverInflow.TotalOutflow!$C$4:$C$80</definedName>
    <definedName name="YRITO_IN_Most" localSheetId="10">AnimasRiverTotalOutflow!$D$4:$D$80</definedName>
    <definedName name="YRITO_IN_Most">YampaRiverInflow.TotalOutflow!$D$4:$D$80</definedName>
    <definedName name="YRITO_IN_TIME">YampaRiverInflow.TotalOutflow!$A$4:$A$80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2" l="1"/>
  <c r="A5" i="22" s="1"/>
  <c r="A6" i="22" s="1"/>
  <c r="A7" i="22" s="1"/>
  <c r="A8" i="22" s="1"/>
  <c r="A9" i="22" s="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5" i="21"/>
  <c r="A4" i="21"/>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5" i="20"/>
  <c r="A4" i="20"/>
  <c r="A3" i="20"/>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A3" i="18"/>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5" i="17"/>
  <c r="A4" i="17"/>
  <c r="A3" i="17"/>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Shane</author>
  </authors>
  <commentList>
    <comment ref="B4" authorId="0" shapeId="0" xr:uid="{004DD24B-91AC-4C6A-9701-F0D15BD14A05}">
      <text>
        <r>
          <rPr>
            <b/>
            <sz val="8"/>
            <color indexed="81"/>
            <rFont val="Tahoma"/>
            <family val="2"/>
          </rPr>
          <t>Shane:</t>
        </r>
        <r>
          <rPr>
            <sz val="8"/>
            <color indexed="81"/>
            <rFont val="Tahoma"/>
            <family val="2"/>
          </rPr>
          <t xml:space="preserve">
The Min, Max and Most for the YampaRiverInflow. TotalOutflow are hard coded into the sheet. The update forecasts button on the Update Data form does not delete these columns as it does in the other sheets.  This is because there is no HDB output for the min, max and most values for the Yampa River Inflow as of 6/28/2012.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Shane</author>
  </authors>
  <commentList>
    <comment ref="B4" authorId="0" shapeId="0" xr:uid="{6C14949E-C950-4F8E-B822-3FA1A1E80FF9}">
      <text>
        <r>
          <rPr>
            <b/>
            <sz val="8"/>
            <color indexed="81"/>
            <rFont val="Tahoma"/>
            <family val="2"/>
          </rPr>
          <t>Shane:</t>
        </r>
        <r>
          <rPr>
            <sz val="8"/>
            <color indexed="81"/>
            <rFont val="Tahoma"/>
            <family val="2"/>
          </rPr>
          <t xml:space="preserve">
The Min, Max and Most for the AnimasRiverInflow. TotalOutflow are hard coded into the sheet. The update forecasts button on the Update Data form does not delete these columns as it does in the other sheets.  This is because there is no HDB output for the min, max and most values for the Animas River Inflow as of 10/4/2012.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N, where the assumed HDB Animas River Inflow Total Outflow min max and most code to invoke the queries, needs to be turned back on
In the HDBDatatoSheets Sub, the for loop iterations need to go from up to 13. 
This should make the Animas Inflow sheet work similarly to the other sheets in this workbook.
TP 10/4/20122 tony@precisionwre.com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Shane</author>
  </authors>
  <commentList>
    <comment ref="B4" authorId="0" shapeId="0" xr:uid="{4EC66689-A834-4548-BC86-2825565AB5C9}">
      <text>
        <r>
          <rPr>
            <b/>
            <sz val="8"/>
            <color indexed="81"/>
            <rFont val="Tahoma"/>
            <family val="2"/>
          </rPr>
          <t>Shane:</t>
        </r>
        <r>
          <rPr>
            <sz val="8"/>
            <color indexed="81"/>
            <rFont val="Tahoma"/>
            <family val="2"/>
          </rPr>
          <t xml:space="preserve">
The Min, Max and Most for the AnimasRiverInflow. TotalOutflow are hard coded into the sheet. The update forecasts button on the Update Data form does not delete these columns as it does in the other sheets.  This is because there is no HDB output for the min, max and most values for the Animas River Inflow as of 10/4/2012.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N, where the assumed HDB Animas River Inflow Total Outflow min max and most code to invoke the queries, needs to be turned back on
In the HDBDatatoSheets Sub, the for loop iterations need to go from up to 13. 
This should make the Animas Inflow sheet work similarly to the other sheets in this workbook.
TP 10/4/20122 tony@precisionwre.com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4" authorId="0" shapeId="0" xr:uid="{F88A2A68-058E-4E26-BF80-EBCF2C8CD3C5}">
      <text>
        <r>
          <rPr>
            <b/>
            <sz val="9"/>
            <color indexed="81"/>
            <rFont val="Tahoma"/>
            <family val="2"/>
          </rPr>
          <t>Tony:</t>
        </r>
        <r>
          <rPr>
            <sz val="9"/>
            <color indexed="81"/>
            <rFont val="Tahoma"/>
            <family val="2"/>
          </rPr>
          <t xml:space="preserve">
The Min, Max and Most for the PowellToMead.Total Local Inflow. Inflow are hard coded into the sheet. The update forecasts button on the Update Data form does not delete these columns as it does in the other sheets.  This is because there is no HDB output for the min, max and most values for the Powell To Mead Local Inflows as of 9/13/2012.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4" authorId="0" shapeId="0" xr:uid="{8155A607-5D3C-4405-8F88-B0EDFEE0D839}">
      <text>
        <r>
          <rPr>
            <b/>
            <sz val="9"/>
            <color indexed="81"/>
            <rFont val="Tahoma"/>
            <family val="2"/>
          </rPr>
          <t>Tony:</t>
        </r>
        <r>
          <rPr>
            <sz val="9"/>
            <color indexed="81"/>
            <rFont val="Tahoma"/>
            <family val="2"/>
          </rPr>
          <t xml:space="preserve">
The Min, Max and Most for the PowellToMead.Total Local Inflow. Inflow are hard coded into the sheet. The update forecasts button on the Update Data form does not delete these columns as it does in the other sheets.  This is because there is no HDB output for the min, max and most values for the Powell To Mead Local Inflows as of 9/13/2012.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4" authorId="0" shapeId="0" xr:uid="{90D1D288-E926-4B82-97A5-B225BBC92813}">
      <text>
        <r>
          <rPr>
            <b/>
            <sz val="9"/>
            <color indexed="81"/>
            <rFont val="Tahoma"/>
            <family val="2"/>
          </rPr>
          <t>Tony:</t>
        </r>
        <r>
          <rPr>
            <sz val="9"/>
            <color indexed="81"/>
            <rFont val="Tahoma"/>
            <family val="2"/>
          </rPr>
          <t xml:space="preserve">
The Min, Max and Most for the PowellToMead.Total Local Inflow. Inflow are hard coded into the sheet. The update forecasts button on the Update Data form does not delete these columns as it does in the other sheets.  This is because there is no HDB output for the min, max and most values for the Powell To Mead Local Inflows as of 9/13/2012.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4" authorId="0" shapeId="0" xr:uid="{1B94B7E0-BEDF-4F90-A8D2-15943134D467}">
      <text>
        <r>
          <rPr>
            <b/>
            <sz val="9"/>
            <color indexed="81"/>
            <rFont val="Tahoma"/>
            <family val="2"/>
          </rPr>
          <t>Tony:</t>
        </r>
        <r>
          <rPr>
            <sz val="9"/>
            <color indexed="81"/>
            <rFont val="Tahoma"/>
            <family val="2"/>
          </rPr>
          <t xml:space="preserve">
The Min, Max and Most for the PowellToMead.Total Local Inflow. Inflow are hard coded into the sheet. The update forecasts button on the Update Data form does not delete these columns as it does in the other sheets.  This is because there is no HDB output for the min, max and most values for the Powell To Mead Local Inflows as of 9/13/2012.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4" authorId="0" shapeId="0" xr:uid="{C050A2B1-EC6B-4D43-AD56-785B85821248}">
      <text>
        <r>
          <rPr>
            <b/>
            <sz val="9"/>
            <color indexed="81"/>
            <rFont val="Tahoma"/>
            <family val="2"/>
          </rPr>
          <t>Tony:</t>
        </r>
        <r>
          <rPr>
            <sz val="9"/>
            <color indexed="81"/>
            <rFont val="Tahoma"/>
            <family val="2"/>
          </rPr>
          <t xml:space="preserve">
The Min, Max and Most for the PowellToMead.Total Local Inflow. Inflow are hard coded into the sheet. The update forecasts button on the Update Data form does not delete these columns as it does in the other sheets.  This is because there is no HDB output for the min, max and most values for the Powell To Mead Local Inflows as of 9/13/2012.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4" authorId="0" shapeId="0" xr:uid="{D2AE173A-84ED-4947-9795-C15AE7D110F9}">
      <text>
        <r>
          <rPr>
            <b/>
            <sz val="9"/>
            <color indexed="81"/>
            <rFont val="Tahoma"/>
            <family val="2"/>
          </rPr>
          <t>Tony:</t>
        </r>
        <r>
          <rPr>
            <sz val="9"/>
            <color indexed="81"/>
            <rFont val="Tahoma"/>
            <family val="2"/>
          </rPr>
          <t xml:space="preserve">
The Min, Max and Most for the PowellToMead.Total Local Inflow. Inflow are hard coded into the sheet. The update forecasts button on the Update Data form does not delete these columns as it does in the other sheets.  This is because there is no HDB output for the min, max and most values for the Powell To Mead Local Inflows as of 9/13/2012.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4" authorId="0" shapeId="0" xr:uid="{7D68D0D1-B240-4CBC-83BF-119992A85D46}">
      <text>
        <r>
          <rPr>
            <b/>
            <sz val="9"/>
            <color indexed="81"/>
            <rFont val="Tahoma"/>
            <family val="2"/>
          </rPr>
          <t>Tony:</t>
        </r>
        <r>
          <rPr>
            <sz val="9"/>
            <color indexed="81"/>
            <rFont val="Tahoma"/>
            <family val="2"/>
          </rPr>
          <t xml:space="preserve">
The Min, Max and Most for the PowellToMead.Total Local Inflow. Inflow are hard coded into the sheet. The update forecasts button on the Update Data form does not delete these columns as it does in the other sheets.  This is because there is no HDB output for the min, max and most values for the Powell To Mead Local Inflows as of 9/13/2012.  Once these deterministic forecasts exist in HDB , the following steps need to be taken to get them into the sheet.:
Within the QueryColoradoDataSheetb Sub, the If statement that allows for the columns b,c, and d to not be deleted needs to be altered to allow for a total sheet clear when the macro is run.  
On the HDBQueries Sheet, columns and queries need to be added so that the data will be entered into that sheet in the appropriate place.  
In the HDBQueryTab, the commented out queries for column K, where the assumed HDB Yampa River Inflow Total Outflow min max and most code to invoke the queries, needs to be turned back on
In the HDBDatatoSheets Sub, the for loop iterations need to go from 9 to 10. 
This should make the Yampa Inflow sheet work similarly to the other sheets in this workbook.
TP 6.28/2012 tony@precisionwre.com</t>
        </r>
      </text>
    </comment>
  </commentList>
</comments>
</file>

<file path=xl/sharedStrings.xml><?xml version="1.0" encoding="utf-8"?>
<sst xmlns="http://schemas.openxmlformats.org/spreadsheetml/2006/main" count="789" uniqueCount="69">
  <si>
    <t>Max</t>
  </si>
  <si>
    <t>Min</t>
  </si>
  <si>
    <t>Most</t>
  </si>
  <si>
    <t>Trace1</t>
  </si>
  <si>
    <t>Trace2</t>
  </si>
  <si>
    <t>Trace3</t>
  </si>
  <si>
    <t>Trace4</t>
  </si>
  <si>
    <t>Trace5</t>
  </si>
  <si>
    <t>Trace6</t>
  </si>
  <si>
    <t>Trace7</t>
  </si>
  <si>
    <t>Trace8</t>
  </si>
  <si>
    <t>Trace9</t>
  </si>
  <si>
    <t>Trace10</t>
  </si>
  <si>
    <t>Trace11</t>
  </si>
  <si>
    <t>Trace12</t>
  </si>
  <si>
    <t>Trace13</t>
  </si>
  <si>
    <t>Trace14</t>
  </si>
  <si>
    <t>Trace15</t>
  </si>
  <si>
    <t>Trace16</t>
  </si>
  <si>
    <t>Trace17</t>
  </si>
  <si>
    <t>Trace18</t>
  </si>
  <si>
    <t>Trace19</t>
  </si>
  <si>
    <t>Trace20</t>
  </si>
  <si>
    <t>Trace21</t>
  </si>
  <si>
    <t>Trace22</t>
  </si>
  <si>
    <t>Trace23</t>
  </si>
  <si>
    <t>Trace24</t>
  </si>
  <si>
    <t>Trace25</t>
  </si>
  <si>
    <t>Trace26</t>
  </si>
  <si>
    <t>Trace27</t>
  </si>
  <si>
    <t>Trace28</t>
  </si>
  <si>
    <t>Trace29</t>
  </si>
  <si>
    <t>Trace30</t>
  </si>
  <si>
    <t>Trace31</t>
  </si>
  <si>
    <t>Trace32</t>
  </si>
  <si>
    <t>Trace33</t>
  </si>
  <si>
    <t>MPOIN_IN_</t>
  </si>
  <si>
    <t>Gains Crystal to Grand Junction</t>
  </si>
  <si>
    <t>ImpToMex_In</t>
  </si>
  <si>
    <t>HvrToDvs_In</t>
  </si>
  <si>
    <t>PkrToImp_In</t>
  </si>
  <si>
    <t>DvsToPkr_In</t>
  </si>
  <si>
    <t>Determination of Deterministic or Ensemble run for lower basin demads.  These values should never change</t>
  </si>
  <si>
    <t>Trace34</t>
  </si>
  <si>
    <t>Trace35</t>
  </si>
  <si>
    <t>Trace36</t>
  </si>
  <si>
    <t>Trace37</t>
  </si>
  <si>
    <t>Trace38</t>
  </si>
  <si>
    <t>Trace39</t>
  </si>
  <si>
    <t>Trace40</t>
  </si>
  <si>
    <t>Trace41</t>
  </si>
  <si>
    <t>Trace42</t>
  </si>
  <si>
    <t>Trace43</t>
  </si>
  <si>
    <t>Trace44</t>
  </si>
  <si>
    <t>Trace45</t>
  </si>
  <si>
    <t>Trace46</t>
  </si>
  <si>
    <t>Trace47</t>
  </si>
  <si>
    <t>Trace48</t>
  </si>
  <si>
    <t>Trace49</t>
  </si>
  <si>
    <t>Trace50</t>
  </si>
  <si>
    <t>Trace51</t>
  </si>
  <si>
    <t>Trace52</t>
  </si>
  <si>
    <t>Trace53</t>
  </si>
  <si>
    <t>Trace54</t>
  </si>
  <si>
    <t>Trace55</t>
  </si>
  <si>
    <t>Trace56</t>
  </si>
  <si>
    <t>Trace57</t>
  </si>
  <si>
    <t>Trace58</t>
  </si>
  <si>
    <t>Make Sure correct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</si>
</sst>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8"/>
      <color indexed="81"/>
      <name val="Tahoma"/>
      <family val="2"/>
    </font>
    <font>
      <sz val="8"/>
      <color indexed="81"/>
      <name val="Tahoma"/>
      <family val="2"/>
    </font>
    <font>
      <b/>
      <sz val="9"/>
      <color indexed="81"/>
      <name val="Tahoma"/>
      <family val="2"/>
    </font>
    <font>
      <sz val="9"/>
      <color indexed="81"/>
      <name val="Tahoma"/>
      <family val="2"/>
    </font>
  </fonts>
  <fills count="19">
    <fill>
      <patternFill patternType="none"/>
    </fill>
    <fill>
      <patternFill patternType="gray125"/>
    </fill>
    <fill>
      <patternFill patternType="solid">
        <fgColor theme="8"/>
        <bgColor indexed="64"/>
      </patternFill>
    </fill>
    <fill>
      <patternFill patternType="solid">
        <fgColor rgb="FFD9D9D9"/>
        <bgColor indexed="64"/>
      </patternFill>
    </fill>
    <fill>
      <patternFill patternType="solid">
        <fgColor rgb="FFFFFFB3"/>
        <bgColor indexed="64"/>
      </patternFill>
    </fill>
    <fill>
      <patternFill patternType="solid">
        <fgColor rgb="FFBEBADA"/>
        <bgColor indexed="64"/>
      </patternFill>
    </fill>
    <fill>
      <patternFill patternType="solid">
        <fgColor rgb="FFFB8072"/>
        <bgColor indexed="64"/>
      </patternFill>
    </fill>
    <fill>
      <patternFill patternType="solid">
        <fgColor rgb="FF80B1D3"/>
        <bgColor indexed="64"/>
      </patternFill>
    </fill>
    <fill>
      <patternFill patternType="solid">
        <fgColor rgb="FFFCCDE5"/>
        <bgColor indexed="64"/>
      </patternFill>
    </fill>
    <fill>
      <patternFill patternType="solid">
        <fgColor rgb="FFBC80BD"/>
        <bgColor indexed="64"/>
      </patternFill>
    </fill>
    <fill>
      <patternFill patternType="solid">
        <fgColor rgb="FFCCEBC5"/>
        <bgColor indexed="64"/>
      </patternFill>
    </fill>
    <fill>
      <patternFill patternType="solid">
        <fgColor rgb="FFFABF8F"/>
        <bgColor indexed="64"/>
      </patternFill>
    </fill>
    <fill>
      <patternFill patternType="solid">
        <fgColor rgb="FF76933C"/>
        <bgColor indexed="64"/>
      </patternFill>
    </fill>
    <fill>
      <patternFill patternType="solid">
        <fgColor theme="0" tint="-0.14999847407452621"/>
        <bgColor indexed="64"/>
      </patternFill>
    </fill>
    <fill>
      <patternFill patternType="solid">
        <fgColor rgb="FFE66CD5"/>
        <bgColor indexed="64"/>
      </patternFill>
    </fill>
    <fill>
      <patternFill patternType="solid">
        <fgColor theme="8" tint="0.39997558519241921"/>
        <bgColor indexed="64"/>
      </patternFill>
    </fill>
    <fill>
      <patternFill patternType="solid">
        <fgColor rgb="FFFF0000"/>
        <bgColor indexed="64"/>
      </patternFill>
    </fill>
    <fill>
      <patternFill patternType="solid">
        <fgColor rgb="FFFDE9D9"/>
        <bgColor indexed="64"/>
      </patternFill>
    </fill>
    <fill>
      <patternFill patternType="solid">
        <fgColor theme="5" tint="0.59999389629810485"/>
        <bgColor indexed="64"/>
      </patternFill>
    </fill>
  </fills>
  <borders count="12">
    <border>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46">
    <xf numFmtId="0" fontId="0" fillId="0" borderId="0" xfId="0"/>
    <xf numFmtId="164" fontId="2" fillId="2" borderId="1" xfId="0" applyNumberFormat="1" applyFont="1" applyFill="1" applyBorder="1" applyAlignment="1">
      <alignment horizontal="center"/>
    </xf>
    <xf numFmtId="0" fontId="2" fillId="2" borderId="0" xfId="0" applyFont="1" applyFill="1" applyAlignment="1">
      <alignment horizontal="center"/>
    </xf>
    <xf numFmtId="0" fontId="2" fillId="0" borderId="0" xfId="0" applyFont="1" applyAlignment="1">
      <alignment horizontal="center"/>
    </xf>
    <xf numFmtId="0" fontId="0" fillId="0" borderId="0" xfId="0" applyAlignment="1">
      <alignment horizontal="center"/>
    </xf>
    <xf numFmtId="0" fontId="2" fillId="2" borderId="0" xfId="0" applyFont="1" applyFill="1" applyAlignment="1">
      <alignment horizontal="center"/>
    </xf>
    <xf numFmtId="0" fontId="2" fillId="2" borderId="2" xfId="0" applyFont="1" applyFill="1" applyBorder="1" applyAlignment="1">
      <alignment horizontal="center"/>
    </xf>
    <xf numFmtId="164" fontId="2" fillId="2" borderId="3" xfId="0" applyNumberFormat="1" applyFont="1" applyFill="1" applyBorder="1" applyAlignment="1">
      <alignment horizontal="center"/>
    </xf>
    <xf numFmtId="0" fontId="0" fillId="3" borderId="0" xfId="0" applyFill="1"/>
    <xf numFmtId="0" fontId="0" fillId="3" borderId="4" xfId="0" applyFill="1" applyBorder="1"/>
    <xf numFmtId="164" fontId="2" fillId="2" borderId="5" xfId="0" applyNumberFormat="1" applyFont="1" applyFill="1" applyBorder="1" applyAlignment="1">
      <alignment horizontal="center"/>
    </xf>
    <xf numFmtId="0" fontId="0" fillId="3" borderId="1" xfId="0" applyFill="1" applyBorder="1"/>
    <xf numFmtId="2" fontId="0" fillId="3" borderId="0" xfId="0" applyNumberFormat="1" applyFill="1" applyAlignment="1">
      <alignment horizontal="center"/>
    </xf>
    <xf numFmtId="0" fontId="0" fillId="3" borderId="0" xfId="0" applyFill="1" applyAlignment="1">
      <alignment horizontal="center"/>
    </xf>
    <xf numFmtId="0" fontId="0" fillId="3" borderId="1" xfId="0" applyFill="1" applyBorder="1" applyAlignment="1">
      <alignment horizontal="center"/>
    </xf>
    <xf numFmtId="0" fontId="0" fillId="3" borderId="6" xfId="0" applyFill="1" applyBorder="1" applyAlignment="1">
      <alignment horizontal="center"/>
    </xf>
    <xf numFmtId="2" fontId="0" fillId="0" borderId="0" xfId="0" applyNumberFormat="1"/>
    <xf numFmtId="164" fontId="2" fillId="2" borderId="0" xfId="0" applyNumberFormat="1" applyFont="1" applyFill="1" applyAlignment="1">
      <alignment horizontal="center"/>
    </xf>
    <xf numFmtId="0" fontId="2" fillId="3" borderId="6" xfId="0" applyFont="1" applyFill="1" applyBorder="1" applyAlignment="1">
      <alignment horizontal="center"/>
    </xf>
    <xf numFmtId="0" fontId="2" fillId="3" borderId="0" xfId="0" applyFont="1" applyFill="1" applyAlignment="1">
      <alignment horizontal="center"/>
    </xf>
    <xf numFmtId="0" fontId="2" fillId="3" borderId="1" xfId="0" applyFont="1" applyFill="1" applyBorder="1" applyAlignment="1">
      <alignment horizontal="center"/>
    </xf>
    <xf numFmtId="164" fontId="2" fillId="0" borderId="0" xfId="0" applyNumberFormat="1" applyFont="1" applyAlignment="1">
      <alignment horizontal="center"/>
    </xf>
    <xf numFmtId="0" fontId="2" fillId="0" borderId="1" xfId="0" applyFont="1" applyBorder="1" applyAlignment="1">
      <alignment horizontal="center"/>
    </xf>
    <xf numFmtId="0" fontId="2" fillId="4" borderId="0" xfId="0" applyFont="1" applyFill="1" applyAlignment="1">
      <alignment horizontal="center"/>
    </xf>
    <xf numFmtId="0" fontId="2" fillId="0" borderId="0" xfId="0" applyFont="1" applyAlignment="1">
      <alignment horizontal="center"/>
    </xf>
    <xf numFmtId="0" fontId="2" fillId="4" borderId="0" xfId="0" applyFont="1" applyFill="1" applyAlignment="1">
      <alignment horizontal="center"/>
    </xf>
    <xf numFmtId="0" fontId="2" fillId="4" borderId="0" xfId="0" applyFont="1" applyFill="1" applyAlignment="1">
      <alignment horizontal="right"/>
    </xf>
    <xf numFmtId="0" fontId="2" fillId="0" borderId="7" xfId="0" applyFont="1" applyBorder="1" applyAlignment="1">
      <alignment horizontal="center"/>
    </xf>
    <xf numFmtId="0" fontId="2" fillId="4" borderId="2" xfId="0" applyFont="1" applyFill="1" applyBorder="1" applyAlignment="1">
      <alignment horizontal="center"/>
    </xf>
    <xf numFmtId="17" fontId="2" fillId="0" borderId="1" xfId="0" applyNumberFormat="1" applyFont="1" applyBorder="1" applyAlignment="1">
      <alignment horizontal="center"/>
    </xf>
    <xf numFmtId="0" fontId="0" fillId="3" borderId="8" xfId="0" applyFill="1" applyBorder="1"/>
    <xf numFmtId="0" fontId="0" fillId="3" borderId="9" xfId="0" applyFill="1" applyBorder="1"/>
    <xf numFmtId="0" fontId="0" fillId="0" borderId="0" xfId="0" applyAlignment="1">
      <alignment horizontal="right"/>
    </xf>
    <xf numFmtId="0" fontId="0" fillId="3" borderId="6" xfId="0" applyFill="1" applyBorder="1"/>
    <xf numFmtId="2" fontId="0" fillId="3" borderId="6" xfId="0" applyNumberFormat="1" applyFill="1" applyBorder="1" applyAlignment="1">
      <alignment horizontal="center"/>
    </xf>
    <xf numFmtId="17" fontId="2" fillId="0" borderId="0" xfId="0" applyNumberFormat="1" applyFont="1" applyAlignment="1">
      <alignment horizontal="center"/>
    </xf>
    <xf numFmtId="0" fontId="2" fillId="5" borderId="1" xfId="0" applyFont="1" applyFill="1" applyBorder="1" applyAlignment="1">
      <alignment horizontal="center"/>
    </xf>
    <xf numFmtId="0" fontId="2" fillId="5" borderId="0" xfId="0" applyFont="1" applyFill="1" applyAlignment="1">
      <alignment horizontal="center"/>
    </xf>
    <xf numFmtId="0" fontId="2" fillId="5" borderId="0" xfId="0" applyFont="1" applyFill="1" applyAlignment="1">
      <alignment horizontal="center"/>
    </xf>
    <xf numFmtId="0" fontId="2" fillId="5" borderId="7" xfId="0" applyFont="1" applyFill="1" applyBorder="1" applyAlignment="1">
      <alignment horizontal="center"/>
    </xf>
    <xf numFmtId="0" fontId="2" fillId="5" borderId="2" xfId="0" applyFont="1" applyFill="1" applyBorder="1" applyAlignment="1">
      <alignment horizontal="center"/>
    </xf>
    <xf numFmtId="17" fontId="2" fillId="5" borderId="1" xfId="0" applyNumberFormat="1" applyFont="1" applyFill="1" applyBorder="1" applyAlignment="1">
      <alignment horizontal="center"/>
    </xf>
    <xf numFmtId="2" fontId="0" fillId="3" borderId="4" xfId="0" applyNumberFormat="1" applyFill="1" applyBorder="1"/>
    <xf numFmtId="2" fontId="0" fillId="0" borderId="0" xfId="0" applyNumberFormat="1" applyAlignment="1">
      <alignment horizontal="right"/>
    </xf>
    <xf numFmtId="2" fontId="0" fillId="3" borderId="1" xfId="0" applyNumberFormat="1" applyFill="1" applyBorder="1"/>
    <xf numFmtId="2" fontId="0" fillId="3" borderId="1" xfId="0" applyNumberFormat="1" applyFill="1" applyBorder="1" applyAlignment="1">
      <alignment horizontal="center"/>
    </xf>
    <xf numFmtId="2" fontId="0" fillId="0" borderId="0" xfId="0" applyNumberFormat="1" applyAlignment="1">
      <alignment horizontal="center"/>
    </xf>
    <xf numFmtId="0" fontId="2" fillId="6" borderId="1" xfId="0" applyFont="1" applyFill="1" applyBorder="1" applyAlignment="1">
      <alignment horizontal="center"/>
    </xf>
    <xf numFmtId="0" fontId="2" fillId="6" borderId="0" xfId="0" applyFont="1" applyFill="1" applyAlignment="1">
      <alignment horizontal="center"/>
    </xf>
    <xf numFmtId="0" fontId="2" fillId="6" borderId="0" xfId="0" applyFont="1" applyFill="1" applyAlignment="1">
      <alignment horizontal="center"/>
    </xf>
    <xf numFmtId="0" fontId="2" fillId="6" borderId="0" xfId="0" applyFont="1" applyFill="1" applyAlignment="1">
      <alignment horizontal="right"/>
    </xf>
    <xf numFmtId="0" fontId="2" fillId="6" borderId="7" xfId="0" applyFont="1" applyFill="1" applyBorder="1" applyAlignment="1">
      <alignment horizontal="center"/>
    </xf>
    <xf numFmtId="0" fontId="2" fillId="6" borderId="2" xfId="0" applyFont="1" applyFill="1" applyBorder="1" applyAlignment="1">
      <alignment horizontal="center"/>
    </xf>
    <xf numFmtId="17" fontId="2" fillId="6" borderId="1" xfId="0" applyNumberFormat="1" applyFont="1" applyFill="1" applyBorder="1" applyAlignment="1">
      <alignment horizontal="center"/>
    </xf>
    <xf numFmtId="0" fontId="2" fillId="7" borderId="1" xfId="0" applyFont="1" applyFill="1" applyBorder="1" applyAlignment="1">
      <alignment horizontal="center"/>
    </xf>
    <xf numFmtId="0" fontId="2" fillId="7" borderId="0" xfId="0" applyFont="1" applyFill="1" applyAlignment="1">
      <alignment horizontal="center"/>
    </xf>
    <xf numFmtId="0" fontId="2" fillId="7" borderId="0" xfId="0" applyFont="1" applyFill="1" applyAlignment="1">
      <alignment horizontal="center"/>
    </xf>
    <xf numFmtId="0" fontId="2" fillId="7" borderId="0" xfId="0" applyFont="1" applyFill="1" applyAlignment="1">
      <alignment horizontal="right"/>
    </xf>
    <xf numFmtId="0" fontId="2" fillId="7" borderId="7" xfId="0" applyFont="1" applyFill="1" applyBorder="1" applyAlignment="1">
      <alignment horizontal="center"/>
    </xf>
    <xf numFmtId="0" fontId="2" fillId="7" borderId="2" xfId="0" applyFont="1" applyFill="1" applyBorder="1" applyAlignment="1">
      <alignment horizontal="center"/>
    </xf>
    <xf numFmtId="17" fontId="2" fillId="7" borderId="1" xfId="0" applyNumberFormat="1" applyFont="1" applyFill="1" applyBorder="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2" fillId="8" borderId="0" xfId="0" applyFont="1" applyFill="1" applyAlignment="1">
      <alignment horizontal="center"/>
    </xf>
    <xf numFmtId="0" fontId="2" fillId="8" borderId="7" xfId="0" applyFont="1" applyFill="1" applyBorder="1" applyAlignment="1">
      <alignment horizontal="center"/>
    </xf>
    <xf numFmtId="0" fontId="2" fillId="8" borderId="2" xfId="0" applyFont="1" applyFill="1" applyBorder="1" applyAlignment="1">
      <alignment horizontal="center"/>
    </xf>
    <xf numFmtId="17" fontId="2" fillId="8" borderId="1" xfId="0" applyNumberFormat="1" applyFont="1" applyFill="1" applyBorder="1" applyAlignment="1">
      <alignment horizontal="center"/>
    </xf>
    <xf numFmtId="2" fontId="3" fillId="3" borderId="6" xfId="0" applyNumberFormat="1" applyFont="1" applyFill="1" applyBorder="1" applyAlignment="1">
      <alignment horizontal="center"/>
    </xf>
    <xf numFmtId="2" fontId="3" fillId="3" borderId="0" xfId="0" applyNumberFormat="1" applyFont="1" applyFill="1" applyAlignment="1">
      <alignment horizontal="center"/>
    </xf>
    <xf numFmtId="0" fontId="2" fillId="3" borderId="0" xfId="0" applyFont="1" applyFill="1" applyAlignment="1">
      <alignment horizontal="center"/>
    </xf>
    <xf numFmtId="0" fontId="2" fillId="3" borderId="0" xfId="0" applyFont="1" applyFill="1"/>
    <xf numFmtId="0" fontId="2" fillId="3" borderId="7" xfId="0" applyFont="1" applyFill="1" applyBorder="1" applyAlignment="1">
      <alignment horizontal="center"/>
    </xf>
    <xf numFmtId="0" fontId="2" fillId="3" borderId="2" xfId="0" applyFont="1" applyFill="1" applyBorder="1" applyAlignment="1">
      <alignment horizontal="center"/>
    </xf>
    <xf numFmtId="17" fontId="2" fillId="3" borderId="1" xfId="0" applyNumberFormat="1" applyFont="1" applyFill="1" applyBorder="1" applyAlignment="1">
      <alignment horizontal="center"/>
    </xf>
    <xf numFmtId="0" fontId="2" fillId="9" borderId="1" xfId="0" applyFont="1" applyFill="1" applyBorder="1" applyAlignment="1">
      <alignment horizontal="center"/>
    </xf>
    <xf numFmtId="0" fontId="2" fillId="9" borderId="0" xfId="0" applyFont="1" applyFill="1" applyAlignment="1">
      <alignment horizontal="center"/>
    </xf>
    <xf numFmtId="0" fontId="2" fillId="9" borderId="0" xfId="0" applyFont="1" applyFill="1" applyAlignment="1">
      <alignment horizontal="center"/>
    </xf>
    <xf numFmtId="0" fontId="2" fillId="9" borderId="0" xfId="0" applyFont="1" applyFill="1"/>
    <xf numFmtId="0" fontId="2" fillId="9" borderId="7" xfId="0" applyFont="1" applyFill="1" applyBorder="1" applyAlignment="1">
      <alignment horizontal="center"/>
    </xf>
    <xf numFmtId="0" fontId="2" fillId="9" borderId="2" xfId="0" applyFont="1" applyFill="1" applyBorder="1" applyAlignment="1">
      <alignment horizontal="center"/>
    </xf>
    <xf numFmtId="17" fontId="2" fillId="9" borderId="1" xfId="0" applyNumberFormat="1" applyFont="1" applyFill="1" applyBorder="1" applyAlignment="1">
      <alignment horizontal="center"/>
    </xf>
    <xf numFmtId="2" fontId="0" fillId="3" borderId="8" xfId="0" applyNumberFormat="1" applyFill="1" applyBorder="1" applyAlignment="1">
      <alignment horizontal="center"/>
    </xf>
    <xf numFmtId="2" fontId="0" fillId="3" borderId="9" xfId="0" applyNumberFormat="1" applyFill="1" applyBorder="1" applyAlignment="1">
      <alignment horizontal="center"/>
    </xf>
    <xf numFmtId="0" fontId="2" fillId="10" borderId="1" xfId="0" applyFont="1" applyFill="1" applyBorder="1" applyAlignment="1">
      <alignment horizontal="center"/>
    </xf>
    <xf numFmtId="0" fontId="2" fillId="10" borderId="0" xfId="0" applyFont="1" applyFill="1" applyAlignment="1">
      <alignment horizontal="center"/>
    </xf>
    <xf numFmtId="0" fontId="2" fillId="10" borderId="0" xfId="0" applyFont="1" applyFill="1" applyAlignment="1">
      <alignment horizontal="center"/>
    </xf>
    <xf numFmtId="0" fontId="2" fillId="10" borderId="7" xfId="0" applyFont="1" applyFill="1" applyBorder="1" applyAlignment="1">
      <alignment horizontal="center"/>
    </xf>
    <xf numFmtId="0" fontId="2" fillId="10" borderId="2" xfId="0" applyFont="1" applyFill="1" applyBorder="1" applyAlignment="1">
      <alignment horizontal="center"/>
    </xf>
    <xf numFmtId="17" fontId="2" fillId="10" borderId="0" xfId="0" applyNumberFormat="1" applyFont="1" applyFill="1" applyAlignment="1">
      <alignment horizontal="center"/>
    </xf>
    <xf numFmtId="0" fontId="2" fillId="11" borderId="3" xfId="0" applyFont="1" applyFill="1" applyBorder="1" applyAlignment="1">
      <alignment horizontal="center"/>
    </xf>
    <xf numFmtId="0" fontId="2" fillId="11" borderId="8" xfId="0" applyFont="1" applyFill="1" applyBorder="1" applyAlignment="1">
      <alignment horizontal="center"/>
    </xf>
    <xf numFmtId="0" fontId="2" fillId="11" borderId="9" xfId="0" applyFont="1" applyFill="1" applyBorder="1" applyAlignment="1">
      <alignment horizontal="center"/>
    </xf>
    <xf numFmtId="0" fontId="2" fillId="11" borderId="5" xfId="0" applyFont="1" applyFill="1" applyBorder="1" applyAlignment="1">
      <alignment horizontal="center"/>
    </xf>
    <xf numFmtId="0" fontId="2" fillId="11" borderId="6" xfId="0" applyFont="1" applyFill="1" applyBorder="1" applyAlignment="1">
      <alignment horizontal="center"/>
    </xf>
    <xf numFmtId="0" fontId="2" fillId="11" borderId="0" xfId="0" applyFont="1" applyFill="1" applyAlignment="1">
      <alignment horizontal="center"/>
    </xf>
    <xf numFmtId="0" fontId="2" fillId="11" borderId="10" xfId="0" applyFont="1" applyFill="1" applyBorder="1" applyAlignment="1">
      <alignment horizontal="center"/>
    </xf>
    <xf numFmtId="0" fontId="2" fillId="11" borderId="11" xfId="0" applyFont="1" applyFill="1" applyBorder="1" applyAlignment="1">
      <alignment horizontal="center"/>
    </xf>
    <xf numFmtId="0" fontId="2" fillId="11" borderId="2" xfId="0" applyFont="1" applyFill="1" applyBorder="1" applyAlignment="1">
      <alignment horizontal="center"/>
    </xf>
    <xf numFmtId="17" fontId="2" fillId="11" borderId="5" xfId="0" applyNumberFormat="1" applyFont="1" applyFill="1" applyBorder="1" applyAlignment="1">
      <alignment horizontal="center"/>
    </xf>
    <xf numFmtId="17" fontId="2" fillId="11" borderId="1" xfId="0" applyNumberFormat="1" applyFont="1" applyFill="1" applyBorder="1" applyAlignment="1">
      <alignment horizontal="center"/>
    </xf>
    <xf numFmtId="0" fontId="2" fillId="12" borderId="1" xfId="0" applyFont="1" applyFill="1" applyBorder="1" applyAlignment="1">
      <alignment horizontal="center"/>
    </xf>
    <xf numFmtId="0" fontId="2" fillId="12" borderId="0" xfId="0" applyFont="1" applyFill="1" applyAlignment="1">
      <alignment horizontal="center"/>
    </xf>
    <xf numFmtId="0" fontId="2" fillId="12" borderId="0" xfId="0" applyFont="1" applyFill="1" applyAlignment="1">
      <alignment horizontal="center"/>
    </xf>
    <xf numFmtId="0" fontId="2" fillId="12" borderId="7" xfId="0" applyFont="1" applyFill="1" applyBorder="1" applyAlignment="1">
      <alignment horizontal="center"/>
    </xf>
    <xf numFmtId="0" fontId="2" fillId="12" borderId="2" xfId="0" applyFont="1" applyFill="1" applyBorder="1" applyAlignment="1">
      <alignment horizontal="center"/>
    </xf>
    <xf numFmtId="17" fontId="2" fillId="12" borderId="1" xfId="0" applyNumberFormat="1" applyFont="1" applyFill="1" applyBorder="1" applyAlignment="1">
      <alignment horizontal="center"/>
    </xf>
    <xf numFmtId="2" fontId="0" fillId="13" borderId="0" xfId="0" applyNumberFormat="1" applyFill="1"/>
    <xf numFmtId="2" fontId="0" fillId="13" borderId="1" xfId="0" applyNumberFormat="1" applyFill="1" applyBorder="1"/>
    <xf numFmtId="0" fontId="2" fillId="14" borderId="1" xfId="0" applyFont="1" applyFill="1" applyBorder="1" applyAlignment="1">
      <alignment horizontal="center"/>
    </xf>
    <xf numFmtId="0" fontId="2" fillId="14" borderId="0" xfId="0" applyFont="1" applyFill="1" applyAlignment="1">
      <alignment horizontal="center"/>
    </xf>
    <xf numFmtId="0" fontId="2" fillId="14" borderId="0" xfId="0" applyFont="1" applyFill="1" applyAlignment="1">
      <alignment horizontal="center"/>
    </xf>
    <xf numFmtId="0" fontId="2" fillId="14" borderId="7" xfId="0" applyFont="1" applyFill="1" applyBorder="1" applyAlignment="1">
      <alignment horizontal="center"/>
    </xf>
    <xf numFmtId="0" fontId="2" fillId="14" borderId="2" xfId="0" applyFont="1" applyFill="1" applyBorder="1" applyAlignment="1">
      <alignment horizontal="center"/>
    </xf>
    <xf numFmtId="17" fontId="2" fillId="14" borderId="1" xfId="0" applyNumberFormat="1" applyFont="1" applyFill="1" applyBorder="1" applyAlignment="1">
      <alignment horizontal="center"/>
    </xf>
    <xf numFmtId="2" fontId="0" fillId="3" borderId="8" xfId="0" applyNumberFormat="1" applyFill="1" applyBorder="1"/>
    <xf numFmtId="2" fontId="0" fillId="3" borderId="9" xfId="0" applyNumberFormat="1" applyFill="1" applyBorder="1"/>
    <xf numFmtId="2" fontId="0" fillId="3" borderId="6" xfId="0" applyNumberFormat="1" applyFill="1" applyBorder="1"/>
    <xf numFmtId="2" fontId="0" fillId="3" borderId="0" xfId="0" applyNumberFormat="1" applyFill="1"/>
    <xf numFmtId="0" fontId="2" fillId="15" borderId="0" xfId="0" applyFont="1" applyFill="1" applyAlignment="1">
      <alignment horizontal="center"/>
    </xf>
    <xf numFmtId="0" fontId="2" fillId="15" borderId="0" xfId="0" applyFont="1" applyFill="1" applyAlignment="1">
      <alignment horizontal="center"/>
    </xf>
    <xf numFmtId="0" fontId="2" fillId="15" borderId="0" xfId="0" applyFont="1" applyFill="1"/>
    <xf numFmtId="17" fontId="2" fillId="15" borderId="0" xfId="0" applyNumberFormat="1" applyFont="1" applyFill="1" applyAlignment="1">
      <alignment horizontal="center"/>
    </xf>
    <xf numFmtId="2" fontId="0" fillId="13" borderId="6" xfId="0" applyNumberFormat="1" applyFill="1" applyBorder="1" applyAlignment="1">
      <alignment horizontal="center"/>
    </xf>
    <xf numFmtId="2" fontId="0" fillId="13" borderId="0" xfId="0" applyNumberFormat="1" applyFill="1" applyAlignment="1">
      <alignment horizontal="center"/>
    </xf>
    <xf numFmtId="2" fontId="0" fillId="13" borderId="1" xfId="0" applyNumberFormat="1" applyFill="1" applyBorder="1" applyAlignment="1">
      <alignment horizontal="center"/>
    </xf>
    <xf numFmtId="17" fontId="2" fillId="15" borderId="1" xfId="0" applyNumberFormat="1" applyFont="1" applyFill="1" applyBorder="1" applyAlignment="1">
      <alignment horizontal="center"/>
    </xf>
    <xf numFmtId="0" fontId="2" fillId="15" borderId="1" xfId="0" applyFont="1" applyFill="1" applyBorder="1" applyAlignment="1">
      <alignment horizontal="center"/>
    </xf>
    <xf numFmtId="0" fontId="2" fillId="15" borderId="7" xfId="0" applyFont="1" applyFill="1" applyBorder="1" applyAlignment="1">
      <alignment horizontal="center"/>
    </xf>
    <xf numFmtId="0" fontId="2" fillId="15" borderId="2" xfId="0" applyFont="1" applyFill="1" applyBorder="1" applyAlignment="1">
      <alignment horizontal="center"/>
    </xf>
    <xf numFmtId="2" fontId="0" fillId="3" borderId="4" xfId="0" applyNumberFormat="1" applyFill="1" applyBorder="1" applyAlignment="1">
      <alignment horizontal="center"/>
    </xf>
    <xf numFmtId="0" fontId="2" fillId="16" borderId="1" xfId="0" applyFont="1" applyFill="1" applyBorder="1" applyAlignment="1">
      <alignment horizontal="center"/>
    </xf>
    <xf numFmtId="0" fontId="2" fillId="16" borderId="0" xfId="0" applyFont="1" applyFill="1" applyAlignment="1">
      <alignment horizontal="center"/>
    </xf>
    <xf numFmtId="0" fontId="2" fillId="16" borderId="0" xfId="0" applyFont="1" applyFill="1" applyAlignment="1">
      <alignment horizontal="center"/>
    </xf>
    <xf numFmtId="0" fontId="2" fillId="16" borderId="0" xfId="0" applyFont="1" applyFill="1"/>
    <xf numFmtId="0" fontId="2" fillId="16" borderId="7" xfId="0" applyFont="1" applyFill="1" applyBorder="1" applyAlignment="1">
      <alignment horizontal="center"/>
    </xf>
    <xf numFmtId="0" fontId="2" fillId="16" borderId="2" xfId="0" applyFont="1" applyFill="1" applyBorder="1" applyAlignment="1">
      <alignment horizontal="center"/>
    </xf>
    <xf numFmtId="17" fontId="2" fillId="16" borderId="1" xfId="0" applyNumberFormat="1" applyFont="1" applyFill="1" applyBorder="1" applyAlignment="1">
      <alignment horizontal="center"/>
    </xf>
    <xf numFmtId="17" fontId="2" fillId="16" borderId="0" xfId="0" applyNumberFormat="1" applyFont="1" applyFill="1" applyAlignment="1">
      <alignment horizontal="center"/>
    </xf>
    <xf numFmtId="0" fontId="2" fillId="17" borderId="1" xfId="0" applyFont="1" applyFill="1" applyBorder="1" applyAlignment="1">
      <alignment horizontal="center"/>
    </xf>
    <xf numFmtId="0" fontId="2" fillId="17" borderId="0" xfId="0" applyFont="1" applyFill="1" applyAlignment="1">
      <alignment horizontal="center"/>
    </xf>
    <xf numFmtId="0" fontId="2" fillId="17" borderId="0" xfId="0" applyFont="1" applyFill="1" applyAlignment="1">
      <alignment horizontal="center"/>
    </xf>
    <xf numFmtId="0" fontId="2" fillId="17" borderId="7" xfId="0" applyFont="1" applyFill="1" applyBorder="1" applyAlignment="1">
      <alignment horizontal="center"/>
    </xf>
    <xf numFmtId="0" fontId="2" fillId="17" borderId="2" xfId="0" applyFont="1" applyFill="1" applyBorder="1" applyAlignment="1">
      <alignment horizontal="center"/>
    </xf>
    <xf numFmtId="17" fontId="2" fillId="17" borderId="1" xfId="0" applyNumberFormat="1" applyFont="1" applyFill="1" applyBorder="1" applyAlignment="1">
      <alignment horizontal="center"/>
    </xf>
    <xf numFmtId="0" fontId="1" fillId="0" borderId="0" xfId="0" applyFont="1"/>
    <xf numFmtId="17" fontId="2" fillId="18" borderId="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Temp\05_May\Inflow%20Forecasts\CBRFC_EnsembleForecast.xlsm" TargetMode="External"/><Relationship Id="rId1" Type="http://schemas.openxmlformats.org/officeDocument/2006/relationships/externalLinkPath" Target="CBRFC_EnsembleForeca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rison"/>
      <sheetName val="BlueMesaInflow.Unregulated"/>
      <sheetName val="CrystalInflow.Unregulated"/>
      <sheetName val="Fontenelle.Inflow"/>
      <sheetName val="PowellInflow.Unregulated"/>
      <sheetName val="FlamingGorgeInflow.Unregulated"/>
      <sheetName val="MorrowPointInflow.Unregulated"/>
      <sheetName val="NavajoInflow.ModUnregulated"/>
      <sheetName val="TaylorPark.Inflow"/>
      <sheetName val="Vallecito.Inflow"/>
      <sheetName val="YampaRiverInflow.TotalOutflow"/>
      <sheetName val="AnimasRiverTotalOutflow"/>
      <sheetName val="GainsCrystalToGJ"/>
      <sheetName val="PowellToMeadGainsGrandCanyon"/>
      <sheetName val="PowellToMeadGainsAboveHoover"/>
      <sheetName val="PowellToMeadGainsAbvLeesFerry"/>
      <sheetName val="GainsImpToNIB"/>
      <sheetName val="GainsAboveDavis"/>
      <sheetName val="GainsPkrToImp"/>
      <sheetName val="GainsAboveParker"/>
      <sheetName val="RunInformation"/>
      <sheetName val="TempForecast"/>
      <sheetName val="HDBQueries"/>
      <sheetName val="DONOTCHANGE"/>
      <sheetName val="SacWYTypeDes"/>
      <sheetName val="24MSInflowForecasts"/>
      <sheetName val="AboveLeesFerryLocal"/>
      <sheetName val="PowelltoMeadGainsGC"/>
      <sheetName val="PowelltoMeadGainsAH"/>
      <sheetName val="HvrToDvs"/>
      <sheetName val="DvsToPkr"/>
      <sheetName val="PkrToImp"/>
      <sheetName val="ImpToMex"/>
      <sheetName val="AllBlwPkr"/>
      <sheetName val="Tem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B3">
            <v>1</v>
          </cell>
          <cell r="C3" t="str">
            <v>BlueMesaInflow.Unregulated</v>
          </cell>
          <cell r="D3" t="str">
            <v>BMESA_IN</v>
          </cell>
          <cell r="I3">
            <v>1</v>
          </cell>
          <cell r="K3">
            <v>2009</v>
          </cell>
        </row>
        <row r="4">
          <cell r="B4">
            <v>2</v>
          </cell>
          <cell r="C4" t="str">
            <v>CrystalInflow.Unregulated</v>
          </cell>
          <cell r="D4" t="str">
            <v>CRYST_IN</v>
          </cell>
          <cell r="I4">
            <v>2</v>
          </cell>
          <cell r="K4">
            <v>2010</v>
          </cell>
          <cell r="L4">
            <v>60</v>
          </cell>
        </row>
        <row r="5">
          <cell r="B5">
            <v>3</v>
          </cell>
          <cell r="C5" t="str">
            <v>Fontenelle.Inflow</v>
          </cell>
          <cell r="D5" t="str">
            <v>FONTE_IN</v>
          </cell>
          <cell r="I5">
            <v>3</v>
          </cell>
          <cell r="K5">
            <v>2011</v>
          </cell>
          <cell r="L5">
            <v>61</v>
          </cell>
        </row>
        <row r="6">
          <cell r="B6">
            <v>4</v>
          </cell>
          <cell r="C6" t="str">
            <v>PowellInflow.Unregulated</v>
          </cell>
          <cell r="D6" t="str">
            <v>POWEL_IN</v>
          </cell>
          <cell r="I6">
            <v>4</v>
          </cell>
          <cell r="K6">
            <v>2012</v>
          </cell>
          <cell r="L6">
            <v>62</v>
          </cell>
        </row>
        <row r="7">
          <cell r="B7">
            <v>5</v>
          </cell>
          <cell r="C7" t="str">
            <v>FlamingGorgeInflow.Unregulated</v>
          </cell>
          <cell r="D7" t="str">
            <v>FGORG_IN</v>
          </cell>
          <cell r="I7">
            <v>5</v>
          </cell>
          <cell r="K7">
            <v>2013</v>
          </cell>
          <cell r="L7">
            <v>63</v>
          </cell>
        </row>
        <row r="8">
          <cell r="B8">
            <v>6</v>
          </cell>
          <cell r="C8" t="str">
            <v>MorrowPointInflow.Unregulated</v>
          </cell>
          <cell r="D8" t="str">
            <v>MPOIN_IN</v>
          </cell>
          <cell r="I8">
            <v>6</v>
          </cell>
          <cell r="K8">
            <v>2014</v>
          </cell>
          <cell r="L8">
            <v>64</v>
          </cell>
        </row>
        <row r="9">
          <cell r="B9">
            <v>7</v>
          </cell>
          <cell r="C9" t="str">
            <v>NavajoInflow.ModUnregulated</v>
          </cell>
          <cell r="D9" t="str">
            <v>NAVAJ_IN</v>
          </cell>
          <cell r="I9">
            <v>7</v>
          </cell>
          <cell r="K9">
            <v>2015</v>
          </cell>
          <cell r="L9">
            <v>65</v>
          </cell>
        </row>
        <row r="10">
          <cell r="B10">
            <v>8</v>
          </cell>
          <cell r="C10" t="str">
            <v>TaylorPark.Inflow</v>
          </cell>
          <cell r="D10" t="str">
            <v>TPARK_IN</v>
          </cell>
          <cell r="I10">
            <v>8</v>
          </cell>
          <cell r="K10">
            <v>2016</v>
          </cell>
          <cell r="L10">
            <v>66</v>
          </cell>
        </row>
        <row r="11">
          <cell r="B11">
            <v>9</v>
          </cell>
          <cell r="C11" t="str">
            <v>Vallecito.Inflow</v>
          </cell>
          <cell r="D11" t="str">
            <v>VALLE_IN</v>
          </cell>
          <cell r="I11">
            <v>9</v>
          </cell>
          <cell r="K11">
            <v>2017</v>
          </cell>
          <cell r="L11">
            <v>67</v>
          </cell>
        </row>
        <row r="12">
          <cell r="B12">
            <v>10</v>
          </cell>
          <cell r="C12" t="str">
            <v>YampaRiverInflow.TotalOutflow</v>
          </cell>
          <cell r="D12" t="str">
            <v>YRITO_IN</v>
          </cell>
          <cell r="I12">
            <v>10</v>
          </cell>
          <cell r="K12">
            <v>2018</v>
          </cell>
          <cell r="L12">
            <v>68</v>
          </cell>
        </row>
        <row r="13">
          <cell r="B13">
            <v>11</v>
          </cell>
          <cell r="C13" t="str">
            <v>AnimasRiverTotalOutflow</v>
          </cell>
          <cell r="D13" t="str">
            <v>ARFN5_IN</v>
          </cell>
          <cell r="I13">
            <v>11</v>
          </cell>
          <cell r="K13">
            <v>2019</v>
          </cell>
          <cell r="L13">
            <v>33</v>
          </cell>
        </row>
        <row r="14">
          <cell r="B14">
            <v>12</v>
          </cell>
          <cell r="C14" t="str">
            <v>GainsCrystalToGJ</v>
          </cell>
          <cell r="D14" t="str">
            <v>NFTOF_IN</v>
          </cell>
          <cell r="I14">
            <v>12</v>
          </cell>
          <cell r="K14">
            <v>2020</v>
          </cell>
          <cell r="L14">
            <v>34</v>
          </cell>
        </row>
        <row r="15">
          <cell r="B15">
            <v>13</v>
          </cell>
          <cell r="C15" t="str">
            <v>PowellToMeadGainsGrandCanyon</v>
          </cell>
          <cell r="D15" t="str">
            <v>PTMGC_IN</v>
          </cell>
          <cell r="I15">
            <v>13</v>
          </cell>
          <cell r="K15">
            <v>2021</v>
          </cell>
          <cell r="L15">
            <v>35</v>
          </cell>
        </row>
        <row r="16">
          <cell r="B16">
            <v>14</v>
          </cell>
          <cell r="C16" t="str">
            <v>PowellToMeadGainsAboveHoover</v>
          </cell>
          <cell r="D16" t="str">
            <v>PTMGH_IN</v>
          </cell>
          <cell r="I16">
            <v>14</v>
          </cell>
          <cell r="K16">
            <v>2022</v>
          </cell>
          <cell r="L16">
            <v>36</v>
          </cell>
        </row>
        <row r="17">
          <cell r="B17">
            <v>15</v>
          </cell>
          <cell r="C17" t="str">
            <v>PowellToMeadGainsAbvLeesFerry</v>
          </cell>
          <cell r="D17" t="str">
            <v>PTMGAL_IN</v>
          </cell>
          <cell r="I17">
            <v>15</v>
          </cell>
          <cell r="K17">
            <v>2023</v>
          </cell>
          <cell r="L17">
            <v>37</v>
          </cell>
        </row>
        <row r="18">
          <cell r="B18">
            <v>16</v>
          </cell>
          <cell r="C18" t="str">
            <v>GainsImpToNib</v>
          </cell>
          <cell r="D18" t="str">
            <v>ImpToMex_In</v>
          </cell>
          <cell r="I18">
            <v>16</v>
          </cell>
          <cell r="K18">
            <v>2024</v>
          </cell>
          <cell r="L18">
            <v>38</v>
          </cell>
        </row>
        <row r="19">
          <cell r="B19">
            <v>17</v>
          </cell>
          <cell r="C19" t="str">
            <v>GainsAboveDavis</v>
          </cell>
          <cell r="D19" t="str">
            <v>HvrToDvs_In</v>
          </cell>
          <cell r="I19">
            <v>17</v>
          </cell>
          <cell r="K19">
            <v>2025</v>
          </cell>
          <cell r="L19">
            <v>39</v>
          </cell>
        </row>
        <row r="20">
          <cell r="B20">
            <v>18</v>
          </cell>
          <cell r="C20" t="str">
            <v>GainsPkrToImp</v>
          </cell>
          <cell r="D20" t="str">
            <v>PkrToImp_In</v>
          </cell>
          <cell r="I20">
            <v>18</v>
          </cell>
          <cell r="K20">
            <v>2026</v>
          </cell>
          <cell r="L20">
            <v>40</v>
          </cell>
        </row>
        <row r="21">
          <cell r="B21">
            <v>19</v>
          </cell>
          <cell r="C21" t="str">
            <v>GainsAboveParker</v>
          </cell>
          <cell r="D21" t="str">
            <v>DvsToPkr_In</v>
          </cell>
          <cell r="I21">
            <v>19</v>
          </cell>
          <cell r="K21">
            <v>2027</v>
          </cell>
          <cell r="L21">
            <v>41</v>
          </cell>
        </row>
        <row r="22">
          <cell r="I22">
            <v>20</v>
          </cell>
          <cell r="K22">
            <v>2028</v>
          </cell>
          <cell r="L22">
            <v>42</v>
          </cell>
        </row>
        <row r="23">
          <cell r="I23">
            <v>21</v>
          </cell>
          <cell r="K23">
            <v>2029</v>
          </cell>
          <cell r="L23">
            <v>43</v>
          </cell>
        </row>
        <row r="24">
          <cell r="I24">
            <v>22</v>
          </cell>
          <cell r="K24">
            <v>2030</v>
          </cell>
          <cell r="L24">
            <v>44</v>
          </cell>
        </row>
        <row r="25">
          <cell r="I25">
            <v>23</v>
          </cell>
          <cell r="L25">
            <v>45</v>
          </cell>
        </row>
        <row r="26">
          <cell r="I26">
            <v>24</v>
          </cell>
          <cell r="L26">
            <v>46</v>
          </cell>
        </row>
        <row r="27">
          <cell r="I27">
            <v>25</v>
          </cell>
          <cell r="L27">
            <v>47</v>
          </cell>
        </row>
        <row r="28">
          <cell r="I28">
            <v>26</v>
          </cell>
          <cell r="L28">
            <v>48</v>
          </cell>
        </row>
        <row r="29">
          <cell r="I29">
            <v>27</v>
          </cell>
          <cell r="L29">
            <v>49</v>
          </cell>
        </row>
        <row r="30">
          <cell r="I30">
            <v>28</v>
          </cell>
          <cell r="L30">
            <v>50</v>
          </cell>
        </row>
        <row r="31">
          <cell r="I31">
            <v>29</v>
          </cell>
          <cell r="L31">
            <v>51</v>
          </cell>
        </row>
        <row r="32">
          <cell r="I32">
            <v>30</v>
          </cell>
          <cell r="L32">
            <v>52</v>
          </cell>
        </row>
        <row r="33">
          <cell r="I33">
            <v>31</v>
          </cell>
          <cell r="L33">
            <v>53</v>
          </cell>
        </row>
        <row r="34">
          <cell r="I34">
            <v>32</v>
          </cell>
          <cell r="L34">
            <v>54</v>
          </cell>
        </row>
        <row r="35">
          <cell r="I35">
            <v>33</v>
          </cell>
          <cell r="L35">
            <v>55</v>
          </cell>
        </row>
        <row r="36">
          <cell r="I36">
            <v>34</v>
          </cell>
          <cell r="L36">
            <v>56</v>
          </cell>
        </row>
        <row r="37">
          <cell r="I37">
            <v>35</v>
          </cell>
          <cell r="L37">
            <v>57</v>
          </cell>
        </row>
        <row r="38">
          <cell r="I38">
            <v>36</v>
          </cell>
          <cell r="L38">
            <v>58</v>
          </cell>
        </row>
        <row r="39">
          <cell r="I39">
            <v>37</v>
          </cell>
          <cell r="L39">
            <v>59</v>
          </cell>
        </row>
        <row r="40">
          <cell r="I40">
            <v>38</v>
          </cell>
          <cell r="L40">
            <v>60</v>
          </cell>
        </row>
        <row r="41">
          <cell r="I41">
            <v>39</v>
          </cell>
        </row>
        <row r="42">
          <cell r="I42">
            <v>40</v>
          </cell>
        </row>
        <row r="43">
          <cell r="I43">
            <v>41</v>
          </cell>
        </row>
        <row r="44">
          <cell r="I44">
            <v>42</v>
          </cell>
        </row>
        <row r="45">
          <cell r="I45">
            <v>43</v>
          </cell>
        </row>
        <row r="46">
          <cell r="I46">
            <v>44</v>
          </cell>
        </row>
        <row r="47">
          <cell r="I47">
            <v>45</v>
          </cell>
        </row>
        <row r="48">
          <cell r="I48">
            <v>46</v>
          </cell>
        </row>
        <row r="49">
          <cell r="I49">
            <v>47</v>
          </cell>
        </row>
        <row r="50">
          <cell r="I50">
            <v>48</v>
          </cell>
        </row>
        <row r="51">
          <cell r="I51">
            <v>49</v>
          </cell>
        </row>
        <row r="52">
          <cell r="I52">
            <v>50</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EC49-355F-493C-A2F1-20455B63945D}">
  <sheetPr codeName="Sheet3">
    <tabColor rgb="FF8DD3C7"/>
  </sheetPr>
  <dimension ref="A1:ALQ84"/>
  <sheetViews>
    <sheetView tabSelected="1" topLeftCell="A48" workbookViewId="0">
      <selection activeCell="D4" sqref="D4"/>
    </sheetView>
  </sheetViews>
  <sheetFormatPr defaultColWidth="18.6328125" defaultRowHeight="12.75" customHeight="1" x14ac:dyDescent="0.35"/>
  <cols>
    <col min="1" max="1" width="7.54296875" style="21" customWidth="1"/>
    <col min="2" max="4" width="7.54296875" style="3" customWidth="1"/>
    <col min="5" max="5" width="9.36328125" style="4" customWidth="1"/>
    <col min="6" max="30" width="8" style="4" customWidth="1"/>
    <col min="31" max="31" width="8" style="4" bestFit="1" customWidth="1"/>
    <col min="32" max="32" width="8.36328125" style="4" customWidth="1"/>
    <col min="33" max="54" width="8.6328125" style="4" customWidth="1"/>
    <col min="55" max="16384" width="18.6328125" style="4"/>
  </cols>
  <sheetData>
    <row r="1" spans="1:39" ht="14.5" x14ac:dyDescent="0.35">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3"/>
      <c r="AK1" s="3"/>
      <c r="AL1" s="3"/>
      <c r="AM1" s="3"/>
    </row>
    <row r="2" spans="1:39" s="3" customFormat="1" ht="14.5" x14ac:dyDescent="0.35">
      <c r="A2" s="1"/>
      <c r="B2" s="5" t="s">
        <v>0</v>
      </c>
      <c r="C2" s="5" t="s">
        <v>1</v>
      </c>
      <c r="D2" s="5" t="s">
        <v>2</v>
      </c>
      <c r="E2" s="5">
        <v>1991</v>
      </c>
      <c r="F2" s="5">
        <v>1992</v>
      </c>
      <c r="G2" s="5">
        <v>1993</v>
      </c>
      <c r="H2" s="5">
        <v>1994</v>
      </c>
      <c r="I2" s="5">
        <v>1995</v>
      </c>
      <c r="J2" s="5">
        <v>1996</v>
      </c>
      <c r="K2" s="5">
        <v>1997</v>
      </c>
      <c r="L2" s="5">
        <v>1998</v>
      </c>
      <c r="M2" s="5">
        <v>1999</v>
      </c>
      <c r="N2" s="5">
        <v>2000</v>
      </c>
      <c r="O2" s="5">
        <v>2001</v>
      </c>
      <c r="P2" s="5">
        <v>2002</v>
      </c>
      <c r="Q2" s="5">
        <v>2003</v>
      </c>
      <c r="R2" s="5">
        <v>2004</v>
      </c>
      <c r="S2" s="5">
        <v>2005</v>
      </c>
      <c r="T2" s="5">
        <v>2006</v>
      </c>
      <c r="U2" s="5">
        <v>2007</v>
      </c>
      <c r="V2" s="5">
        <v>2008</v>
      </c>
      <c r="W2" s="5">
        <v>2009</v>
      </c>
      <c r="X2" s="5">
        <v>2010</v>
      </c>
      <c r="Y2" s="5">
        <v>2011</v>
      </c>
      <c r="Z2" s="5">
        <v>2012</v>
      </c>
      <c r="AA2" s="5">
        <v>2013</v>
      </c>
      <c r="AB2" s="5">
        <v>2014</v>
      </c>
      <c r="AC2" s="5">
        <v>2015</v>
      </c>
      <c r="AD2" s="5">
        <v>2016</v>
      </c>
      <c r="AE2" s="5">
        <v>2017</v>
      </c>
      <c r="AF2" s="5">
        <v>2018</v>
      </c>
      <c r="AG2" s="5">
        <v>2019</v>
      </c>
      <c r="AH2" s="5">
        <v>2020</v>
      </c>
    </row>
    <row r="3" spans="1:39" s="3" customFormat="1" ht="14.5" x14ac:dyDescent="0.35">
      <c r="A3" s="1"/>
      <c r="B3" s="6" t="s">
        <v>3</v>
      </c>
      <c r="C3" s="6" t="s">
        <v>4</v>
      </c>
      <c r="D3" s="6" t="s">
        <v>5</v>
      </c>
      <c r="E3" s="6" t="s">
        <v>6</v>
      </c>
      <c r="F3" s="6" t="s">
        <v>7</v>
      </c>
      <c r="G3" s="6" t="s">
        <v>8</v>
      </c>
      <c r="H3" s="6" t="s">
        <v>9</v>
      </c>
      <c r="I3" s="6" t="s">
        <v>10</v>
      </c>
      <c r="J3" s="6" t="s">
        <v>11</v>
      </c>
      <c r="K3" s="6" t="s">
        <v>12</v>
      </c>
      <c r="L3" s="6" t="s">
        <v>13</v>
      </c>
      <c r="M3" s="6" t="s">
        <v>14</v>
      </c>
      <c r="N3" s="6" t="s">
        <v>15</v>
      </c>
      <c r="O3" s="6" t="s">
        <v>16</v>
      </c>
      <c r="P3" s="6" t="s">
        <v>17</v>
      </c>
      <c r="Q3" s="6" t="s">
        <v>18</v>
      </c>
      <c r="R3" s="6" t="s">
        <v>19</v>
      </c>
      <c r="S3" s="6" t="s">
        <v>20</v>
      </c>
      <c r="T3" s="6" t="s">
        <v>21</v>
      </c>
      <c r="U3" s="6" t="s">
        <v>22</v>
      </c>
      <c r="V3" s="6" t="s">
        <v>23</v>
      </c>
      <c r="W3" s="6" t="s">
        <v>24</v>
      </c>
      <c r="X3" s="6" t="s">
        <v>25</v>
      </c>
      <c r="Y3" s="6" t="s">
        <v>26</v>
      </c>
      <c r="Z3" s="6" t="s">
        <v>27</v>
      </c>
      <c r="AA3" s="6" t="s">
        <v>28</v>
      </c>
      <c r="AB3" s="6" t="s">
        <v>29</v>
      </c>
      <c r="AC3" s="6" t="s">
        <v>30</v>
      </c>
      <c r="AD3" s="6" t="s">
        <v>31</v>
      </c>
      <c r="AE3" s="6" t="s">
        <v>32</v>
      </c>
      <c r="AF3" s="6" t="s">
        <v>33</v>
      </c>
      <c r="AG3" s="6" t="s">
        <v>34</v>
      </c>
      <c r="AH3" s="6" t="s">
        <v>35</v>
      </c>
    </row>
    <row r="4" spans="1:39" ht="14.5" x14ac:dyDescent="0.35">
      <c r="A4" s="7">
        <v>46143</v>
      </c>
      <c r="B4" s="8">
        <v>104</v>
      </c>
      <c r="C4" s="8">
        <v>34</v>
      </c>
      <c r="D4" s="9">
        <v>62</v>
      </c>
      <c r="E4">
        <v>51.192</v>
      </c>
      <c r="F4">
        <v>77.855999999999995</v>
      </c>
      <c r="G4">
        <v>69.177999999999997</v>
      </c>
      <c r="H4">
        <v>61.133000000000003</v>
      </c>
      <c r="I4">
        <v>75.284999999999997</v>
      </c>
      <c r="J4">
        <v>54.677</v>
      </c>
      <c r="K4">
        <v>60.78</v>
      </c>
      <c r="L4">
        <v>47.445</v>
      </c>
      <c r="M4">
        <v>73.932000000000002</v>
      </c>
      <c r="N4">
        <v>72.81</v>
      </c>
      <c r="O4">
        <v>80.834000000000003</v>
      </c>
      <c r="P4">
        <v>47.331000000000003</v>
      </c>
      <c r="Q4">
        <v>75.349999999999994</v>
      </c>
      <c r="R4">
        <v>59.335999999999999</v>
      </c>
      <c r="S4">
        <v>76.31</v>
      </c>
      <c r="T4">
        <v>59.152000000000001</v>
      </c>
      <c r="U4">
        <v>66.08</v>
      </c>
      <c r="V4">
        <v>62.866999999999997</v>
      </c>
      <c r="W4">
        <v>72.003</v>
      </c>
      <c r="X4">
        <v>54.454000000000001</v>
      </c>
      <c r="Y4">
        <v>52.76</v>
      </c>
      <c r="Z4">
        <v>59.722000000000001</v>
      </c>
      <c r="AA4">
        <v>66.037000000000006</v>
      </c>
      <c r="AB4">
        <v>71.436999999999998</v>
      </c>
      <c r="AC4">
        <v>59.045999999999999</v>
      </c>
      <c r="AD4">
        <v>64.128</v>
      </c>
      <c r="AE4">
        <v>57.323999999999998</v>
      </c>
      <c r="AF4">
        <v>63.662999999999997</v>
      </c>
      <c r="AG4">
        <v>43.948</v>
      </c>
      <c r="AH4">
        <v>61.051000000000002</v>
      </c>
    </row>
    <row r="5" spans="1:39" ht="14.5" x14ac:dyDescent="0.35">
      <c r="A5" s="10">
        <v>46174</v>
      </c>
      <c r="B5" s="8">
        <v>79</v>
      </c>
      <c r="C5" s="8">
        <v>26</v>
      </c>
      <c r="D5" s="11">
        <v>47</v>
      </c>
      <c r="E5">
        <v>50.45</v>
      </c>
      <c r="F5">
        <v>66.42</v>
      </c>
      <c r="G5">
        <v>54.639000000000003</v>
      </c>
      <c r="H5">
        <v>35.686</v>
      </c>
      <c r="I5">
        <v>151.10900000000001</v>
      </c>
      <c r="J5">
        <v>26.466000000000001</v>
      </c>
      <c r="K5">
        <v>70.771000000000001</v>
      </c>
      <c r="L5">
        <v>32.896999999999998</v>
      </c>
      <c r="M5">
        <v>71.572000000000003</v>
      </c>
      <c r="N5">
        <v>37.372999999999998</v>
      </c>
      <c r="O5">
        <v>44.917999999999999</v>
      </c>
      <c r="P5">
        <v>26.251000000000001</v>
      </c>
      <c r="Q5">
        <v>53.883000000000003</v>
      </c>
      <c r="R5">
        <v>29.074999999999999</v>
      </c>
      <c r="S5">
        <v>42.026000000000003</v>
      </c>
      <c r="T5">
        <v>29.795999999999999</v>
      </c>
      <c r="U5">
        <v>41.42</v>
      </c>
      <c r="V5">
        <v>58.682000000000002</v>
      </c>
      <c r="W5">
        <v>41.613999999999997</v>
      </c>
      <c r="X5">
        <v>49.082000000000001</v>
      </c>
      <c r="Y5">
        <v>66.009</v>
      </c>
      <c r="Z5">
        <v>24.196000000000002</v>
      </c>
      <c r="AA5">
        <v>43.96</v>
      </c>
      <c r="AB5">
        <v>55.972000000000001</v>
      </c>
      <c r="AC5">
        <v>139.57400000000001</v>
      </c>
      <c r="AD5">
        <v>57.19</v>
      </c>
      <c r="AE5">
        <v>55.588000000000001</v>
      </c>
      <c r="AF5">
        <v>26.236000000000001</v>
      </c>
      <c r="AG5">
        <v>87.424999999999997</v>
      </c>
      <c r="AH5">
        <v>36.457000000000001</v>
      </c>
    </row>
    <row r="6" spans="1:39" ht="14.5" x14ac:dyDescent="0.35">
      <c r="A6" s="10">
        <v>46204</v>
      </c>
      <c r="B6" s="8">
        <v>40</v>
      </c>
      <c r="C6" s="8">
        <v>13</v>
      </c>
      <c r="D6" s="11">
        <v>24</v>
      </c>
      <c r="E6">
        <v>27.402000000000001</v>
      </c>
      <c r="F6">
        <v>35.701999999999998</v>
      </c>
      <c r="G6">
        <v>26.172999999999998</v>
      </c>
      <c r="H6">
        <v>19.780999999999999</v>
      </c>
      <c r="I6">
        <v>81.968000000000004</v>
      </c>
      <c r="J6">
        <v>17.774999999999999</v>
      </c>
      <c r="K6">
        <v>31.260999999999999</v>
      </c>
      <c r="L6">
        <v>19.138000000000002</v>
      </c>
      <c r="M6">
        <v>37.417999999999999</v>
      </c>
      <c r="N6">
        <v>21.805</v>
      </c>
      <c r="O6">
        <v>23.629000000000001</v>
      </c>
      <c r="P6">
        <v>17.896000000000001</v>
      </c>
      <c r="Q6">
        <v>22.884</v>
      </c>
      <c r="R6">
        <v>19.504000000000001</v>
      </c>
      <c r="S6">
        <v>22.675999999999998</v>
      </c>
      <c r="T6">
        <v>22.780999999999999</v>
      </c>
      <c r="U6">
        <v>24.370999999999999</v>
      </c>
      <c r="V6">
        <v>26.923999999999999</v>
      </c>
      <c r="W6">
        <v>23.375</v>
      </c>
      <c r="X6">
        <v>23.303000000000001</v>
      </c>
      <c r="Y6">
        <v>29.335999999999999</v>
      </c>
      <c r="Z6">
        <v>17.88</v>
      </c>
      <c r="AA6">
        <v>26.975000000000001</v>
      </c>
      <c r="AB6">
        <v>25.861999999999998</v>
      </c>
      <c r="AC6">
        <v>56.892000000000003</v>
      </c>
      <c r="AD6">
        <v>27.265000000000001</v>
      </c>
      <c r="AE6">
        <v>28.509</v>
      </c>
      <c r="AF6">
        <v>17.861999999999998</v>
      </c>
      <c r="AG6">
        <v>37.121000000000002</v>
      </c>
      <c r="AH6">
        <v>21.423999999999999</v>
      </c>
    </row>
    <row r="7" spans="1:39" ht="14.5" x14ac:dyDescent="0.35">
      <c r="A7" s="10">
        <v>46235</v>
      </c>
      <c r="B7" s="8">
        <v>38</v>
      </c>
      <c r="C7" s="8">
        <v>22</v>
      </c>
      <c r="D7" s="11">
        <v>27</v>
      </c>
      <c r="E7">
        <v>25.885999999999999</v>
      </c>
      <c r="F7">
        <v>39.061</v>
      </c>
      <c r="G7">
        <v>24.007000000000001</v>
      </c>
      <c r="H7">
        <v>21.291</v>
      </c>
      <c r="I7">
        <v>39.664000000000001</v>
      </c>
      <c r="J7">
        <v>18.172000000000001</v>
      </c>
      <c r="K7">
        <v>30.454999999999998</v>
      </c>
      <c r="L7">
        <v>20.805</v>
      </c>
      <c r="M7">
        <v>33.920999999999999</v>
      </c>
      <c r="N7">
        <v>27.492999999999999</v>
      </c>
      <c r="O7">
        <v>31.832000000000001</v>
      </c>
      <c r="P7">
        <v>18.956</v>
      </c>
      <c r="Q7">
        <v>26.161000000000001</v>
      </c>
      <c r="R7">
        <v>21.033999999999999</v>
      </c>
      <c r="S7">
        <v>26.895</v>
      </c>
      <c r="T7">
        <v>27.795000000000002</v>
      </c>
      <c r="U7">
        <v>27.815000000000001</v>
      </c>
      <c r="V7">
        <v>25.754000000000001</v>
      </c>
      <c r="W7">
        <v>22.254000000000001</v>
      </c>
      <c r="X7">
        <v>27.542999999999999</v>
      </c>
      <c r="Y7">
        <v>23.826000000000001</v>
      </c>
      <c r="Z7">
        <v>20.968</v>
      </c>
      <c r="AA7">
        <v>28.638999999999999</v>
      </c>
      <c r="AB7">
        <v>27.105</v>
      </c>
      <c r="AC7">
        <v>34.466999999999999</v>
      </c>
      <c r="AD7">
        <v>27.998999999999999</v>
      </c>
      <c r="AE7">
        <v>27.263000000000002</v>
      </c>
      <c r="AF7">
        <v>18.747</v>
      </c>
      <c r="AG7">
        <v>28.231999999999999</v>
      </c>
      <c r="AH7">
        <v>21.172999999999998</v>
      </c>
    </row>
    <row r="8" spans="1:39" ht="14.5" x14ac:dyDescent="0.35">
      <c r="A8" s="10">
        <v>46266</v>
      </c>
      <c r="B8" s="8">
        <v>31</v>
      </c>
      <c r="C8" s="8">
        <v>23</v>
      </c>
      <c r="D8" s="11">
        <v>21</v>
      </c>
      <c r="E8">
        <v>19.346</v>
      </c>
      <c r="F8">
        <v>30.728999999999999</v>
      </c>
      <c r="G8">
        <v>22.603000000000002</v>
      </c>
      <c r="H8">
        <v>20.425999999999998</v>
      </c>
      <c r="I8">
        <v>29.754999999999999</v>
      </c>
      <c r="J8">
        <v>17.152000000000001</v>
      </c>
      <c r="K8">
        <v>26.158000000000001</v>
      </c>
      <c r="L8">
        <v>16.721</v>
      </c>
      <c r="M8">
        <v>24.622</v>
      </c>
      <c r="N8">
        <v>22.114000000000001</v>
      </c>
      <c r="O8">
        <v>20.506</v>
      </c>
      <c r="P8">
        <v>18.917000000000002</v>
      </c>
      <c r="Q8">
        <v>42.954000000000001</v>
      </c>
      <c r="R8">
        <v>21.448</v>
      </c>
      <c r="S8">
        <v>20.905999999999999</v>
      </c>
      <c r="T8">
        <v>23.135999999999999</v>
      </c>
      <c r="U8">
        <v>28.212</v>
      </c>
      <c r="V8">
        <v>19.346</v>
      </c>
      <c r="W8">
        <v>18.306000000000001</v>
      </c>
      <c r="X8">
        <v>18.347999999999999</v>
      </c>
      <c r="Y8">
        <v>18.481999999999999</v>
      </c>
      <c r="Z8">
        <v>18.439</v>
      </c>
      <c r="AA8">
        <v>44.154000000000003</v>
      </c>
      <c r="AB8">
        <v>31.734999999999999</v>
      </c>
      <c r="AC8">
        <v>27.773</v>
      </c>
      <c r="AD8">
        <v>21.094000000000001</v>
      </c>
      <c r="AE8">
        <v>19.221</v>
      </c>
      <c r="AF8">
        <v>16.163</v>
      </c>
      <c r="AG8">
        <v>19.497</v>
      </c>
      <c r="AH8">
        <v>24.018000000000001</v>
      </c>
    </row>
    <row r="9" spans="1:39" ht="14.5" x14ac:dyDescent="0.35">
      <c r="A9" s="10">
        <v>46296</v>
      </c>
      <c r="B9" s="8">
        <v>40</v>
      </c>
      <c r="C9" s="8">
        <v>32</v>
      </c>
      <c r="D9" s="11">
        <v>26</v>
      </c>
      <c r="E9">
        <v>18.268000000000001</v>
      </c>
      <c r="F9">
        <v>23.062000000000001</v>
      </c>
      <c r="G9">
        <v>23.581</v>
      </c>
      <c r="H9">
        <v>26.361999999999998</v>
      </c>
      <c r="I9">
        <v>33.985999999999997</v>
      </c>
      <c r="J9">
        <v>24.809000000000001</v>
      </c>
      <c r="K9">
        <v>30.558</v>
      </c>
      <c r="L9">
        <v>25.722000000000001</v>
      </c>
      <c r="M9">
        <v>22.706</v>
      </c>
      <c r="N9">
        <v>20.762</v>
      </c>
      <c r="O9">
        <v>20.684999999999999</v>
      </c>
      <c r="P9">
        <v>26.544</v>
      </c>
      <c r="Q9">
        <v>26.399000000000001</v>
      </c>
      <c r="R9">
        <v>21.878</v>
      </c>
      <c r="S9">
        <v>32.898000000000003</v>
      </c>
      <c r="T9">
        <v>41.79</v>
      </c>
      <c r="U9">
        <v>29.446000000000002</v>
      </c>
      <c r="V9">
        <v>20.616</v>
      </c>
      <c r="W9">
        <v>22.001999999999999</v>
      </c>
      <c r="X9">
        <v>20.542999999999999</v>
      </c>
      <c r="Y9">
        <v>21.437999999999999</v>
      </c>
      <c r="Z9">
        <v>18.143000000000001</v>
      </c>
      <c r="AA9">
        <v>41.094999999999999</v>
      </c>
      <c r="AB9">
        <v>39.08</v>
      </c>
      <c r="AC9">
        <v>24.696000000000002</v>
      </c>
      <c r="AD9">
        <v>20.010999999999999</v>
      </c>
      <c r="AE9">
        <v>22.734000000000002</v>
      </c>
      <c r="AF9">
        <v>18.675999999999998</v>
      </c>
      <c r="AG9">
        <v>19.841000000000001</v>
      </c>
      <c r="AH9">
        <v>24.713999999999999</v>
      </c>
    </row>
    <row r="10" spans="1:39" ht="14.5" x14ac:dyDescent="0.35">
      <c r="A10" s="10">
        <v>46327</v>
      </c>
      <c r="B10" s="8">
        <v>31</v>
      </c>
      <c r="C10" s="8">
        <v>29</v>
      </c>
      <c r="D10" s="11">
        <v>27</v>
      </c>
      <c r="E10">
        <v>17.829000000000001</v>
      </c>
      <c r="F10">
        <v>19.149000000000001</v>
      </c>
      <c r="G10">
        <v>19.562999999999999</v>
      </c>
      <c r="H10">
        <v>20.908999999999999</v>
      </c>
      <c r="I10">
        <v>25.684999999999999</v>
      </c>
      <c r="J10">
        <v>22.094999999999999</v>
      </c>
      <c r="K10">
        <v>23.414999999999999</v>
      </c>
      <c r="L10">
        <v>22.363</v>
      </c>
      <c r="M10">
        <v>18.699000000000002</v>
      </c>
      <c r="N10">
        <v>17.786000000000001</v>
      </c>
      <c r="O10">
        <v>21.286000000000001</v>
      </c>
      <c r="P10">
        <v>17.643000000000001</v>
      </c>
      <c r="Q10">
        <v>19.297999999999998</v>
      </c>
      <c r="R10">
        <v>19.846</v>
      </c>
      <c r="S10">
        <v>26.295000000000002</v>
      </c>
      <c r="T10">
        <v>30.547000000000001</v>
      </c>
      <c r="U10">
        <v>24.99</v>
      </c>
      <c r="V10">
        <v>17.876000000000001</v>
      </c>
      <c r="W10">
        <v>20.396999999999998</v>
      </c>
      <c r="X10">
        <v>21.454999999999998</v>
      </c>
      <c r="Y10">
        <v>18.126999999999999</v>
      </c>
      <c r="Z10">
        <v>15.089</v>
      </c>
      <c r="AA10">
        <v>26.431000000000001</v>
      </c>
      <c r="AB10">
        <v>24.408000000000001</v>
      </c>
      <c r="AC10">
        <v>22.757999999999999</v>
      </c>
      <c r="AD10">
        <v>16.785</v>
      </c>
      <c r="AE10">
        <v>19.283000000000001</v>
      </c>
      <c r="AF10">
        <v>17.562000000000001</v>
      </c>
      <c r="AG10">
        <v>17.675999999999998</v>
      </c>
      <c r="AH10">
        <v>27.303999999999998</v>
      </c>
    </row>
    <row r="11" spans="1:39" ht="14.5" x14ac:dyDescent="0.35">
      <c r="A11" s="10">
        <v>46357</v>
      </c>
      <c r="B11" s="8">
        <v>26</v>
      </c>
      <c r="C11" s="8">
        <v>25</v>
      </c>
      <c r="D11" s="11">
        <v>26</v>
      </c>
      <c r="E11">
        <v>16.344999999999999</v>
      </c>
      <c r="F11">
        <v>17.245000000000001</v>
      </c>
      <c r="G11">
        <v>15.99</v>
      </c>
      <c r="H11">
        <v>16.683</v>
      </c>
      <c r="I11">
        <v>24.12</v>
      </c>
      <c r="J11">
        <v>17.75</v>
      </c>
      <c r="K11">
        <v>18.567</v>
      </c>
      <c r="L11">
        <v>20.620999999999999</v>
      </c>
      <c r="M11">
        <v>16.414999999999999</v>
      </c>
      <c r="N11">
        <v>15.646000000000001</v>
      </c>
      <c r="O11">
        <v>16.855</v>
      </c>
      <c r="P11">
        <v>15.25</v>
      </c>
      <c r="Q11">
        <v>17.446999999999999</v>
      </c>
      <c r="R11">
        <v>16.07</v>
      </c>
      <c r="S11">
        <v>18.91</v>
      </c>
      <c r="T11">
        <v>20.817</v>
      </c>
      <c r="U11">
        <v>17.867999999999999</v>
      </c>
      <c r="V11">
        <v>15.654</v>
      </c>
      <c r="W11">
        <v>16.280999999999999</v>
      </c>
      <c r="X11">
        <v>18</v>
      </c>
      <c r="Y11">
        <v>15.712</v>
      </c>
      <c r="Z11">
        <v>13.555</v>
      </c>
      <c r="AA11">
        <v>20.062999999999999</v>
      </c>
      <c r="AB11">
        <v>19.55</v>
      </c>
      <c r="AC11">
        <v>19.93</v>
      </c>
      <c r="AD11">
        <v>15.621</v>
      </c>
      <c r="AE11">
        <v>18.376999999999999</v>
      </c>
      <c r="AF11">
        <v>14.06</v>
      </c>
      <c r="AG11">
        <v>16.465</v>
      </c>
      <c r="AH11">
        <v>21.283000000000001</v>
      </c>
    </row>
    <row r="12" spans="1:39" ht="14.5" x14ac:dyDescent="0.35">
      <c r="A12" s="10">
        <v>46388</v>
      </c>
      <c r="B12" s="8">
        <v>25</v>
      </c>
      <c r="C12" s="8">
        <v>24</v>
      </c>
      <c r="D12" s="11">
        <v>25</v>
      </c>
      <c r="E12">
        <v>14.77</v>
      </c>
      <c r="F12">
        <v>16.29</v>
      </c>
      <c r="G12">
        <v>14.755000000000001</v>
      </c>
      <c r="H12">
        <v>15.279</v>
      </c>
      <c r="I12">
        <v>20.494</v>
      </c>
      <c r="J12">
        <v>14.991</v>
      </c>
      <c r="K12">
        <v>16.818999999999999</v>
      </c>
      <c r="L12">
        <v>17.852</v>
      </c>
      <c r="M12">
        <v>17.091000000000001</v>
      </c>
      <c r="N12">
        <v>14.696999999999999</v>
      </c>
      <c r="O12">
        <v>14.718</v>
      </c>
      <c r="P12">
        <v>14.664</v>
      </c>
      <c r="Q12">
        <v>15.84</v>
      </c>
      <c r="R12">
        <v>15.847</v>
      </c>
      <c r="S12">
        <v>16.375</v>
      </c>
      <c r="T12">
        <v>17.760999999999999</v>
      </c>
      <c r="U12">
        <v>14.885</v>
      </c>
      <c r="V12">
        <v>14.497999999999999</v>
      </c>
      <c r="W12">
        <v>14.597</v>
      </c>
      <c r="X12">
        <v>16.73</v>
      </c>
      <c r="Y12">
        <v>15.359</v>
      </c>
      <c r="Z12">
        <v>12.641999999999999</v>
      </c>
      <c r="AA12">
        <v>17.626999999999999</v>
      </c>
      <c r="AB12">
        <v>17.280999999999999</v>
      </c>
      <c r="AC12">
        <v>18.553999999999998</v>
      </c>
      <c r="AD12">
        <v>14.548999999999999</v>
      </c>
      <c r="AE12">
        <v>15.853999999999999</v>
      </c>
      <c r="AF12">
        <v>13.025</v>
      </c>
      <c r="AG12">
        <v>15.249000000000001</v>
      </c>
      <c r="AH12">
        <v>16.963999999999999</v>
      </c>
    </row>
    <row r="13" spans="1:39" ht="14.5" x14ac:dyDescent="0.35">
      <c r="A13" s="10">
        <v>46419</v>
      </c>
      <c r="B13" s="8">
        <v>23</v>
      </c>
      <c r="C13" s="8">
        <v>23</v>
      </c>
      <c r="D13" s="11">
        <v>23</v>
      </c>
      <c r="E13">
        <v>14.095000000000001</v>
      </c>
      <c r="F13">
        <v>15.163</v>
      </c>
      <c r="G13">
        <v>12.615</v>
      </c>
      <c r="H13">
        <v>18.125</v>
      </c>
      <c r="I13">
        <v>20.914999999999999</v>
      </c>
      <c r="J13">
        <v>12.394</v>
      </c>
      <c r="K13">
        <v>14.994999999999999</v>
      </c>
      <c r="L13">
        <v>17.788</v>
      </c>
      <c r="M13">
        <v>18.094999999999999</v>
      </c>
      <c r="N13">
        <v>14.586</v>
      </c>
      <c r="O13">
        <v>12.574999999999999</v>
      </c>
      <c r="P13">
        <v>17.055</v>
      </c>
      <c r="Q13">
        <v>13.74</v>
      </c>
      <c r="R13">
        <v>14.419</v>
      </c>
      <c r="S13">
        <v>13.468</v>
      </c>
      <c r="T13">
        <v>17.015999999999998</v>
      </c>
      <c r="U13">
        <v>12.167999999999999</v>
      </c>
      <c r="V13">
        <v>13.145</v>
      </c>
      <c r="W13">
        <v>12.201000000000001</v>
      </c>
      <c r="X13">
        <v>14.114000000000001</v>
      </c>
      <c r="Y13">
        <v>13.042999999999999</v>
      </c>
      <c r="Z13">
        <v>11.15</v>
      </c>
      <c r="AA13">
        <v>17.565000000000001</v>
      </c>
      <c r="AB13">
        <v>21.823</v>
      </c>
      <c r="AC13">
        <v>17.390999999999998</v>
      </c>
      <c r="AD13">
        <v>19.670999999999999</v>
      </c>
      <c r="AE13">
        <v>17.978000000000002</v>
      </c>
      <c r="AF13">
        <v>11.268000000000001</v>
      </c>
      <c r="AG13">
        <v>13.753</v>
      </c>
      <c r="AH13">
        <v>16.452000000000002</v>
      </c>
    </row>
    <row r="14" spans="1:39" ht="14.5" x14ac:dyDescent="0.35">
      <c r="A14" s="10">
        <v>46447</v>
      </c>
      <c r="B14" s="8">
        <v>41</v>
      </c>
      <c r="C14" s="8">
        <v>35</v>
      </c>
      <c r="D14" s="11">
        <v>38</v>
      </c>
      <c r="E14">
        <v>25.361999999999998</v>
      </c>
      <c r="F14">
        <v>28.652999999999999</v>
      </c>
      <c r="G14">
        <v>28.231000000000002</v>
      </c>
      <c r="H14">
        <v>38.134999999999998</v>
      </c>
      <c r="I14">
        <v>30.218</v>
      </c>
      <c r="J14">
        <v>30.765000000000001</v>
      </c>
      <c r="K14">
        <v>29.186</v>
      </c>
      <c r="L14">
        <v>27.042000000000002</v>
      </c>
      <c r="M14">
        <v>23.202999999999999</v>
      </c>
      <c r="N14">
        <v>23.920999999999999</v>
      </c>
      <c r="O14">
        <v>16.945</v>
      </c>
      <c r="P14">
        <v>27.172000000000001</v>
      </c>
      <c r="Q14">
        <v>40.265999999999998</v>
      </c>
      <c r="R14">
        <v>19.875</v>
      </c>
      <c r="S14">
        <v>21.545999999999999</v>
      </c>
      <c r="T14">
        <v>42.686</v>
      </c>
      <c r="U14">
        <v>13.208</v>
      </c>
      <c r="V14">
        <v>29.268999999999998</v>
      </c>
      <c r="W14">
        <v>15.506</v>
      </c>
      <c r="X14">
        <v>25.521000000000001</v>
      </c>
      <c r="Y14">
        <v>27.085999999999999</v>
      </c>
      <c r="Z14">
        <v>18.052</v>
      </c>
      <c r="AA14">
        <v>23.981000000000002</v>
      </c>
      <c r="AB14">
        <v>38.911999999999999</v>
      </c>
      <c r="AC14">
        <v>31.701000000000001</v>
      </c>
      <c r="AD14">
        <v>49.555</v>
      </c>
      <c r="AE14">
        <v>19.844000000000001</v>
      </c>
      <c r="AF14">
        <v>16.361000000000001</v>
      </c>
      <c r="AG14">
        <v>24.709</v>
      </c>
      <c r="AH14">
        <v>22.651</v>
      </c>
    </row>
    <row r="15" spans="1:39" ht="14.5" x14ac:dyDescent="0.35">
      <c r="A15" s="10">
        <v>46478</v>
      </c>
      <c r="B15" s="8">
        <v>93</v>
      </c>
      <c r="C15" s="8">
        <v>64</v>
      </c>
      <c r="D15" s="11">
        <v>78</v>
      </c>
      <c r="E15">
        <v>59.122</v>
      </c>
      <c r="F15">
        <v>62.347999999999999</v>
      </c>
      <c r="G15">
        <v>53.540999999999997</v>
      </c>
      <c r="H15">
        <v>47.57</v>
      </c>
      <c r="I15">
        <v>75.933999999999997</v>
      </c>
      <c r="J15">
        <v>61.552999999999997</v>
      </c>
      <c r="K15">
        <v>45.383000000000003</v>
      </c>
      <c r="L15">
        <v>38.462000000000003</v>
      </c>
      <c r="M15">
        <v>68.531999999999996</v>
      </c>
      <c r="N15">
        <v>51.301000000000002</v>
      </c>
      <c r="O15">
        <v>46.847999999999999</v>
      </c>
      <c r="P15">
        <v>48.716999999999999</v>
      </c>
      <c r="Q15">
        <v>84.811999999999998</v>
      </c>
      <c r="R15">
        <v>53.389000000000003</v>
      </c>
      <c r="S15">
        <v>71.257999999999996</v>
      </c>
      <c r="T15">
        <v>71.290999999999997</v>
      </c>
      <c r="U15">
        <v>42.613</v>
      </c>
      <c r="V15">
        <v>45.497999999999998</v>
      </c>
      <c r="W15">
        <v>41.235999999999997</v>
      </c>
      <c r="X15">
        <v>57.16</v>
      </c>
      <c r="Y15">
        <v>60.661999999999999</v>
      </c>
      <c r="Z15">
        <v>35.122</v>
      </c>
      <c r="AA15">
        <v>59.683999999999997</v>
      </c>
      <c r="AB15">
        <v>59.718000000000004</v>
      </c>
      <c r="AC15">
        <v>53.747</v>
      </c>
      <c r="AD15">
        <v>94.222999999999999</v>
      </c>
      <c r="AE15">
        <v>34.793999999999997</v>
      </c>
      <c r="AF15">
        <v>66.558000000000007</v>
      </c>
      <c r="AG15">
        <v>38.179000000000002</v>
      </c>
      <c r="AH15">
        <v>43.973999999999997</v>
      </c>
    </row>
    <row r="16" spans="1:39" ht="14.5" x14ac:dyDescent="0.35">
      <c r="A16" s="10">
        <v>46508</v>
      </c>
      <c r="B16" s="8">
        <v>247</v>
      </c>
      <c r="C16" s="8">
        <v>159</v>
      </c>
      <c r="D16" s="11">
        <v>204</v>
      </c>
      <c r="E16">
        <v>180.69499999999999</v>
      </c>
      <c r="F16">
        <v>248.94300000000001</v>
      </c>
      <c r="G16">
        <v>164.18799999999999</v>
      </c>
      <c r="H16">
        <v>206.27600000000001</v>
      </c>
      <c r="I16">
        <v>298.62200000000001</v>
      </c>
      <c r="J16">
        <v>257.58300000000003</v>
      </c>
      <c r="K16">
        <v>149.85499999999999</v>
      </c>
      <c r="L16">
        <v>162.631</v>
      </c>
      <c r="M16">
        <v>205.74299999999999</v>
      </c>
      <c r="N16">
        <v>216.73699999999999</v>
      </c>
      <c r="O16">
        <v>82.546999999999997</v>
      </c>
      <c r="P16">
        <v>151.904</v>
      </c>
      <c r="Q16">
        <v>205.21299999999999</v>
      </c>
      <c r="R16">
        <v>229.71299999999999</v>
      </c>
      <c r="S16">
        <v>200.47900000000001</v>
      </c>
      <c r="T16">
        <v>199.68100000000001</v>
      </c>
      <c r="U16">
        <v>218.86199999999999</v>
      </c>
      <c r="V16">
        <v>238.285</v>
      </c>
      <c r="W16">
        <v>92.638999999999996</v>
      </c>
      <c r="X16">
        <v>123.613</v>
      </c>
      <c r="Y16">
        <v>115.327</v>
      </c>
      <c r="Z16">
        <v>96.43</v>
      </c>
      <c r="AA16">
        <v>213.92500000000001</v>
      </c>
      <c r="AB16">
        <v>130.25800000000001</v>
      </c>
      <c r="AC16">
        <v>145.73099999999999</v>
      </c>
      <c r="AD16">
        <v>213.34</v>
      </c>
      <c r="AE16">
        <v>131.55699999999999</v>
      </c>
      <c r="AF16">
        <v>169.60900000000001</v>
      </c>
      <c r="AG16">
        <v>147.535</v>
      </c>
      <c r="AH16">
        <v>113</v>
      </c>
    </row>
    <row r="17" spans="1:1005" ht="14.5" x14ac:dyDescent="0.35">
      <c r="A17" s="10">
        <v>46539</v>
      </c>
      <c r="B17" s="8">
        <v>335</v>
      </c>
      <c r="C17" s="8">
        <v>165</v>
      </c>
      <c r="D17" s="11">
        <v>251</v>
      </c>
      <c r="E17">
        <v>147.34200000000001</v>
      </c>
      <c r="F17">
        <v>392.48599999999999</v>
      </c>
      <c r="G17">
        <v>192.417</v>
      </c>
      <c r="H17">
        <v>531.83500000000004</v>
      </c>
      <c r="I17">
        <v>284.05099999999999</v>
      </c>
      <c r="J17">
        <v>445.77</v>
      </c>
      <c r="K17">
        <v>185.864</v>
      </c>
      <c r="L17">
        <v>287.339</v>
      </c>
      <c r="M17">
        <v>132.93600000000001</v>
      </c>
      <c r="N17">
        <v>175.18199999999999</v>
      </c>
      <c r="O17">
        <v>52.368000000000002</v>
      </c>
      <c r="P17">
        <v>206.45599999999999</v>
      </c>
      <c r="Q17">
        <v>126.976</v>
      </c>
      <c r="R17">
        <v>265.25099999999998</v>
      </c>
      <c r="S17">
        <v>169.65700000000001</v>
      </c>
      <c r="T17">
        <v>154.947</v>
      </c>
      <c r="U17">
        <v>445.72800000000001</v>
      </c>
      <c r="V17">
        <v>230.69900000000001</v>
      </c>
      <c r="W17">
        <v>236.03</v>
      </c>
      <c r="X17">
        <v>386.74799999999999</v>
      </c>
      <c r="Y17">
        <v>42.872</v>
      </c>
      <c r="Z17">
        <v>142.703</v>
      </c>
      <c r="AA17">
        <v>315.68599999999998</v>
      </c>
      <c r="AB17">
        <v>319.19900000000001</v>
      </c>
      <c r="AC17">
        <v>269.02199999999999</v>
      </c>
      <c r="AD17">
        <v>362.5</v>
      </c>
      <c r="AE17">
        <v>65.531999999999996</v>
      </c>
      <c r="AF17">
        <v>377.66500000000002</v>
      </c>
      <c r="AG17">
        <v>168.98</v>
      </c>
      <c r="AH17">
        <v>247.68600000000001</v>
      </c>
    </row>
    <row r="18" spans="1:1005" ht="14.5" x14ac:dyDescent="0.35">
      <c r="A18" s="10">
        <v>46569</v>
      </c>
      <c r="B18" s="8">
        <v>140</v>
      </c>
      <c r="C18" s="8">
        <v>53</v>
      </c>
      <c r="D18" s="11">
        <v>86</v>
      </c>
      <c r="E18">
        <v>60.7</v>
      </c>
      <c r="F18">
        <v>180.14</v>
      </c>
      <c r="G18">
        <v>58.454000000000001</v>
      </c>
      <c r="H18">
        <v>424.75599999999997</v>
      </c>
      <c r="I18">
        <v>101.286</v>
      </c>
      <c r="J18">
        <v>160.93799999999999</v>
      </c>
      <c r="K18">
        <v>90.986999999999995</v>
      </c>
      <c r="L18">
        <v>203.34399999999999</v>
      </c>
      <c r="M18">
        <v>45.167999999999999</v>
      </c>
      <c r="N18">
        <v>54.603000000000002</v>
      </c>
      <c r="O18">
        <v>21.879000000000001</v>
      </c>
      <c r="P18">
        <v>55.853000000000002</v>
      </c>
      <c r="Q18">
        <v>49.768000000000001</v>
      </c>
      <c r="R18">
        <v>107.273</v>
      </c>
      <c r="S18">
        <v>65.55</v>
      </c>
      <c r="T18">
        <v>60.207000000000001</v>
      </c>
      <c r="U18">
        <v>200.48</v>
      </c>
      <c r="V18">
        <v>122.812</v>
      </c>
      <c r="W18">
        <v>64.56</v>
      </c>
      <c r="X18">
        <v>220.55600000000001</v>
      </c>
      <c r="Y18">
        <v>21.933</v>
      </c>
      <c r="Z18">
        <v>53.390999999999998</v>
      </c>
      <c r="AA18">
        <v>98.320999999999998</v>
      </c>
      <c r="AB18">
        <v>112.456</v>
      </c>
      <c r="AC18">
        <v>86.822999999999993</v>
      </c>
      <c r="AD18">
        <v>124.553</v>
      </c>
      <c r="AE18">
        <v>26.809000000000001</v>
      </c>
      <c r="AF18">
        <v>253.45400000000001</v>
      </c>
      <c r="AG18">
        <v>52.779000000000003</v>
      </c>
      <c r="AH18">
        <v>110.267</v>
      </c>
    </row>
    <row r="19" spans="1:1005" ht="14.5" x14ac:dyDescent="0.35">
      <c r="A19" s="10">
        <v>46600</v>
      </c>
      <c r="B19" s="8">
        <v>69</v>
      </c>
      <c r="C19" s="8">
        <v>42</v>
      </c>
      <c r="D19" s="11">
        <v>55</v>
      </c>
      <c r="E19">
        <v>50.383000000000003</v>
      </c>
      <c r="F19">
        <v>67.090999999999994</v>
      </c>
      <c r="G19">
        <v>37.776000000000003</v>
      </c>
      <c r="H19">
        <v>123.98399999999999</v>
      </c>
      <c r="I19">
        <v>48.780999999999999</v>
      </c>
      <c r="J19">
        <v>77.491</v>
      </c>
      <c r="K19">
        <v>45.372999999999998</v>
      </c>
      <c r="L19">
        <v>84.905000000000001</v>
      </c>
      <c r="M19">
        <v>40.531999999999996</v>
      </c>
      <c r="N19">
        <v>49.508000000000003</v>
      </c>
      <c r="O19">
        <v>18.702000000000002</v>
      </c>
      <c r="P19">
        <v>41.539000000000001</v>
      </c>
      <c r="Q19">
        <v>35.341000000000001</v>
      </c>
      <c r="R19">
        <v>55.68</v>
      </c>
      <c r="S19">
        <v>46.53</v>
      </c>
      <c r="T19">
        <v>44.046999999999997</v>
      </c>
      <c r="U19">
        <v>75.311000000000007</v>
      </c>
      <c r="V19">
        <v>49.405999999999999</v>
      </c>
      <c r="W19">
        <v>45.411999999999999</v>
      </c>
      <c r="X19">
        <v>68.236999999999995</v>
      </c>
      <c r="Y19">
        <v>23.498000000000001</v>
      </c>
      <c r="Z19">
        <v>38.311</v>
      </c>
      <c r="AA19">
        <v>55.287999999999997</v>
      </c>
      <c r="AB19">
        <v>50.475999999999999</v>
      </c>
      <c r="AC19">
        <v>50.88</v>
      </c>
      <c r="AD19">
        <v>60.817999999999998</v>
      </c>
      <c r="AE19">
        <v>22.872</v>
      </c>
      <c r="AF19">
        <v>80.816999999999993</v>
      </c>
      <c r="AG19">
        <v>34.704000000000001</v>
      </c>
      <c r="AH19">
        <v>51.935000000000002</v>
      </c>
    </row>
    <row r="20" spans="1:1005" ht="14.5" x14ac:dyDescent="0.35">
      <c r="A20" s="10">
        <v>46631</v>
      </c>
      <c r="B20" s="8">
        <v>41</v>
      </c>
      <c r="C20" s="8">
        <v>28</v>
      </c>
      <c r="D20" s="11">
        <v>35</v>
      </c>
      <c r="E20">
        <v>36.01</v>
      </c>
      <c r="F20">
        <v>47.264000000000003</v>
      </c>
      <c r="G20">
        <v>29.698</v>
      </c>
      <c r="H20">
        <v>61.639000000000003</v>
      </c>
      <c r="I20">
        <v>35.017000000000003</v>
      </c>
      <c r="J20">
        <v>51.86</v>
      </c>
      <c r="K20">
        <v>28.323</v>
      </c>
      <c r="L20">
        <v>44.37</v>
      </c>
      <c r="M20">
        <v>29.866</v>
      </c>
      <c r="N20">
        <v>28.617000000000001</v>
      </c>
      <c r="O20">
        <v>18.448</v>
      </c>
      <c r="P20">
        <v>54.231999999999999</v>
      </c>
      <c r="Q20">
        <v>31.597000000000001</v>
      </c>
      <c r="R20">
        <v>35.625</v>
      </c>
      <c r="S20">
        <v>34.128</v>
      </c>
      <c r="T20">
        <v>38.01</v>
      </c>
      <c r="U20">
        <v>42.493000000000002</v>
      </c>
      <c r="V20">
        <v>32.247</v>
      </c>
      <c r="W20">
        <v>25.641999999999999</v>
      </c>
      <c r="X20">
        <v>38.415999999999997</v>
      </c>
      <c r="Y20">
        <v>19.085999999999999</v>
      </c>
      <c r="Z20">
        <v>51.685000000000002</v>
      </c>
      <c r="AA20">
        <v>49.905000000000001</v>
      </c>
      <c r="AB20">
        <v>35.953000000000003</v>
      </c>
      <c r="AC20">
        <v>32.966999999999999</v>
      </c>
      <c r="AD20">
        <v>36.698999999999998</v>
      </c>
      <c r="AE20">
        <v>18.032</v>
      </c>
      <c r="AF20">
        <v>42.067</v>
      </c>
      <c r="AG20">
        <v>32.652999999999999</v>
      </c>
      <c r="AH20">
        <v>31.646000000000001</v>
      </c>
    </row>
    <row r="21" spans="1:1005" ht="14.5" x14ac:dyDescent="0.35">
      <c r="A21" s="10">
        <v>46661</v>
      </c>
      <c r="B21" s="8">
        <v>40</v>
      </c>
      <c r="C21" s="8">
        <v>31</v>
      </c>
      <c r="D21" s="11">
        <v>36</v>
      </c>
      <c r="E21">
        <v>26.623999999999999</v>
      </c>
      <c r="F21">
        <v>43.255000000000003</v>
      </c>
      <c r="G21">
        <v>35.784999999999997</v>
      </c>
      <c r="H21">
        <v>57.774000000000001</v>
      </c>
      <c r="I21">
        <v>42.037999999999997</v>
      </c>
      <c r="J21">
        <v>52.866999999999997</v>
      </c>
      <c r="K21">
        <v>37.201000000000001</v>
      </c>
      <c r="L21">
        <v>35.526000000000003</v>
      </c>
      <c r="M21">
        <v>26.542999999999999</v>
      </c>
      <c r="N21">
        <v>27.327000000000002</v>
      </c>
      <c r="O21">
        <v>26.327999999999999</v>
      </c>
      <c r="P21">
        <v>33.289000000000001</v>
      </c>
      <c r="Q21">
        <v>29.635999999999999</v>
      </c>
      <c r="R21">
        <v>47.475999999999999</v>
      </c>
      <c r="S21">
        <v>55.286000000000001</v>
      </c>
      <c r="T21">
        <v>38.436</v>
      </c>
      <c r="U21">
        <v>38.707000000000001</v>
      </c>
      <c r="V21">
        <v>34.250999999999998</v>
      </c>
      <c r="W21">
        <v>26.725000000000001</v>
      </c>
      <c r="X21">
        <v>37.264000000000003</v>
      </c>
      <c r="Y21">
        <v>18.556000000000001</v>
      </c>
      <c r="Z21">
        <v>46.756999999999998</v>
      </c>
      <c r="AA21">
        <v>57.41</v>
      </c>
      <c r="AB21">
        <v>30.768999999999998</v>
      </c>
      <c r="AC21">
        <v>28.841000000000001</v>
      </c>
      <c r="AD21">
        <v>38.018000000000001</v>
      </c>
      <c r="AE21">
        <v>20.6</v>
      </c>
      <c r="AF21">
        <v>36.180999999999997</v>
      </c>
      <c r="AG21">
        <v>31.963999999999999</v>
      </c>
      <c r="AH21">
        <v>26.818999999999999</v>
      </c>
    </row>
    <row r="22" spans="1:1005" ht="14.5" x14ac:dyDescent="0.35">
      <c r="A22" s="10">
        <v>46692</v>
      </c>
      <c r="B22" s="8">
        <v>33</v>
      </c>
      <c r="C22" s="8">
        <v>29</v>
      </c>
      <c r="D22" s="11">
        <v>31</v>
      </c>
      <c r="E22">
        <v>22.538</v>
      </c>
      <c r="F22">
        <v>34.972999999999999</v>
      </c>
      <c r="G22">
        <v>27.867999999999999</v>
      </c>
      <c r="H22">
        <v>42.63</v>
      </c>
      <c r="I22">
        <v>35.71</v>
      </c>
      <c r="J22">
        <v>39.973999999999997</v>
      </c>
      <c r="K22">
        <v>30.841000000000001</v>
      </c>
      <c r="L22">
        <v>28.157</v>
      </c>
      <c r="M22">
        <v>23.312999999999999</v>
      </c>
      <c r="N22">
        <v>27.024999999999999</v>
      </c>
      <c r="O22">
        <v>17.155999999999999</v>
      </c>
      <c r="P22">
        <v>24.689</v>
      </c>
      <c r="Q22">
        <v>26.866</v>
      </c>
      <c r="R22">
        <v>36.478999999999999</v>
      </c>
      <c r="S22">
        <v>39.564999999999998</v>
      </c>
      <c r="T22">
        <v>31.827000000000002</v>
      </c>
      <c r="U22">
        <v>32.917999999999999</v>
      </c>
      <c r="V22">
        <v>30.298999999999999</v>
      </c>
      <c r="W22">
        <v>27.036999999999999</v>
      </c>
      <c r="X22">
        <v>30.696999999999999</v>
      </c>
      <c r="Y22">
        <v>15.361000000000001</v>
      </c>
      <c r="Z22">
        <v>30.068000000000001</v>
      </c>
      <c r="AA22">
        <v>36.213000000000001</v>
      </c>
      <c r="AB22">
        <v>27.707999999999998</v>
      </c>
      <c r="AC22">
        <v>24.823</v>
      </c>
      <c r="AD22">
        <v>32.124000000000002</v>
      </c>
      <c r="AE22">
        <v>19.154</v>
      </c>
      <c r="AF22">
        <v>31.228999999999999</v>
      </c>
      <c r="AG22">
        <v>33.365000000000002</v>
      </c>
      <c r="AH22">
        <v>25.332000000000001</v>
      </c>
    </row>
    <row r="23" spans="1:1005" ht="14.5" x14ac:dyDescent="0.35">
      <c r="A23" s="10">
        <v>46722</v>
      </c>
      <c r="B23" s="8">
        <v>26</v>
      </c>
      <c r="C23" s="8">
        <v>26</v>
      </c>
      <c r="D23" s="11">
        <v>26</v>
      </c>
      <c r="E23">
        <v>20.167999999999999</v>
      </c>
      <c r="F23">
        <v>29.53</v>
      </c>
      <c r="G23">
        <v>22.655000000000001</v>
      </c>
      <c r="H23">
        <v>38.673000000000002</v>
      </c>
      <c r="I23">
        <v>29.541</v>
      </c>
      <c r="J23">
        <v>31.724</v>
      </c>
      <c r="K23">
        <v>27.888000000000002</v>
      </c>
      <c r="L23">
        <v>24.744</v>
      </c>
      <c r="M23">
        <v>20.428000000000001</v>
      </c>
      <c r="N23">
        <v>21.661000000000001</v>
      </c>
      <c r="O23">
        <v>14.701000000000001</v>
      </c>
      <c r="P23">
        <v>22.19</v>
      </c>
      <c r="Q23">
        <v>22.012</v>
      </c>
      <c r="R23">
        <v>26.934000000000001</v>
      </c>
      <c r="S23">
        <v>27.440999999999999</v>
      </c>
      <c r="T23">
        <v>22.86</v>
      </c>
      <c r="U23">
        <v>28.956</v>
      </c>
      <c r="V23">
        <v>24.553000000000001</v>
      </c>
      <c r="W23">
        <v>22.506</v>
      </c>
      <c r="X23">
        <v>26.716000000000001</v>
      </c>
      <c r="Y23">
        <v>13.766999999999999</v>
      </c>
      <c r="Z23">
        <v>22.795999999999999</v>
      </c>
      <c r="AA23">
        <v>28.879000000000001</v>
      </c>
      <c r="AB23">
        <v>24.309000000000001</v>
      </c>
      <c r="AC23">
        <v>22.667999999999999</v>
      </c>
      <c r="AD23">
        <v>29.672999999999998</v>
      </c>
      <c r="AE23">
        <v>15.381</v>
      </c>
      <c r="AF23">
        <v>28.582999999999998</v>
      </c>
      <c r="AG23">
        <v>26.22</v>
      </c>
      <c r="AH23">
        <v>22.809000000000001</v>
      </c>
    </row>
    <row r="24" spans="1:1005" ht="14.5" x14ac:dyDescent="0.35">
      <c r="A24" s="10">
        <v>46753</v>
      </c>
      <c r="B24" s="8">
        <v>25</v>
      </c>
      <c r="C24" s="8">
        <v>25</v>
      </c>
      <c r="D24" s="11">
        <v>25</v>
      </c>
      <c r="E24">
        <v>18.881</v>
      </c>
      <c r="F24">
        <v>26.841000000000001</v>
      </c>
      <c r="G24">
        <v>20.523</v>
      </c>
      <c r="H24">
        <v>32.887</v>
      </c>
      <c r="I24">
        <v>25.324000000000002</v>
      </c>
      <c r="J24">
        <v>28.074999999999999</v>
      </c>
      <c r="K24">
        <v>24.131</v>
      </c>
      <c r="L24">
        <v>24.524999999999999</v>
      </c>
      <c r="M24">
        <v>18.957999999999998</v>
      </c>
      <c r="N24">
        <v>18.902999999999999</v>
      </c>
      <c r="O24">
        <v>14.121</v>
      </c>
      <c r="P24">
        <v>20.023</v>
      </c>
      <c r="Q24">
        <v>21.109000000000002</v>
      </c>
      <c r="R24">
        <v>23.297999999999998</v>
      </c>
      <c r="S24">
        <v>23.23</v>
      </c>
      <c r="T24">
        <v>19.015999999999998</v>
      </c>
      <c r="U24">
        <v>26.404</v>
      </c>
      <c r="V24">
        <v>21.824999999999999</v>
      </c>
      <c r="W24">
        <v>20.661999999999999</v>
      </c>
      <c r="X24">
        <v>25.2</v>
      </c>
      <c r="Y24">
        <v>12.803000000000001</v>
      </c>
      <c r="Z24">
        <v>20.035</v>
      </c>
      <c r="AA24">
        <v>25.274000000000001</v>
      </c>
      <c r="AB24">
        <v>22.413</v>
      </c>
      <c r="AC24">
        <v>20.831</v>
      </c>
      <c r="AD24">
        <v>25.713000000000001</v>
      </c>
      <c r="AE24">
        <v>14.157</v>
      </c>
      <c r="AF24">
        <v>26.03</v>
      </c>
      <c r="AG24">
        <v>21.2</v>
      </c>
      <c r="AH24">
        <v>20.588999999999999</v>
      </c>
    </row>
    <row r="25" spans="1:1005" ht="14.5" x14ac:dyDescent="0.35">
      <c r="A25" s="10">
        <v>46784</v>
      </c>
      <c r="B25" s="8">
        <v>23</v>
      </c>
      <c r="C25" s="8">
        <v>23</v>
      </c>
      <c r="D25" s="11">
        <v>23</v>
      </c>
      <c r="E25">
        <v>17.873999999999999</v>
      </c>
      <c r="F25">
        <v>23.308</v>
      </c>
      <c r="G25">
        <v>23.452999999999999</v>
      </c>
      <c r="H25">
        <v>32.549999999999997</v>
      </c>
      <c r="I25">
        <v>21.472999999999999</v>
      </c>
      <c r="J25">
        <v>24.905999999999999</v>
      </c>
      <c r="K25">
        <v>23.76</v>
      </c>
      <c r="L25">
        <v>25.111000000000001</v>
      </c>
      <c r="M25">
        <v>18.728000000000002</v>
      </c>
      <c r="N25">
        <v>16.536999999999999</v>
      </c>
      <c r="O25">
        <v>17.074000000000002</v>
      </c>
      <c r="P25">
        <v>17.824000000000002</v>
      </c>
      <c r="Q25">
        <v>19.376000000000001</v>
      </c>
      <c r="R25">
        <v>19.706</v>
      </c>
      <c r="S25">
        <v>22.18</v>
      </c>
      <c r="T25">
        <v>15.99</v>
      </c>
      <c r="U25">
        <v>23.992000000000001</v>
      </c>
      <c r="V25">
        <v>18.661999999999999</v>
      </c>
      <c r="W25">
        <v>17.904</v>
      </c>
      <c r="X25">
        <v>21.771999999999998</v>
      </c>
      <c r="Y25">
        <v>11.641</v>
      </c>
      <c r="Z25">
        <v>20.440000000000001</v>
      </c>
      <c r="AA25">
        <v>29.744</v>
      </c>
      <c r="AB25">
        <v>21.402999999999999</v>
      </c>
      <c r="AC25">
        <v>25.954000000000001</v>
      </c>
      <c r="AD25">
        <v>27.065000000000001</v>
      </c>
      <c r="AE25">
        <v>12.577999999999999</v>
      </c>
      <c r="AF25">
        <v>23.341000000000001</v>
      </c>
      <c r="AG25">
        <v>20.638000000000002</v>
      </c>
      <c r="AH25">
        <v>19.61</v>
      </c>
    </row>
    <row r="26" spans="1:1005" ht="14.5" x14ac:dyDescent="0.35">
      <c r="A26" s="10">
        <v>46813</v>
      </c>
      <c r="B26" s="8">
        <v>38</v>
      </c>
      <c r="C26" s="8">
        <v>38</v>
      </c>
      <c r="D26" s="11">
        <v>38</v>
      </c>
      <c r="E26">
        <v>31.998000000000001</v>
      </c>
      <c r="F26">
        <v>39.898000000000003</v>
      </c>
      <c r="G26">
        <v>42.722000000000001</v>
      </c>
      <c r="H26">
        <v>40.750999999999998</v>
      </c>
      <c r="I26">
        <v>42.252000000000002</v>
      </c>
      <c r="J26">
        <v>40.51</v>
      </c>
      <c r="K26">
        <v>33.564999999999998</v>
      </c>
      <c r="L26">
        <v>29.687000000000001</v>
      </c>
      <c r="M26">
        <v>27.943999999999999</v>
      </c>
      <c r="N26">
        <v>20.757000000000001</v>
      </c>
      <c r="O26">
        <v>26.794</v>
      </c>
      <c r="P26">
        <v>44.5</v>
      </c>
      <c r="Q26">
        <v>24.326000000000001</v>
      </c>
      <c r="R26">
        <v>27.555</v>
      </c>
      <c r="S26">
        <v>51.396999999999998</v>
      </c>
      <c r="T26">
        <v>16.605</v>
      </c>
      <c r="U26">
        <v>40.960999999999999</v>
      </c>
      <c r="V26">
        <v>21.803000000000001</v>
      </c>
      <c r="W26">
        <v>28.97</v>
      </c>
      <c r="X26">
        <v>37.061999999999998</v>
      </c>
      <c r="Y26">
        <v>18.622</v>
      </c>
      <c r="Z26">
        <v>25.991</v>
      </c>
      <c r="AA26">
        <v>50.357999999999997</v>
      </c>
      <c r="AB26">
        <v>35.353999999999999</v>
      </c>
      <c r="AC26">
        <v>58.158000000000001</v>
      </c>
      <c r="AD26">
        <v>28.327999999999999</v>
      </c>
      <c r="AE26">
        <v>17.684000000000001</v>
      </c>
      <c r="AF26">
        <v>34.293999999999997</v>
      </c>
      <c r="AG26">
        <v>26.329000000000001</v>
      </c>
      <c r="AH26">
        <v>31.565999999999999</v>
      </c>
    </row>
    <row r="27" spans="1:1005" ht="14.5" x14ac:dyDescent="0.35">
      <c r="A27" s="10">
        <v>46844</v>
      </c>
      <c r="B27" s="8">
        <v>78</v>
      </c>
      <c r="C27" s="8">
        <v>78</v>
      </c>
      <c r="D27" s="11">
        <v>78</v>
      </c>
      <c r="E27">
        <v>66.888000000000005</v>
      </c>
      <c r="F27">
        <v>72.963999999999999</v>
      </c>
      <c r="G27">
        <v>56.481999999999999</v>
      </c>
      <c r="H27">
        <v>94.64</v>
      </c>
      <c r="I27">
        <v>76.73</v>
      </c>
      <c r="J27">
        <v>59.808</v>
      </c>
      <c r="K27">
        <v>47.381999999999998</v>
      </c>
      <c r="L27">
        <v>83.424999999999997</v>
      </c>
      <c r="M27">
        <v>59.673999999999999</v>
      </c>
      <c r="N27">
        <v>53.424999999999997</v>
      </c>
      <c r="O27">
        <v>48.884</v>
      </c>
      <c r="P27">
        <v>93.075000000000003</v>
      </c>
      <c r="Q27">
        <v>61.408999999999999</v>
      </c>
      <c r="R27">
        <v>87.822000000000003</v>
      </c>
      <c r="S27">
        <v>87.478999999999999</v>
      </c>
      <c r="T27">
        <v>45.837000000000003</v>
      </c>
      <c r="U27">
        <v>63.798000000000002</v>
      </c>
      <c r="V27">
        <v>50.600999999999999</v>
      </c>
      <c r="W27">
        <v>61.527999999999999</v>
      </c>
      <c r="X27">
        <v>80.323999999999998</v>
      </c>
      <c r="Y27">
        <v>35.569000000000003</v>
      </c>
      <c r="Z27">
        <v>64.882000000000005</v>
      </c>
      <c r="AA27">
        <v>75.048000000000002</v>
      </c>
      <c r="AB27">
        <v>57.646000000000001</v>
      </c>
      <c r="AC27">
        <v>104.504</v>
      </c>
      <c r="AD27">
        <v>46.929000000000002</v>
      </c>
      <c r="AE27">
        <v>71.540999999999997</v>
      </c>
      <c r="AF27">
        <v>49.286000000000001</v>
      </c>
      <c r="AG27">
        <v>47.991</v>
      </c>
      <c r="AH27">
        <v>72.34</v>
      </c>
    </row>
    <row r="28" spans="1:1005" ht="14.5" x14ac:dyDescent="0.35">
      <c r="A28" s="10">
        <v>46874</v>
      </c>
      <c r="B28" s="8">
        <v>204</v>
      </c>
      <c r="C28" s="8">
        <v>204</v>
      </c>
      <c r="D28" s="11">
        <v>204</v>
      </c>
      <c r="E28">
        <v>276.12799999999999</v>
      </c>
      <c r="F28">
        <v>213.49700000000001</v>
      </c>
      <c r="G28">
        <v>234.74799999999999</v>
      </c>
      <c r="H28">
        <v>356.01499999999999</v>
      </c>
      <c r="I28">
        <v>315.67700000000002</v>
      </c>
      <c r="J28">
        <v>192.77500000000001</v>
      </c>
      <c r="K28">
        <v>199.268</v>
      </c>
      <c r="L28">
        <v>239.51499999999999</v>
      </c>
      <c r="M28">
        <v>239.34800000000001</v>
      </c>
      <c r="N28">
        <v>93.77</v>
      </c>
      <c r="O28">
        <v>164.316</v>
      </c>
      <c r="P28">
        <v>221.20500000000001</v>
      </c>
      <c r="Q28">
        <v>259.3</v>
      </c>
      <c r="R28">
        <v>231.465</v>
      </c>
      <c r="S28">
        <v>217.21799999999999</v>
      </c>
      <c r="T28">
        <v>230.583</v>
      </c>
      <c r="U28">
        <v>300.339</v>
      </c>
      <c r="V28">
        <v>119.187</v>
      </c>
      <c r="W28">
        <v>143.048</v>
      </c>
      <c r="X28">
        <v>140.149</v>
      </c>
      <c r="Y28">
        <v>100.01600000000001</v>
      </c>
      <c r="Z28">
        <v>237.00200000000001</v>
      </c>
      <c r="AA28">
        <v>158.81</v>
      </c>
      <c r="AB28">
        <v>156.77199999999999</v>
      </c>
      <c r="AC28">
        <v>247.93600000000001</v>
      </c>
      <c r="AD28">
        <v>161.059</v>
      </c>
      <c r="AE28">
        <v>170.184</v>
      </c>
      <c r="AF28">
        <v>179.90700000000001</v>
      </c>
      <c r="AG28">
        <v>132.20099999999999</v>
      </c>
      <c r="AH28">
        <v>206.946</v>
      </c>
      <c r="ALQ28" s="4" t="e">
        <v>#N/A</v>
      </c>
    </row>
    <row r="29" spans="1:1005" ht="14.5" x14ac:dyDescent="0.35">
      <c r="A29" s="10">
        <v>46905</v>
      </c>
      <c r="B29" s="8">
        <v>251</v>
      </c>
      <c r="C29" s="8">
        <v>251</v>
      </c>
      <c r="D29" s="11">
        <v>251</v>
      </c>
      <c r="E29">
        <v>400.16699999999997</v>
      </c>
      <c r="F29">
        <v>207.821</v>
      </c>
      <c r="G29">
        <v>568.98099999999999</v>
      </c>
      <c r="H29">
        <v>305.26900000000001</v>
      </c>
      <c r="I29">
        <v>476.43400000000003</v>
      </c>
      <c r="J29">
        <v>201.14099999999999</v>
      </c>
      <c r="K29">
        <v>316.779</v>
      </c>
      <c r="L29">
        <v>146.32499999999999</v>
      </c>
      <c r="M29">
        <v>177.31299999999999</v>
      </c>
      <c r="N29">
        <v>53.319000000000003</v>
      </c>
      <c r="O29">
        <v>198.071</v>
      </c>
      <c r="P29">
        <v>134.74100000000001</v>
      </c>
      <c r="Q29">
        <v>273.315</v>
      </c>
      <c r="R29">
        <v>176.785</v>
      </c>
      <c r="S29">
        <v>159.61799999999999</v>
      </c>
      <c r="T29">
        <v>466.23700000000002</v>
      </c>
      <c r="U29">
        <v>252.00800000000001</v>
      </c>
      <c r="V29">
        <v>251.96799999999999</v>
      </c>
      <c r="W29">
        <v>415.55099999999999</v>
      </c>
      <c r="X29">
        <v>51.816000000000003</v>
      </c>
      <c r="Y29">
        <v>143.85</v>
      </c>
      <c r="Z29">
        <v>317.23</v>
      </c>
      <c r="AA29">
        <v>341.142</v>
      </c>
      <c r="AB29">
        <v>279.851</v>
      </c>
      <c r="AC29">
        <v>379.10899999999998</v>
      </c>
      <c r="AD29">
        <v>71.332999999999998</v>
      </c>
      <c r="AE29">
        <v>397.04399999999998</v>
      </c>
      <c r="AF29">
        <v>186.17400000000001</v>
      </c>
      <c r="AG29">
        <v>261.06599999999997</v>
      </c>
      <c r="AH29">
        <v>153.49700000000001</v>
      </c>
      <c r="ALQ29" s="4" t="e">
        <v>#N/A</v>
      </c>
    </row>
    <row r="30" spans="1:1005" ht="14.5" x14ac:dyDescent="0.35">
      <c r="A30" s="10">
        <v>46935</v>
      </c>
      <c r="B30" s="8">
        <v>86</v>
      </c>
      <c r="C30" s="8">
        <v>86</v>
      </c>
      <c r="D30" s="11">
        <v>86</v>
      </c>
      <c r="E30">
        <v>175.22800000000001</v>
      </c>
      <c r="F30">
        <v>63.338000000000001</v>
      </c>
      <c r="G30">
        <v>418.37799999999999</v>
      </c>
      <c r="H30">
        <v>108.214</v>
      </c>
      <c r="I30">
        <v>161.47900000000001</v>
      </c>
      <c r="J30">
        <v>95.417000000000002</v>
      </c>
      <c r="K30">
        <v>204.72</v>
      </c>
      <c r="L30">
        <v>49.417000000000002</v>
      </c>
      <c r="M30">
        <v>55.927</v>
      </c>
      <c r="N30">
        <v>23.545999999999999</v>
      </c>
      <c r="O30">
        <v>55.005000000000003</v>
      </c>
      <c r="P30">
        <v>52.820999999999998</v>
      </c>
      <c r="Q30">
        <v>106.14100000000001</v>
      </c>
      <c r="R30">
        <v>69.144000000000005</v>
      </c>
      <c r="S30">
        <v>61.811</v>
      </c>
      <c r="T30">
        <v>204.53299999999999</v>
      </c>
      <c r="U30">
        <v>126.242</v>
      </c>
      <c r="V30">
        <v>66.849999999999994</v>
      </c>
      <c r="W30">
        <v>215.16800000000001</v>
      </c>
      <c r="X30">
        <v>27.483000000000001</v>
      </c>
      <c r="Y30">
        <v>53.029000000000003</v>
      </c>
      <c r="Z30">
        <v>97.474999999999994</v>
      </c>
      <c r="AA30">
        <v>113.501</v>
      </c>
      <c r="AB30">
        <v>89.245000000000005</v>
      </c>
      <c r="AC30">
        <v>124.90900000000001</v>
      </c>
      <c r="AD30">
        <v>31.46</v>
      </c>
      <c r="AE30">
        <v>243.57400000000001</v>
      </c>
      <c r="AF30">
        <v>58.344000000000001</v>
      </c>
      <c r="AG30">
        <v>109.917</v>
      </c>
      <c r="AH30">
        <v>63.100999999999999</v>
      </c>
      <c r="ALQ30" s="4" t="e">
        <v>#N/A</v>
      </c>
    </row>
    <row r="31" spans="1:1005" ht="14.5" x14ac:dyDescent="0.35">
      <c r="A31" s="10">
        <v>46966</v>
      </c>
      <c r="B31" s="8">
        <v>55</v>
      </c>
      <c r="C31" s="8">
        <v>55</v>
      </c>
      <c r="D31" s="11">
        <v>55</v>
      </c>
      <c r="E31">
        <v>67.132999999999996</v>
      </c>
      <c r="F31">
        <v>42.069000000000003</v>
      </c>
      <c r="G31">
        <v>121.36799999999999</v>
      </c>
      <c r="H31">
        <v>53.170999999999999</v>
      </c>
      <c r="I31">
        <v>79.096000000000004</v>
      </c>
      <c r="J31">
        <v>48.871000000000002</v>
      </c>
      <c r="K31">
        <v>84.706000000000003</v>
      </c>
      <c r="L31">
        <v>43.656999999999996</v>
      </c>
      <c r="M31">
        <v>50.756</v>
      </c>
      <c r="N31">
        <v>20.756</v>
      </c>
      <c r="O31">
        <v>40.843000000000004</v>
      </c>
      <c r="P31">
        <v>36.869999999999997</v>
      </c>
      <c r="Q31">
        <v>56.74</v>
      </c>
      <c r="R31">
        <v>48.323</v>
      </c>
      <c r="S31">
        <v>45.15</v>
      </c>
      <c r="T31">
        <v>76.450999999999993</v>
      </c>
      <c r="U31">
        <v>52.646999999999998</v>
      </c>
      <c r="V31">
        <v>47.78</v>
      </c>
      <c r="W31">
        <v>67.798000000000002</v>
      </c>
      <c r="X31">
        <v>27.948</v>
      </c>
      <c r="Y31">
        <v>37.531999999999996</v>
      </c>
      <c r="Z31">
        <v>55.396000000000001</v>
      </c>
      <c r="AA31">
        <v>52.488</v>
      </c>
      <c r="AB31">
        <v>51.993000000000002</v>
      </c>
      <c r="AC31">
        <v>61.637999999999998</v>
      </c>
      <c r="AD31">
        <v>26.100999999999999</v>
      </c>
      <c r="AE31">
        <v>79.06</v>
      </c>
      <c r="AF31">
        <v>38.728999999999999</v>
      </c>
      <c r="AG31">
        <v>52.625999999999998</v>
      </c>
      <c r="AH31">
        <v>52.642000000000003</v>
      </c>
      <c r="ALQ31" s="4" t="e">
        <v>#N/A</v>
      </c>
    </row>
    <row r="32" spans="1:1005" ht="14.5" x14ac:dyDescent="0.35">
      <c r="A32" s="10">
        <v>46997</v>
      </c>
      <c r="B32" s="8">
        <v>35</v>
      </c>
      <c r="C32" s="8">
        <v>35</v>
      </c>
      <c r="D32" s="11">
        <v>35</v>
      </c>
      <c r="E32">
        <v>47.445999999999998</v>
      </c>
      <c r="F32">
        <v>33.636000000000003</v>
      </c>
      <c r="G32">
        <v>63.244</v>
      </c>
      <c r="H32">
        <v>38.747</v>
      </c>
      <c r="I32">
        <v>54.152000000000001</v>
      </c>
      <c r="J32">
        <v>31.632000000000001</v>
      </c>
      <c r="K32">
        <v>45.518000000000001</v>
      </c>
      <c r="L32">
        <v>32.228999999999999</v>
      </c>
      <c r="M32">
        <v>29.373999999999999</v>
      </c>
      <c r="N32">
        <v>20.419</v>
      </c>
      <c r="O32">
        <v>53.856999999999999</v>
      </c>
      <c r="P32">
        <v>32.886000000000003</v>
      </c>
      <c r="Q32">
        <v>37.271000000000001</v>
      </c>
      <c r="R32">
        <v>36.301000000000002</v>
      </c>
      <c r="S32">
        <v>39.508000000000003</v>
      </c>
      <c r="T32">
        <v>43.277000000000001</v>
      </c>
      <c r="U32">
        <v>35.69</v>
      </c>
      <c r="V32">
        <v>27.417999999999999</v>
      </c>
      <c r="W32">
        <v>38.805</v>
      </c>
      <c r="X32">
        <v>22.952000000000002</v>
      </c>
      <c r="Y32">
        <v>52.384</v>
      </c>
      <c r="Z32">
        <v>51.552</v>
      </c>
      <c r="AA32">
        <v>37.927999999999997</v>
      </c>
      <c r="AB32">
        <v>33.811999999999998</v>
      </c>
      <c r="AC32">
        <v>38.139000000000003</v>
      </c>
      <c r="AD32">
        <v>21.31</v>
      </c>
      <c r="AE32">
        <v>41.595999999999997</v>
      </c>
      <c r="AF32">
        <v>36.265999999999998</v>
      </c>
      <c r="AG32">
        <v>32.512999999999998</v>
      </c>
      <c r="AH32">
        <v>36.826999999999998</v>
      </c>
      <c r="ALQ32" s="4" t="e">
        <v>#N/A</v>
      </c>
    </row>
    <row r="33" spans="1:1005" ht="14.5" x14ac:dyDescent="0.35">
      <c r="A33" s="10">
        <v>47027</v>
      </c>
      <c r="B33" s="12">
        <v>40</v>
      </c>
      <c r="C33" s="12">
        <v>31</v>
      </c>
      <c r="D33" s="11">
        <v>36</v>
      </c>
      <c r="E33">
        <v>43.793999999999997</v>
      </c>
      <c r="F33">
        <v>39.923999999999999</v>
      </c>
      <c r="G33">
        <v>56.948</v>
      </c>
      <c r="H33">
        <v>45.720999999999997</v>
      </c>
      <c r="I33">
        <v>54.732999999999997</v>
      </c>
      <c r="J33">
        <v>41.064</v>
      </c>
      <c r="K33">
        <v>36.771999999999998</v>
      </c>
      <c r="L33">
        <v>28.689</v>
      </c>
      <c r="M33">
        <v>28.408999999999999</v>
      </c>
      <c r="N33">
        <v>27.533999999999999</v>
      </c>
      <c r="O33">
        <v>32.511000000000003</v>
      </c>
      <c r="P33">
        <v>30.792999999999999</v>
      </c>
      <c r="Q33">
        <v>48.055</v>
      </c>
      <c r="R33">
        <v>57.037999999999997</v>
      </c>
      <c r="S33">
        <v>39.377000000000002</v>
      </c>
      <c r="T33">
        <v>39.447000000000003</v>
      </c>
      <c r="U33">
        <v>37.32</v>
      </c>
      <c r="V33">
        <v>28.635999999999999</v>
      </c>
      <c r="W33">
        <v>37.939</v>
      </c>
      <c r="X33">
        <v>22.082000000000001</v>
      </c>
      <c r="Y33">
        <v>45.313000000000002</v>
      </c>
      <c r="Z33">
        <v>56.531999999999996</v>
      </c>
      <c r="AA33">
        <v>32.779000000000003</v>
      </c>
      <c r="AB33">
        <v>29.678999999999998</v>
      </c>
      <c r="AC33">
        <v>39.222000000000001</v>
      </c>
      <c r="AD33">
        <v>23.93</v>
      </c>
      <c r="AE33">
        <v>36.08</v>
      </c>
      <c r="AF33">
        <v>35.302</v>
      </c>
      <c r="AG33">
        <v>27.663</v>
      </c>
      <c r="AH33">
        <v>27.716000000000001</v>
      </c>
      <c r="ALQ33" s="4" t="e">
        <v>#N/A</v>
      </c>
    </row>
    <row r="34" spans="1:1005" ht="14.5" x14ac:dyDescent="0.35">
      <c r="A34" s="10">
        <v>47058</v>
      </c>
      <c r="B34" s="8">
        <v>33</v>
      </c>
      <c r="C34" s="8">
        <v>29</v>
      </c>
      <c r="D34" s="11">
        <v>31</v>
      </c>
      <c r="E34">
        <v>35.109000000000002</v>
      </c>
      <c r="F34">
        <v>30.754000000000001</v>
      </c>
      <c r="G34">
        <v>43.103999999999999</v>
      </c>
      <c r="H34">
        <v>38.966999999999999</v>
      </c>
      <c r="I34">
        <v>41.508000000000003</v>
      </c>
      <c r="J34">
        <v>33.478999999999999</v>
      </c>
      <c r="K34">
        <v>29.295000000000002</v>
      </c>
      <c r="L34">
        <v>25.059000000000001</v>
      </c>
      <c r="M34">
        <v>27.565000000000001</v>
      </c>
      <c r="N34">
        <v>18.167999999999999</v>
      </c>
      <c r="O34">
        <v>24.251000000000001</v>
      </c>
      <c r="P34">
        <v>27.798999999999999</v>
      </c>
      <c r="Q34">
        <v>36.848999999999997</v>
      </c>
      <c r="R34">
        <v>40.258000000000003</v>
      </c>
      <c r="S34">
        <v>31.969000000000001</v>
      </c>
      <c r="T34">
        <v>33.469000000000001</v>
      </c>
      <c r="U34">
        <v>32.984999999999999</v>
      </c>
      <c r="V34">
        <v>28.538</v>
      </c>
      <c r="W34">
        <v>31.027999999999999</v>
      </c>
      <c r="X34">
        <v>18.343</v>
      </c>
      <c r="Y34">
        <v>29.303999999999998</v>
      </c>
      <c r="Z34">
        <v>35.927999999999997</v>
      </c>
      <c r="AA34">
        <v>29.242000000000001</v>
      </c>
      <c r="AB34">
        <v>25.457999999999998</v>
      </c>
      <c r="AC34">
        <v>33.29</v>
      </c>
      <c r="AD34">
        <v>21.876999999999999</v>
      </c>
      <c r="AE34">
        <v>30.968</v>
      </c>
      <c r="AF34">
        <v>36.296999999999997</v>
      </c>
      <c r="AG34">
        <v>26.064</v>
      </c>
      <c r="AH34">
        <v>23.579000000000001</v>
      </c>
      <c r="ALQ34" s="4" t="e">
        <v>#N/A</v>
      </c>
    </row>
    <row r="35" spans="1:1005" ht="14.5" x14ac:dyDescent="0.35">
      <c r="A35" s="10">
        <v>47088</v>
      </c>
      <c r="B35" s="8">
        <v>26</v>
      </c>
      <c r="C35" s="8">
        <v>26</v>
      </c>
      <c r="D35" s="11">
        <v>26</v>
      </c>
      <c r="E35">
        <v>29.824999999999999</v>
      </c>
      <c r="F35">
        <v>25.483000000000001</v>
      </c>
      <c r="G35">
        <v>39.161999999999999</v>
      </c>
      <c r="H35">
        <v>32.423000000000002</v>
      </c>
      <c r="I35">
        <v>33.341999999999999</v>
      </c>
      <c r="J35">
        <v>30.306999999999999</v>
      </c>
      <c r="K35">
        <v>25.879000000000001</v>
      </c>
      <c r="L35">
        <v>22.077999999999999</v>
      </c>
      <c r="M35">
        <v>22.280999999999999</v>
      </c>
      <c r="N35">
        <v>15.699</v>
      </c>
      <c r="O35">
        <v>21.809000000000001</v>
      </c>
      <c r="P35">
        <v>22.852</v>
      </c>
      <c r="Q35">
        <v>27.518999999999998</v>
      </c>
      <c r="R35">
        <v>28.353000000000002</v>
      </c>
      <c r="S35">
        <v>23.437000000000001</v>
      </c>
      <c r="T35">
        <v>29.491</v>
      </c>
      <c r="U35">
        <v>26.992999999999999</v>
      </c>
      <c r="V35">
        <v>23.936</v>
      </c>
      <c r="W35">
        <v>27.099</v>
      </c>
      <c r="X35">
        <v>16.562000000000001</v>
      </c>
      <c r="Y35">
        <v>22.358000000000001</v>
      </c>
      <c r="Z35">
        <v>28.994</v>
      </c>
      <c r="AA35">
        <v>25.757000000000001</v>
      </c>
      <c r="AB35">
        <v>23.285</v>
      </c>
      <c r="AC35">
        <v>30.513999999999999</v>
      </c>
      <c r="AD35">
        <v>17.908000000000001</v>
      </c>
      <c r="AE35">
        <v>28.372</v>
      </c>
      <c r="AF35">
        <v>28.798999999999999</v>
      </c>
      <c r="AG35">
        <v>23.385000000000002</v>
      </c>
      <c r="AH35">
        <v>21.103999999999999</v>
      </c>
      <c r="ALQ35" s="4" t="e">
        <v>#N/A</v>
      </c>
    </row>
    <row r="36" spans="1:1005" ht="14.5" x14ac:dyDescent="0.35">
      <c r="A36" s="10">
        <v>47119</v>
      </c>
      <c r="B36" s="8">
        <v>25</v>
      </c>
      <c r="C36" s="8">
        <v>25</v>
      </c>
      <c r="D36" s="11">
        <v>25</v>
      </c>
      <c r="E36">
        <v>27.119</v>
      </c>
      <c r="F36">
        <v>23.123999999999999</v>
      </c>
      <c r="G36">
        <v>33.406999999999996</v>
      </c>
      <c r="H36">
        <v>27.858000000000001</v>
      </c>
      <c r="I36">
        <v>29.645</v>
      </c>
      <c r="J36">
        <v>26.408000000000001</v>
      </c>
      <c r="K36">
        <v>25.748000000000001</v>
      </c>
      <c r="L36">
        <v>20.457000000000001</v>
      </c>
      <c r="M36">
        <v>19.530999999999999</v>
      </c>
      <c r="N36">
        <v>15.260999999999999</v>
      </c>
      <c r="O36">
        <v>19.696999999999999</v>
      </c>
      <c r="P36">
        <v>21.863</v>
      </c>
      <c r="Q36">
        <v>23.939</v>
      </c>
      <c r="R36">
        <v>24.210999999999999</v>
      </c>
      <c r="S36">
        <v>19.672999999999998</v>
      </c>
      <c r="T36">
        <v>26.893999999999998</v>
      </c>
      <c r="U36">
        <v>24.097999999999999</v>
      </c>
      <c r="V36">
        <v>21.893000000000001</v>
      </c>
      <c r="W36">
        <v>25.558</v>
      </c>
      <c r="X36">
        <v>15.349</v>
      </c>
      <c r="Y36">
        <v>19.602</v>
      </c>
      <c r="Z36">
        <v>25.521000000000001</v>
      </c>
      <c r="AA36">
        <v>23.741</v>
      </c>
      <c r="AB36">
        <v>21.388000000000002</v>
      </c>
      <c r="AC36">
        <v>26.638000000000002</v>
      </c>
      <c r="AD36">
        <v>16.443999999999999</v>
      </c>
      <c r="AE36">
        <v>25.863</v>
      </c>
      <c r="AF36">
        <v>23.454999999999998</v>
      </c>
      <c r="AG36">
        <v>21.231999999999999</v>
      </c>
      <c r="AH36">
        <v>19.748999999999999</v>
      </c>
      <c r="ALQ36" s="4" t="e">
        <v>#N/A</v>
      </c>
    </row>
    <row r="37" spans="1:1005" ht="14.5" x14ac:dyDescent="0.35">
      <c r="A37" s="10">
        <v>47150</v>
      </c>
      <c r="B37" s="8">
        <v>23</v>
      </c>
      <c r="C37" s="13">
        <v>23</v>
      </c>
      <c r="D37" s="14">
        <v>23</v>
      </c>
      <c r="E37">
        <v>22.779</v>
      </c>
      <c r="F37">
        <v>25.04</v>
      </c>
      <c r="G37">
        <v>32.017000000000003</v>
      </c>
      <c r="H37">
        <v>22.838999999999999</v>
      </c>
      <c r="I37">
        <v>25.411999999999999</v>
      </c>
      <c r="J37">
        <v>24.934000000000001</v>
      </c>
      <c r="K37">
        <v>25.163</v>
      </c>
      <c r="L37">
        <v>19.282</v>
      </c>
      <c r="M37">
        <v>16.510000000000002</v>
      </c>
      <c r="N37">
        <v>17.216000000000001</v>
      </c>
      <c r="O37">
        <v>16.978000000000002</v>
      </c>
      <c r="P37">
        <v>19.308</v>
      </c>
      <c r="Q37">
        <v>19.614000000000001</v>
      </c>
      <c r="R37">
        <v>22.382000000000001</v>
      </c>
      <c r="S37">
        <v>16.016999999999999</v>
      </c>
      <c r="T37">
        <v>23.393999999999998</v>
      </c>
      <c r="U37">
        <v>19.959</v>
      </c>
      <c r="V37">
        <v>18.398</v>
      </c>
      <c r="W37">
        <v>21.338999999999999</v>
      </c>
      <c r="X37">
        <v>13.364000000000001</v>
      </c>
      <c r="Y37">
        <v>19.535</v>
      </c>
      <c r="Z37">
        <v>29.053999999999998</v>
      </c>
      <c r="AA37">
        <v>21.853999999999999</v>
      </c>
      <c r="AB37">
        <v>25.425999999999998</v>
      </c>
      <c r="AC37">
        <v>27.035</v>
      </c>
      <c r="AD37">
        <v>14.054</v>
      </c>
      <c r="AE37">
        <v>22.439</v>
      </c>
      <c r="AF37">
        <v>21.777999999999999</v>
      </c>
      <c r="AG37" s="4">
        <v>19.463000000000001</v>
      </c>
      <c r="AH37" s="4">
        <v>18.004999999999999</v>
      </c>
      <c r="ALQ37" s="4" t="e">
        <v>#N/A</v>
      </c>
    </row>
    <row r="38" spans="1:1005" ht="14.5" x14ac:dyDescent="0.35">
      <c r="A38" s="10">
        <v>47178</v>
      </c>
      <c r="B38" s="8">
        <v>38</v>
      </c>
      <c r="C38" s="13">
        <v>38</v>
      </c>
      <c r="D38" s="14">
        <v>38</v>
      </c>
      <c r="E38">
        <v>40.207000000000001</v>
      </c>
      <c r="F38">
        <v>45.548999999999999</v>
      </c>
      <c r="G38">
        <v>41.276000000000003</v>
      </c>
      <c r="H38">
        <v>43.86</v>
      </c>
      <c r="I38">
        <v>42.188000000000002</v>
      </c>
      <c r="J38">
        <v>35.997999999999998</v>
      </c>
      <c r="K38">
        <v>30.754000000000001</v>
      </c>
      <c r="L38">
        <v>28.902999999999999</v>
      </c>
      <c r="M38">
        <v>21.396000000000001</v>
      </c>
      <c r="N38">
        <v>27.652000000000001</v>
      </c>
      <c r="O38">
        <v>43.973999999999997</v>
      </c>
      <c r="P38">
        <v>24.861000000000001</v>
      </c>
      <c r="Q38">
        <v>28.222000000000001</v>
      </c>
      <c r="R38">
        <v>52.713000000000001</v>
      </c>
      <c r="S38">
        <v>17.225999999999999</v>
      </c>
      <c r="T38">
        <v>41.206000000000003</v>
      </c>
      <c r="U38">
        <v>23.940999999999999</v>
      </c>
      <c r="V38">
        <v>30.222000000000001</v>
      </c>
      <c r="W38">
        <v>37.468000000000004</v>
      </c>
      <c r="X38">
        <v>20.311</v>
      </c>
      <c r="Y38">
        <v>25.748999999999999</v>
      </c>
      <c r="Z38">
        <v>50.484999999999999</v>
      </c>
      <c r="AA38">
        <v>36.680999999999997</v>
      </c>
      <c r="AB38">
        <v>57.045999999999999</v>
      </c>
      <c r="AC38">
        <v>29.234000000000002</v>
      </c>
      <c r="AD38">
        <v>19.718</v>
      </c>
      <c r="AE38">
        <v>34.229999999999997</v>
      </c>
      <c r="AF38">
        <v>28.097999999999999</v>
      </c>
      <c r="AG38" s="4">
        <v>32.170999999999999</v>
      </c>
      <c r="AH38" s="4">
        <v>32.758000000000003</v>
      </c>
      <c r="ALQ38" s="4" t="e">
        <v>#N/A</v>
      </c>
    </row>
    <row r="39" spans="1:1005" ht="14.5" x14ac:dyDescent="0.35">
      <c r="A39" s="10">
        <v>47209</v>
      </c>
      <c r="B39" s="13">
        <v>78</v>
      </c>
      <c r="C39" s="13">
        <v>78</v>
      </c>
      <c r="D39" s="14">
        <v>78</v>
      </c>
      <c r="E39">
        <v>73.415999999999997</v>
      </c>
      <c r="F39">
        <v>59.77</v>
      </c>
      <c r="G39">
        <v>95.331999999999994</v>
      </c>
      <c r="H39">
        <v>78.134</v>
      </c>
      <c r="I39">
        <v>61.927999999999997</v>
      </c>
      <c r="J39">
        <v>50.213000000000001</v>
      </c>
      <c r="K39">
        <v>84.778000000000006</v>
      </c>
      <c r="L39">
        <v>58.906999999999996</v>
      </c>
      <c r="M39">
        <v>54.23</v>
      </c>
      <c r="N39">
        <v>50.171999999999997</v>
      </c>
      <c r="O39">
        <v>92.081000000000003</v>
      </c>
      <c r="P39">
        <v>60.561999999999998</v>
      </c>
      <c r="Q39">
        <v>88.698999999999998</v>
      </c>
      <c r="R39">
        <v>88.968000000000004</v>
      </c>
      <c r="S39">
        <v>46.697000000000003</v>
      </c>
      <c r="T39">
        <v>61.343000000000004</v>
      </c>
      <c r="U39">
        <v>53.758000000000003</v>
      </c>
      <c r="V39">
        <v>63.418999999999997</v>
      </c>
      <c r="W39">
        <v>80.936999999999998</v>
      </c>
      <c r="X39">
        <v>37.137999999999998</v>
      </c>
      <c r="Y39">
        <v>64.39</v>
      </c>
      <c r="Z39">
        <v>74.971000000000004</v>
      </c>
      <c r="AA39">
        <v>59.792999999999999</v>
      </c>
      <c r="AB39">
        <v>106.22199999999999</v>
      </c>
      <c r="AC39">
        <v>48.204999999999998</v>
      </c>
      <c r="AD39">
        <v>75.100999999999999</v>
      </c>
      <c r="AE39">
        <v>49.426000000000002</v>
      </c>
      <c r="AF39">
        <v>50.625999999999998</v>
      </c>
      <c r="AG39">
        <v>73.387</v>
      </c>
      <c r="AH39">
        <v>68.188000000000002</v>
      </c>
      <c r="ALQ39" s="4" t="e">
        <v>#N/A</v>
      </c>
    </row>
    <row r="40" spans="1:1005" ht="14.5" x14ac:dyDescent="0.35">
      <c r="A40" s="10">
        <v>47239</v>
      </c>
      <c r="B40" s="13">
        <v>204</v>
      </c>
      <c r="C40" s="13">
        <v>204</v>
      </c>
      <c r="D40" s="14">
        <v>204</v>
      </c>
      <c r="E40">
        <v>213.44399999999999</v>
      </c>
      <c r="F40">
        <v>241.536</v>
      </c>
      <c r="G40">
        <v>355.52699999999999</v>
      </c>
      <c r="H40">
        <v>311.64699999999999</v>
      </c>
      <c r="I40">
        <v>194.26499999999999</v>
      </c>
      <c r="J40">
        <v>204.62</v>
      </c>
      <c r="K40">
        <v>240.46100000000001</v>
      </c>
      <c r="L40">
        <v>237.411</v>
      </c>
      <c r="M40">
        <v>94.135999999999996</v>
      </c>
      <c r="N40">
        <v>166.25700000000001</v>
      </c>
      <c r="O40">
        <v>220.452</v>
      </c>
      <c r="P40">
        <v>251.917</v>
      </c>
      <c r="Q40">
        <v>232.15700000000001</v>
      </c>
      <c r="R40">
        <v>219.297</v>
      </c>
      <c r="S40">
        <v>232.422</v>
      </c>
      <c r="T40">
        <v>294.17500000000001</v>
      </c>
      <c r="U40">
        <v>121.68300000000001</v>
      </c>
      <c r="V40">
        <v>145.54900000000001</v>
      </c>
      <c r="W40">
        <v>140.51400000000001</v>
      </c>
      <c r="X40">
        <v>101.328</v>
      </c>
      <c r="Y40">
        <v>236.006</v>
      </c>
      <c r="Z40">
        <v>158.85</v>
      </c>
      <c r="AA40">
        <v>158.64099999999999</v>
      </c>
      <c r="AB40">
        <v>239.55199999999999</v>
      </c>
      <c r="AC40">
        <v>161.517</v>
      </c>
      <c r="AD40">
        <v>175.56100000000001</v>
      </c>
      <c r="AE40">
        <v>179.52600000000001</v>
      </c>
      <c r="AF40">
        <v>129.06</v>
      </c>
      <c r="AG40" s="4">
        <v>207.911</v>
      </c>
      <c r="AH40" s="4">
        <v>278.97199999999998</v>
      </c>
      <c r="ALQ40" s="4" t="e">
        <v>#N/A</v>
      </c>
    </row>
    <row r="41" spans="1:1005" ht="14.5" x14ac:dyDescent="0.35">
      <c r="A41" s="10">
        <v>47270</v>
      </c>
      <c r="B41" s="13">
        <v>251</v>
      </c>
      <c r="C41" s="13">
        <v>251</v>
      </c>
      <c r="D41" s="14">
        <v>251</v>
      </c>
      <c r="E41">
        <v>207.21199999999999</v>
      </c>
      <c r="F41">
        <v>574.17200000000003</v>
      </c>
      <c r="G41">
        <v>304.69200000000001</v>
      </c>
      <c r="H41">
        <v>479.75700000000001</v>
      </c>
      <c r="I41">
        <v>201.37700000000001</v>
      </c>
      <c r="J41">
        <v>319.64</v>
      </c>
      <c r="K41">
        <v>146.63200000000001</v>
      </c>
      <c r="L41">
        <v>183.185</v>
      </c>
      <c r="M41">
        <v>53.462000000000003</v>
      </c>
      <c r="N41">
        <v>198.923</v>
      </c>
      <c r="O41">
        <v>134.10499999999999</v>
      </c>
      <c r="P41">
        <v>277.40300000000002</v>
      </c>
      <c r="Q41">
        <v>176.62200000000001</v>
      </c>
      <c r="R41">
        <v>159.48099999999999</v>
      </c>
      <c r="S41">
        <v>467.63099999999997</v>
      </c>
      <c r="T41">
        <v>253.69399999999999</v>
      </c>
      <c r="U41">
        <v>253.37200000000001</v>
      </c>
      <c r="V41">
        <v>417.49700000000001</v>
      </c>
      <c r="W41">
        <v>51.725000000000001</v>
      </c>
      <c r="X41">
        <v>147.696</v>
      </c>
      <c r="Y41">
        <v>316.20100000000002</v>
      </c>
      <c r="Z41">
        <v>340.78800000000001</v>
      </c>
      <c r="AA41">
        <v>280.56900000000002</v>
      </c>
      <c r="AB41">
        <v>380.99599999999998</v>
      </c>
      <c r="AC41">
        <v>71.531999999999996</v>
      </c>
      <c r="AD41">
        <v>401.99700000000001</v>
      </c>
      <c r="AE41">
        <v>185.47200000000001</v>
      </c>
      <c r="AF41">
        <v>263.12400000000002</v>
      </c>
      <c r="AG41" s="4">
        <v>153.67099999999999</v>
      </c>
      <c r="AH41" s="4">
        <v>401.38900000000001</v>
      </c>
      <c r="ALQ41" s="4" t="e">
        <v>#N/A</v>
      </c>
    </row>
    <row r="42" spans="1:1005" ht="14.5" x14ac:dyDescent="0.35">
      <c r="A42" s="10">
        <v>47300</v>
      </c>
      <c r="B42" s="13">
        <v>86</v>
      </c>
      <c r="C42" s="13">
        <v>86</v>
      </c>
      <c r="D42" s="14">
        <v>86</v>
      </c>
      <c r="E42">
        <v>62.957000000000001</v>
      </c>
      <c r="F42">
        <v>419.29399999999998</v>
      </c>
      <c r="G42">
        <v>107.79900000000001</v>
      </c>
      <c r="H42">
        <v>167.83699999999999</v>
      </c>
      <c r="I42">
        <v>95.430999999999997</v>
      </c>
      <c r="J42">
        <v>205.73400000000001</v>
      </c>
      <c r="K42">
        <v>49.496000000000002</v>
      </c>
      <c r="L42">
        <v>57.064999999999998</v>
      </c>
      <c r="M42">
        <v>23.556999999999999</v>
      </c>
      <c r="N42">
        <v>54.970999999999997</v>
      </c>
      <c r="O42">
        <v>52.228000000000002</v>
      </c>
      <c r="P42">
        <v>110.31</v>
      </c>
      <c r="Q42">
        <v>68.823999999999998</v>
      </c>
      <c r="R42">
        <v>61.573</v>
      </c>
      <c r="S42">
        <v>204.459</v>
      </c>
      <c r="T42">
        <v>130.25</v>
      </c>
      <c r="U42">
        <v>67.414000000000001</v>
      </c>
      <c r="V42">
        <v>215.28100000000001</v>
      </c>
      <c r="W42">
        <v>27.239000000000001</v>
      </c>
      <c r="X42">
        <v>54.851999999999997</v>
      </c>
      <c r="Y42">
        <v>96.67</v>
      </c>
      <c r="Z42">
        <v>113.10299999999999</v>
      </c>
      <c r="AA42">
        <v>89.396000000000001</v>
      </c>
      <c r="AB42">
        <v>128.36699999999999</v>
      </c>
      <c r="AC42">
        <v>31.446999999999999</v>
      </c>
      <c r="AD42">
        <v>244.39599999999999</v>
      </c>
      <c r="AE42">
        <v>57.901000000000003</v>
      </c>
      <c r="AF42">
        <v>114.309</v>
      </c>
      <c r="AG42" s="4">
        <v>62.987000000000002</v>
      </c>
      <c r="AH42" s="4">
        <v>175.19200000000001</v>
      </c>
      <c r="ALQ42" s="4" t="e">
        <v>#N/A</v>
      </c>
    </row>
    <row r="43" spans="1:1005" ht="14.5" x14ac:dyDescent="0.35">
      <c r="A43" s="10">
        <v>47331</v>
      </c>
      <c r="B43" s="13">
        <v>55</v>
      </c>
      <c r="C43" s="13">
        <v>55</v>
      </c>
      <c r="D43" s="14">
        <v>55</v>
      </c>
      <c r="E43">
        <v>42.139000000000003</v>
      </c>
      <c r="F43" s="4">
        <v>122.009</v>
      </c>
      <c r="G43" s="4">
        <v>53.307000000000002</v>
      </c>
      <c r="H43" s="4">
        <v>81.59</v>
      </c>
      <c r="I43" s="4">
        <v>49.49</v>
      </c>
      <c r="J43" s="4">
        <v>85.603999999999999</v>
      </c>
      <c r="K43" s="4">
        <v>44.100999999999999</v>
      </c>
      <c r="L43" s="4">
        <v>51.497</v>
      </c>
      <c r="M43" s="4">
        <v>20.942</v>
      </c>
      <c r="N43" s="4">
        <v>41.125</v>
      </c>
      <c r="O43" s="4">
        <v>36.692</v>
      </c>
      <c r="P43" s="4">
        <v>57.494999999999997</v>
      </c>
      <c r="Q43" s="4">
        <v>48.524000000000001</v>
      </c>
      <c r="R43" s="4">
        <v>45.454999999999998</v>
      </c>
      <c r="S43" s="4">
        <v>76.677999999999997</v>
      </c>
      <c r="T43" s="4">
        <v>53.671999999999997</v>
      </c>
      <c r="U43" s="4">
        <v>48.807000000000002</v>
      </c>
      <c r="V43" s="4">
        <v>68.168000000000006</v>
      </c>
      <c r="W43" s="4">
        <v>28.071000000000002</v>
      </c>
      <c r="X43" s="4">
        <v>39.255000000000003</v>
      </c>
      <c r="Y43" s="4">
        <v>55.203000000000003</v>
      </c>
      <c r="Z43" s="4">
        <v>52.558999999999997</v>
      </c>
      <c r="AA43" s="4">
        <v>52.465000000000003</v>
      </c>
      <c r="AB43" s="4">
        <v>63.018000000000001</v>
      </c>
      <c r="AC43" s="4">
        <v>26.463999999999999</v>
      </c>
      <c r="AD43" s="4">
        <v>79.733000000000004</v>
      </c>
      <c r="AE43" s="4">
        <v>38.637999999999998</v>
      </c>
      <c r="AF43" s="4">
        <v>54.262</v>
      </c>
      <c r="AG43" s="4">
        <v>52.93</v>
      </c>
      <c r="AH43" s="4">
        <v>67.406999999999996</v>
      </c>
      <c r="ALQ43" s="4" t="e">
        <v>#N/A</v>
      </c>
    </row>
    <row r="44" spans="1:1005" ht="14.5" x14ac:dyDescent="0.35">
      <c r="A44" s="10">
        <v>47362</v>
      </c>
      <c r="B44" s="13">
        <v>35</v>
      </c>
      <c r="C44" s="13">
        <v>35</v>
      </c>
      <c r="D44" s="14">
        <v>35</v>
      </c>
      <c r="E44">
        <v>33.642000000000003</v>
      </c>
      <c r="F44" s="4">
        <v>63.735999999999997</v>
      </c>
      <c r="G44" s="4">
        <v>38.835999999999999</v>
      </c>
      <c r="H44" s="4">
        <v>55.058999999999997</v>
      </c>
      <c r="I44" s="4">
        <v>32.158000000000001</v>
      </c>
      <c r="J44" s="4">
        <v>46.171999999999997</v>
      </c>
      <c r="K44" s="4">
        <v>32.57</v>
      </c>
      <c r="L44" s="4">
        <v>30.097000000000001</v>
      </c>
      <c r="M44" s="4">
        <v>20.61</v>
      </c>
      <c r="N44" s="4">
        <v>54.131999999999998</v>
      </c>
      <c r="O44" s="4">
        <v>32.683999999999997</v>
      </c>
      <c r="P44" s="4">
        <v>36.959000000000003</v>
      </c>
      <c r="Q44" s="4">
        <v>36.454999999999998</v>
      </c>
      <c r="R44" s="4">
        <v>39.753</v>
      </c>
      <c r="S44" s="4">
        <v>43.395000000000003</v>
      </c>
      <c r="T44" s="4">
        <v>35.79</v>
      </c>
      <c r="U44" s="4">
        <v>28.22</v>
      </c>
      <c r="V44" s="4">
        <v>39.073</v>
      </c>
      <c r="W44" s="4">
        <v>22.998999999999999</v>
      </c>
      <c r="X44" s="4">
        <v>52.631</v>
      </c>
      <c r="Y44" s="4">
        <v>51.33</v>
      </c>
      <c r="Z44" s="4">
        <v>37.933999999999997</v>
      </c>
      <c r="AA44" s="4">
        <v>34.183</v>
      </c>
      <c r="AB44" s="4">
        <v>38.296999999999997</v>
      </c>
      <c r="AC44" s="4">
        <v>21.565999999999999</v>
      </c>
      <c r="AD44" s="4">
        <v>42.097000000000001</v>
      </c>
      <c r="AE44" s="4">
        <v>36.151000000000003</v>
      </c>
      <c r="AF44" s="4">
        <v>33.353999999999999</v>
      </c>
      <c r="AG44" s="4">
        <v>36.957000000000001</v>
      </c>
      <c r="AH44" s="4">
        <v>47.601999999999997</v>
      </c>
      <c r="ALQ44" s="4" t="e">
        <v>#N/A</v>
      </c>
    </row>
    <row r="45" spans="1:1005" ht="14.5" x14ac:dyDescent="0.35">
      <c r="A45" s="10">
        <v>47392</v>
      </c>
      <c r="B45" s="13">
        <v>40</v>
      </c>
      <c r="C45" s="13">
        <v>31</v>
      </c>
      <c r="D45" s="14">
        <v>36</v>
      </c>
      <c r="E45">
        <v>39.904000000000003</v>
      </c>
      <c r="F45" s="4">
        <v>57.360999999999997</v>
      </c>
      <c r="G45" s="4">
        <v>45.78</v>
      </c>
      <c r="H45" s="4">
        <v>55.841999999999999</v>
      </c>
      <c r="I45" s="4">
        <v>41.576000000000001</v>
      </c>
      <c r="J45" s="4">
        <v>37.35</v>
      </c>
      <c r="K45" s="4">
        <v>28.957999999999998</v>
      </c>
      <c r="L45" s="4">
        <v>28.684999999999999</v>
      </c>
      <c r="M45" s="4">
        <v>27.704000000000001</v>
      </c>
      <c r="N45" s="4">
        <v>32.642000000000003</v>
      </c>
      <c r="O45" s="4">
        <v>30.57</v>
      </c>
      <c r="P45" s="4">
        <v>48.838000000000001</v>
      </c>
      <c r="Q45" s="4">
        <v>57.161000000000001</v>
      </c>
      <c r="R45" s="4">
        <v>39.531999999999996</v>
      </c>
      <c r="S45" s="4">
        <v>39.533999999999999</v>
      </c>
      <c r="T45" s="4">
        <v>37.567999999999998</v>
      </c>
      <c r="U45" s="4">
        <v>29.393999999999998</v>
      </c>
      <c r="V45" s="4">
        <v>38.161999999999999</v>
      </c>
      <c r="W45" s="4">
        <v>22.151</v>
      </c>
      <c r="X45" s="4">
        <v>47.514000000000003</v>
      </c>
      <c r="Y45" s="4">
        <v>56.283000000000001</v>
      </c>
      <c r="Z45" s="4">
        <v>32.752000000000002</v>
      </c>
      <c r="AA45" s="4">
        <v>29.965</v>
      </c>
      <c r="AB45" s="4">
        <v>39.515000000000001</v>
      </c>
      <c r="AC45" s="4">
        <v>24.204999999999998</v>
      </c>
      <c r="AD45" s="4">
        <v>36.554000000000002</v>
      </c>
      <c r="AE45" s="4">
        <v>35.109000000000002</v>
      </c>
      <c r="AF45" s="4">
        <v>28.358000000000001</v>
      </c>
      <c r="AG45" s="4">
        <v>27.817</v>
      </c>
      <c r="AH45" s="4">
        <v>43.899000000000001</v>
      </c>
      <c r="ALQ45" s="4" t="e">
        <v>#N/A</v>
      </c>
    </row>
    <row r="46" spans="1:1005" ht="14.5" x14ac:dyDescent="0.35">
      <c r="A46" s="10">
        <v>47423</v>
      </c>
      <c r="B46" s="13">
        <v>33</v>
      </c>
      <c r="C46" s="13">
        <v>29</v>
      </c>
      <c r="D46" s="14">
        <v>31</v>
      </c>
      <c r="E46">
        <v>30.82</v>
      </c>
      <c r="F46" s="4">
        <v>43.569000000000003</v>
      </c>
      <c r="G46" s="4">
        <v>39.101999999999997</v>
      </c>
      <c r="H46" s="4">
        <v>42.512999999999998</v>
      </c>
      <c r="I46" s="4">
        <v>34.033000000000001</v>
      </c>
      <c r="J46" s="4">
        <v>29.884</v>
      </c>
      <c r="K46" s="4">
        <v>25.405000000000001</v>
      </c>
      <c r="L46" s="4">
        <v>28.234999999999999</v>
      </c>
      <c r="M46" s="4">
        <v>18.38</v>
      </c>
      <c r="N46" s="4">
        <v>24.446000000000002</v>
      </c>
      <c r="O46" s="4">
        <v>27.672999999999998</v>
      </c>
      <c r="P46" s="4">
        <v>37.590000000000003</v>
      </c>
      <c r="Q46" s="4">
        <v>40.441000000000003</v>
      </c>
      <c r="R46" s="4">
        <v>32.216999999999999</v>
      </c>
      <c r="S46" s="4">
        <v>33.633000000000003</v>
      </c>
      <c r="T46" s="4">
        <v>33.259</v>
      </c>
      <c r="U46" s="4">
        <v>29.312000000000001</v>
      </c>
      <c r="V46" s="4">
        <v>31.309000000000001</v>
      </c>
      <c r="W46" s="4">
        <v>18.446000000000002</v>
      </c>
      <c r="X46" s="4">
        <v>30.626000000000001</v>
      </c>
      <c r="Y46" s="4">
        <v>35.82</v>
      </c>
      <c r="Z46" s="4">
        <v>29.306000000000001</v>
      </c>
      <c r="AA46" s="4">
        <v>25.811</v>
      </c>
      <c r="AB46" s="4">
        <v>33.418999999999997</v>
      </c>
      <c r="AC46" s="4">
        <v>22.172999999999998</v>
      </c>
      <c r="AD46" s="4">
        <v>31.423999999999999</v>
      </c>
      <c r="AE46" s="4">
        <v>36.250999999999998</v>
      </c>
      <c r="AF46" s="4">
        <v>26.721</v>
      </c>
      <c r="AG46" s="4">
        <v>23.72</v>
      </c>
      <c r="AH46" s="4">
        <v>35.277999999999999</v>
      </c>
      <c r="ALQ46" s="4" t="e">
        <v>#N/A</v>
      </c>
    </row>
    <row r="47" spans="1:1005" ht="14.5" x14ac:dyDescent="0.35">
      <c r="A47" s="10">
        <v>47453</v>
      </c>
      <c r="B47" s="13">
        <v>26</v>
      </c>
      <c r="C47" s="13">
        <v>26</v>
      </c>
      <c r="D47" s="14">
        <v>26</v>
      </c>
      <c r="E47">
        <v>25.521000000000001</v>
      </c>
      <c r="F47" s="4">
        <v>39.585999999999999</v>
      </c>
      <c r="G47" s="4">
        <v>32.53</v>
      </c>
      <c r="H47" s="4">
        <v>34.091999999999999</v>
      </c>
      <c r="I47" s="4">
        <v>30.806000000000001</v>
      </c>
      <c r="J47" s="4">
        <v>26.422000000000001</v>
      </c>
      <c r="K47" s="4">
        <v>22.381</v>
      </c>
      <c r="L47" s="4">
        <v>22.763999999999999</v>
      </c>
      <c r="M47" s="4">
        <v>15.879</v>
      </c>
      <c r="N47" s="4">
        <v>21.966999999999999</v>
      </c>
      <c r="O47" s="4">
        <v>22.722999999999999</v>
      </c>
      <c r="P47" s="4">
        <v>27.898</v>
      </c>
      <c r="Q47" s="4">
        <v>28.504999999999999</v>
      </c>
      <c r="R47" s="4">
        <v>23.652000000000001</v>
      </c>
      <c r="S47" s="4">
        <v>29.623999999999999</v>
      </c>
      <c r="T47" s="4">
        <v>27.245999999999999</v>
      </c>
      <c r="U47" s="4">
        <v>24.645</v>
      </c>
      <c r="V47" s="4">
        <v>27.341999999999999</v>
      </c>
      <c r="W47" s="4">
        <v>16.648</v>
      </c>
      <c r="X47" s="4">
        <v>23.274999999999999</v>
      </c>
      <c r="Y47" s="4">
        <v>28.864999999999998</v>
      </c>
      <c r="Z47" s="4">
        <v>25.795999999999999</v>
      </c>
      <c r="AA47" s="4">
        <v>23.597000000000001</v>
      </c>
      <c r="AB47" s="4">
        <v>30.870999999999999</v>
      </c>
      <c r="AC47" s="4">
        <v>18.169</v>
      </c>
      <c r="AD47" s="4">
        <v>28.805</v>
      </c>
      <c r="AE47" s="4">
        <v>28.731999999999999</v>
      </c>
      <c r="AF47" s="4">
        <v>24.103999999999999</v>
      </c>
      <c r="AG47" s="4">
        <v>21.227</v>
      </c>
      <c r="AH47" s="4">
        <v>29.962</v>
      </c>
      <c r="ALQ47" s="4" t="e">
        <v>#N/A</v>
      </c>
    </row>
    <row r="48" spans="1:1005" ht="14.5" x14ac:dyDescent="0.35">
      <c r="A48" s="10">
        <v>47484</v>
      </c>
      <c r="B48" s="13">
        <v>25</v>
      </c>
      <c r="C48" s="13">
        <v>25</v>
      </c>
      <c r="D48" s="14">
        <v>25</v>
      </c>
      <c r="E48">
        <v>23.158999999999999</v>
      </c>
      <c r="F48" s="4">
        <v>33.783000000000001</v>
      </c>
      <c r="G48" s="4">
        <v>27.951000000000001</v>
      </c>
      <c r="H48" s="4">
        <v>30.245000000000001</v>
      </c>
      <c r="I48" s="4">
        <v>26.85</v>
      </c>
      <c r="J48" s="4">
        <v>26.260999999999999</v>
      </c>
      <c r="K48" s="4">
        <v>20.739000000000001</v>
      </c>
      <c r="L48" s="4">
        <v>19.895</v>
      </c>
      <c r="M48" s="4">
        <v>15.428000000000001</v>
      </c>
      <c r="N48" s="4">
        <v>19.843</v>
      </c>
      <c r="O48" s="4">
        <v>21.741</v>
      </c>
      <c r="P48" s="4">
        <v>24.164999999999999</v>
      </c>
      <c r="Q48" s="4">
        <v>24.355</v>
      </c>
      <c r="R48" s="4">
        <v>19.872</v>
      </c>
      <c r="S48" s="4">
        <v>27.018000000000001</v>
      </c>
      <c r="T48" s="4">
        <v>24.277999999999999</v>
      </c>
      <c r="U48" s="4">
        <v>22.542999999999999</v>
      </c>
      <c r="V48" s="4">
        <v>25.786999999999999</v>
      </c>
      <c r="W48" s="4">
        <v>15.427</v>
      </c>
      <c r="X48" s="4">
        <v>20.416</v>
      </c>
      <c r="Y48" s="4">
        <v>25.402000000000001</v>
      </c>
      <c r="Z48" s="4">
        <v>23.777999999999999</v>
      </c>
      <c r="AA48" s="4">
        <v>21.673999999999999</v>
      </c>
      <c r="AB48" s="4">
        <v>26.777000000000001</v>
      </c>
      <c r="AC48" s="4">
        <v>16.684999999999999</v>
      </c>
      <c r="AD48" s="4">
        <v>26.262</v>
      </c>
      <c r="AE48" s="4">
        <v>23.396000000000001</v>
      </c>
      <c r="AF48" s="4">
        <v>21.768000000000001</v>
      </c>
      <c r="AG48" s="4">
        <v>19.863</v>
      </c>
      <c r="AH48" s="4">
        <v>27.245000000000001</v>
      </c>
      <c r="ALQ48" s="4" t="e">
        <v>#N/A</v>
      </c>
    </row>
    <row r="49" spans="1:1005" ht="14.5" x14ac:dyDescent="0.35">
      <c r="A49" s="10">
        <v>47515</v>
      </c>
      <c r="B49" s="13">
        <v>23</v>
      </c>
      <c r="C49" s="13">
        <v>23</v>
      </c>
      <c r="D49" s="14">
        <v>23</v>
      </c>
      <c r="E49">
        <v>25.068999999999999</v>
      </c>
      <c r="F49" s="4">
        <v>32.345999999999997</v>
      </c>
      <c r="G49" s="4">
        <v>22.914999999999999</v>
      </c>
      <c r="H49" s="4">
        <v>25.838000000000001</v>
      </c>
      <c r="I49" s="4">
        <v>25.318999999999999</v>
      </c>
      <c r="J49" s="4">
        <v>25.606999999999999</v>
      </c>
      <c r="K49" s="4">
        <v>19.530999999999999</v>
      </c>
      <c r="L49" s="4">
        <v>16.777000000000001</v>
      </c>
      <c r="M49" s="4">
        <v>17.356999999999999</v>
      </c>
      <c r="N49" s="4">
        <v>17.099</v>
      </c>
      <c r="O49" s="4">
        <v>19.204999999999998</v>
      </c>
      <c r="P49" s="4">
        <v>19.75</v>
      </c>
      <c r="Q49" s="4">
        <v>22.51</v>
      </c>
      <c r="R49" s="4">
        <v>16.184000000000001</v>
      </c>
      <c r="S49" s="4">
        <v>23.498999999999999</v>
      </c>
      <c r="T49" s="4">
        <v>20.077000000000002</v>
      </c>
      <c r="U49" s="4">
        <v>18.939</v>
      </c>
      <c r="V49" s="4">
        <v>21.53</v>
      </c>
      <c r="W49" s="4">
        <v>13.43</v>
      </c>
      <c r="X49" s="4">
        <v>19.925999999999998</v>
      </c>
      <c r="Y49" s="4">
        <v>28.942</v>
      </c>
      <c r="Z49" s="4">
        <v>21.885999999999999</v>
      </c>
      <c r="AA49" s="4">
        <v>25.681000000000001</v>
      </c>
      <c r="AB49" s="4">
        <v>27.100999999999999</v>
      </c>
      <c r="AC49" s="4">
        <v>14.256</v>
      </c>
      <c r="AD49" s="4">
        <v>22.777000000000001</v>
      </c>
      <c r="AE49" s="4">
        <v>21.725999999999999</v>
      </c>
      <c r="AF49" s="4">
        <v>19.847999999999999</v>
      </c>
      <c r="AG49" s="4">
        <v>18.100000000000001</v>
      </c>
      <c r="AH49" s="4">
        <v>22.882999999999999</v>
      </c>
      <c r="ALQ49" s="4" t="e">
        <v>#N/A</v>
      </c>
    </row>
    <row r="50" spans="1:1005" ht="14.5" x14ac:dyDescent="0.35">
      <c r="A50" s="10">
        <v>47543</v>
      </c>
      <c r="B50" s="13">
        <v>38</v>
      </c>
      <c r="C50" s="13">
        <v>38</v>
      </c>
      <c r="D50" s="14">
        <v>38</v>
      </c>
      <c r="E50">
        <v>45.581000000000003</v>
      </c>
      <c r="F50" s="4">
        <v>41.661999999999999</v>
      </c>
      <c r="G50" s="4">
        <v>43.956000000000003</v>
      </c>
      <c r="H50" s="4">
        <v>41.91</v>
      </c>
      <c r="I50" s="4">
        <v>36.462000000000003</v>
      </c>
      <c r="J50" s="4">
        <v>31.248999999999999</v>
      </c>
      <c r="K50" s="4">
        <v>29.190999999999999</v>
      </c>
      <c r="L50" s="4">
        <v>21.23</v>
      </c>
      <c r="M50" s="4">
        <v>27.81</v>
      </c>
      <c r="N50" s="4">
        <v>44.146000000000001</v>
      </c>
      <c r="O50" s="4">
        <v>24.745999999999999</v>
      </c>
      <c r="P50" s="4">
        <v>28.061</v>
      </c>
      <c r="Q50" s="4">
        <v>52.896000000000001</v>
      </c>
      <c r="R50" s="4">
        <v>17.398</v>
      </c>
      <c r="S50" s="4">
        <v>41.332000000000001</v>
      </c>
      <c r="T50" s="4">
        <v>23.536999999999999</v>
      </c>
      <c r="U50" s="4">
        <v>30.901</v>
      </c>
      <c r="V50" s="4">
        <v>37.72</v>
      </c>
      <c r="W50" s="4">
        <v>20.373000000000001</v>
      </c>
      <c r="X50" s="4">
        <v>26.396999999999998</v>
      </c>
      <c r="Y50" s="4">
        <v>50.329000000000001</v>
      </c>
      <c r="Z50" s="4">
        <v>36.722000000000001</v>
      </c>
      <c r="AA50" s="4">
        <v>57.445</v>
      </c>
      <c r="AB50" s="4">
        <v>29.19</v>
      </c>
      <c r="AC50" s="4">
        <v>19.936</v>
      </c>
      <c r="AD50" s="4">
        <v>34.651000000000003</v>
      </c>
      <c r="AE50" s="4">
        <v>28.041</v>
      </c>
      <c r="AF50" s="4">
        <v>32.087000000000003</v>
      </c>
      <c r="AG50" s="4">
        <v>32.86</v>
      </c>
      <c r="AH50" s="4">
        <v>40.326000000000001</v>
      </c>
      <c r="ALQ50" s="4" t="e">
        <v>#N/A</v>
      </c>
    </row>
    <row r="51" spans="1:1005" ht="14.5" x14ac:dyDescent="0.35">
      <c r="A51" s="10">
        <v>47574</v>
      </c>
      <c r="B51" s="13">
        <v>78</v>
      </c>
      <c r="C51" s="13">
        <v>78</v>
      </c>
      <c r="D51" s="14">
        <v>78</v>
      </c>
      <c r="E51">
        <v>59.817999999999998</v>
      </c>
      <c r="F51" s="4">
        <v>95.933000000000007</v>
      </c>
      <c r="G51" s="4">
        <v>78.25</v>
      </c>
      <c r="H51" s="4">
        <v>60.692999999999998</v>
      </c>
      <c r="I51" s="4">
        <v>50.71</v>
      </c>
      <c r="J51" s="4">
        <v>85.581000000000003</v>
      </c>
      <c r="K51" s="4">
        <v>59.290999999999997</v>
      </c>
      <c r="L51" s="4">
        <v>53.359000000000002</v>
      </c>
      <c r="M51" s="4">
        <v>50.392000000000003</v>
      </c>
      <c r="N51" s="4">
        <v>92.298000000000002</v>
      </c>
      <c r="O51" s="4">
        <v>60.402999999999999</v>
      </c>
      <c r="P51" s="4">
        <v>86.956999999999994</v>
      </c>
      <c r="Q51" s="4">
        <v>89.141000000000005</v>
      </c>
      <c r="R51" s="4">
        <v>46.930999999999997</v>
      </c>
      <c r="S51" s="4">
        <v>61.502000000000002</v>
      </c>
      <c r="T51" s="4">
        <v>52.787999999999997</v>
      </c>
      <c r="U51" s="4">
        <v>64.382000000000005</v>
      </c>
      <c r="V51" s="4">
        <v>81.221999999999994</v>
      </c>
      <c r="W51" s="4">
        <v>37.203000000000003</v>
      </c>
      <c r="X51" s="4">
        <v>64.06</v>
      </c>
      <c r="Y51" s="4">
        <v>74.813000000000002</v>
      </c>
      <c r="Z51" s="4">
        <v>59.838000000000001</v>
      </c>
      <c r="AA51" s="4">
        <v>106.718</v>
      </c>
      <c r="AB51" s="4">
        <v>46.314</v>
      </c>
      <c r="AC51" s="4">
        <v>75.448999999999998</v>
      </c>
      <c r="AD51" s="4">
        <v>49.94</v>
      </c>
      <c r="AE51" s="4">
        <v>50.545000000000002</v>
      </c>
      <c r="AF51" s="4">
        <v>69.855000000000004</v>
      </c>
      <c r="AG51" s="4">
        <v>68.343999999999994</v>
      </c>
      <c r="AH51" s="4">
        <v>73.591999999999999</v>
      </c>
      <c r="ALQ51" s="4" t="e">
        <v>#N/A</v>
      </c>
    </row>
    <row r="52" spans="1:1005" ht="14.5" x14ac:dyDescent="0.35">
      <c r="A52" s="10">
        <v>47604</v>
      </c>
      <c r="B52" s="13">
        <v>204</v>
      </c>
      <c r="C52" s="13">
        <v>204</v>
      </c>
      <c r="D52" s="14">
        <v>204</v>
      </c>
      <c r="E52">
        <v>241.614</v>
      </c>
      <c r="F52" s="4">
        <v>356.16500000000002</v>
      </c>
      <c r="G52" s="4">
        <v>311.75099999999998</v>
      </c>
      <c r="H52" s="4">
        <v>187.786</v>
      </c>
      <c r="I52" s="4">
        <v>205.32900000000001</v>
      </c>
      <c r="J52" s="4">
        <v>241.11099999999999</v>
      </c>
      <c r="K52" s="4">
        <v>237.85599999999999</v>
      </c>
      <c r="L52" s="4">
        <v>92.186000000000007</v>
      </c>
      <c r="M52" s="4">
        <v>166.547</v>
      </c>
      <c r="N52" s="4">
        <v>220.82300000000001</v>
      </c>
      <c r="O52" s="4">
        <v>251.71700000000001</v>
      </c>
      <c r="P52" s="4">
        <v>228.46899999999999</v>
      </c>
      <c r="Q52" s="4">
        <v>219.45099999999999</v>
      </c>
      <c r="R52" s="4">
        <v>233.20699999999999</v>
      </c>
      <c r="S52" s="4">
        <v>294.44200000000001</v>
      </c>
      <c r="T52" s="4">
        <v>114.614</v>
      </c>
      <c r="U52" s="4">
        <v>146.684</v>
      </c>
      <c r="V52" s="4">
        <v>140.73699999999999</v>
      </c>
      <c r="W52" s="4">
        <v>101.44199999999999</v>
      </c>
      <c r="X52" s="4">
        <v>225.51</v>
      </c>
      <c r="Y52" s="4">
        <v>158.66999999999999</v>
      </c>
      <c r="Z52" s="4">
        <v>158.69200000000001</v>
      </c>
      <c r="AA52" s="4">
        <v>240.11199999999999</v>
      </c>
      <c r="AB52" s="4">
        <v>159.83500000000001</v>
      </c>
      <c r="AC52" s="4">
        <v>176.09299999999999</v>
      </c>
      <c r="AD52" s="4">
        <v>180.10900000000001</v>
      </c>
      <c r="AE52" s="4">
        <v>128.96600000000001</v>
      </c>
      <c r="AF52" s="4">
        <v>206.19300000000001</v>
      </c>
      <c r="AG52" s="4">
        <v>279.33800000000002</v>
      </c>
      <c r="AH52" s="4">
        <v>213.66399999999999</v>
      </c>
      <c r="ALQ52" s="4" t="e">
        <v>#N/A</v>
      </c>
    </row>
    <row r="53" spans="1:1005" ht="14.5" x14ac:dyDescent="0.35">
      <c r="A53" s="10">
        <v>47635</v>
      </c>
      <c r="B53" s="13">
        <v>251</v>
      </c>
      <c r="C53" s="13">
        <v>251</v>
      </c>
      <c r="D53" s="14">
        <v>251</v>
      </c>
      <c r="E53">
        <v>574.22</v>
      </c>
      <c r="F53" s="4">
        <v>304.94299999999998</v>
      </c>
      <c r="G53" s="4">
        <v>479.79500000000002</v>
      </c>
      <c r="H53" s="4">
        <v>206.124</v>
      </c>
      <c r="I53" s="4">
        <v>319.92399999999998</v>
      </c>
      <c r="J53" s="4">
        <v>146.95699999999999</v>
      </c>
      <c r="K53" s="4">
        <v>183.38900000000001</v>
      </c>
      <c r="L53" s="4">
        <v>56.420999999999999</v>
      </c>
      <c r="M53" s="4">
        <v>199.11600000000001</v>
      </c>
      <c r="N53" s="4">
        <v>134.23500000000001</v>
      </c>
      <c r="O53" s="4">
        <v>277.31700000000001</v>
      </c>
      <c r="P53" s="4">
        <v>180.17</v>
      </c>
      <c r="Q53" s="4">
        <v>159.571</v>
      </c>
      <c r="R53" s="4">
        <v>468.11599999999999</v>
      </c>
      <c r="S53" s="4">
        <v>253.79499999999999</v>
      </c>
      <c r="T53" s="4">
        <v>258.36799999999999</v>
      </c>
      <c r="U53" s="4">
        <v>418.24599999999998</v>
      </c>
      <c r="V53" s="4">
        <v>51.832000000000001</v>
      </c>
      <c r="W53" s="4">
        <v>147.779</v>
      </c>
      <c r="X53" s="4">
        <v>324.8</v>
      </c>
      <c r="Y53" s="4">
        <v>340.71199999999999</v>
      </c>
      <c r="Z53" s="4">
        <v>280.608</v>
      </c>
      <c r="AA53" s="4">
        <v>381.29399999999998</v>
      </c>
      <c r="AB53" s="4">
        <v>73.875</v>
      </c>
      <c r="AC53" s="4">
        <v>402.32</v>
      </c>
      <c r="AD53" s="4">
        <v>185.77699999999999</v>
      </c>
      <c r="AE53" s="4">
        <v>263.07400000000001</v>
      </c>
      <c r="AF53" s="4">
        <v>157.29400000000001</v>
      </c>
      <c r="AG53" s="4">
        <v>401.59899999999999</v>
      </c>
      <c r="AH53" s="4">
        <v>207.309</v>
      </c>
      <c r="ALQ53" s="4" t="e">
        <v>#N/A</v>
      </c>
    </row>
    <row r="54" spans="1:1005" ht="14.5" x14ac:dyDescent="0.35">
      <c r="A54" s="10">
        <v>47665</v>
      </c>
      <c r="B54" s="13">
        <v>86</v>
      </c>
      <c r="C54" s="13">
        <v>86</v>
      </c>
      <c r="D54" s="14">
        <v>86</v>
      </c>
      <c r="E54">
        <v>419.30500000000001</v>
      </c>
      <c r="F54" s="4">
        <v>107.98</v>
      </c>
      <c r="G54" s="4">
        <v>167.874</v>
      </c>
      <c r="H54" s="4">
        <v>98.841999999999999</v>
      </c>
      <c r="I54" s="4">
        <v>205.95599999999999</v>
      </c>
      <c r="J54" s="4">
        <v>49.741</v>
      </c>
      <c r="K54" s="4">
        <v>57.216000000000001</v>
      </c>
      <c r="L54" s="4">
        <v>24.036999999999999</v>
      </c>
      <c r="M54" s="4">
        <v>55.042000000000002</v>
      </c>
      <c r="N54" s="4">
        <v>52.295999999999999</v>
      </c>
      <c r="O54" s="4">
        <v>110.249</v>
      </c>
      <c r="P54" s="4">
        <v>69.462999999999994</v>
      </c>
      <c r="Q54" s="4">
        <v>61.646999999999998</v>
      </c>
      <c r="R54" s="4">
        <v>204.59700000000001</v>
      </c>
      <c r="S54" s="4">
        <v>130.315</v>
      </c>
      <c r="T54" s="4">
        <v>69.697999999999993</v>
      </c>
      <c r="U54" s="4">
        <v>215.63399999999999</v>
      </c>
      <c r="V54" s="4">
        <v>27.358000000000001</v>
      </c>
      <c r="W54" s="4">
        <v>54.896999999999998</v>
      </c>
      <c r="X54" s="4">
        <v>99.935000000000002</v>
      </c>
      <c r="Y54" s="4">
        <v>113.04</v>
      </c>
      <c r="Z54" s="4">
        <v>89.418999999999997</v>
      </c>
      <c r="AA54" s="4">
        <v>128.51599999999999</v>
      </c>
      <c r="AB54" s="4">
        <v>32.136000000000003</v>
      </c>
      <c r="AC54" s="4">
        <v>244.53299999999999</v>
      </c>
      <c r="AD54" s="4">
        <v>58.093000000000004</v>
      </c>
      <c r="AE54" s="4">
        <v>114.27200000000001</v>
      </c>
      <c r="AF54" s="4">
        <v>64.048000000000002</v>
      </c>
      <c r="AG54" s="4">
        <v>175.26</v>
      </c>
      <c r="AH54" s="4">
        <v>63.012</v>
      </c>
      <c r="ALQ54" s="4" t="e">
        <v>#N/A</v>
      </c>
    </row>
    <row r="55" spans="1:1005" ht="14.5" x14ac:dyDescent="0.35">
      <c r="A55" s="10">
        <v>47696</v>
      </c>
      <c r="B55" s="13">
        <v>55</v>
      </c>
      <c r="C55" s="13">
        <v>55</v>
      </c>
      <c r="D55" s="14">
        <v>55</v>
      </c>
      <c r="E55">
        <v>122.011</v>
      </c>
      <c r="F55" s="4">
        <v>53.465000000000003</v>
      </c>
      <c r="G55" s="4">
        <v>81.623999999999995</v>
      </c>
      <c r="H55" s="4">
        <v>50.600999999999999</v>
      </c>
      <c r="I55" s="4">
        <v>85.79</v>
      </c>
      <c r="J55" s="4">
        <v>44.351999999999997</v>
      </c>
      <c r="K55" s="4">
        <v>51.643000000000001</v>
      </c>
      <c r="L55" s="4">
        <v>21.143999999999998</v>
      </c>
      <c r="M55" s="4">
        <v>41.195999999999998</v>
      </c>
      <c r="N55" s="4">
        <v>36.746000000000002</v>
      </c>
      <c r="O55" s="4">
        <v>57.44</v>
      </c>
      <c r="P55" s="4">
        <v>49.183</v>
      </c>
      <c r="Q55" s="4">
        <v>45.524999999999999</v>
      </c>
      <c r="R55" s="4">
        <v>76.748999999999995</v>
      </c>
      <c r="S55" s="4">
        <v>53.725999999999999</v>
      </c>
      <c r="T55" s="4">
        <v>49.381</v>
      </c>
      <c r="U55" s="4">
        <v>68.441000000000003</v>
      </c>
      <c r="V55" s="4">
        <v>28.186</v>
      </c>
      <c r="W55" s="4">
        <v>39.287999999999997</v>
      </c>
      <c r="X55" s="4">
        <v>56.148000000000003</v>
      </c>
      <c r="Y55" s="4">
        <v>52.505000000000003</v>
      </c>
      <c r="Z55" s="4">
        <v>52.484999999999999</v>
      </c>
      <c r="AA55" s="4">
        <v>63.137</v>
      </c>
      <c r="AB55" s="4">
        <v>26.709</v>
      </c>
      <c r="AC55" s="4">
        <v>79.823999999999998</v>
      </c>
      <c r="AD55" s="4">
        <v>38.828000000000003</v>
      </c>
      <c r="AE55" s="4">
        <v>54.23</v>
      </c>
      <c r="AF55" s="4">
        <v>52.951999999999998</v>
      </c>
      <c r="AG55" s="4">
        <v>67.447999999999993</v>
      </c>
      <c r="AH55" s="4">
        <v>42.188000000000002</v>
      </c>
      <c r="ALQ55" s="4" t="e">
        <v>#N/A</v>
      </c>
    </row>
    <row r="56" spans="1:1005" ht="14.5" x14ac:dyDescent="0.35">
      <c r="A56" s="10">
        <v>47727</v>
      </c>
      <c r="B56" s="13">
        <v>35</v>
      </c>
      <c r="C56" s="13">
        <v>35</v>
      </c>
      <c r="D56" s="14">
        <v>35</v>
      </c>
      <c r="E56">
        <v>63.738</v>
      </c>
      <c r="F56" s="4">
        <v>38.979999999999997</v>
      </c>
      <c r="G56" s="4">
        <v>55.09</v>
      </c>
      <c r="H56" s="4">
        <v>32.582000000000001</v>
      </c>
      <c r="I56" s="4">
        <v>46.332999999999998</v>
      </c>
      <c r="J56" s="4">
        <v>32.787999999999997</v>
      </c>
      <c r="K56" s="4">
        <v>30.222000000000001</v>
      </c>
      <c r="L56" s="4">
        <v>20.388999999999999</v>
      </c>
      <c r="M56" s="4">
        <v>54.207999999999998</v>
      </c>
      <c r="N56" s="4">
        <v>32.731999999999999</v>
      </c>
      <c r="O56" s="4">
        <v>36.911000000000001</v>
      </c>
      <c r="P56" s="4">
        <v>36.292999999999999</v>
      </c>
      <c r="Q56" s="4">
        <v>39.820999999999998</v>
      </c>
      <c r="R56" s="4">
        <v>43.454000000000001</v>
      </c>
      <c r="S56" s="4">
        <v>35.837000000000003</v>
      </c>
      <c r="T56" s="4">
        <v>28.553000000000001</v>
      </c>
      <c r="U56" s="4">
        <v>39.314</v>
      </c>
      <c r="V56" s="4">
        <v>23.102</v>
      </c>
      <c r="W56" s="4">
        <v>52.665999999999997</v>
      </c>
      <c r="X56" s="4">
        <v>50.639000000000003</v>
      </c>
      <c r="Y56" s="4">
        <v>37.884999999999998</v>
      </c>
      <c r="Z56" s="4">
        <v>34.201000000000001</v>
      </c>
      <c r="AA56" s="4">
        <v>38.398000000000003</v>
      </c>
      <c r="AB56" s="4">
        <v>21.658999999999999</v>
      </c>
      <c r="AC56" s="4">
        <v>42.173999999999999</v>
      </c>
      <c r="AD56" s="4">
        <v>36.331000000000003</v>
      </c>
      <c r="AE56" s="4">
        <v>33.326000000000001</v>
      </c>
      <c r="AF56" s="4">
        <v>37.917000000000002</v>
      </c>
      <c r="AG56" s="4">
        <v>47.637</v>
      </c>
      <c r="AH56" s="4">
        <v>33.686999999999998</v>
      </c>
      <c r="ALQ56" s="4" t="e">
        <v>#N/A</v>
      </c>
    </row>
    <row r="57" spans="1:1005" ht="14.5" x14ac:dyDescent="0.35">
      <c r="A57" s="10">
        <v>47757</v>
      </c>
      <c r="B57" s="13">
        <v>40</v>
      </c>
      <c r="C57" s="13">
        <v>31</v>
      </c>
      <c r="D57" s="14">
        <v>36</v>
      </c>
      <c r="E57">
        <v>57.362000000000002</v>
      </c>
      <c r="F57" s="4">
        <v>45.921999999999997</v>
      </c>
      <c r="G57" s="4">
        <v>55.871000000000002</v>
      </c>
      <c r="H57" s="4">
        <v>41.591999999999999</v>
      </c>
      <c r="I57" s="4">
        <v>37.503999999999998</v>
      </c>
      <c r="J57" s="4">
        <v>29.161000000000001</v>
      </c>
      <c r="K57" s="4">
        <v>28.805</v>
      </c>
      <c r="L57" s="4">
        <v>28.36</v>
      </c>
      <c r="M57" s="4">
        <v>32.700000000000003</v>
      </c>
      <c r="N57" s="4">
        <v>30.616</v>
      </c>
      <c r="O57" s="4">
        <v>48.790999999999997</v>
      </c>
      <c r="P57" s="4">
        <v>57.662999999999997</v>
      </c>
      <c r="Q57" s="4">
        <v>39.591999999999999</v>
      </c>
      <c r="R57" s="4">
        <v>39.591999999999999</v>
      </c>
      <c r="S57" s="4">
        <v>37.613</v>
      </c>
      <c r="T57" s="4">
        <v>29.431999999999999</v>
      </c>
      <c r="U57" s="4">
        <v>38.393000000000001</v>
      </c>
      <c r="V57" s="4">
        <v>22.248999999999999</v>
      </c>
      <c r="W57" s="4">
        <v>47.545000000000002</v>
      </c>
      <c r="X57" s="4">
        <v>58.118000000000002</v>
      </c>
      <c r="Y57" s="4">
        <v>32.704999999999998</v>
      </c>
      <c r="Z57" s="4">
        <v>29.981999999999999</v>
      </c>
      <c r="AA57" s="4">
        <v>39.610999999999997</v>
      </c>
      <c r="AB57" s="4">
        <v>24.085999999999999</v>
      </c>
      <c r="AC57" s="4">
        <v>36.627000000000002</v>
      </c>
      <c r="AD57" s="4">
        <v>35.273000000000003</v>
      </c>
      <c r="AE57" s="4">
        <v>28.332000000000001</v>
      </c>
      <c r="AF57" s="4">
        <v>28.087</v>
      </c>
      <c r="AG57" s="4">
        <v>43.932000000000002</v>
      </c>
      <c r="AH57" s="4">
        <v>39.947000000000003</v>
      </c>
      <c r="ALQ57" s="4" t="e">
        <v>#N/A</v>
      </c>
    </row>
    <row r="58" spans="1:1005" ht="14.5" x14ac:dyDescent="0.35">
      <c r="A58" s="10">
        <v>47788</v>
      </c>
      <c r="B58" s="13">
        <v>33</v>
      </c>
      <c r="C58" s="13">
        <v>29</v>
      </c>
      <c r="D58" s="14">
        <v>31</v>
      </c>
      <c r="E58">
        <v>43.57</v>
      </c>
      <c r="F58" s="4">
        <v>39.234999999999999</v>
      </c>
      <c r="G58" s="4">
        <v>42.537999999999997</v>
      </c>
      <c r="H58" s="4">
        <v>34.530999999999999</v>
      </c>
      <c r="I58" s="4">
        <v>30.02</v>
      </c>
      <c r="J58" s="4">
        <v>25.587</v>
      </c>
      <c r="K58" s="4">
        <v>28.343</v>
      </c>
      <c r="L58" s="4">
        <v>18.722999999999999</v>
      </c>
      <c r="M58" s="4">
        <v>24.495000000000001</v>
      </c>
      <c r="N58" s="4">
        <v>27.716000000000001</v>
      </c>
      <c r="O58" s="4">
        <v>37.548999999999999</v>
      </c>
      <c r="P58" s="4">
        <v>41.363999999999997</v>
      </c>
      <c r="Q58" s="4">
        <v>32.268999999999998</v>
      </c>
      <c r="R58" s="4">
        <v>33.685000000000002</v>
      </c>
      <c r="S58" s="4">
        <v>33.299999999999997</v>
      </c>
      <c r="T58" s="4">
        <v>29.620999999999999</v>
      </c>
      <c r="U58" s="4">
        <v>31.515000000000001</v>
      </c>
      <c r="V58" s="4">
        <v>18.533999999999999</v>
      </c>
      <c r="W58" s="4">
        <v>30.65</v>
      </c>
      <c r="X58" s="4">
        <v>36.701000000000001</v>
      </c>
      <c r="Y58" s="4">
        <v>29.263999999999999</v>
      </c>
      <c r="Z58" s="4">
        <v>25.826000000000001</v>
      </c>
      <c r="AA58" s="4">
        <v>33.505000000000003</v>
      </c>
      <c r="AB58" s="4">
        <v>22.417000000000002</v>
      </c>
      <c r="AC58" s="4">
        <v>31.49</v>
      </c>
      <c r="AD58" s="4">
        <v>36.409999999999997</v>
      </c>
      <c r="AE58" s="4">
        <v>26.696000000000002</v>
      </c>
      <c r="AF58" s="4">
        <v>23.978999999999999</v>
      </c>
      <c r="AG58" s="4">
        <v>35.307000000000002</v>
      </c>
      <c r="AH58" s="4">
        <v>30.856000000000002</v>
      </c>
      <c r="ALQ58" s="4" t="e">
        <v>#N/A</v>
      </c>
    </row>
    <row r="59" spans="1:1005" ht="14.5" x14ac:dyDescent="0.35">
      <c r="A59" s="10">
        <v>47818</v>
      </c>
      <c r="B59" s="13">
        <v>26</v>
      </c>
      <c r="C59" s="13">
        <v>26</v>
      </c>
      <c r="D59" s="14">
        <v>26</v>
      </c>
      <c r="E59">
        <v>39.587000000000003</v>
      </c>
      <c r="F59" s="4">
        <v>32.65</v>
      </c>
      <c r="G59" s="4">
        <v>34.116</v>
      </c>
      <c r="H59" s="4">
        <v>31.335000000000001</v>
      </c>
      <c r="I59" s="4">
        <v>26.552</v>
      </c>
      <c r="J59" s="4">
        <v>22.553999999999998</v>
      </c>
      <c r="K59" s="4">
        <v>22.867999999999999</v>
      </c>
      <c r="L59" s="4">
        <v>16.135000000000002</v>
      </c>
      <c r="M59" s="4">
        <v>22.013999999999999</v>
      </c>
      <c r="N59" s="4">
        <v>22.760999999999999</v>
      </c>
      <c r="O59" s="4">
        <v>27.859000000000002</v>
      </c>
      <c r="P59" s="4">
        <v>28.931000000000001</v>
      </c>
      <c r="Q59" s="4">
        <v>23.702000000000002</v>
      </c>
      <c r="R59" s="4">
        <v>29.673999999999999</v>
      </c>
      <c r="S59" s="4">
        <v>27.285</v>
      </c>
      <c r="T59" s="4">
        <v>24.806000000000001</v>
      </c>
      <c r="U59" s="4">
        <v>27.54</v>
      </c>
      <c r="V59" s="4">
        <v>16.731999999999999</v>
      </c>
      <c r="W59" s="4">
        <v>23.297000000000001</v>
      </c>
      <c r="X59" s="4">
        <v>29.315000000000001</v>
      </c>
      <c r="Y59" s="4">
        <v>25.756</v>
      </c>
      <c r="Z59" s="4">
        <v>23.611999999999998</v>
      </c>
      <c r="AA59" s="4">
        <v>30.952999999999999</v>
      </c>
      <c r="AB59" s="4">
        <v>18.279</v>
      </c>
      <c r="AC59" s="4">
        <v>28.867999999999999</v>
      </c>
      <c r="AD59" s="4">
        <v>28.876000000000001</v>
      </c>
      <c r="AE59" s="4">
        <v>24.081</v>
      </c>
      <c r="AF59" s="4">
        <v>21.445</v>
      </c>
      <c r="AG59" s="4">
        <v>29.989000000000001</v>
      </c>
      <c r="AH59" s="4">
        <v>25.555</v>
      </c>
      <c r="ALQ59" s="4" t="e">
        <v>#N/A</v>
      </c>
    </row>
    <row r="60" spans="1:1005" ht="14.5" x14ac:dyDescent="0.35">
      <c r="A60" s="10">
        <v>47849</v>
      </c>
      <c r="B60" s="13">
        <v>25</v>
      </c>
      <c r="C60" s="13">
        <v>25</v>
      </c>
      <c r="D60" s="14">
        <v>25</v>
      </c>
      <c r="E60">
        <v>33.783999999999999</v>
      </c>
      <c r="F60" s="4">
        <v>28.058</v>
      </c>
      <c r="G60" s="4">
        <v>30.265999999999998</v>
      </c>
      <c r="H60" s="4">
        <v>27.126999999999999</v>
      </c>
      <c r="I60" s="4">
        <v>26.385000000000002</v>
      </c>
      <c r="J60" s="4">
        <v>20.901</v>
      </c>
      <c r="K60" s="4">
        <v>19.992000000000001</v>
      </c>
      <c r="L60" s="4">
        <v>15.417</v>
      </c>
      <c r="M60" s="4">
        <v>19.885999999999999</v>
      </c>
      <c r="N60" s="4">
        <v>21.776</v>
      </c>
      <c r="O60" s="4">
        <v>24.129000000000001</v>
      </c>
      <c r="P60" s="4">
        <v>24.565000000000001</v>
      </c>
      <c r="Q60" s="4">
        <v>19.919</v>
      </c>
      <c r="R60" s="4">
        <v>27.065000000000001</v>
      </c>
      <c r="S60" s="4">
        <v>24.314</v>
      </c>
      <c r="T60" s="4">
        <v>22.741</v>
      </c>
      <c r="U60" s="4">
        <v>25.974</v>
      </c>
      <c r="V60" s="4">
        <v>15.505000000000001</v>
      </c>
      <c r="W60" s="4">
        <v>20.433</v>
      </c>
      <c r="X60" s="4">
        <v>25.667000000000002</v>
      </c>
      <c r="Y60" s="4">
        <v>23.741</v>
      </c>
      <c r="Z60" s="4">
        <v>21.687999999999999</v>
      </c>
      <c r="AA60" s="4">
        <v>26.852</v>
      </c>
      <c r="AB60" s="4">
        <v>16.786999999999999</v>
      </c>
      <c r="AC60" s="4">
        <v>26.32</v>
      </c>
      <c r="AD60" s="4">
        <v>23.524000000000001</v>
      </c>
      <c r="AE60" s="4">
        <v>21.745999999999999</v>
      </c>
      <c r="AF60" s="4">
        <v>20.045999999999999</v>
      </c>
      <c r="AG60" s="4">
        <v>27.27</v>
      </c>
      <c r="AH60" s="4">
        <v>23.19</v>
      </c>
      <c r="ALQ60" s="4" t="e">
        <v>#N/A</v>
      </c>
    </row>
    <row r="61" spans="1:1005" ht="14.5" x14ac:dyDescent="0.35">
      <c r="A61" s="10">
        <v>47880</v>
      </c>
      <c r="B61" s="13">
        <v>23</v>
      </c>
      <c r="C61" s="13">
        <v>23</v>
      </c>
      <c r="D61" s="14">
        <v>23</v>
      </c>
      <c r="E61">
        <v>32.345999999999997</v>
      </c>
      <c r="F61" s="4">
        <v>23.004999999999999</v>
      </c>
      <c r="G61" s="4">
        <v>25.856000000000002</v>
      </c>
      <c r="H61" s="4">
        <v>25.498000000000001</v>
      </c>
      <c r="I61" s="4">
        <v>25.716999999999999</v>
      </c>
      <c r="J61" s="4">
        <v>19.669</v>
      </c>
      <c r="K61" s="4">
        <v>16.86</v>
      </c>
      <c r="L61" s="4">
        <v>17.611000000000001</v>
      </c>
      <c r="M61" s="4">
        <v>17.135999999999999</v>
      </c>
      <c r="N61" s="4">
        <v>19.234000000000002</v>
      </c>
      <c r="O61" s="4">
        <v>19.72</v>
      </c>
      <c r="P61" s="4">
        <v>22.562999999999999</v>
      </c>
      <c r="Q61" s="4">
        <v>16.222999999999999</v>
      </c>
      <c r="R61" s="4">
        <v>23.54</v>
      </c>
      <c r="S61" s="4">
        <v>20.106999999999999</v>
      </c>
      <c r="T61" s="4">
        <v>18.989000000000001</v>
      </c>
      <c r="U61" s="4">
        <v>21.687999999999999</v>
      </c>
      <c r="V61" s="4">
        <v>13.496</v>
      </c>
      <c r="W61" s="4">
        <v>19.940999999999999</v>
      </c>
      <c r="X61" s="4">
        <v>29.137</v>
      </c>
      <c r="Y61" s="4">
        <v>21.853999999999999</v>
      </c>
      <c r="Z61" s="4">
        <v>25.695</v>
      </c>
      <c r="AA61" s="4">
        <v>27.167000000000002</v>
      </c>
      <c r="AB61" s="4">
        <v>14.334</v>
      </c>
      <c r="AC61" s="4">
        <v>22.826000000000001</v>
      </c>
      <c r="AD61" s="4">
        <v>21.838999999999999</v>
      </c>
      <c r="AE61" s="4">
        <v>19.829000000000001</v>
      </c>
      <c r="AF61" s="4">
        <v>18.209</v>
      </c>
      <c r="AG61" s="4">
        <v>22.904</v>
      </c>
      <c r="AH61" s="4">
        <v>25.094000000000001</v>
      </c>
      <c r="ALQ61" s="4" t="e">
        <v>#N/A</v>
      </c>
    </row>
    <row r="62" spans="1:1005" ht="14.5" x14ac:dyDescent="0.35">
      <c r="A62" s="10">
        <v>47908</v>
      </c>
      <c r="B62" s="13">
        <v>38</v>
      </c>
      <c r="C62" s="13">
        <v>38</v>
      </c>
      <c r="D62" s="14">
        <v>38</v>
      </c>
      <c r="E62">
        <v>41.661000000000001</v>
      </c>
      <c r="F62" s="4">
        <v>44.087000000000003</v>
      </c>
      <c r="G62" s="4">
        <v>41.930999999999997</v>
      </c>
      <c r="H62" s="4">
        <v>36.087000000000003</v>
      </c>
      <c r="I62" s="4">
        <v>31.37</v>
      </c>
      <c r="J62" s="4">
        <v>29.356000000000002</v>
      </c>
      <c r="K62" s="4">
        <v>21.324999999999999</v>
      </c>
      <c r="L62" s="4">
        <v>27.556999999999999</v>
      </c>
      <c r="M62" s="4">
        <v>44.203000000000003</v>
      </c>
      <c r="N62" s="4">
        <v>24.776</v>
      </c>
      <c r="O62" s="4">
        <v>28.024999999999999</v>
      </c>
      <c r="P62" s="4">
        <v>52.460999999999999</v>
      </c>
      <c r="Q62" s="4">
        <v>17.440000000000001</v>
      </c>
      <c r="R62" s="4">
        <v>41.381999999999998</v>
      </c>
      <c r="S62" s="4">
        <v>23.568999999999999</v>
      </c>
      <c r="T62" s="4">
        <v>30.568999999999999</v>
      </c>
      <c r="U62" s="4">
        <v>37.933999999999997</v>
      </c>
      <c r="V62" s="4">
        <v>20.45</v>
      </c>
      <c r="W62" s="4">
        <v>26.41</v>
      </c>
      <c r="X62" s="4">
        <v>48.863999999999997</v>
      </c>
      <c r="Y62" s="4">
        <v>36.682000000000002</v>
      </c>
      <c r="Z62" s="4">
        <v>57.466999999999999</v>
      </c>
      <c r="AA62" s="4">
        <v>29.259</v>
      </c>
      <c r="AB62" s="4">
        <v>19.478000000000002</v>
      </c>
      <c r="AC62" s="4">
        <v>34.709000000000003</v>
      </c>
      <c r="AD62" s="4">
        <v>28.167000000000002</v>
      </c>
      <c r="AE62" s="4">
        <v>32.064</v>
      </c>
      <c r="AF62" s="4">
        <v>31.725000000000001</v>
      </c>
      <c r="AG62" s="4">
        <v>40.350999999999999</v>
      </c>
      <c r="AH62" s="4">
        <v>45.61</v>
      </c>
      <c r="ALQ62" s="4" t="e">
        <v>#N/A</v>
      </c>
    </row>
    <row r="63" spans="1:1005" ht="14.5" x14ac:dyDescent="0.35">
      <c r="A63" s="10">
        <v>47939</v>
      </c>
      <c r="B63" s="13">
        <v>78</v>
      </c>
      <c r="C63" s="13">
        <v>78</v>
      </c>
      <c r="D63" s="14">
        <v>78</v>
      </c>
      <c r="E63">
        <v>95.938000000000002</v>
      </c>
      <c r="F63" s="4">
        <v>78.412000000000006</v>
      </c>
      <c r="G63" s="4">
        <v>60.72</v>
      </c>
      <c r="H63" s="4">
        <v>48.503</v>
      </c>
      <c r="I63" s="4">
        <v>85.765000000000001</v>
      </c>
      <c r="J63" s="4">
        <v>59.515999999999998</v>
      </c>
      <c r="K63" s="4">
        <v>53.468000000000004</v>
      </c>
      <c r="L63" s="4">
        <v>49.097000000000001</v>
      </c>
      <c r="M63" s="4">
        <v>92.373000000000005</v>
      </c>
      <c r="N63" s="4">
        <v>60.451999999999998</v>
      </c>
      <c r="O63" s="4">
        <v>86.903999999999996</v>
      </c>
      <c r="P63" s="4">
        <v>84.79</v>
      </c>
      <c r="Q63" s="4">
        <v>47.012</v>
      </c>
      <c r="R63" s="4">
        <v>61.576000000000001</v>
      </c>
      <c r="S63" s="4">
        <v>52.835000000000001</v>
      </c>
      <c r="T63" s="4">
        <v>63.131</v>
      </c>
      <c r="U63" s="4">
        <v>81.421999999999997</v>
      </c>
      <c r="V63" s="4">
        <v>37.293999999999997</v>
      </c>
      <c r="W63" s="4">
        <v>64.085999999999999</v>
      </c>
      <c r="X63" s="4">
        <v>75.75</v>
      </c>
      <c r="Y63" s="4">
        <v>59.784999999999997</v>
      </c>
      <c r="Z63" s="4">
        <v>106.74</v>
      </c>
      <c r="AA63" s="4">
        <v>46.404000000000003</v>
      </c>
      <c r="AB63" s="4">
        <v>70.212999999999994</v>
      </c>
      <c r="AC63" s="4">
        <v>50.015000000000001</v>
      </c>
      <c r="AD63" s="4">
        <v>50.704999999999998</v>
      </c>
      <c r="AE63" s="4">
        <v>69.822999999999993</v>
      </c>
      <c r="AF63" s="4">
        <v>66.168999999999997</v>
      </c>
      <c r="AG63" s="4">
        <v>73.628</v>
      </c>
      <c r="AH63" s="4">
        <v>59.859000000000002</v>
      </c>
      <c r="ALQ63" s="4" t="e">
        <v>#N/A</v>
      </c>
    </row>
    <row r="64" spans="1:1005" ht="14.5" x14ac:dyDescent="0.35">
      <c r="A64" s="10">
        <v>47969</v>
      </c>
      <c r="B64" s="13">
        <v>204</v>
      </c>
      <c r="C64" s="13">
        <v>204</v>
      </c>
      <c r="D64" s="14">
        <v>204</v>
      </c>
      <c r="E64">
        <v>356.16500000000002</v>
      </c>
      <c r="F64" s="4">
        <v>311.75099999999998</v>
      </c>
      <c r="G64" s="4">
        <v>187.786</v>
      </c>
      <c r="H64" s="4">
        <v>205.32900000000001</v>
      </c>
      <c r="I64" s="4">
        <v>241.11099999999999</v>
      </c>
      <c r="J64" s="4">
        <v>237.85599999999999</v>
      </c>
      <c r="K64" s="4">
        <v>92.186000000000007</v>
      </c>
      <c r="L64" s="4">
        <v>166.547</v>
      </c>
      <c r="M64" s="4">
        <v>220.82300000000001</v>
      </c>
      <c r="N64" s="4">
        <v>251.71700000000001</v>
      </c>
      <c r="O64" s="4">
        <v>228.46899999999999</v>
      </c>
      <c r="P64" s="4">
        <v>219.45099999999999</v>
      </c>
      <c r="Q64" s="4">
        <v>233.20699999999999</v>
      </c>
      <c r="R64" s="4">
        <v>294.44200000000001</v>
      </c>
      <c r="S64" s="4">
        <v>114.614</v>
      </c>
      <c r="T64" s="4">
        <v>146.684</v>
      </c>
      <c r="U64" s="4">
        <v>140.73699999999999</v>
      </c>
      <c r="V64" s="4">
        <v>101.44199999999999</v>
      </c>
      <c r="W64" s="4">
        <v>225.51</v>
      </c>
      <c r="X64" s="4">
        <v>158.66999999999999</v>
      </c>
      <c r="Y64" s="4">
        <v>158.69200000000001</v>
      </c>
      <c r="Z64" s="4">
        <v>240.11199999999999</v>
      </c>
      <c r="AA64" s="4">
        <v>159.83500000000001</v>
      </c>
      <c r="AB64" s="4">
        <v>176.09299999999999</v>
      </c>
      <c r="AC64" s="4">
        <v>180.10900000000001</v>
      </c>
      <c r="AD64" s="4">
        <v>128.96600000000001</v>
      </c>
      <c r="AE64" s="4">
        <v>206.19300000000001</v>
      </c>
      <c r="AF64" s="4">
        <v>279.33800000000002</v>
      </c>
      <c r="AG64" s="4">
        <v>213.66399999999999</v>
      </c>
      <c r="AH64" s="4">
        <v>213.66399999999999</v>
      </c>
      <c r="ALQ64" s="4" t="e">
        <v>#N/A</v>
      </c>
    </row>
    <row r="65" spans="1:1005" ht="14.5" x14ac:dyDescent="0.35">
      <c r="A65" s="10">
        <v>48000</v>
      </c>
      <c r="B65" s="15">
        <v>251</v>
      </c>
      <c r="C65" s="13">
        <v>251</v>
      </c>
      <c r="D65" s="14">
        <v>251</v>
      </c>
      <c r="E65">
        <v>304.94299999999998</v>
      </c>
      <c r="F65" s="4">
        <v>479.79500000000002</v>
      </c>
      <c r="G65" s="4">
        <v>206.124</v>
      </c>
      <c r="H65" s="4">
        <v>319.92399999999998</v>
      </c>
      <c r="I65" s="4">
        <v>146.95699999999999</v>
      </c>
      <c r="J65" s="4">
        <v>183.38900000000001</v>
      </c>
      <c r="K65" s="4">
        <v>56.420999999999999</v>
      </c>
      <c r="L65" s="4">
        <v>199.11600000000001</v>
      </c>
      <c r="M65" s="4">
        <v>134.23500000000001</v>
      </c>
      <c r="N65" s="4">
        <v>277.31700000000001</v>
      </c>
      <c r="O65" s="4">
        <v>180.17</v>
      </c>
      <c r="P65" s="4">
        <v>159.571</v>
      </c>
      <c r="Q65" s="4">
        <v>468.11599999999999</v>
      </c>
      <c r="R65" s="4">
        <v>253.79499999999999</v>
      </c>
      <c r="S65" s="4">
        <v>258.36799999999999</v>
      </c>
      <c r="T65" s="4">
        <v>418.24599999999998</v>
      </c>
      <c r="U65" s="4">
        <v>51.832000000000001</v>
      </c>
      <c r="V65" s="4">
        <v>147.779</v>
      </c>
      <c r="W65" s="4">
        <v>324.8</v>
      </c>
      <c r="X65" s="4">
        <v>340.71199999999999</v>
      </c>
      <c r="Y65" s="4">
        <v>280.608</v>
      </c>
      <c r="Z65" s="4">
        <v>381.29399999999998</v>
      </c>
      <c r="AA65" s="4">
        <v>73.875</v>
      </c>
      <c r="AB65" s="4">
        <v>402.32</v>
      </c>
      <c r="AC65" s="4">
        <v>185.77699999999999</v>
      </c>
      <c r="AD65" s="4">
        <v>263.07400000000001</v>
      </c>
      <c r="AE65" s="4">
        <v>157.29400000000001</v>
      </c>
      <c r="AF65" s="4">
        <v>401.59899999999999</v>
      </c>
      <c r="AG65" s="4">
        <v>207.309</v>
      </c>
      <c r="AH65" s="4">
        <v>207.309</v>
      </c>
      <c r="ALQ65" s="4" t="e">
        <v>#N/A</v>
      </c>
    </row>
    <row r="66" spans="1:1005" ht="14.5" x14ac:dyDescent="0.35">
      <c r="A66" s="10">
        <v>48030</v>
      </c>
      <c r="B66" s="15">
        <v>86</v>
      </c>
      <c r="C66" s="13">
        <v>86</v>
      </c>
      <c r="D66" s="14">
        <v>86</v>
      </c>
      <c r="E66">
        <v>107.98</v>
      </c>
      <c r="F66" s="4">
        <v>167.874</v>
      </c>
      <c r="G66" s="4">
        <v>98.841999999999999</v>
      </c>
      <c r="H66" s="4">
        <v>205.95599999999999</v>
      </c>
      <c r="I66" s="4">
        <v>49.741</v>
      </c>
      <c r="J66" s="4">
        <v>57.216000000000001</v>
      </c>
      <c r="K66" s="4">
        <v>24.036999999999999</v>
      </c>
      <c r="L66" s="4">
        <v>55.042000000000002</v>
      </c>
      <c r="M66" s="4">
        <v>52.295999999999999</v>
      </c>
      <c r="N66" s="4">
        <v>110.249</v>
      </c>
      <c r="O66" s="4">
        <v>69.462999999999994</v>
      </c>
      <c r="P66" s="4">
        <v>61.646999999999998</v>
      </c>
      <c r="Q66" s="4">
        <v>204.59700000000001</v>
      </c>
      <c r="R66" s="4">
        <v>130.315</v>
      </c>
      <c r="S66" s="4">
        <v>69.697999999999993</v>
      </c>
      <c r="T66" s="4">
        <v>215.63399999999999</v>
      </c>
      <c r="U66" s="4">
        <v>27.358000000000001</v>
      </c>
      <c r="V66" s="4">
        <v>54.896999999999998</v>
      </c>
      <c r="W66" s="4">
        <v>99.935000000000002</v>
      </c>
      <c r="X66" s="4">
        <v>113.04</v>
      </c>
      <c r="Y66" s="4">
        <v>89.418999999999997</v>
      </c>
      <c r="Z66" s="4">
        <v>128.51599999999999</v>
      </c>
      <c r="AA66" s="4">
        <v>32.136000000000003</v>
      </c>
      <c r="AB66" s="4">
        <v>244.53299999999999</v>
      </c>
      <c r="AC66" s="4">
        <v>58.093000000000004</v>
      </c>
      <c r="AD66" s="4">
        <v>114.27200000000001</v>
      </c>
      <c r="AE66" s="4">
        <v>64.048000000000002</v>
      </c>
      <c r="AF66" s="4">
        <v>175.26</v>
      </c>
      <c r="AG66" s="4">
        <v>63.012</v>
      </c>
      <c r="AH66" s="4">
        <v>63.012</v>
      </c>
      <c r="ALQ66" s="4" t="e">
        <v>#N/A</v>
      </c>
    </row>
    <row r="67" spans="1:1005" ht="14.5" x14ac:dyDescent="0.35">
      <c r="A67" s="10">
        <v>48061</v>
      </c>
      <c r="B67" s="15">
        <v>55</v>
      </c>
      <c r="C67" s="13">
        <v>55</v>
      </c>
      <c r="D67" s="14">
        <v>55</v>
      </c>
      <c r="E67">
        <v>53.465000000000003</v>
      </c>
      <c r="F67" s="4">
        <v>81.623999999999995</v>
      </c>
      <c r="G67" s="4">
        <v>50.600999999999999</v>
      </c>
      <c r="H67" s="4">
        <v>85.79</v>
      </c>
      <c r="I67" s="4">
        <v>44.351999999999997</v>
      </c>
      <c r="J67" s="4">
        <v>51.643000000000001</v>
      </c>
      <c r="K67" s="4">
        <v>21.143999999999998</v>
      </c>
      <c r="L67" s="4">
        <v>41.195999999999998</v>
      </c>
      <c r="M67" s="4">
        <v>36.746000000000002</v>
      </c>
      <c r="N67" s="4">
        <v>57.44</v>
      </c>
      <c r="O67" s="4">
        <v>49.183</v>
      </c>
      <c r="P67" s="4">
        <v>45.524999999999999</v>
      </c>
      <c r="Q67" s="4">
        <v>76.748999999999995</v>
      </c>
      <c r="R67" s="4">
        <v>53.725999999999999</v>
      </c>
      <c r="S67" s="4">
        <v>49.381</v>
      </c>
      <c r="T67" s="4">
        <v>68.441000000000003</v>
      </c>
      <c r="U67" s="4">
        <v>28.186</v>
      </c>
      <c r="V67" s="4">
        <v>39.287999999999997</v>
      </c>
      <c r="W67" s="4">
        <v>56.148000000000003</v>
      </c>
      <c r="X67" s="4">
        <v>52.505000000000003</v>
      </c>
      <c r="Y67" s="4">
        <v>52.484999999999999</v>
      </c>
      <c r="Z67" s="4">
        <v>63.137</v>
      </c>
      <c r="AA67" s="4">
        <v>26.709</v>
      </c>
      <c r="AB67" s="4">
        <v>79.823999999999998</v>
      </c>
      <c r="AC67" s="4">
        <v>38.828000000000003</v>
      </c>
      <c r="AD67" s="4">
        <v>54.23</v>
      </c>
      <c r="AE67" s="4">
        <v>52.951999999999998</v>
      </c>
      <c r="AF67" s="4">
        <v>67.447999999999993</v>
      </c>
      <c r="AG67" s="4">
        <v>42.188000000000002</v>
      </c>
      <c r="AH67" s="4">
        <v>42.188000000000002</v>
      </c>
      <c r="ALQ67" s="4" t="e">
        <v>#N/A</v>
      </c>
    </row>
    <row r="68" spans="1:1005" ht="14.5" x14ac:dyDescent="0.35">
      <c r="A68" s="10">
        <v>48092</v>
      </c>
      <c r="B68" s="15">
        <v>35</v>
      </c>
      <c r="C68" s="13">
        <v>35</v>
      </c>
      <c r="D68" s="14">
        <v>35</v>
      </c>
      <c r="E68">
        <v>38.979999999999997</v>
      </c>
      <c r="F68" s="4">
        <v>55.09</v>
      </c>
      <c r="G68" s="4">
        <v>32.582000000000001</v>
      </c>
      <c r="H68" s="4">
        <v>46.332999999999998</v>
      </c>
      <c r="I68" s="4">
        <v>32.787999999999997</v>
      </c>
      <c r="J68" s="4">
        <v>30.222000000000001</v>
      </c>
      <c r="K68" s="4">
        <v>20.388999999999999</v>
      </c>
      <c r="L68" s="4">
        <v>54.207999999999998</v>
      </c>
      <c r="M68" s="4">
        <v>32.731999999999999</v>
      </c>
      <c r="N68" s="4">
        <v>36.911000000000001</v>
      </c>
      <c r="O68" s="4">
        <v>36.292999999999999</v>
      </c>
      <c r="P68" s="4">
        <v>39.820999999999998</v>
      </c>
      <c r="Q68" s="4">
        <v>43.454000000000001</v>
      </c>
      <c r="R68" s="4">
        <v>35.837000000000003</v>
      </c>
      <c r="S68" s="4">
        <v>28.553000000000001</v>
      </c>
      <c r="T68" s="4">
        <v>39.314</v>
      </c>
      <c r="U68" s="4">
        <v>23.102</v>
      </c>
      <c r="V68" s="4">
        <v>52.665999999999997</v>
      </c>
      <c r="W68" s="4">
        <v>50.639000000000003</v>
      </c>
      <c r="X68" s="4">
        <v>37.884999999999998</v>
      </c>
      <c r="Y68" s="4">
        <v>34.201000000000001</v>
      </c>
      <c r="Z68" s="4">
        <v>38.398000000000003</v>
      </c>
      <c r="AA68" s="4">
        <v>21.658999999999999</v>
      </c>
      <c r="AB68" s="4">
        <v>42.173999999999999</v>
      </c>
      <c r="AC68" s="4">
        <v>36.331000000000003</v>
      </c>
      <c r="AD68" s="4">
        <v>33.326000000000001</v>
      </c>
      <c r="AE68" s="4">
        <v>37.917000000000002</v>
      </c>
      <c r="AF68" s="4">
        <v>47.637</v>
      </c>
      <c r="AG68" s="4">
        <v>33.686999999999998</v>
      </c>
      <c r="AH68" s="4">
        <v>33.686999999999998</v>
      </c>
      <c r="ALQ68" s="4" t="e">
        <v>#N/A</v>
      </c>
    </row>
    <row r="69" spans="1:1005" ht="14.5" x14ac:dyDescent="0.35">
      <c r="A69" s="10"/>
      <c r="B69" s="15"/>
      <c r="C69" s="13"/>
      <c r="D69" s="14"/>
      <c r="E69"/>
      <c r="ALQ69" s="4" t="e">
        <v>#N/A</v>
      </c>
    </row>
    <row r="70" spans="1:1005" ht="14.5" x14ac:dyDescent="0.35">
      <c r="A70" s="10"/>
      <c r="B70" s="15"/>
      <c r="C70" s="13"/>
      <c r="D70" s="14"/>
      <c r="E70"/>
      <c r="ALQ70" s="4" t="e">
        <v>#N/A</v>
      </c>
    </row>
    <row r="71" spans="1:1005" ht="14.5" x14ac:dyDescent="0.35">
      <c r="A71" s="10"/>
      <c r="B71" s="15"/>
      <c r="C71" s="13"/>
      <c r="D71" s="14"/>
      <c r="E71" s="16"/>
      <c r="ALQ71" s="4" t="e">
        <v>#N/A</v>
      </c>
    </row>
    <row r="72" spans="1:1005" ht="14.5" x14ac:dyDescent="0.35">
      <c r="A72" s="1"/>
      <c r="B72" s="15"/>
      <c r="C72" s="13"/>
      <c r="D72" s="14"/>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LQ72" s="4" t="e">
        <v>#N/A</v>
      </c>
    </row>
    <row r="73" spans="1:1005" ht="14.5" x14ac:dyDescent="0.35">
      <c r="A73" s="1"/>
      <c r="B73" s="15"/>
      <c r="C73" s="13"/>
      <c r="D73" s="14"/>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1005" ht="14.5" x14ac:dyDescent="0.35">
      <c r="A74" s="1"/>
      <c r="B74" s="15"/>
      <c r="C74" s="13"/>
      <c r="D74" s="14"/>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row>
    <row r="75" spans="1:1005" ht="14.5" x14ac:dyDescent="0.35">
      <c r="A75" s="1"/>
      <c r="B75" s="15"/>
      <c r="C75" s="13"/>
      <c r="D75" s="14"/>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6" spans="1:1005" ht="14.5" x14ac:dyDescent="0.35">
      <c r="A76" s="1"/>
      <c r="B76" s="15"/>
      <c r="C76" s="13"/>
      <c r="D76" s="14"/>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row>
    <row r="77" spans="1:1005" ht="14.5" x14ac:dyDescent="0.35">
      <c r="A77" s="1"/>
      <c r="B77" s="15"/>
      <c r="C77" s="13"/>
      <c r="D77" s="14"/>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row>
    <row r="78" spans="1:1005" ht="14.5" x14ac:dyDescent="0.35">
      <c r="A78" s="1"/>
      <c r="B78" s="15"/>
      <c r="C78" s="13"/>
      <c r="D78" s="14"/>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row>
    <row r="79" spans="1:1005" ht="14.5" x14ac:dyDescent="0.35">
      <c r="A79" s="1"/>
      <c r="B79" s="15"/>
      <c r="C79" s="13"/>
      <c r="D79" s="14"/>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row>
    <row r="80" spans="1:1005" ht="14.5" x14ac:dyDescent="0.35">
      <c r="A80" s="1"/>
      <c r="B80" s="15"/>
      <c r="C80" s="13"/>
      <c r="D80" s="14"/>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row>
    <row r="81" spans="1:4" ht="12.75" customHeight="1" x14ac:dyDescent="0.35">
      <c r="A81" s="17"/>
      <c r="B81" s="18"/>
      <c r="C81" s="19"/>
      <c r="D81" s="20"/>
    </row>
    <row r="82" spans="1:4" ht="12.75" customHeight="1" x14ac:dyDescent="0.35">
      <c r="A82" s="17"/>
      <c r="B82" s="18"/>
      <c r="C82" s="19"/>
      <c r="D82" s="20"/>
    </row>
    <row r="83" spans="1:4" ht="12.75" customHeight="1" x14ac:dyDescent="0.35">
      <c r="A83" s="17"/>
      <c r="B83" s="18"/>
      <c r="C83" s="19"/>
      <c r="D83" s="20"/>
    </row>
    <row r="84" spans="1:4" ht="12.75" customHeight="1" x14ac:dyDescent="0.35">
      <c r="A84" s="17"/>
      <c r="B84" s="18"/>
      <c r="C84" s="19"/>
      <c r="D84" s="20"/>
    </row>
  </sheetData>
  <mergeCells count="1">
    <mergeCell ref="B1:AH1"/>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8760-BBF9-4CCA-814B-F1FF4DDCB868}">
  <sheetPr codeName="Sheet4">
    <tabColor rgb="FFFFFFB3"/>
  </sheetPr>
  <dimension ref="A1:ALQ84"/>
  <sheetViews>
    <sheetView topLeftCell="A52" workbookViewId="0">
      <selection activeCell="D4" sqref="D4"/>
    </sheetView>
  </sheetViews>
  <sheetFormatPr defaultColWidth="18.6328125" defaultRowHeight="12.75" customHeight="1" x14ac:dyDescent="0.35"/>
  <cols>
    <col min="1" max="4" width="7.54296875" style="3" customWidth="1"/>
    <col min="5" max="30" width="8" style="4" customWidth="1"/>
    <col min="31" max="31" width="8.36328125" style="32" customWidth="1"/>
    <col min="32" max="54" width="8.6328125" style="4" customWidth="1"/>
    <col min="55" max="16384" width="18.6328125" style="4"/>
  </cols>
  <sheetData>
    <row r="1" spans="1:54" ht="14.5" x14ac:dyDescent="0.35">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4"/>
      <c r="AJ1" s="24"/>
      <c r="AK1" s="24"/>
      <c r="AL1" s="24"/>
      <c r="AM1" s="24"/>
      <c r="AN1" s="24"/>
      <c r="AO1" s="24"/>
      <c r="AP1" s="24"/>
      <c r="AQ1" s="24"/>
      <c r="AR1" s="24"/>
      <c r="AS1" s="24"/>
      <c r="AT1" s="24"/>
      <c r="AU1" s="24"/>
      <c r="AV1" s="24"/>
      <c r="AW1" s="24"/>
      <c r="AX1" s="24"/>
      <c r="AY1" s="24"/>
      <c r="AZ1" s="24"/>
      <c r="BA1" s="24"/>
      <c r="BB1" s="24"/>
    </row>
    <row r="2" spans="1:54" s="3" customFormat="1" ht="14.5" x14ac:dyDescent="0.35">
      <c r="A2" s="22"/>
      <c r="B2" s="25" t="s">
        <v>0</v>
      </c>
      <c r="C2" s="25" t="s">
        <v>1</v>
      </c>
      <c r="D2" s="25" t="s">
        <v>2</v>
      </c>
      <c r="E2" s="25">
        <v>1991</v>
      </c>
      <c r="F2" s="25">
        <v>1992</v>
      </c>
      <c r="G2" s="25">
        <v>1993</v>
      </c>
      <c r="H2" s="25">
        <v>1994</v>
      </c>
      <c r="I2" s="25">
        <v>1995</v>
      </c>
      <c r="J2" s="25">
        <v>1996</v>
      </c>
      <c r="K2" s="25">
        <v>1997</v>
      </c>
      <c r="L2" s="25">
        <v>1998</v>
      </c>
      <c r="M2" s="25">
        <v>1999</v>
      </c>
      <c r="N2" s="25">
        <v>2000</v>
      </c>
      <c r="O2" s="25">
        <v>2001</v>
      </c>
      <c r="P2" s="25">
        <v>2002</v>
      </c>
      <c r="Q2" s="25">
        <v>2003</v>
      </c>
      <c r="R2" s="25">
        <v>2004</v>
      </c>
      <c r="S2" s="25">
        <v>2005</v>
      </c>
      <c r="T2" s="25">
        <v>2006</v>
      </c>
      <c r="U2" s="25">
        <v>2007</v>
      </c>
      <c r="V2" s="25">
        <v>2008</v>
      </c>
      <c r="W2" s="25">
        <v>2009</v>
      </c>
      <c r="X2" s="25">
        <v>2010</v>
      </c>
      <c r="Y2" s="25">
        <v>2011</v>
      </c>
      <c r="Z2" s="25">
        <v>2012</v>
      </c>
      <c r="AA2" s="25">
        <v>2013</v>
      </c>
      <c r="AB2" s="25">
        <v>2014</v>
      </c>
      <c r="AC2" s="25">
        <v>2015</v>
      </c>
      <c r="AD2" s="25">
        <v>2016</v>
      </c>
      <c r="AE2" s="26">
        <v>2017</v>
      </c>
      <c r="AF2" s="25">
        <v>2018</v>
      </c>
      <c r="AG2" s="25">
        <v>2019</v>
      </c>
      <c r="AH2" s="25">
        <v>2020</v>
      </c>
    </row>
    <row r="3" spans="1:54" s="3" customFormat="1" ht="14.5" x14ac:dyDescent="0.35">
      <c r="A3" s="27"/>
      <c r="B3" s="28" t="s">
        <v>3</v>
      </c>
      <c r="C3" s="28" t="s">
        <v>4</v>
      </c>
      <c r="D3" s="28" t="s">
        <v>5</v>
      </c>
      <c r="E3" s="28" t="s">
        <v>6</v>
      </c>
      <c r="F3" s="28" t="s">
        <v>7</v>
      </c>
      <c r="G3" s="28" t="s">
        <v>8</v>
      </c>
      <c r="H3" s="28" t="s">
        <v>9</v>
      </c>
      <c r="I3" s="28" t="s">
        <v>10</v>
      </c>
      <c r="J3" s="28" t="s">
        <v>11</v>
      </c>
      <c r="K3" s="28" t="s">
        <v>12</v>
      </c>
      <c r="L3" s="28" t="s">
        <v>13</v>
      </c>
      <c r="M3" s="28" t="s">
        <v>14</v>
      </c>
      <c r="N3" s="28" t="s">
        <v>15</v>
      </c>
      <c r="O3" s="28" t="s">
        <v>16</v>
      </c>
      <c r="P3" s="28" t="s">
        <v>17</v>
      </c>
      <c r="Q3" s="28" t="s">
        <v>18</v>
      </c>
      <c r="R3" s="28" t="s">
        <v>19</v>
      </c>
      <c r="S3" s="28" t="s">
        <v>20</v>
      </c>
      <c r="T3" s="28" t="s">
        <v>21</v>
      </c>
      <c r="U3" s="28" t="s">
        <v>22</v>
      </c>
      <c r="V3" s="28" t="s">
        <v>23</v>
      </c>
      <c r="W3" s="28" t="s">
        <v>24</v>
      </c>
      <c r="X3" s="28" t="s">
        <v>25</v>
      </c>
      <c r="Y3" s="28" t="s">
        <v>26</v>
      </c>
      <c r="Z3" s="28" t="s">
        <v>27</v>
      </c>
      <c r="AA3" s="28" t="s">
        <v>28</v>
      </c>
      <c r="AB3" s="28" t="s">
        <v>29</v>
      </c>
      <c r="AC3" s="28" t="s">
        <v>30</v>
      </c>
      <c r="AD3" s="28" t="s">
        <v>31</v>
      </c>
      <c r="AE3" s="28" t="s">
        <v>32</v>
      </c>
      <c r="AF3" s="28" t="s">
        <v>33</v>
      </c>
      <c r="AG3" s="28" t="s">
        <v>34</v>
      </c>
      <c r="AH3" s="28" t="s">
        <v>35</v>
      </c>
    </row>
    <row r="4" spans="1:54" ht="14.5" x14ac:dyDescent="0.35">
      <c r="A4" s="29">
        <v>46143</v>
      </c>
      <c r="B4" s="30">
        <v>126</v>
      </c>
      <c r="C4" s="31">
        <v>43</v>
      </c>
      <c r="D4" s="9">
        <v>75</v>
      </c>
      <c r="E4">
        <v>59.982999999999997</v>
      </c>
      <c r="F4">
        <v>94.667000000000002</v>
      </c>
      <c r="G4">
        <v>85.703000000000003</v>
      </c>
      <c r="H4">
        <v>74.948999999999998</v>
      </c>
      <c r="I4">
        <v>90.947999999999993</v>
      </c>
      <c r="J4">
        <v>66.322000000000003</v>
      </c>
      <c r="K4">
        <v>72.099000000000004</v>
      </c>
      <c r="L4">
        <v>56.194000000000003</v>
      </c>
      <c r="M4">
        <v>91.674999999999997</v>
      </c>
      <c r="N4">
        <v>88.531000000000006</v>
      </c>
      <c r="O4">
        <v>101.27800000000001</v>
      </c>
      <c r="P4">
        <v>56.884999999999998</v>
      </c>
      <c r="Q4">
        <v>87.319000000000003</v>
      </c>
      <c r="R4">
        <v>71.430000000000007</v>
      </c>
      <c r="S4">
        <v>88.924000000000007</v>
      </c>
      <c r="T4">
        <v>71.364999999999995</v>
      </c>
      <c r="U4">
        <v>82.998999999999995</v>
      </c>
      <c r="V4">
        <v>75.051000000000002</v>
      </c>
      <c r="W4">
        <v>86.001000000000005</v>
      </c>
      <c r="X4">
        <v>62.716999999999999</v>
      </c>
      <c r="Y4">
        <v>67.712000000000003</v>
      </c>
      <c r="Z4">
        <v>71.210999999999999</v>
      </c>
      <c r="AA4">
        <v>76.578000000000003</v>
      </c>
      <c r="AB4">
        <v>84.903999999999996</v>
      </c>
      <c r="AC4">
        <v>75.165999999999997</v>
      </c>
      <c r="AD4">
        <v>74.671000000000006</v>
      </c>
      <c r="AE4">
        <v>69.796999999999997</v>
      </c>
      <c r="AF4">
        <v>77.146000000000001</v>
      </c>
      <c r="AG4">
        <v>52.933</v>
      </c>
      <c r="AH4" s="32">
        <v>72.430000000000007</v>
      </c>
    </row>
    <row r="5" spans="1:54" ht="14.5" x14ac:dyDescent="0.35">
      <c r="A5" s="29">
        <v>46174</v>
      </c>
      <c r="B5" s="33">
        <v>87</v>
      </c>
      <c r="C5" s="8">
        <v>30</v>
      </c>
      <c r="D5" s="11">
        <v>52</v>
      </c>
      <c r="E5">
        <v>56.118000000000002</v>
      </c>
      <c r="F5">
        <v>80.322999999999993</v>
      </c>
      <c r="G5">
        <v>61.369</v>
      </c>
      <c r="H5">
        <v>39.802999999999997</v>
      </c>
      <c r="I5">
        <v>171.089</v>
      </c>
      <c r="J5">
        <v>28.827000000000002</v>
      </c>
      <c r="K5">
        <v>78.307000000000002</v>
      </c>
      <c r="L5">
        <v>36.517000000000003</v>
      </c>
      <c r="M5">
        <v>83.917000000000002</v>
      </c>
      <c r="N5">
        <v>41.256</v>
      </c>
      <c r="O5">
        <v>49.847999999999999</v>
      </c>
      <c r="P5">
        <v>29.077000000000002</v>
      </c>
      <c r="Q5">
        <v>58.05</v>
      </c>
      <c r="R5">
        <v>31.456</v>
      </c>
      <c r="S5">
        <v>45.356000000000002</v>
      </c>
      <c r="T5">
        <v>32.548000000000002</v>
      </c>
      <c r="U5">
        <v>48.095999999999997</v>
      </c>
      <c r="V5">
        <v>67.402000000000001</v>
      </c>
      <c r="W5">
        <v>45.506</v>
      </c>
      <c r="X5">
        <v>54.152000000000001</v>
      </c>
      <c r="Y5">
        <v>79.616</v>
      </c>
      <c r="Z5">
        <v>26.596</v>
      </c>
      <c r="AA5">
        <v>47.319000000000003</v>
      </c>
      <c r="AB5">
        <v>64.135999999999996</v>
      </c>
      <c r="AC5">
        <v>164.15299999999999</v>
      </c>
      <c r="AD5">
        <v>64.572000000000003</v>
      </c>
      <c r="AE5">
        <v>64.718999999999994</v>
      </c>
      <c r="AF5">
        <v>28.648</v>
      </c>
      <c r="AG5">
        <v>101.67</v>
      </c>
      <c r="AH5" s="32">
        <v>40.046999999999997</v>
      </c>
    </row>
    <row r="6" spans="1:54" ht="14.5" x14ac:dyDescent="0.35">
      <c r="A6" s="29">
        <v>46204</v>
      </c>
      <c r="B6" s="33">
        <v>45</v>
      </c>
      <c r="C6" s="8">
        <v>16</v>
      </c>
      <c r="D6" s="11">
        <v>27</v>
      </c>
      <c r="E6">
        <v>30.625</v>
      </c>
      <c r="F6">
        <v>39.795000000000002</v>
      </c>
      <c r="G6">
        <v>29.17</v>
      </c>
      <c r="H6">
        <v>22.321999999999999</v>
      </c>
      <c r="I6">
        <v>91.867999999999995</v>
      </c>
      <c r="J6">
        <v>20.201000000000001</v>
      </c>
      <c r="K6">
        <v>34.484999999999999</v>
      </c>
      <c r="L6">
        <v>21.588999999999999</v>
      </c>
      <c r="M6">
        <v>43.066000000000003</v>
      </c>
      <c r="N6">
        <v>24.385000000000002</v>
      </c>
      <c r="O6">
        <v>26.611999999999998</v>
      </c>
      <c r="P6">
        <v>20.43</v>
      </c>
      <c r="Q6">
        <v>25.486000000000001</v>
      </c>
      <c r="R6">
        <v>21.978999999999999</v>
      </c>
      <c r="S6">
        <v>25.26</v>
      </c>
      <c r="T6">
        <v>25.748999999999999</v>
      </c>
      <c r="U6">
        <v>27.388000000000002</v>
      </c>
      <c r="V6">
        <v>30.035</v>
      </c>
      <c r="W6">
        <v>26.202000000000002</v>
      </c>
      <c r="X6">
        <v>26.120999999999999</v>
      </c>
      <c r="Y6">
        <v>33.222999999999999</v>
      </c>
      <c r="Z6">
        <v>20.379000000000001</v>
      </c>
      <c r="AA6">
        <v>29.734999999999999</v>
      </c>
      <c r="AB6">
        <v>29.166</v>
      </c>
      <c r="AC6">
        <v>62.39</v>
      </c>
      <c r="AD6">
        <v>30.57</v>
      </c>
      <c r="AE6">
        <v>31.931999999999999</v>
      </c>
      <c r="AF6">
        <v>20.262</v>
      </c>
      <c r="AG6">
        <v>41.2</v>
      </c>
      <c r="AH6" s="32">
        <v>24.445</v>
      </c>
    </row>
    <row r="7" spans="1:54" ht="14.5" x14ac:dyDescent="0.35">
      <c r="A7" s="29">
        <v>46235</v>
      </c>
      <c r="B7" s="33">
        <v>43</v>
      </c>
      <c r="C7" s="8">
        <v>25</v>
      </c>
      <c r="D7" s="11">
        <v>31</v>
      </c>
      <c r="E7">
        <v>29.527999999999999</v>
      </c>
      <c r="F7">
        <v>45.847000000000001</v>
      </c>
      <c r="G7">
        <v>27.731000000000002</v>
      </c>
      <c r="H7">
        <v>24.576000000000001</v>
      </c>
      <c r="I7">
        <v>45.006999999999998</v>
      </c>
      <c r="J7">
        <v>21.308</v>
      </c>
      <c r="K7">
        <v>35.024000000000001</v>
      </c>
      <c r="L7">
        <v>24.225999999999999</v>
      </c>
      <c r="M7">
        <v>40.767000000000003</v>
      </c>
      <c r="N7">
        <v>31.530999999999999</v>
      </c>
      <c r="O7">
        <v>36.546999999999997</v>
      </c>
      <c r="P7">
        <v>22.382000000000001</v>
      </c>
      <c r="Q7">
        <v>29.994</v>
      </c>
      <c r="R7">
        <v>24.358000000000001</v>
      </c>
      <c r="S7">
        <v>30.696000000000002</v>
      </c>
      <c r="T7">
        <v>32.704000000000001</v>
      </c>
      <c r="U7">
        <v>32.893000000000001</v>
      </c>
      <c r="V7">
        <v>29.501999999999999</v>
      </c>
      <c r="W7">
        <v>25.684000000000001</v>
      </c>
      <c r="X7">
        <v>32.226999999999997</v>
      </c>
      <c r="Y7">
        <v>27.663</v>
      </c>
      <c r="Z7">
        <v>24.719000000000001</v>
      </c>
      <c r="AA7">
        <v>33.198999999999998</v>
      </c>
      <c r="AB7">
        <v>32.171999999999997</v>
      </c>
      <c r="AC7">
        <v>38.920999999999999</v>
      </c>
      <c r="AD7">
        <v>31.962</v>
      </c>
      <c r="AE7">
        <v>31.303999999999998</v>
      </c>
      <c r="AF7">
        <v>21.951000000000001</v>
      </c>
      <c r="AG7">
        <v>32.347000000000001</v>
      </c>
      <c r="AH7" s="32">
        <v>24.925999999999998</v>
      </c>
    </row>
    <row r="8" spans="1:54" ht="14.5" x14ac:dyDescent="0.35">
      <c r="A8" s="29">
        <v>46266</v>
      </c>
      <c r="B8" s="33">
        <v>38</v>
      </c>
      <c r="C8" s="8">
        <v>27</v>
      </c>
      <c r="D8" s="11">
        <v>25</v>
      </c>
      <c r="E8">
        <v>22.841000000000001</v>
      </c>
      <c r="F8">
        <v>36.265999999999998</v>
      </c>
      <c r="G8">
        <v>26.925000000000001</v>
      </c>
      <c r="H8">
        <v>24.895</v>
      </c>
      <c r="I8">
        <v>34.965000000000003</v>
      </c>
      <c r="J8">
        <v>20.829000000000001</v>
      </c>
      <c r="K8">
        <v>33.347999999999999</v>
      </c>
      <c r="L8">
        <v>19.957999999999998</v>
      </c>
      <c r="M8">
        <v>30.315999999999999</v>
      </c>
      <c r="N8">
        <v>26.045999999999999</v>
      </c>
      <c r="O8">
        <v>24.542999999999999</v>
      </c>
      <c r="P8">
        <v>22.905000000000001</v>
      </c>
      <c r="Q8">
        <v>54.331000000000003</v>
      </c>
      <c r="R8">
        <v>28.247</v>
      </c>
      <c r="S8">
        <v>24.24</v>
      </c>
      <c r="T8">
        <v>27.907</v>
      </c>
      <c r="U8">
        <v>36.843000000000004</v>
      </c>
      <c r="V8">
        <v>23.016999999999999</v>
      </c>
      <c r="W8">
        <v>21.620999999999999</v>
      </c>
      <c r="X8">
        <v>21.797000000000001</v>
      </c>
      <c r="Y8">
        <v>22.128</v>
      </c>
      <c r="Z8">
        <v>21.727</v>
      </c>
      <c r="AA8">
        <v>52.988</v>
      </c>
      <c r="AB8">
        <v>39.069000000000003</v>
      </c>
      <c r="AC8">
        <v>31.931999999999999</v>
      </c>
      <c r="AD8">
        <v>25.105</v>
      </c>
      <c r="AE8">
        <v>22.803000000000001</v>
      </c>
      <c r="AF8">
        <v>19.353000000000002</v>
      </c>
      <c r="AG8">
        <v>22.971</v>
      </c>
      <c r="AH8" s="32">
        <v>27.896999999999998</v>
      </c>
    </row>
    <row r="9" spans="1:54" ht="14.5" x14ac:dyDescent="0.35">
      <c r="A9" s="29">
        <v>46296</v>
      </c>
      <c r="B9" s="33">
        <v>48</v>
      </c>
      <c r="C9" s="8">
        <v>38</v>
      </c>
      <c r="D9" s="11">
        <v>31</v>
      </c>
      <c r="E9">
        <v>21.404</v>
      </c>
      <c r="F9">
        <v>27.042999999999999</v>
      </c>
      <c r="G9">
        <v>28.3</v>
      </c>
      <c r="H9">
        <v>35.299999999999997</v>
      </c>
      <c r="I9">
        <v>40.984999999999999</v>
      </c>
      <c r="J9">
        <v>35.884999999999998</v>
      </c>
      <c r="K9">
        <v>43.308</v>
      </c>
      <c r="L9">
        <v>33.877000000000002</v>
      </c>
      <c r="M9">
        <v>27.16</v>
      </c>
      <c r="N9">
        <v>26.507999999999999</v>
      </c>
      <c r="O9">
        <v>24.722999999999999</v>
      </c>
      <c r="P9">
        <v>36.273000000000003</v>
      </c>
      <c r="Q9">
        <v>32.045999999999999</v>
      </c>
      <c r="R9">
        <v>29.692</v>
      </c>
      <c r="S9">
        <v>41.469000000000001</v>
      </c>
      <c r="T9">
        <v>63.726999999999997</v>
      </c>
      <c r="U9">
        <v>42.356999999999999</v>
      </c>
      <c r="V9">
        <v>24.606999999999999</v>
      </c>
      <c r="W9">
        <v>26.503</v>
      </c>
      <c r="X9">
        <v>25.356999999999999</v>
      </c>
      <c r="Y9">
        <v>27.225999999999999</v>
      </c>
      <c r="Z9">
        <v>21.184000000000001</v>
      </c>
      <c r="AA9">
        <v>52.767000000000003</v>
      </c>
      <c r="AB9">
        <v>51.654000000000003</v>
      </c>
      <c r="AC9">
        <v>29.686</v>
      </c>
      <c r="AD9">
        <v>23.782</v>
      </c>
      <c r="AE9">
        <v>26.952999999999999</v>
      </c>
      <c r="AF9">
        <v>22.856000000000002</v>
      </c>
      <c r="AG9">
        <v>23.152000000000001</v>
      </c>
      <c r="AH9" s="32">
        <v>30.117000000000001</v>
      </c>
    </row>
    <row r="10" spans="1:54" ht="14.5" x14ac:dyDescent="0.35">
      <c r="A10" s="29">
        <v>46327</v>
      </c>
      <c r="B10" s="33">
        <v>38</v>
      </c>
      <c r="C10" s="8">
        <v>35</v>
      </c>
      <c r="D10" s="11">
        <v>32</v>
      </c>
      <c r="E10">
        <v>22.359000000000002</v>
      </c>
      <c r="F10">
        <v>23.370999999999999</v>
      </c>
      <c r="G10">
        <v>24.053999999999998</v>
      </c>
      <c r="H10">
        <v>28.123999999999999</v>
      </c>
      <c r="I10">
        <v>31.21</v>
      </c>
      <c r="J10">
        <v>29.783000000000001</v>
      </c>
      <c r="K10">
        <v>32.22</v>
      </c>
      <c r="L10">
        <v>30.626000000000001</v>
      </c>
      <c r="M10">
        <v>22.995999999999999</v>
      </c>
      <c r="N10">
        <v>23.806000000000001</v>
      </c>
      <c r="O10">
        <v>25.446999999999999</v>
      </c>
      <c r="P10">
        <v>23.754999999999999</v>
      </c>
      <c r="Q10">
        <v>23.931999999999999</v>
      </c>
      <c r="R10">
        <v>27.771000000000001</v>
      </c>
      <c r="S10">
        <v>33.811</v>
      </c>
      <c r="T10">
        <v>42.814</v>
      </c>
      <c r="U10">
        <v>34.344999999999999</v>
      </c>
      <c r="V10">
        <v>22.62</v>
      </c>
      <c r="W10">
        <v>25.986000000000001</v>
      </c>
      <c r="X10">
        <v>27.257999999999999</v>
      </c>
      <c r="Y10">
        <v>23.407</v>
      </c>
      <c r="Z10">
        <v>18.513999999999999</v>
      </c>
      <c r="AA10">
        <v>34.064999999999998</v>
      </c>
      <c r="AB10">
        <v>30.85</v>
      </c>
      <c r="AC10">
        <v>28.55</v>
      </c>
      <c r="AD10">
        <v>20.588000000000001</v>
      </c>
      <c r="AE10">
        <v>23.887</v>
      </c>
      <c r="AF10">
        <v>22.474</v>
      </c>
      <c r="AG10">
        <v>21.538</v>
      </c>
      <c r="AH10" s="32">
        <v>34.911000000000001</v>
      </c>
    </row>
    <row r="11" spans="1:54" ht="14.5" x14ac:dyDescent="0.35">
      <c r="A11" s="29">
        <v>46357</v>
      </c>
      <c r="B11" s="33">
        <v>32</v>
      </c>
      <c r="C11" s="8">
        <v>31</v>
      </c>
      <c r="D11" s="11">
        <v>32</v>
      </c>
      <c r="E11">
        <v>20.556999999999999</v>
      </c>
      <c r="F11">
        <v>21.225000000000001</v>
      </c>
      <c r="G11">
        <v>19.887</v>
      </c>
      <c r="H11">
        <v>21.393000000000001</v>
      </c>
      <c r="I11">
        <v>29.852</v>
      </c>
      <c r="J11">
        <v>23.306999999999999</v>
      </c>
      <c r="K11">
        <v>23.891999999999999</v>
      </c>
      <c r="L11">
        <v>27.370999999999999</v>
      </c>
      <c r="M11">
        <v>20.456</v>
      </c>
      <c r="N11">
        <v>20.341999999999999</v>
      </c>
      <c r="O11">
        <v>20.591000000000001</v>
      </c>
      <c r="P11">
        <v>20.081</v>
      </c>
      <c r="Q11">
        <v>22.088999999999999</v>
      </c>
      <c r="R11">
        <v>21.202000000000002</v>
      </c>
      <c r="S11">
        <v>23.652999999999999</v>
      </c>
      <c r="T11">
        <v>28.704000000000001</v>
      </c>
      <c r="U11">
        <v>23.553000000000001</v>
      </c>
      <c r="V11">
        <v>20.059999999999999</v>
      </c>
      <c r="W11">
        <v>20.417999999999999</v>
      </c>
      <c r="X11">
        <v>22.931000000000001</v>
      </c>
      <c r="Y11">
        <v>20.228999999999999</v>
      </c>
      <c r="Z11">
        <v>16.946999999999999</v>
      </c>
      <c r="AA11">
        <v>25.31</v>
      </c>
      <c r="AB11">
        <v>25.126000000000001</v>
      </c>
      <c r="AC11">
        <v>25.071000000000002</v>
      </c>
      <c r="AD11">
        <v>19.638000000000002</v>
      </c>
      <c r="AE11">
        <v>22.734999999999999</v>
      </c>
      <c r="AF11">
        <v>17.867000000000001</v>
      </c>
      <c r="AG11">
        <v>20.498999999999999</v>
      </c>
      <c r="AH11" s="32">
        <v>26.846</v>
      </c>
    </row>
    <row r="12" spans="1:54" ht="14.5" x14ac:dyDescent="0.35">
      <c r="A12" s="29">
        <v>46388</v>
      </c>
      <c r="B12" s="33">
        <v>30</v>
      </c>
      <c r="C12" s="8">
        <v>30</v>
      </c>
      <c r="D12" s="11">
        <v>31</v>
      </c>
      <c r="E12">
        <v>18.405999999999999</v>
      </c>
      <c r="F12">
        <v>20.100000000000001</v>
      </c>
      <c r="G12">
        <v>18.391999999999999</v>
      </c>
      <c r="H12">
        <v>19.507000000000001</v>
      </c>
      <c r="I12">
        <v>25.042999999999999</v>
      </c>
      <c r="J12">
        <v>19.849</v>
      </c>
      <c r="K12">
        <v>21.571999999999999</v>
      </c>
      <c r="L12">
        <v>23.54</v>
      </c>
      <c r="M12">
        <v>21.524999999999999</v>
      </c>
      <c r="N12">
        <v>18.922999999999998</v>
      </c>
      <c r="O12">
        <v>18.113</v>
      </c>
      <c r="P12">
        <v>19.062000000000001</v>
      </c>
      <c r="Q12">
        <v>19.818000000000001</v>
      </c>
      <c r="R12">
        <v>21.297000000000001</v>
      </c>
      <c r="S12">
        <v>20.329999999999998</v>
      </c>
      <c r="T12">
        <v>24.134</v>
      </c>
      <c r="U12">
        <v>19.404</v>
      </c>
      <c r="V12">
        <v>18.323</v>
      </c>
      <c r="W12">
        <v>18.106000000000002</v>
      </c>
      <c r="X12">
        <v>21.103999999999999</v>
      </c>
      <c r="Y12">
        <v>20.04</v>
      </c>
      <c r="Z12">
        <v>15.836</v>
      </c>
      <c r="AA12">
        <v>21.962</v>
      </c>
      <c r="AB12">
        <v>21.934000000000001</v>
      </c>
      <c r="AC12">
        <v>22.957000000000001</v>
      </c>
      <c r="AD12">
        <v>18.797000000000001</v>
      </c>
      <c r="AE12">
        <v>19.975000000000001</v>
      </c>
      <c r="AF12">
        <v>16.54</v>
      </c>
      <c r="AG12">
        <v>18.905999999999999</v>
      </c>
      <c r="AH12" s="32">
        <v>21.140999999999998</v>
      </c>
    </row>
    <row r="13" spans="1:54" ht="14.5" x14ac:dyDescent="0.35">
      <c r="A13" s="29">
        <v>46419</v>
      </c>
      <c r="B13" s="33">
        <v>28</v>
      </c>
      <c r="C13" s="8">
        <v>28</v>
      </c>
      <c r="D13" s="11">
        <v>29</v>
      </c>
      <c r="E13">
        <v>17.684999999999999</v>
      </c>
      <c r="F13">
        <v>18.873000000000001</v>
      </c>
      <c r="G13">
        <v>15.815</v>
      </c>
      <c r="H13">
        <v>23.151</v>
      </c>
      <c r="I13">
        <v>26.093</v>
      </c>
      <c r="J13">
        <v>16.094999999999999</v>
      </c>
      <c r="K13">
        <v>19.106000000000002</v>
      </c>
      <c r="L13">
        <v>24.024999999999999</v>
      </c>
      <c r="M13">
        <v>23.039000000000001</v>
      </c>
      <c r="N13">
        <v>18.843</v>
      </c>
      <c r="O13">
        <v>15.494</v>
      </c>
      <c r="P13">
        <v>22.491</v>
      </c>
      <c r="Q13">
        <v>17.132999999999999</v>
      </c>
      <c r="R13">
        <v>19.039000000000001</v>
      </c>
      <c r="S13">
        <v>16.692</v>
      </c>
      <c r="T13">
        <v>24.902999999999999</v>
      </c>
      <c r="U13">
        <v>15.759</v>
      </c>
      <c r="V13">
        <v>17.010000000000002</v>
      </c>
      <c r="W13">
        <v>15.122</v>
      </c>
      <c r="X13">
        <v>17.538</v>
      </c>
      <c r="Y13">
        <v>16.861000000000001</v>
      </c>
      <c r="Z13">
        <v>14.1</v>
      </c>
      <c r="AA13">
        <v>23.312000000000001</v>
      </c>
      <c r="AB13">
        <v>28.42</v>
      </c>
      <c r="AC13">
        <v>22.056999999999999</v>
      </c>
      <c r="AD13">
        <v>26.143000000000001</v>
      </c>
      <c r="AE13">
        <v>23.234999999999999</v>
      </c>
      <c r="AF13">
        <v>14.561999999999999</v>
      </c>
      <c r="AG13">
        <v>17.457000000000001</v>
      </c>
      <c r="AH13" s="32">
        <v>20.832999999999998</v>
      </c>
    </row>
    <row r="14" spans="1:54" ht="14.5" x14ac:dyDescent="0.35">
      <c r="A14" s="29">
        <v>46447</v>
      </c>
      <c r="B14" s="33">
        <v>50</v>
      </c>
      <c r="C14" s="8">
        <v>42</v>
      </c>
      <c r="D14" s="11">
        <v>46</v>
      </c>
      <c r="E14">
        <v>35.347999999999999</v>
      </c>
      <c r="F14">
        <v>37.195</v>
      </c>
      <c r="G14">
        <v>36.347000000000001</v>
      </c>
      <c r="H14">
        <v>52.808999999999997</v>
      </c>
      <c r="I14">
        <v>38.993000000000002</v>
      </c>
      <c r="J14">
        <v>43.709000000000003</v>
      </c>
      <c r="K14">
        <v>37.802999999999997</v>
      </c>
      <c r="L14">
        <v>39.479999999999997</v>
      </c>
      <c r="M14">
        <v>30.338999999999999</v>
      </c>
      <c r="N14">
        <v>30.99</v>
      </c>
      <c r="O14">
        <v>21.695</v>
      </c>
      <c r="P14">
        <v>38.07</v>
      </c>
      <c r="Q14">
        <v>54.26</v>
      </c>
      <c r="R14">
        <v>26.297999999999998</v>
      </c>
      <c r="S14">
        <v>27.64</v>
      </c>
      <c r="T14">
        <v>68.930000000000007</v>
      </c>
      <c r="U14">
        <v>18.327999999999999</v>
      </c>
      <c r="V14">
        <v>39.051000000000002</v>
      </c>
      <c r="W14">
        <v>19.756</v>
      </c>
      <c r="X14">
        <v>34.139000000000003</v>
      </c>
      <c r="Y14">
        <v>37.887</v>
      </c>
      <c r="Z14">
        <v>22.818999999999999</v>
      </c>
      <c r="AA14">
        <v>34.762</v>
      </c>
      <c r="AB14">
        <v>52.636000000000003</v>
      </c>
      <c r="AC14">
        <v>42.512999999999998</v>
      </c>
      <c r="AD14">
        <v>67.984999999999999</v>
      </c>
      <c r="AE14">
        <v>25.797999999999998</v>
      </c>
      <c r="AF14">
        <v>24.161000000000001</v>
      </c>
      <c r="AG14">
        <v>32.116</v>
      </c>
      <c r="AH14" s="32">
        <v>30.411000000000001</v>
      </c>
    </row>
    <row r="15" spans="1:54" ht="14.5" x14ac:dyDescent="0.35">
      <c r="A15" s="29">
        <v>46478</v>
      </c>
      <c r="B15" s="33">
        <v>117</v>
      </c>
      <c r="C15" s="8">
        <v>82</v>
      </c>
      <c r="D15" s="11">
        <v>100</v>
      </c>
      <c r="E15">
        <v>83.013999999999996</v>
      </c>
      <c r="F15">
        <v>89.253</v>
      </c>
      <c r="G15">
        <v>71.323999999999998</v>
      </c>
      <c r="H15">
        <v>65.319999999999993</v>
      </c>
      <c r="I15">
        <v>100.898</v>
      </c>
      <c r="J15">
        <v>92.221000000000004</v>
      </c>
      <c r="K15">
        <v>67.451999999999998</v>
      </c>
      <c r="L15">
        <v>59.780999999999999</v>
      </c>
      <c r="M15">
        <v>88.965999999999994</v>
      </c>
      <c r="N15">
        <v>71.653999999999996</v>
      </c>
      <c r="O15">
        <v>58.140999999999998</v>
      </c>
      <c r="P15">
        <v>71.658000000000001</v>
      </c>
      <c r="Q15">
        <v>127.875</v>
      </c>
      <c r="R15">
        <v>73.061000000000007</v>
      </c>
      <c r="S15">
        <v>96.442999999999998</v>
      </c>
      <c r="T15">
        <v>115.27</v>
      </c>
      <c r="U15">
        <v>67.635000000000005</v>
      </c>
      <c r="V15">
        <v>64.406999999999996</v>
      </c>
      <c r="W15">
        <v>56.886000000000003</v>
      </c>
      <c r="X15">
        <v>87.111999999999995</v>
      </c>
      <c r="Y15">
        <v>88.516999999999996</v>
      </c>
      <c r="Z15">
        <v>47.067999999999998</v>
      </c>
      <c r="AA15">
        <v>78.304000000000002</v>
      </c>
      <c r="AB15">
        <v>82.284000000000006</v>
      </c>
      <c r="AC15">
        <v>77.582999999999998</v>
      </c>
      <c r="AD15">
        <v>126.187</v>
      </c>
      <c r="AE15">
        <v>49.884999999999998</v>
      </c>
      <c r="AF15">
        <v>101.913</v>
      </c>
      <c r="AG15">
        <v>51.246000000000002</v>
      </c>
      <c r="AH15" s="32">
        <v>58.277999999999999</v>
      </c>
    </row>
    <row r="16" spans="1:54" ht="14.5" x14ac:dyDescent="0.35">
      <c r="A16" s="29">
        <v>46508</v>
      </c>
      <c r="B16" s="33">
        <v>308</v>
      </c>
      <c r="C16" s="8">
        <v>195</v>
      </c>
      <c r="D16" s="11">
        <v>251</v>
      </c>
      <c r="E16">
        <v>225.97900000000001</v>
      </c>
      <c r="F16">
        <v>309.99700000000001</v>
      </c>
      <c r="G16">
        <v>210.03100000000001</v>
      </c>
      <c r="H16">
        <v>270.33</v>
      </c>
      <c r="I16">
        <v>365.96</v>
      </c>
      <c r="J16">
        <v>351.02499999999998</v>
      </c>
      <c r="K16">
        <v>206.39699999999999</v>
      </c>
      <c r="L16">
        <v>236.00299999999999</v>
      </c>
      <c r="M16">
        <v>257.26499999999999</v>
      </c>
      <c r="N16">
        <v>289.82100000000003</v>
      </c>
      <c r="O16">
        <v>96.864000000000004</v>
      </c>
      <c r="P16">
        <v>185.779</v>
      </c>
      <c r="Q16">
        <v>259.31200000000001</v>
      </c>
      <c r="R16">
        <v>291.637</v>
      </c>
      <c r="S16">
        <v>252.64</v>
      </c>
      <c r="T16">
        <v>276.14299999999997</v>
      </c>
      <c r="U16">
        <v>310.22899999999998</v>
      </c>
      <c r="V16">
        <v>304.44200000000001</v>
      </c>
      <c r="W16">
        <v>126.33199999999999</v>
      </c>
      <c r="X16">
        <v>184.94499999999999</v>
      </c>
      <c r="Y16">
        <v>149.852</v>
      </c>
      <c r="Z16">
        <v>118.101</v>
      </c>
      <c r="AA16">
        <v>269.23099999999999</v>
      </c>
      <c r="AB16">
        <v>176.696</v>
      </c>
      <c r="AC16">
        <v>192.86799999999999</v>
      </c>
      <c r="AD16">
        <v>273.14299999999997</v>
      </c>
      <c r="AE16">
        <v>162.71299999999999</v>
      </c>
      <c r="AF16">
        <v>248.68199999999999</v>
      </c>
      <c r="AG16">
        <v>182.97800000000001</v>
      </c>
      <c r="AH16" s="32">
        <v>149.83000000000001</v>
      </c>
    </row>
    <row r="17" spans="1:1005" ht="14.5" x14ac:dyDescent="0.35">
      <c r="A17" s="29">
        <v>46539</v>
      </c>
      <c r="B17" s="33">
        <v>398</v>
      </c>
      <c r="C17" s="8">
        <v>190</v>
      </c>
      <c r="D17" s="11">
        <v>293</v>
      </c>
      <c r="E17">
        <v>183.733</v>
      </c>
      <c r="F17">
        <v>452.23599999999999</v>
      </c>
      <c r="G17">
        <v>226.50800000000001</v>
      </c>
      <c r="H17">
        <v>631.61500000000001</v>
      </c>
      <c r="I17">
        <v>326.94499999999999</v>
      </c>
      <c r="J17">
        <v>541.45699999999999</v>
      </c>
      <c r="K17">
        <v>231.70599999999999</v>
      </c>
      <c r="L17">
        <v>366.75099999999998</v>
      </c>
      <c r="M17">
        <v>163.59399999999999</v>
      </c>
      <c r="N17">
        <v>218.62299999999999</v>
      </c>
      <c r="O17">
        <v>59.674999999999997</v>
      </c>
      <c r="P17">
        <v>240.857</v>
      </c>
      <c r="Q17">
        <v>155.52799999999999</v>
      </c>
      <c r="R17">
        <v>320.04300000000001</v>
      </c>
      <c r="S17">
        <v>201.81299999999999</v>
      </c>
      <c r="T17">
        <v>205.52</v>
      </c>
      <c r="U17">
        <v>548.34299999999996</v>
      </c>
      <c r="V17">
        <v>277.26900000000001</v>
      </c>
      <c r="W17">
        <v>300.017</v>
      </c>
      <c r="X17">
        <v>481.90600000000001</v>
      </c>
      <c r="Y17">
        <v>54.435000000000002</v>
      </c>
      <c r="Z17">
        <v>165.95599999999999</v>
      </c>
      <c r="AA17">
        <v>381.21199999999999</v>
      </c>
      <c r="AB17">
        <v>391.327</v>
      </c>
      <c r="AC17">
        <v>338.49099999999999</v>
      </c>
      <c r="AD17">
        <v>437.63799999999998</v>
      </c>
      <c r="AE17">
        <v>74.174999999999997</v>
      </c>
      <c r="AF17">
        <v>466.57</v>
      </c>
      <c r="AG17">
        <v>203.02199999999999</v>
      </c>
      <c r="AH17" s="32">
        <v>300.23599999999999</v>
      </c>
    </row>
    <row r="18" spans="1:1005" ht="14.5" x14ac:dyDescent="0.35">
      <c r="A18" s="29">
        <v>46569</v>
      </c>
      <c r="B18" s="33">
        <v>163</v>
      </c>
      <c r="C18" s="8">
        <v>57</v>
      </c>
      <c r="D18" s="11">
        <v>98</v>
      </c>
      <c r="E18">
        <v>67.828999999999994</v>
      </c>
      <c r="F18">
        <v>197.82</v>
      </c>
      <c r="G18">
        <v>63.634</v>
      </c>
      <c r="H18">
        <v>489.303</v>
      </c>
      <c r="I18">
        <v>109.88800000000001</v>
      </c>
      <c r="J18">
        <v>183.32900000000001</v>
      </c>
      <c r="K18">
        <v>109.236</v>
      </c>
      <c r="L18">
        <v>248.21</v>
      </c>
      <c r="M18">
        <v>49.860999999999997</v>
      </c>
      <c r="N18">
        <v>60.954999999999998</v>
      </c>
      <c r="O18">
        <v>24.22</v>
      </c>
      <c r="P18">
        <v>60.741999999999997</v>
      </c>
      <c r="Q18">
        <v>55.591000000000001</v>
      </c>
      <c r="R18">
        <v>120.62</v>
      </c>
      <c r="S18">
        <v>72.234999999999999</v>
      </c>
      <c r="T18">
        <v>69.753</v>
      </c>
      <c r="U18">
        <v>229.94</v>
      </c>
      <c r="V18">
        <v>138.79599999999999</v>
      </c>
      <c r="W18">
        <v>73.783000000000001</v>
      </c>
      <c r="X18">
        <v>253.69</v>
      </c>
      <c r="Y18">
        <v>25.132999999999999</v>
      </c>
      <c r="Z18">
        <v>57.981999999999999</v>
      </c>
      <c r="AA18">
        <v>110.613</v>
      </c>
      <c r="AB18">
        <v>127.77800000000001</v>
      </c>
      <c r="AC18">
        <v>101.892</v>
      </c>
      <c r="AD18">
        <v>138.21600000000001</v>
      </c>
      <c r="AE18">
        <v>29.555</v>
      </c>
      <c r="AF18">
        <v>302.61799999999999</v>
      </c>
      <c r="AG18">
        <v>58.871000000000002</v>
      </c>
      <c r="AH18" s="32">
        <v>129.08099999999999</v>
      </c>
    </row>
    <row r="19" spans="1:1005" ht="14.5" x14ac:dyDescent="0.35">
      <c r="A19" s="29">
        <v>46600</v>
      </c>
      <c r="B19" s="33">
        <v>79</v>
      </c>
      <c r="C19" s="8">
        <v>48</v>
      </c>
      <c r="D19" s="11">
        <v>63</v>
      </c>
      <c r="E19">
        <v>57.957000000000001</v>
      </c>
      <c r="F19">
        <v>73.034999999999997</v>
      </c>
      <c r="G19">
        <v>41.435000000000002</v>
      </c>
      <c r="H19">
        <v>134.65899999999999</v>
      </c>
      <c r="I19">
        <v>53.326999999999998</v>
      </c>
      <c r="J19">
        <v>86.918999999999997</v>
      </c>
      <c r="K19">
        <v>51.207999999999998</v>
      </c>
      <c r="L19">
        <v>98.19</v>
      </c>
      <c r="M19">
        <v>45.076000000000001</v>
      </c>
      <c r="N19">
        <v>55.215000000000003</v>
      </c>
      <c r="O19">
        <v>21.199000000000002</v>
      </c>
      <c r="P19">
        <v>45.889000000000003</v>
      </c>
      <c r="Q19">
        <v>39.661000000000001</v>
      </c>
      <c r="R19">
        <v>61.271999999999998</v>
      </c>
      <c r="S19">
        <v>53.511000000000003</v>
      </c>
      <c r="T19">
        <v>52.429000000000002</v>
      </c>
      <c r="U19">
        <v>83.168999999999997</v>
      </c>
      <c r="V19">
        <v>54.811</v>
      </c>
      <c r="W19">
        <v>52.305</v>
      </c>
      <c r="X19">
        <v>75.222999999999999</v>
      </c>
      <c r="Y19">
        <v>27.483000000000001</v>
      </c>
      <c r="Z19">
        <v>42.851999999999997</v>
      </c>
      <c r="AA19">
        <v>63.073</v>
      </c>
      <c r="AB19">
        <v>55.317999999999998</v>
      </c>
      <c r="AC19">
        <v>56.572000000000003</v>
      </c>
      <c r="AD19">
        <v>67.081999999999994</v>
      </c>
      <c r="AE19">
        <v>25.562999999999999</v>
      </c>
      <c r="AF19">
        <v>90.704999999999998</v>
      </c>
      <c r="AG19">
        <v>38.884999999999998</v>
      </c>
      <c r="AH19" s="32">
        <v>57.283000000000001</v>
      </c>
    </row>
    <row r="20" spans="1:1005" ht="14.5" x14ac:dyDescent="0.35">
      <c r="A20" s="29">
        <v>46631</v>
      </c>
      <c r="B20" s="33">
        <v>49</v>
      </c>
      <c r="C20" s="8">
        <v>34</v>
      </c>
      <c r="D20" s="11">
        <v>42</v>
      </c>
      <c r="E20">
        <v>41.212000000000003</v>
      </c>
      <c r="F20">
        <v>52.695999999999998</v>
      </c>
      <c r="G20">
        <v>34.515999999999998</v>
      </c>
      <c r="H20">
        <v>68.248000000000005</v>
      </c>
      <c r="I20">
        <v>39.820999999999998</v>
      </c>
      <c r="J20">
        <v>62.613999999999997</v>
      </c>
      <c r="K20">
        <v>32.558999999999997</v>
      </c>
      <c r="L20">
        <v>52.292999999999999</v>
      </c>
      <c r="M20">
        <v>33.701000000000001</v>
      </c>
      <c r="N20">
        <v>32.829000000000001</v>
      </c>
      <c r="O20">
        <v>21.132000000000001</v>
      </c>
      <c r="P20">
        <v>66.001000000000005</v>
      </c>
      <c r="Q20">
        <v>40.148000000000003</v>
      </c>
      <c r="R20">
        <v>39.295000000000002</v>
      </c>
      <c r="S20">
        <v>39.319000000000003</v>
      </c>
      <c r="T20">
        <v>48.57</v>
      </c>
      <c r="U20">
        <v>48.197000000000003</v>
      </c>
      <c r="V20">
        <v>36.362000000000002</v>
      </c>
      <c r="W20">
        <v>29.521999999999998</v>
      </c>
      <c r="X20">
        <v>43.32</v>
      </c>
      <c r="Y20">
        <v>22.061</v>
      </c>
      <c r="Z20">
        <v>59.6</v>
      </c>
      <c r="AA20">
        <v>58.255000000000003</v>
      </c>
      <c r="AB20">
        <v>39.572000000000003</v>
      </c>
      <c r="AC20">
        <v>37.874000000000002</v>
      </c>
      <c r="AD20">
        <v>41.337000000000003</v>
      </c>
      <c r="AE20">
        <v>20.489000000000001</v>
      </c>
      <c r="AF20">
        <v>47.252000000000002</v>
      </c>
      <c r="AG20">
        <v>36.173000000000002</v>
      </c>
      <c r="AH20" s="32">
        <v>35.701999999999998</v>
      </c>
    </row>
    <row r="21" spans="1:1005" ht="14.5" x14ac:dyDescent="0.35">
      <c r="A21" s="29">
        <v>46661</v>
      </c>
      <c r="B21" s="33">
        <v>48</v>
      </c>
      <c r="C21" s="8">
        <v>38</v>
      </c>
      <c r="D21" s="11">
        <v>43</v>
      </c>
      <c r="E21">
        <v>31.827999999999999</v>
      </c>
      <c r="F21">
        <v>51.024999999999999</v>
      </c>
      <c r="G21">
        <v>47.164000000000001</v>
      </c>
      <c r="H21">
        <v>68.900999999999996</v>
      </c>
      <c r="I21">
        <v>57.335999999999999</v>
      </c>
      <c r="J21">
        <v>71.998999999999995</v>
      </c>
      <c r="K21">
        <v>50.054000000000002</v>
      </c>
      <c r="L21">
        <v>42.412999999999997</v>
      </c>
      <c r="M21">
        <v>34.261000000000003</v>
      </c>
      <c r="N21">
        <v>33.088000000000001</v>
      </c>
      <c r="O21">
        <v>35.869999999999997</v>
      </c>
      <c r="P21">
        <v>40.479999999999997</v>
      </c>
      <c r="Q21">
        <v>40.42</v>
      </c>
      <c r="R21">
        <v>60.171999999999997</v>
      </c>
      <c r="S21">
        <v>82.206000000000003</v>
      </c>
      <c r="T21">
        <v>55.91</v>
      </c>
      <c r="U21">
        <v>46.956000000000003</v>
      </c>
      <c r="V21">
        <v>41.463000000000001</v>
      </c>
      <c r="W21">
        <v>33.677999999999997</v>
      </c>
      <c r="X21">
        <v>46.786000000000001</v>
      </c>
      <c r="Y21">
        <v>22.46</v>
      </c>
      <c r="Z21">
        <v>60.095999999999997</v>
      </c>
      <c r="AA21">
        <v>74.122</v>
      </c>
      <c r="AB21">
        <v>37.128999999999998</v>
      </c>
      <c r="AC21">
        <v>34.962000000000003</v>
      </c>
      <c r="AD21">
        <v>44.965000000000003</v>
      </c>
      <c r="AE21">
        <v>25.213000000000001</v>
      </c>
      <c r="AF21">
        <v>43.139000000000003</v>
      </c>
      <c r="AG21">
        <v>38.744</v>
      </c>
      <c r="AH21" s="32">
        <v>31.783000000000001</v>
      </c>
    </row>
    <row r="22" spans="1:1005" ht="14.5" x14ac:dyDescent="0.35">
      <c r="A22" s="29">
        <v>46692</v>
      </c>
      <c r="B22" s="33">
        <v>39</v>
      </c>
      <c r="C22" s="8">
        <v>35</v>
      </c>
      <c r="D22" s="11">
        <v>37</v>
      </c>
      <c r="E22">
        <v>27.792999999999999</v>
      </c>
      <c r="F22">
        <v>41.85</v>
      </c>
      <c r="G22">
        <v>36.509</v>
      </c>
      <c r="H22">
        <v>50.783999999999999</v>
      </c>
      <c r="I22">
        <v>45.89</v>
      </c>
      <c r="J22">
        <v>52.554000000000002</v>
      </c>
      <c r="K22">
        <v>42.146000000000001</v>
      </c>
      <c r="L22">
        <v>34.47</v>
      </c>
      <c r="M22">
        <v>30.826000000000001</v>
      </c>
      <c r="N22">
        <v>32.645000000000003</v>
      </c>
      <c r="O22">
        <v>22.943000000000001</v>
      </c>
      <c r="P22">
        <v>30.526</v>
      </c>
      <c r="Q22">
        <v>37.101999999999997</v>
      </c>
      <c r="R22">
        <v>46.356999999999999</v>
      </c>
      <c r="S22">
        <v>54.097000000000001</v>
      </c>
      <c r="T22">
        <v>44.104999999999997</v>
      </c>
      <c r="U22">
        <v>41.420999999999999</v>
      </c>
      <c r="V22">
        <v>38.468000000000004</v>
      </c>
      <c r="W22">
        <v>34.917999999999999</v>
      </c>
      <c r="X22">
        <v>38.787999999999997</v>
      </c>
      <c r="Y22">
        <v>19.594999999999999</v>
      </c>
      <c r="Z22">
        <v>38.566000000000003</v>
      </c>
      <c r="AA22">
        <v>44.67</v>
      </c>
      <c r="AB22">
        <v>34.703000000000003</v>
      </c>
      <c r="AC22">
        <v>30.616</v>
      </c>
      <c r="AD22">
        <v>39.213999999999999</v>
      </c>
      <c r="AE22">
        <v>24.41</v>
      </c>
      <c r="AF22">
        <v>38.412999999999997</v>
      </c>
      <c r="AG22">
        <v>42.267000000000003</v>
      </c>
      <c r="AH22" s="32">
        <v>31.643000000000001</v>
      </c>
    </row>
    <row r="23" spans="1:1005" ht="14.5" x14ac:dyDescent="0.35">
      <c r="A23" s="29">
        <v>46722</v>
      </c>
      <c r="B23" s="33">
        <v>32</v>
      </c>
      <c r="C23" s="8">
        <v>32</v>
      </c>
      <c r="D23" s="11">
        <v>32</v>
      </c>
      <c r="E23">
        <v>25.088999999999999</v>
      </c>
      <c r="F23">
        <v>35.597999999999999</v>
      </c>
      <c r="G23">
        <v>28.411000000000001</v>
      </c>
      <c r="H23">
        <v>46.747</v>
      </c>
      <c r="I23">
        <v>36.982999999999997</v>
      </c>
      <c r="J23">
        <v>39.746000000000002</v>
      </c>
      <c r="K23">
        <v>37.204000000000001</v>
      </c>
      <c r="L23">
        <v>30.661000000000001</v>
      </c>
      <c r="M23">
        <v>26.274000000000001</v>
      </c>
      <c r="N23">
        <v>26.725999999999999</v>
      </c>
      <c r="O23">
        <v>19.219000000000001</v>
      </c>
      <c r="P23">
        <v>27.925000000000001</v>
      </c>
      <c r="Q23">
        <v>28.841999999999999</v>
      </c>
      <c r="R23">
        <v>33.341999999999999</v>
      </c>
      <c r="S23">
        <v>36.682000000000002</v>
      </c>
      <c r="T23">
        <v>30.716000000000001</v>
      </c>
      <c r="U23">
        <v>36.783000000000001</v>
      </c>
      <c r="V23">
        <v>30.591000000000001</v>
      </c>
      <c r="W23">
        <v>28.968</v>
      </c>
      <c r="X23">
        <v>33.737000000000002</v>
      </c>
      <c r="Y23">
        <v>17.914000000000001</v>
      </c>
      <c r="Z23">
        <v>28.577000000000002</v>
      </c>
      <c r="AA23">
        <v>36.137</v>
      </c>
      <c r="AB23">
        <v>30.523</v>
      </c>
      <c r="AC23">
        <v>28.574000000000002</v>
      </c>
      <c r="AD23">
        <v>36.265000000000001</v>
      </c>
      <c r="AE23">
        <v>19.468</v>
      </c>
      <c r="AF23">
        <v>35.78</v>
      </c>
      <c r="AG23">
        <v>32.695999999999998</v>
      </c>
      <c r="AH23" s="32">
        <v>28.553999999999998</v>
      </c>
    </row>
    <row r="24" spans="1:1005" ht="14.5" x14ac:dyDescent="0.35">
      <c r="A24" s="29">
        <v>46753</v>
      </c>
      <c r="B24" s="33">
        <v>31</v>
      </c>
      <c r="C24" s="8">
        <v>31</v>
      </c>
      <c r="D24" s="11">
        <v>31</v>
      </c>
      <c r="E24">
        <v>23.542999999999999</v>
      </c>
      <c r="F24">
        <v>32.450000000000003</v>
      </c>
      <c r="G24">
        <v>25.664000000000001</v>
      </c>
      <c r="H24">
        <v>39.357999999999997</v>
      </c>
      <c r="I24">
        <v>31.815999999999999</v>
      </c>
      <c r="J24">
        <v>35.198</v>
      </c>
      <c r="K24">
        <v>31.847000000000001</v>
      </c>
      <c r="L24">
        <v>30.731000000000002</v>
      </c>
      <c r="M24">
        <v>24.192</v>
      </c>
      <c r="N24">
        <v>23.507000000000001</v>
      </c>
      <c r="O24">
        <v>18.233000000000001</v>
      </c>
      <c r="P24">
        <v>24.959</v>
      </c>
      <c r="Q24">
        <v>28.151</v>
      </c>
      <c r="R24">
        <v>28.678999999999998</v>
      </c>
      <c r="S24">
        <v>30.686</v>
      </c>
      <c r="T24">
        <v>25.361999999999998</v>
      </c>
      <c r="U24">
        <v>33.268000000000001</v>
      </c>
      <c r="V24">
        <v>26.962</v>
      </c>
      <c r="W24">
        <v>26.34</v>
      </c>
      <c r="X24">
        <v>32.207000000000001</v>
      </c>
      <c r="Y24">
        <v>16.687999999999999</v>
      </c>
      <c r="Z24">
        <v>24.803999999999998</v>
      </c>
      <c r="AA24">
        <v>31.347999999999999</v>
      </c>
      <c r="AB24">
        <v>27.774000000000001</v>
      </c>
      <c r="AC24">
        <v>26.812999999999999</v>
      </c>
      <c r="AD24">
        <v>31.824000000000002</v>
      </c>
      <c r="AE24">
        <v>17.922000000000001</v>
      </c>
      <c r="AF24">
        <v>32.533000000000001</v>
      </c>
      <c r="AG24">
        <v>26.128</v>
      </c>
      <c r="AH24" s="32">
        <v>25.635999999999999</v>
      </c>
    </row>
    <row r="25" spans="1:1005" ht="14.5" x14ac:dyDescent="0.35">
      <c r="A25" s="29">
        <v>46784</v>
      </c>
      <c r="B25" s="33">
        <v>29</v>
      </c>
      <c r="C25" s="8">
        <v>29</v>
      </c>
      <c r="D25" s="11">
        <v>29</v>
      </c>
      <c r="E25">
        <v>22.492000000000001</v>
      </c>
      <c r="F25">
        <v>28.335999999999999</v>
      </c>
      <c r="G25">
        <v>29.629000000000001</v>
      </c>
      <c r="H25">
        <v>39.792000000000002</v>
      </c>
      <c r="I25">
        <v>26.643999999999998</v>
      </c>
      <c r="J25">
        <v>31.172000000000001</v>
      </c>
      <c r="K25">
        <v>32.228999999999999</v>
      </c>
      <c r="L25">
        <v>31.867000000000001</v>
      </c>
      <c r="M25">
        <v>24.007999999999999</v>
      </c>
      <c r="N25">
        <v>20.61</v>
      </c>
      <c r="O25">
        <v>22.382000000000001</v>
      </c>
      <c r="P25">
        <v>22.181999999999999</v>
      </c>
      <c r="Q25">
        <v>25.518000000000001</v>
      </c>
      <c r="R25">
        <v>24.259</v>
      </c>
      <c r="S25">
        <v>31.536999999999999</v>
      </c>
      <c r="T25">
        <v>21.245999999999999</v>
      </c>
      <c r="U25">
        <v>30.815000000000001</v>
      </c>
      <c r="V25">
        <v>23.053999999999998</v>
      </c>
      <c r="W25">
        <v>22.545999999999999</v>
      </c>
      <c r="X25">
        <v>27.695</v>
      </c>
      <c r="Y25">
        <v>15.285</v>
      </c>
      <c r="Z25">
        <v>27.106999999999999</v>
      </c>
      <c r="AA25">
        <v>38.091999999999999</v>
      </c>
      <c r="AB25">
        <v>27.15</v>
      </c>
      <c r="AC25">
        <v>34.582999999999998</v>
      </c>
      <c r="AD25">
        <v>34.332999999999998</v>
      </c>
      <c r="AE25">
        <v>16.206</v>
      </c>
      <c r="AF25">
        <v>29.704000000000001</v>
      </c>
      <c r="AG25">
        <v>25.878</v>
      </c>
      <c r="AH25" s="32">
        <v>24.606999999999999</v>
      </c>
    </row>
    <row r="26" spans="1:1005" ht="14.5" x14ac:dyDescent="0.35">
      <c r="A26" s="29">
        <v>46813</v>
      </c>
      <c r="B26" s="33">
        <v>46</v>
      </c>
      <c r="C26" s="8">
        <v>46</v>
      </c>
      <c r="D26" s="11">
        <v>46</v>
      </c>
      <c r="E26">
        <v>42.435000000000002</v>
      </c>
      <c r="F26">
        <v>50.551000000000002</v>
      </c>
      <c r="G26">
        <v>59.048000000000002</v>
      </c>
      <c r="H26">
        <v>51.613</v>
      </c>
      <c r="I26">
        <v>58.530999999999999</v>
      </c>
      <c r="J26">
        <v>52.737000000000002</v>
      </c>
      <c r="K26">
        <v>49.505000000000003</v>
      </c>
      <c r="L26">
        <v>38.776000000000003</v>
      </c>
      <c r="M26">
        <v>36.25</v>
      </c>
      <c r="N26">
        <v>26.794</v>
      </c>
      <c r="O26">
        <v>37.61</v>
      </c>
      <c r="P26">
        <v>60.33</v>
      </c>
      <c r="Q26">
        <v>32.454999999999998</v>
      </c>
      <c r="R26">
        <v>35.095999999999997</v>
      </c>
      <c r="S26">
        <v>80.962999999999994</v>
      </c>
      <c r="T26">
        <v>23.698</v>
      </c>
      <c r="U26">
        <v>54.936</v>
      </c>
      <c r="V26">
        <v>27.704999999999998</v>
      </c>
      <c r="W26">
        <v>39.247</v>
      </c>
      <c r="X26">
        <v>51.609000000000002</v>
      </c>
      <c r="Y26">
        <v>24.263000000000002</v>
      </c>
      <c r="Z26">
        <v>37.515000000000001</v>
      </c>
      <c r="AA26">
        <v>67.382000000000005</v>
      </c>
      <c r="AB26">
        <v>47.569000000000003</v>
      </c>
      <c r="AC26">
        <v>80.816999999999993</v>
      </c>
      <c r="AD26">
        <v>36.220999999999997</v>
      </c>
      <c r="AE26">
        <v>26.146000000000001</v>
      </c>
      <c r="AF26">
        <v>45.02</v>
      </c>
      <c r="AG26">
        <v>35.064999999999998</v>
      </c>
      <c r="AH26" s="32">
        <v>44.189</v>
      </c>
    </row>
    <row r="27" spans="1:1005" ht="14.5" x14ac:dyDescent="0.35">
      <c r="A27" s="29">
        <v>46844</v>
      </c>
      <c r="B27" s="33">
        <v>100</v>
      </c>
      <c r="C27" s="8">
        <v>100</v>
      </c>
      <c r="D27" s="11">
        <v>100</v>
      </c>
      <c r="E27">
        <v>97.415999999999997</v>
      </c>
      <c r="F27">
        <v>95.765000000000001</v>
      </c>
      <c r="G27">
        <v>77.418000000000006</v>
      </c>
      <c r="H27">
        <v>124.82899999999999</v>
      </c>
      <c r="I27">
        <v>113.607</v>
      </c>
      <c r="J27">
        <v>88.85</v>
      </c>
      <c r="K27">
        <v>75.566999999999993</v>
      </c>
      <c r="L27">
        <v>107.97199999999999</v>
      </c>
      <c r="M27">
        <v>84.096999999999994</v>
      </c>
      <c r="N27">
        <v>66.962999999999994</v>
      </c>
      <c r="O27">
        <v>71.738</v>
      </c>
      <c r="P27">
        <v>140.30000000000001</v>
      </c>
      <c r="Q27">
        <v>85.153000000000006</v>
      </c>
      <c r="R27">
        <v>118.637</v>
      </c>
      <c r="S27">
        <v>138.376</v>
      </c>
      <c r="T27">
        <v>75.867000000000004</v>
      </c>
      <c r="U27">
        <v>89.512</v>
      </c>
      <c r="V27">
        <v>70.296000000000006</v>
      </c>
      <c r="W27">
        <v>95.305999999999997</v>
      </c>
      <c r="X27">
        <v>115.813</v>
      </c>
      <c r="Y27">
        <v>49.034999999999997</v>
      </c>
      <c r="Z27">
        <v>85.311000000000007</v>
      </c>
      <c r="AA27">
        <v>101.584</v>
      </c>
      <c r="AB27">
        <v>83.353999999999999</v>
      </c>
      <c r="AC27">
        <v>141.97800000000001</v>
      </c>
      <c r="AD27">
        <v>66.424000000000007</v>
      </c>
      <c r="AE27">
        <v>111.301</v>
      </c>
      <c r="AF27">
        <v>66.47</v>
      </c>
      <c r="AG27">
        <v>63.613</v>
      </c>
      <c r="AH27" s="32">
        <v>101.101</v>
      </c>
    </row>
    <row r="28" spans="1:1005" ht="14.5" x14ac:dyDescent="0.35">
      <c r="A28" s="29">
        <v>46874</v>
      </c>
      <c r="B28" s="33">
        <v>251</v>
      </c>
      <c r="C28" s="8">
        <v>251</v>
      </c>
      <c r="D28" s="11">
        <v>251</v>
      </c>
      <c r="E28">
        <v>343.113</v>
      </c>
      <c r="F28">
        <v>266.995</v>
      </c>
      <c r="G28">
        <v>304.077</v>
      </c>
      <c r="H28">
        <v>431.31700000000001</v>
      </c>
      <c r="I28">
        <v>418.22399999999999</v>
      </c>
      <c r="J28">
        <v>260.52600000000001</v>
      </c>
      <c r="K28">
        <v>283.488</v>
      </c>
      <c r="L28">
        <v>296.95699999999999</v>
      </c>
      <c r="M28">
        <v>318.447</v>
      </c>
      <c r="N28">
        <v>111.01600000000001</v>
      </c>
      <c r="O28">
        <v>200.19200000000001</v>
      </c>
      <c r="P28">
        <v>278.95999999999998</v>
      </c>
      <c r="Q28">
        <v>328.83600000000001</v>
      </c>
      <c r="R28">
        <v>290.56</v>
      </c>
      <c r="S28">
        <v>296.75099999999998</v>
      </c>
      <c r="T28">
        <v>329.79700000000003</v>
      </c>
      <c r="U28">
        <v>380.32100000000003</v>
      </c>
      <c r="V28">
        <v>161.71199999999999</v>
      </c>
      <c r="W28">
        <v>215.196</v>
      </c>
      <c r="X28">
        <v>179.547</v>
      </c>
      <c r="Y28">
        <v>124.378</v>
      </c>
      <c r="Z28">
        <v>297.488</v>
      </c>
      <c r="AA28">
        <v>211.011</v>
      </c>
      <c r="AB28">
        <v>206.983</v>
      </c>
      <c r="AC28">
        <v>316.05900000000003</v>
      </c>
      <c r="AD28">
        <v>196.666</v>
      </c>
      <c r="AE28">
        <v>248.95</v>
      </c>
      <c r="AF28">
        <v>223.18</v>
      </c>
      <c r="AG28">
        <v>173.994</v>
      </c>
      <c r="AH28" s="32">
        <v>258.58600000000001</v>
      </c>
      <c r="ALQ28" s="4" t="e">
        <v>#N/A</v>
      </c>
    </row>
    <row r="29" spans="1:1005" ht="14.5" x14ac:dyDescent="0.35">
      <c r="A29" s="29">
        <v>46905</v>
      </c>
      <c r="B29" s="33">
        <v>293</v>
      </c>
      <c r="C29" s="8">
        <v>293</v>
      </c>
      <c r="D29" s="11">
        <v>293</v>
      </c>
      <c r="E29">
        <v>460.59399999999999</v>
      </c>
      <c r="F29">
        <v>242.78100000000001</v>
      </c>
      <c r="G29">
        <v>672.18899999999996</v>
      </c>
      <c r="H29">
        <v>350.17700000000002</v>
      </c>
      <c r="I29">
        <v>574.15800000000002</v>
      </c>
      <c r="J29">
        <v>248.78800000000001</v>
      </c>
      <c r="K29">
        <v>400.19799999999998</v>
      </c>
      <c r="L29">
        <v>178.73500000000001</v>
      </c>
      <c r="M29">
        <v>220.10499999999999</v>
      </c>
      <c r="N29">
        <v>60.817</v>
      </c>
      <c r="O29">
        <v>230.44200000000001</v>
      </c>
      <c r="P29">
        <v>164.517</v>
      </c>
      <c r="Q29">
        <v>328.62900000000002</v>
      </c>
      <c r="R29">
        <v>209.637</v>
      </c>
      <c r="S29">
        <v>210.06299999999999</v>
      </c>
      <c r="T29">
        <v>571.36900000000003</v>
      </c>
      <c r="U29">
        <v>302.089</v>
      </c>
      <c r="V29">
        <v>318.11399999999998</v>
      </c>
      <c r="W29">
        <v>514.26300000000003</v>
      </c>
      <c r="X29">
        <v>65.031000000000006</v>
      </c>
      <c r="Y29">
        <v>167.90600000000001</v>
      </c>
      <c r="Z29">
        <v>381.74799999999999</v>
      </c>
      <c r="AA29">
        <v>415.58100000000002</v>
      </c>
      <c r="AB29">
        <v>350.80599999999998</v>
      </c>
      <c r="AC29">
        <v>455.73</v>
      </c>
      <c r="AD29">
        <v>80.347999999999999</v>
      </c>
      <c r="AE29">
        <v>489.50400000000002</v>
      </c>
      <c r="AF29">
        <v>222.83099999999999</v>
      </c>
      <c r="AG29">
        <v>315.64999999999998</v>
      </c>
      <c r="AH29" s="32">
        <v>190.80699999999999</v>
      </c>
      <c r="ALQ29" s="4" t="e">
        <v>#N/A</v>
      </c>
    </row>
    <row r="30" spans="1:1005" ht="14.5" x14ac:dyDescent="0.35">
      <c r="A30" s="29">
        <v>46935</v>
      </c>
      <c r="B30" s="33">
        <v>98</v>
      </c>
      <c r="C30" s="8">
        <v>98</v>
      </c>
      <c r="D30" s="11">
        <v>98</v>
      </c>
      <c r="E30">
        <v>191.98500000000001</v>
      </c>
      <c r="F30">
        <v>68.807000000000002</v>
      </c>
      <c r="G30">
        <v>481.46899999999999</v>
      </c>
      <c r="H30">
        <v>117.383</v>
      </c>
      <c r="I30">
        <v>183.17699999999999</v>
      </c>
      <c r="J30">
        <v>113.444</v>
      </c>
      <c r="K30">
        <v>248.13399999999999</v>
      </c>
      <c r="L30">
        <v>54.566000000000003</v>
      </c>
      <c r="M30">
        <v>62.32</v>
      </c>
      <c r="N30">
        <v>26.273</v>
      </c>
      <c r="O30">
        <v>59.726999999999997</v>
      </c>
      <c r="P30">
        <v>58.912999999999997</v>
      </c>
      <c r="Q30">
        <v>118.938</v>
      </c>
      <c r="R30">
        <v>76.292000000000002</v>
      </c>
      <c r="S30">
        <v>71.126000000000005</v>
      </c>
      <c r="T30">
        <v>234.61799999999999</v>
      </c>
      <c r="U30">
        <v>142.1</v>
      </c>
      <c r="V30">
        <v>76.320999999999998</v>
      </c>
      <c r="W30">
        <v>246.71</v>
      </c>
      <c r="X30">
        <v>31.321000000000002</v>
      </c>
      <c r="Y30">
        <v>57.899000000000001</v>
      </c>
      <c r="Z30">
        <v>109.49</v>
      </c>
      <c r="AA30">
        <v>128.005</v>
      </c>
      <c r="AB30">
        <v>104.583</v>
      </c>
      <c r="AC30">
        <v>138.59</v>
      </c>
      <c r="AD30">
        <v>34.659999999999997</v>
      </c>
      <c r="AE30">
        <v>289.83800000000002</v>
      </c>
      <c r="AF30">
        <v>65.275999999999996</v>
      </c>
      <c r="AG30">
        <v>128.101</v>
      </c>
      <c r="AH30" s="32">
        <v>70.582999999999998</v>
      </c>
      <c r="ALQ30" s="4" t="e">
        <v>#N/A</v>
      </c>
    </row>
    <row r="31" spans="1:1005" ht="14.5" x14ac:dyDescent="0.35">
      <c r="A31" s="29">
        <v>46966</v>
      </c>
      <c r="B31" s="33">
        <v>63</v>
      </c>
      <c r="C31" s="8">
        <v>63</v>
      </c>
      <c r="D31" s="11">
        <v>63</v>
      </c>
      <c r="E31">
        <v>73.266000000000005</v>
      </c>
      <c r="F31">
        <v>46.09</v>
      </c>
      <c r="G31">
        <v>131.81</v>
      </c>
      <c r="H31">
        <v>57.996000000000002</v>
      </c>
      <c r="I31">
        <v>88.442999999999998</v>
      </c>
      <c r="J31">
        <v>55.075000000000003</v>
      </c>
      <c r="K31">
        <v>97.873999999999995</v>
      </c>
      <c r="L31">
        <v>48.616999999999997</v>
      </c>
      <c r="M31">
        <v>56.686999999999998</v>
      </c>
      <c r="N31">
        <v>23.58</v>
      </c>
      <c r="O31">
        <v>45.143999999999998</v>
      </c>
      <c r="P31">
        <v>41.34</v>
      </c>
      <c r="Q31">
        <v>62.572000000000003</v>
      </c>
      <c r="R31">
        <v>55.61</v>
      </c>
      <c r="S31">
        <v>53.591000000000001</v>
      </c>
      <c r="T31">
        <v>84.585999999999999</v>
      </c>
      <c r="U31">
        <v>58.493000000000002</v>
      </c>
      <c r="V31">
        <v>55.136000000000003</v>
      </c>
      <c r="W31">
        <v>74.876000000000005</v>
      </c>
      <c r="X31">
        <v>32.569000000000003</v>
      </c>
      <c r="Y31">
        <v>42.161000000000001</v>
      </c>
      <c r="Z31">
        <v>63.213999999999999</v>
      </c>
      <c r="AA31">
        <v>57.515999999999998</v>
      </c>
      <c r="AB31">
        <v>57.811999999999998</v>
      </c>
      <c r="AC31">
        <v>67.944000000000003</v>
      </c>
      <c r="AD31">
        <v>29.274999999999999</v>
      </c>
      <c r="AE31">
        <v>88.704999999999998</v>
      </c>
      <c r="AF31">
        <v>43.603999999999999</v>
      </c>
      <c r="AG31">
        <v>58.069000000000003</v>
      </c>
      <c r="AH31" s="32">
        <v>60.646000000000001</v>
      </c>
      <c r="ALQ31" s="4" t="e">
        <v>#N/A</v>
      </c>
    </row>
    <row r="32" spans="1:1005" ht="14.5" x14ac:dyDescent="0.35">
      <c r="A32" s="29">
        <v>46997</v>
      </c>
      <c r="B32" s="33">
        <v>42</v>
      </c>
      <c r="C32" s="8">
        <v>42</v>
      </c>
      <c r="D32" s="11">
        <v>42</v>
      </c>
      <c r="E32">
        <v>52.895000000000003</v>
      </c>
      <c r="F32">
        <v>38.972000000000001</v>
      </c>
      <c r="G32">
        <v>70.512</v>
      </c>
      <c r="H32">
        <v>43.823999999999998</v>
      </c>
      <c r="I32">
        <v>65.183999999999997</v>
      </c>
      <c r="J32">
        <v>36.200000000000003</v>
      </c>
      <c r="K32">
        <v>53.570999999999998</v>
      </c>
      <c r="L32">
        <v>36.396000000000001</v>
      </c>
      <c r="M32">
        <v>33.720999999999997</v>
      </c>
      <c r="N32">
        <v>23.614000000000001</v>
      </c>
      <c r="O32">
        <v>65.548000000000002</v>
      </c>
      <c r="P32">
        <v>41.667999999999999</v>
      </c>
      <c r="Q32">
        <v>41.225000000000001</v>
      </c>
      <c r="R32">
        <v>41.987000000000002</v>
      </c>
      <c r="S32">
        <v>50.496000000000002</v>
      </c>
      <c r="T32">
        <v>49.192999999999998</v>
      </c>
      <c r="U32">
        <v>40.180999999999997</v>
      </c>
      <c r="V32">
        <v>31.591999999999999</v>
      </c>
      <c r="W32">
        <v>43.841999999999999</v>
      </c>
      <c r="X32">
        <v>26.437000000000001</v>
      </c>
      <c r="Y32">
        <v>60.79</v>
      </c>
      <c r="Z32">
        <v>60.615000000000002</v>
      </c>
      <c r="AA32">
        <v>41.720999999999997</v>
      </c>
      <c r="AB32">
        <v>38.823</v>
      </c>
      <c r="AC32">
        <v>43.002000000000002</v>
      </c>
      <c r="AD32">
        <v>24.221</v>
      </c>
      <c r="AE32">
        <v>46.75</v>
      </c>
      <c r="AF32">
        <v>40.381</v>
      </c>
      <c r="AG32">
        <v>36.713999999999999</v>
      </c>
      <c r="AH32" s="32">
        <v>42.2</v>
      </c>
      <c r="ALQ32" s="4" t="e">
        <v>#N/A</v>
      </c>
    </row>
    <row r="33" spans="1:1005" ht="14.5" x14ac:dyDescent="0.35">
      <c r="A33" s="29">
        <v>47027</v>
      </c>
      <c r="B33" s="34">
        <v>48</v>
      </c>
      <c r="C33" s="12">
        <v>38</v>
      </c>
      <c r="D33" s="11">
        <v>43</v>
      </c>
      <c r="E33">
        <v>51.777999999999999</v>
      </c>
      <c r="F33">
        <v>51.978999999999999</v>
      </c>
      <c r="G33">
        <v>67.305000000000007</v>
      </c>
      <c r="H33">
        <v>61.564</v>
      </c>
      <c r="I33">
        <v>74.13</v>
      </c>
      <c r="J33">
        <v>54.808999999999997</v>
      </c>
      <c r="K33">
        <v>43.887</v>
      </c>
      <c r="L33">
        <v>36.936999999999998</v>
      </c>
      <c r="M33">
        <v>34.356000000000002</v>
      </c>
      <c r="N33">
        <v>37.496000000000002</v>
      </c>
      <c r="O33">
        <v>39.445999999999998</v>
      </c>
      <c r="P33">
        <v>41.825000000000003</v>
      </c>
      <c r="Q33">
        <v>61.161999999999999</v>
      </c>
      <c r="R33">
        <v>84.593000000000004</v>
      </c>
      <c r="S33">
        <v>56.901000000000003</v>
      </c>
      <c r="T33">
        <v>47.987000000000002</v>
      </c>
      <c r="U33">
        <v>45.335000000000001</v>
      </c>
      <c r="V33">
        <v>36.125999999999998</v>
      </c>
      <c r="W33">
        <v>47.707999999999998</v>
      </c>
      <c r="X33">
        <v>26.696999999999999</v>
      </c>
      <c r="Y33">
        <v>58.531999999999996</v>
      </c>
      <c r="Z33">
        <v>72.691999999999993</v>
      </c>
      <c r="AA33">
        <v>39.465000000000003</v>
      </c>
      <c r="AB33">
        <v>35.942</v>
      </c>
      <c r="AC33">
        <v>46.337000000000003</v>
      </c>
      <c r="AD33">
        <v>29.234999999999999</v>
      </c>
      <c r="AE33">
        <v>43.051000000000002</v>
      </c>
      <c r="AF33">
        <v>43.051000000000002</v>
      </c>
      <c r="AG33">
        <v>32.783999999999999</v>
      </c>
      <c r="AH33" s="32">
        <v>33.201000000000001</v>
      </c>
      <c r="ALQ33" s="4" t="e">
        <v>#N/A</v>
      </c>
    </row>
    <row r="34" spans="1:1005" ht="14.5" x14ac:dyDescent="0.35">
      <c r="A34" s="29">
        <v>47058</v>
      </c>
      <c r="B34" s="33">
        <v>39</v>
      </c>
      <c r="C34" s="8">
        <v>35</v>
      </c>
      <c r="D34" s="11">
        <v>37</v>
      </c>
      <c r="E34">
        <v>42.070999999999998</v>
      </c>
      <c r="F34">
        <v>39.732999999999997</v>
      </c>
      <c r="G34">
        <v>51.308999999999997</v>
      </c>
      <c r="H34">
        <v>49.551000000000002</v>
      </c>
      <c r="I34">
        <v>54</v>
      </c>
      <c r="J34">
        <v>45.180999999999997</v>
      </c>
      <c r="K34">
        <v>35.835999999999999</v>
      </c>
      <c r="L34">
        <v>33.030999999999999</v>
      </c>
      <c r="M34">
        <v>33.319000000000003</v>
      </c>
      <c r="N34">
        <v>24.225999999999999</v>
      </c>
      <c r="O34">
        <v>29.991</v>
      </c>
      <c r="P34">
        <v>38.256999999999998</v>
      </c>
      <c r="Q34">
        <v>46.780999999999999</v>
      </c>
      <c r="R34">
        <v>54.719000000000001</v>
      </c>
      <c r="S34">
        <v>44.015999999999998</v>
      </c>
      <c r="T34">
        <v>42.23</v>
      </c>
      <c r="U34">
        <v>41.823999999999998</v>
      </c>
      <c r="V34">
        <v>36.621000000000002</v>
      </c>
      <c r="W34">
        <v>39.186999999999998</v>
      </c>
      <c r="X34">
        <v>23.238</v>
      </c>
      <c r="Y34">
        <v>37.81</v>
      </c>
      <c r="Z34">
        <v>44.283000000000001</v>
      </c>
      <c r="AA34">
        <v>36.378</v>
      </c>
      <c r="AB34">
        <v>31.37</v>
      </c>
      <c r="AC34">
        <v>40.594999999999999</v>
      </c>
      <c r="AD34">
        <v>27.57</v>
      </c>
      <c r="AE34">
        <v>38.173999999999999</v>
      </c>
      <c r="AF34">
        <v>46.113</v>
      </c>
      <c r="AG34">
        <v>32.561</v>
      </c>
      <c r="AH34" s="32">
        <v>29.114999999999998</v>
      </c>
      <c r="ALQ34" s="4" t="e">
        <v>#N/A</v>
      </c>
    </row>
    <row r="35" spans="1:1005" ht="14.5" x14ac:dyDescent="0.35">
      <c r="A35" s="29">
        <v>47088</v>
      </c>
      <c r="B35" s="33">
        <v>32</v>
      </c>
      <c r="C35" s="8">
        <v>32</v>
      </c>
      <c r="D35" s="11">
        <v>32</v>
      </c>
      <c r="E35">
        <v>36.014000000000003</v>
      </c>
      <c r="F35">
        <v>31.622</v>
      </c>
      <c r="G35">
        <v>47.207000000000001</v>
      </c>
      <c r="H35">
        <v>40.195999999999998</v>
      </c>
      <c r="I35">
        <v>41.436999999999998</v>
      </c>
      <c r="J35">
        <v>39.963999999999999</v>
      </c>
      <c r="K35">
        <v>32.027999999999999</v>
      </c>
      <c r="L35">
        <v>28.318999999999999</v>
      </c>
      <c r="M35">
        <v>27.488</v>
      </c>
      <c r="N35">
        <v>20.507999999999999</v>
      </c>
      <c r="O35">
        <v>27.437999999999999</v>
      </c>
      <c r="P35">
        <v>29.853000000000002</v>
      </c>
      <c r="Q35">
        <v>34.098999999999997</v>
      </c>
      <c r="R35">
        <v>37.667000000000002</v>
      </c>
      <c r="S35">
        <v>31.335000000000001</v>
      </c>
      <c r="T35">
        <v>37.564999999999998</v>
      </c>
      <c r="U35">
        <v>33.625999999999998</v>
      </c>
      <c r="V35">
        <v>30.736999999999998</v>
      </c>
      <c r="W35">
        <v>34.225999999999999</v>
      </c>
      <c r="X35">
        <v>21.338000000000001</v>
      </c>
      <c r="Y35">
        <v>28.193000000000001</v>
      </c>
      <c r="Z35">
        <v>36.296999999999997</v>
      </c>
      <c r="AA35">
        <v>32.156999999999996</v>
      </c>
      <c r="AB35">
        <v>29.303000000000001</v>
      </c>
      <c r="AC35">
        <v>37.222000000000001</v>
      </c>
      <c r="AD35">
        <v>22.46</v>
      </c>
      <c r="AE35">
        <v>35.564999999999998</v>
      </c>
      <c r="AF35">
        <v>36.064999999999998</v>
      </c>
      <c r="AG35">
        <v>29.234000000000002</v>
      </c>
      <c r="AH35" s="32">
        <v>26.277999999999999</v>
      </c>
      <c r="ALQ35" s="4" t="e">
        <v>#N/A</v>
      </c>
    </row>
    <row r="36" spans="1:1005" ht="14.5" x14ac:dyDescent="0.35">
      <c r="A36" s="29">
        <v>47119</v>
      </c>
      <c r="B36" s="33">
        <v>31</v>
      </c>
      <c r="C36" s="8">
        <v>31</v>
      </c>
      <c r="D36" s="14">
        <v>31</v>
      </c>
      <c r="E36">
        <v>32.848999999999997</v>
      </c>
      <c r="F36">
        <v>28.65</v>
      </c>
      <c r="G36">
        <v>39.9</v>
      </c>
      <c r="H36">
        <v>34.634</v>
      </c>
      <c r="I36">
        <v>36.908999999999999</v>
      </c>
      <c r="J36">
        <v>34.536999999999999</v>
      </c>
      <c r="K36">
        <v>32.213000000000001</v>
      </c>
      <c r="L36">
        <v>26.045000000000002</v>
      </c>
      <c r="M36">
        <v>24.273</v>
      </c>
      <c r="N36">
        <v>19.722000000000001</v>
      </c>
      <c r="O36">
        <v>24.547999999999998</v>
      </c>
      <c r="P36">
        <v>29.062999999999999</v>
      </c>
      <c r="Q36">
        <v>29.524999999999999</v>
      </c>
      <c r="R36">
        <v>31.797000000000001</v>
      </c>
      <c r="S36">
        <v>26.1</v>
      </c>
      <c r="T36">
        <v>33.979999999999997</v>
      </c>
      <c r="U36">
        <v>29.808</v>
      </c>
      <c r="V36">
        <v>27.834</v>
      </c>
      <c r="W36">
        <v>32.698</v>
      </c>
      <c r="X36">
        <v>19.811</v>
      </c>
      <c r="Y36">
        <v>24.475999999999999</v>
      </c>
      <c r="Z36">
        <v>31.675999999999998</v>
      </c>
      <c r="AA36">
        <v>29.27</v>
      </c>
      <c r="AB36">
        <v>27.474</v>
      </c>
      <c r="AC36">
        <v>32.933</v>
      </c>
      <c r="AD36">
        <v>20.632000000000001</v>
      </c>
      <c r="AE36" s="32">
        <v>32.369999999999997</v>
      </c>
      <c r="AF36">
        <v>29.059000000000001</v>
      </c>
      <c r="AG36" s="4">
        <v>26.411999999999999</v>
      </c>
      <c r="AH36" s="4">
        <v>24.651</v>
      </c>
      <c r="ALQ36" s="4" t="e">
        <v>#N/A</v>
      </c>
    </row>
    <row r="37" spans="1:1005" ht="14.5" x14ac:dyDescent="0.35">
      <c r="A37" s="29">
        <v>47150</v>
      </c>
      <c r="B37" s="15">
        <v>29</v>
      </c>
      <c r="C37" s="13">
        <v>29</v>
      </c>
      <c r="D37" s="14">
        <v>29</v>
      </c>
      <c r="E37">
        <v>27.74</v>
      </c>
      <c r="F37">
        <v>31.408999999999999</v>
      </c>
      <c r="G37">
        <v>39.069000000000003</v>
      </c>
      <c r="H37">
        <v>28.068000000000001</v>
      </c>
      <c r="I37">
        <v>31.587</v>
      </c>
      <c r="J37">
        <v>33.466000000000001</v>
      </c>
      <c r="K37">
        <v>31.888999999999999</v>
      </c>
      <c r="L37">
        <v>24.68</v>
      </c>
      <c r="M37">
        <v>20.558</v>
      </c>
      <c r="N37">
        <v>22.611999999999998</v>
      </c>
      <c r="O37">
        <v>21.13</v>
      </c>
      <c r="P37">
        <v>25.366</v>
      </c>
      <c r="Q37">
        <v>24.193000000000001</v>
      </c>
      <c r="R37">
        <v>31.657</v>
      </c>
      <c r="S37">
        <v>21.172999999999998</v>
      </c>
      <c r="T37">
        <v>30.094999999999999</v>
      </c>
      <c r="U37">
        <v>24.678000000000001</v>
      </c>
      <c r="V37">
        <v>23.132999999999999</v>
      </c>
      <c r="W37">
        <v>27.16</v>
      </c>
      <c r="X37">
        <v>17.375</v>
      </c>
      <c r="Y37">
        <v>26.085000000000001</v>
      </c>
      <c r="Z37">
        <v>37.231000000000002</v>
      </c>
      <c r="AA37">
        <v>27.588000000000001</v>
      </c>
      <c r="AB37">
        <v>33.82</v>
      </c>
      <c r="AC37">
        <v>34.287999999999997</v>
      </c>
      <c r="AD37">
        <v>17.936</v>
      </c>
      <c r="AE37" s="32">
        <v>28.609000000000002</v>
      </c>
      <c r="AF37">
        <v>27.411999999999999</v>
      </c>
      <c r="AG37" s="4">
        <v>24.4</v>
      </c>
      <c r="AH37" s="4">
        <v>22.681000000000001</v>
      </c>
      <c r="ALQ37" s="4" t="e">
        <v>#N/A</v>
      </c>
    </row>
    <row r="38" spans="1:1005" ht="14.5" x14ac:dyDescent="0.35">
      <c r="A38" s="29">
        <v>47178</v>
      </c>
      <c r="B38" s="15">
        <v>46</v>
      </c>
      <c r="C38" s="13">
        <v>46</v>
      </c>
      <c r="D38" s="14">
        <v>46</v>
      </c>
      <c r="E38">
        <v>50.991999999999997</v>
      </c>
      <c r="F38">
        <v>62.4</v>
      </c>
      <c r="G38">
        <v>52.137999999999998</v>
      </c>
      <c r="H38">
        <v>59.902999999999999</v>
      </c>
      <c r="I38">
        <v>54.536999999999999</v>
      </c>
      <c r="J38">
        <v>52.360999999999997</v>
      </c>
      <c r="K38">
        <v>40.076000000000001</v>
      </c>
      <c r="L38">
        <v>37.421999999999997</v>
      </c>
      <c r="M38">
        <v>27.565999999999999</v>
      </c>
      <c r="N38">
        <v>38.749000000000002</v>
      </c>
      <c r="O38">
        <v>59.628</v>
      </c>
      <c r="P38">
        <v>33.045999999999999</v>
      </c>
      <c r="Q38">
        <v>35.988</v>
      </c>
      <c r="R38">
        <v>82.248999999999995</v>
      </c>
      <c r="S38">
        <v>24.382999999999999</v>
      </c>
      <c r="T38">
        <v>55.313000000000002</v>
      </c>
      <c r="U38">
        <v>30.390999999999998</v>
      </c>
      <c r="V38">
        <v>40.813000000000002</v>
      </c>
      <c r="W38">
        <v>52.122999999999998</v>
      </c>
      <c r="X38">
        <v>26.286999999999999</v>
      </c>
      <c r="Y38">
        <v>37.264000000000003</v>
      </c>
      <c r="Z38">
        <v>67.451999999999998</v>
      </c>
      <c r="AA38">
        <v>49.093000000000004</v>
      </c>
      <c r="AB38">
        <v>79.027000000000001</v>
      </c>
      <c r="AC38">
        <v>37.337000000000003</v>
      </c>
      <c r="AD38">
        <v>28.648</v>
      </c>
      <c r="AE38" s="32">
        <v>44.984999999999999</v>
      </c>
      <c r="AF38">
        <v>37.359000000000002</v>
      </c>
      <c r="AG38" s="4">
        <v>44.908000000000001</v>
      </c>
      <c r="AH38" s="4">
        <v>43.459000000000003</v>
      </c>
      <c r="ALQ38" s="4" t="e">
        <v>#N/A</v>
      </c>
    </row>
    <row r="39" spans="1:1005" ht="14.5" x14ac:dyDescent="0.35">
      <c r="A39" s="29">
        <v>47209</v>
      </c>
      <c r="B39" s="15">
        <v>100</v>
      </c>
      <c r="C39" s="13">
        <v>100</v>
      </c>
      <c r="D39" s="14">
        <v>100</v>
      </c>
      <c r="E39">
        <v>96.331999999999994</v>
      </c>
      <c r="F39">
        <v>81.198999999999998</v>
      </c>
      <c r="G39">
        <v>125.471</v>
      </c>
      <c r="H39">
        <v>114.026</v>
      </c>
      <c r="I39">
        <v>91.046000000000006</v>
      </c>
      <c r="J39">
        <v>78.923000000000002</v>
      </c>
      <c r="K39">
        <v>109.593</v>
      </c>
      <c r="L39">
        <v>82.445999999999998</v>
      </c>
      <c r="M39">
        <v>67.924999999999997</v>
      </c>
      <c r="N39">
        <v>73.509</v>
      </c>
      <c r="O39">
        <v>138.90299999999999</v>
      </c>
      <c r="P39">
        <v>83.846000000000004</v>
      </c>
      <c r="Q39">
        <v>119.745</v>
      </c>
      <c r="R39">
        <v>140.15299999999999</v>
      </c>
      <c r="S39">
        <v>76.712000000000003</v>
      </c>
      <c r="T39">
        <v>86.418999999999997</v>
      </c>
      <c r="U39">
        <v>74.242000000000004</v>
      </c>
      <c r="V39">
        <v>97.733000000000004</v>
      </c>
      <c r="W39">
        <v>116.52500000000001</v>
      </c>
      <c r="X39">
        <v>50.863999999999997</v>
      </c>
      <c r="Y39">
        <v>84.935000000000002</v>
      </c>
      <c r="Z39">
        <v>101.443</v>
      </c>
      <c r="AA39">
        <v>85.837999999999994</v>
      </c>
      <c r="AB39">
        <v>144.09100000000001</v>
      </c>
      <c r="AC39">
        <v>67.936999999999998</v>
      </c>
      <c r="AD39">
        <v>115.79600000000001</v>
      </c>
      <c r="AE39" s="32">
        <v>66.662000000000006</v>
      </c>
      <c r="AF39">
        <v>67.015000000000001</v>
      </c>
      <c r="AG39" s="4">
        <v>102.369</v>
      </c>
      <c r="AH39" s="4">
        <v>99.147999999999996</v>
      </c>
      <c r="ALQ39" s="4" t="e">
        <v>#N/A</v>
      </c>
    </row>
    <row r="40" spans="1:1005" ht="14.5" x14ac:dyDescent="0.35">
      <c r="A40" s="29">
        <v>47239</v>
      </c>
      <c r="B40" s="15">
        <v>251</v>
      </c>
      <c r="C40" s="13">
        <v>251</v>
      </c>
      <c r="D40" s="14">
        <v>251</v>
      </c>
      <c r="E40">
        <v>266.94299999999998</v>
      </c>
      <c r="F40">
        <v>311.70600000000002</v>
      </c>
      <c r="G40">
        <v>430.709</v>
      </c>
      <c r="H40">
        <v>414.15499999999997</v>
      </c>
      <c r="I40">
        <v>262.00799999999998</v>
      </c>
      <c r="J40">
        <v>289.62099999999998</v>
      </c>
      <c r="K40">
        <v>297.94600000000003</v>
      </c>
      <c r="L40">
        <v>316.40600000000001</v>
      </c>
      <c r="M40">
        <v>111.432</v>
      </c>
      <c r="N40">
        <v>202.547</v>
      </c>
      <c r="O40">
        <v>277.91199999999998</v>
      </c>
      <c r="P40">
        <v>319.70600000000002</v>
      </c>
      <c r="Q40">
        <v>291.33499999999998</v>
      </c>
      <c r="R40">
        <v>299.33100000000002</v>
      </c>
      <c r="S40">
        <v>331.59500000000003</v>
      </c>
      <c r="T40">
        <v>373.49599999999998</v>
      </c>
      <c r="U40">
        <v>164.852</v>
      </c>
      <c r="V40">
        <v>218.23400000000001</v>
      </c>
      <c r="W40">
        <v>179.976</v>
      </c>
      <c r="X40">
        <v>126.048</v>
      </c>
      <c r="Y40">
        <v>296.72399999999999</v>
      </c>
      <c r="Z40">
        <v>211.084</v>
      </c>
      <c r="AA40">
        <v>209.10499999999999</v>
      </c>
      <c r="AB40">
        <v>306.13200000000001</v>
      </c>
      <c r="AC40">
        <v>197.21799999999999</v>
      </c>
      <c r="AD40">
        <v>255.55099999999999</v>
      </c>
      <c r="AE40" s="32">
        <v>222.684</v>
      </c>
      <c r="AF40">
        <v>170.524</v>
      </c>
      <c r="AG40" s="4">
        <v>259.61500000000001</v>
      </c>
      <c r="AH40" s="4">
        <v>346.428</v>
      </c>
      <c r="ALQ40" s="4" t="e">
        <v>#N/A</v>
      </c>
    </row>
    <row r="41" spans="1:1005" ht="14.5" x14ac:dyDescent="0.35">
      <c r="A41" s="29">
        <v>47270</v>
      </c>
      <c r="B41" s="15">
        <v>293</v>
      </c>
      <c r="C41" s="13">
        <v>293</v>
      </c>
      <c r="D41" s="14">
        <v>293</v>
      </c>
      <c r="E41">
        <v>242.17</v>
      </c>
      <c r="F41">
        <v>677.66899999999998</v>
      </c>
      <c r="G41">
        <v>349.55700000000002</v>
      </c>
      <c r="H41">
        <v>577.71199999999999</v>
      </c>
      <c r="I41">
        <v>248.96199999999999</v>
      </c>
      <c r="J41">
        <v>403.17099999999999</v>
      </c>
      <c r="K41">
        <v>179.11799999999999</v>
      </c>
      <c r="L41">
        <v>227.71100000000001</v>
      </c>
      <c r="M41">
        <v>61.011000000000003</v>
      </c>
      <c r="N41">
        <v>231.441</v>
      </c>
      <c r="O41">
        <v>163.82900000000001</v>
      </c>
      <c r="P41">
        <v>333.83199999999999</v>
      </c>
      <c r="Q41">
        <v>209.53299999999999</v>
      </c>
      <c r="R41">
        <v>209.89400000000001</v>
      </c>
      <c r="S41">
        <v>572.74599999999998</v>
      </c>
      <c r="T41">
        <v>303.714</v>
      </c>
      <c r="U41">
        <v>319.73899999999998</v>
      </c>
      <c r="V41">
        <v>516.29999999999995</v>
      </c>
      <c r="W41">
        <v>64.989000000000004</v>
      </c>
      <c r="X41">
        <v>172.53299999999999</v>
      </c>
      <c r="Y41">
        <v>380.74400000000003</v>
      </c>
      <c r="Z41">
        <v>415.23500000000001</v>
      </c>
      <c r="AA41">
        <v>351.577</v>
      </c>
      <c r="AB41">
        <v>458.42700000000002</v>
      </c>
      <c r="AC41">
        <v>80.608999999999995</v>
      </c>
      <c r="AD41">
        <v>494.83300000000003</v>
      </c>
      <c r="AE41" s="32">
        <v>222.09800000000001</v>
      </c>
      <c r="AF41">
        <v>318.041</v>
      </c>
      <c r="AG41" s="4">
        <v>191.02099999999999</v>
      </c>
      <c r="AH41" s="4">
        <v>461.911</v>
      </c>
      <c r="ALQ41" s="4" t="e">
        <v>#N/A</v>
      </c>
    </row>
    <row r="42" spans="1:1005" ht="14.5" x14ac:dyDescent="0.35">
      <c r="A42" s="29">
        <v>47300</v>
      </c>
      <c r="B42" s="15">
        <v>98</v>
      </c>
      <c r="C42" s="13">
        <v>98</v>
      </c>
      <c r="D42" s="14">
        <v>98</v>
      </c>
      <c r="E42">
        <v>68.44</v>
      </c>
      <c r="F42" s="4">
        <v>482.40100000000001</v>
      </c>
      <c r="G42" s="4">
        <v>116.943</v>
      </c>
      <c r="H42" s="4">
        <v>190.70099999999999</v>
      </c>
      <c r="I42" s="4">
        <v>113.36</v>
      </c>
      <c r="J42" s="4">
        <v>249.15</v>
      </c>
      <c r="K42" s="4">
        <v>54.694000000000003</v>
      </c>
      <c r="L42" s="4">
        <v>63.720999999999997</v>
      </c>
      <c r="M42" s="4">
        <v>26.327000000000002</v>
      </c>
      <c r="N42" s="4">
        <v>59.747</v>
      </c>
      <c r="O42" s="4">
        <v>58.295000000000002</v>
      </c>
      <c r="P42" s="4">
        <v>124.14400000000001</v>
      </c>
      <c r="Q42" s="4">
        <v>76.006</v>
      </c>
      <c r="R42" s="4">
        <v>70.863</v>
      </c>
      <c r="S42" s="4">
        <v>234.48500000000001</v>
      </c>
      <c r="T42" s="4">
        <v>147.43600000000001</v>
      </c>
      <c r="U42" s="4">
        <v>77.010999999999996</v>
      </c>
      <c r="V42" s="4">
        <v>246.798</v>
      </c>
      <c r="W42" s="4">
        <v>31.103000000000002</v>
      </c>
      <c r="X42" s="4">
        <v>59.878999999999998</v>
      </c>
      <c r="Y42" s="4">
        <v>108.655</v>
      </c>
      <c r="Z42" s="4">
        <v>127.58499999999999</v>
      </c>
      <c r="AA42" s="4">
        <v>104.752</v>
      </c>
      <c r="AB42" s="4">
        <v>142.505</v>
      </c>
      <c r="AC42" s="4">
        <v>34.701000000000001</v>
      </c>
      <c r="AD42" s="4">
        <v>290.642</v>
      </c>
      <c r="AE42" s="32">
        <v>64.820999999999998</v>
      </c>
      <c r="AF42" s="4">
        <v>133.803</v>
      </c>
      <c r="AG42" s="4">
        <v>70.475999999999999</v>
      </c>
      <c r="AH42" s="4">
        <v>191.96700000000001</v>
      </c>
      <c r="ALQ42" s="4" t="e">
        <v>#N/A</v>
      </c>
    </row>
    <row r="43" spans="1:1005" ht="14.5" x14ac:dyDescent="0.35">
      <c r="A43" s="29">
        <v>47331</v>
      </c>
      <c r="B43" s="15">
        <v>63</v>
      </c>
      <c r="C43" s="13">
        <v>63</v>
      </c>
      <c r="D43" s="14">
        <v>63</v>
      </c>
      <c r="E43">
        <v>46.177999999999997</v>
      </c>
      <c r="F43" s="4">
        <v>132.471</v>
      </c>
      <c r="G43" s="4">
        <v>58.133000000000003</v>
      </c>
      <c r="H43" s="4">
        <v>91.290999999999997</v>
      </c>
      <c r="I43" s="4">
        <v>55.709000000000003</v>
      </c>
      <c r="J43" s="4">
        <v>98.816000000000003</v>
      </c>
      <c r="K43" s="4">
        <v>49.106000000000002</v>
      </c>
      <c r="L43" s="4">
        <v>57.472000000000001</v>
      </c>
      <c r="M43" s="4">
        <v>23.806999999999999</v>
      </c>
      <c r="N43" s="4">
        <v>45.475999999999999</v>
      </c>
      <c r="O43" s="4">
        <v>41.148000000000003</v>
      </c>
      <c r="P43" s="4">
        <v>63.421999999999997</v>
      </c>
      <c r="Q43" s="4">
        <v>55.847000000000001</v>
      </c>
      <c r="R43" s="4">
        <v>53.881</v>
      </c>
      <c r="S43" s="4">
        <v>84.807000000000002</v>
      </c>
      <c r="T43" s="4">
        <v>59.662999999999997</v>
      </c>
      <c r="U43" s="4">
        <v>56.279000000000003</v>
      </c>
      <c r="V43" s="4">
        <v>75.27</v>
      </c>
      <c r="W43" s="4">
        <v>32.718000000000004</v>
      </c>
      <c r="X43" s="4">
        <v>44.167999999999999</v>
      </c>
      <c r="Y43" s="4">
        <v>63.021000000000001</v>
      </c>
      <c r="Z43" s="4">
        <v>57.594999999999999</v>
      </c>
      <c r="AA43" s="4">
        <v>58.302999999999997</v>
      </c>
      <c r="AB43" s="4">
        <v>69.540999999999997</v>
      </c>
      <c r="AC43" s="4">
        <v>29.683</v>
      </c>
      <c r="AD43" s="4">
        <v>89.388999999999996</v>
      </c>
      <c r="AE43" s="32">
        <v>43.512999999999998</v>
      </c>
      <c r="AF43" s="4">
        <v>59.927</v>
      </c>
      <c r="AG43" s="4">
        <v>60.948999999999998</v>
      </c>
      <c r="AH43" s="4">
        <v>73.56</v>
      </c>
      <c r="ALQ43" s="4" t="e">
        <v>#N/A</v>
      </c>
    </row>
    <row r="44" spans="1:1005" ht="14.5" x14ac:dyDescent="0.35">
      <c r="A44" s="29">
        <v>47362</v>
      </c>
      <c r="B44" s="15">
        <v>42</v>
      </c>
      <c r="C44" s="13">
        <v>42</v>
      </c>
      <c r="D44" s="14">
        <v>42</v>
      </c>
      <c r="E44">
        <v>39.003999999999998</v>
      </c>
      <c r="F44" s="4">
        <v>71.061999999999998</v>
      </c>
      <c r="G44" s="4">
        <v>43.911999999999999</v>
      </c>
      <c r="H44" s="4">
        <v>66.075000000000003</v>
      </c>
      <c r="I44" s="4">
        <v>36.746000000000002</v>
      </c>
      <c r="J44" s="4">
        <v>54.265000000000001</v>
      </c>
      <c r="K44" s="4">
        <v>36.777999999999999</v>
      </c>
      <c r="L44" s="4">
        <v>34.520000000000003</v>
      </c>
      <c r="M44" s="4">
        <v>23.846</v>
      </c>
      <c r="N44" s="4">
        <v>65.884</v>
      </c>
      <c r="O44" s="4">
        <v>41.430999999999997</v>
      </c>
      <c r="P44" s="4">
        <v>40.872</v>
      </c>
      <c r="Q44" s="4">
        <v>42.18</v>
      </c>
      <c r="R44" s="4">
        <v>50.746000000000002</v>
      </c>
      <c r="S44" s="4">
        <v>49.317999999999998</v>
      </c>
      <c r="T44" s="4">
        <v>40.360999999999997</v>
      </c>
      <c r="U44" s="4">
        <v>32.472999999999999</v>
      </c>
      <c r="V44" s="4">
        <v>44.128999999999998</v>
      </c>
      <c r="W44" s="4">
        <v>26.509</v>
      </c>
      <c r="X44" s="4">
        <v>60.970999999999997</v>
      </c>
      <c r="Y44" s="4">
        <v>60.402999999999999</v>
      </c>
      <c r="Z44" s="4">
        <v>41.737000000000002</v>
      </c>
      <c r="AA44" s="4">
        <v>39.212000000000003</v>
      </c>
      <c r="AB44" s="4">
        <v>43.122999999999998</v>
      </c>
      <c r="AC44" s="4">
        <v>24.52</v>
      </c>
      <c r="AD44" s="4">
        <v>47.286000000000001</v>
      </c>
      <c r="AE44" s="32">
        <v>40.267000000000003</v>
      </c>
      <c r="AF44" s="4">
        <v>37.655999999999999</v>
      </c>
      <c r="AG44" s="4">
        <v>42.353999999999999</v>
      </c>
      <c r="AH44" s="4">
        <v>53.076999999999998</v>
      </c>
      <c r="ALQ44" s="4" t="e">
        <v>#N/A</v>
      </c>
    </row>
    <row r="45" spans="1:1005" ht="14.5" x14ac:dyDescent="0.35">
      <c r="A45" s="29">
        <v>47392</v>
      </c>
      <c r="B45" s="15">
        <v>48</v>
      </c>
      <c r="C45" s="13">
        <v>38</v>
      </c>
      <c r="D45" s="14">
        <v>43</v>
      </c>
      <c r="E45">
        <v>51.988999999999997</v>
      </c>
      <c r="F45">
        <v>67.777000000000001</v>
      </c>
      <c r="G45" s="4">
        <v>61.619</v>
      </c>
      <c r="H45" s="4">
        <v>75.284000000000006</v>
      </c>
      <c r="I45" s="4">
        <v>55.341000000000001</v>
      </c>
      <c r="J45" s="4">
        <v>44.537999999999997</v>
      </c>
      <c r="K45" s="4">
        <v>37.268999999999998</v>
      </c>
      <c r="L45" s="4">
        <v>34.718000000000004</v>
      </c>
      <c r="M45" s="4">
        <v>37.72</v>
      </c>
      <c r="N45" s="4">
        <v>39.634</v>
      </c>
      <c r="O45" s="4">
        <v>41.561</v>
      </c>
      <c r="P45" s="4">
        <v>61.947000000000003</v>
      </c>
      <c r="Q45" s="4">
        <v>84.793000000000006</v>
      </c>
      <c r="R45" s="4">
        <v>57.06</v>
      </c>
      <c r="S45" s="4">
        <v>48.073999999999998</v>
      </c>
      <c r="T45" s="4">
        <v>45.62</v>
      </c>
      <c r="U45" s="4">
        <v>37.067999999999998</v>
      </c>
      <c r="V45" s="4">
        <v>47.957000000000001</v>
      </c>
      <c r="W45" s="4">
        <v>26.800999999999998</v>
      </c>
      <c r="X45" s="4">
        <v>61.317</v>
      </c>
      <c r="Y45" s="4">
        <v>72.448999999999998</v>
      </c>
      <c r="Z45" s="4">
        <v>39.445</v>
      </c>
      <c r="AA45" s="4">
        <v>36.249000000000002</v>
      </c>
      <c r="AB45" s="4">
        <v>46.74</v>
      </c>
      <c r="AC45" s="4">
        <v>29.574000000000002</v>
      </c>
      <c r="AD45" s="4">
        <v>43.56</v>
      </c>
      <c r="AE45" s="32">
        <v>42.860999999999997</v>
      </c>
      <c r="AF45" s="4">
        <v>33.691000000000003</v>
      </c>
      <c r="AG45" s="4">
        <v>33.325000000000003</v>
      </c>
      <c r="AH45" s="4">
        <v>51.908999999999999</v>
      </c>
      <c r="ALQ45" s="4" t="e">
        <v>#N/A</v>
      </c>
    </row>
    <row r="46" spans="1:1005" ht="14.5" x14ac:dyDescent="0.35">
      <c r="A46" s="29">
        <v>47423</v>
      </c>
      <c r="B46" s="15">
        <v>39</v>
      </c>
      <c r="C46" s="13">
        <v>35</v>
      </c>
      <c r="D46" s="14">
        <v>37</v>
      </c>
      <c r="E46">
        <v>39.835999999999999</v>
      </c>
      <c r="F46">
        <v>51.829000000000001</v>
      </c>
      <c r="G46" s="4">
        <v>49.692999999999998</v>
      </c>
      <c r="H46" s="4">
        <v>55.323</v>
      </c>
      <c r="I46" s="4">
        <v>45.765999999999998</v>
      </c>
      <c r="J46" s="4">
        <v>36.491999999999997</v>
      </c>
      <c r="K46" s="4">
        <v>33.439</v>
      </c>
      <c r="L46" s="4">
        <v>34.091999999999999</v>
      </c>
      <c r="M46" s="4">
        <v>24.489000000000001</v>
      </c>
      <c r="N46" s="4">
        <v>30.24</v>
      </c>
      <c r="O46" s="4">
        <v>38.100999999999999</v>
      </c>
      <c r="P46" s="4">
        <v>47.802</v>
      </c>
      <c r="Q46" s="4">
        <v>54.954999999999998</v>
      </c>
      <c r="R46" s="4">
        <v>44.271999999999998</v>
      </c>
      <c r="S46" s="4">
        <v>42.402000000000001</v>
      </c>
      <c r="T46" s="4">
        <v>42.212000000000003</v>
      </c>
      <c r="U46" s="4">
        <v>37.566000000000003</v>
      </c>
      <c r="V46" s="4">
        <v>39.494999999999997</v>
      </c>
      <c r="W46" s="4">
        <v>23.376000000000001</v>
      </c>
      <c r="X46" s="4">
        <v>39.463999999999999</v>
      </c>
      <c r="Y46" s="4">
        <v>44.186999999999998</v>
      </c>
      <c r="Z46" s="4">
        <v>36.454999999999998</v>
      </c>
      <c r="AA46" s="4">
        <v>31.748999999999999</v>
      </c>
      <c r="AB46" s="4">
        <v>40.756</v>
      </c>
      <c r="AC46" s="4">
        <v>27.931000000000001</v>
      </c>
      <c r="AD46" s="4">
        <v>38.67</v>
      </c>
      <c r="AE46" s="32">
        <v>46.073</v>
      </c>
      <c r="AF46" s="4">
        <v>33.386000000000003</v>
      </c>
      <c r="AG46" s="4">
        <v>29.277999999999999</v>
      </c>
      <c r="AH46" s="4">
        <v>42.268999999999998</v>
      </c>
      <c r="ALQ46" s="4" t="e">
        <v>#N/A</v>
      </c>
    </row>
    <row r="47" spans="1:1005" ht="14.5" x14ac:dyDescent="0.35">
      <c r="A47" s="29">
        <v>47453</v>
      </c>
      <c r="B47" s="15">
        <v>32</v>
      </c>
      <c r="C47" s="13">
        <v>32</v>
      </c>
      <c r="D47" s="14">
        <v>32</v>
      </c>
      <c r="E47">
        <v>31.693999999999999</v>
      </c>
      <c r="F47">
        <v>47.686</v>
      </c>
      <c r="G47" s="4">
        <v>40.308999999999997</v>
      </c>
      <c r="H47" s="4">
        <v>42.31</v>
      </c>
      <c r="I47" s="4">
        <v>40.491</v>
      </c>
      <c r="J47" s="4">
        <v>32.634999999999998</v>
      </c>
      <c r="K47" s="4">
        <v>28.678999999999998</v>
      </c>
      <c r="L47" s="4">
        <v>28.05</v>
      </c>
      <c r="M47" s="4">
        <v>20.736000000000001</v>
      </c>
      <c r="N47" s="4">
        <v>27.646999999999998</v>
      </c>
      <c r="O47" s="4">
        <v>29.7</v>
      </c>
      <c r="P47" s="4">
        <v>34.603000000000002</v>
      </c>
      <c r="Q47" s="4">
        <v>37.866999999999997</v>
      </c>
      <c r="R47" s="4">
        <v>31.556999999999999</v>
      </c>
      <c r="S47" s="4">
        <v>37.707000000000001</v>
      </c>
      <c r="T47" s="4">
        <v>34.000999999999998</v>
      </c>
      <c r="U47" s="4">
        <v>31.61</v>
      </c>
      <c r="V47" s="4">
        <v>34.496000000000002</v>
      </c>
      <c r="W47" s="4">
        <v>21.457000000000001</v>
      </c>
      <c r="X47" s="4">
        <v>29.347000000000001</v>
      </c>
      <c r="Y47" s="4">
        <v>36.180999999999997</v>
      </c>
      <c r="Z47" s="4">
        <v>32.207999999999998</v>
      </c>
      <c r="AA47" s="4">
        <v>29.638999999999999</v>
      </c>
      <c r="AB47" s="4">
        <v>37.695</v>
      </c>
      <c r="AC47" s="4">
        <v>22.78</v>
      </c>
      <c r="AD47" s="4">
        <v>36.036000000000001</v>
      </c>
      <c r="AE47" s="32">
        <v>36.006</v>
      </c>
      <c r="AF47" s="4">
        <v>30.172999999999998</v>
      </c>
      <c r="AG47" s="4">
        <v>26.423999999999999</v>
      </c>
      <c r="AH47" s="4">
        <v>36.18</v>
      </c>
      <c r="ALQ47" s="4" t="e">
        <v>#N/A</v>
      </c>
    </row>
    <row r="48" spans="1:1005" ht="14.5" x14ac:dyDescent="0.35">
      <c r="A48" s="29">
        <v>47484</v>
      </c>
      <c r="B48" s="15">
        <v>31</v>
      </c>
      <c r="C48" s="13">
        <v>31</v>
      </c>
      <c r="D48" s="14">
        <v>31</v>
      </c>
      <c r="E48">
        <v>28.716000000000001</v>
      </c>
      <c r="F48">
        <v>40.323999999999998</v>
      </c>
      <c r="G48" s="4">
        <v>34.731999999999999</v>
      </c>
      <c r="H48" s="4">
        <v>37.548999999999999</v>
      </c>
      <c r="I48" s="4">
        <v>35.005000000000003</v>
      </c>
      <c r="J48" s="4">
        <v>32.786999999999999</v>
      </c>
      <c r="K48" s="4">
        <v>26.379000000000001</v>
      </c>
      <c r="L48" s="4">
        <v>24.701000000000001</v>
      </c>
      <c r="M48" s="4">
        <v>19.931000000000001</v>
      </c>
      <c r="N48" s="4">
        <v>24.74</v>
      </c>
      <c r="O48" s="4">
        <v>28.919</v>
      </c>
      <c r="P48" s="4">
        <v>29.812000000000001</v>
      </c>
      <c r="Q48" s="4">
        <v>31.983000000000001</v>
      </c>
      <c r="R48" s="4">
        <v>26.305</v>
      </c>
      <c r="S48" s="4">
        <v>34.112000000000002</v>
      </c>
      <c r="T48" s="4">
        <v>30.058</v>
      </c>
      <c r="U48" s="4">
        <v>28.63</v>
      </c>
      <c r="V48" s="4">
        <v>32.951999999999998</v>
      </c>
      <c r="W48" s="4">
        <v>19.920000000000002</v>
      </c>
      <c r="X48" s="4">
        <v>25.440999999999999</v>
      </c>
      <c r="Y48" s="4">
        <v>31.568000000000001</v>
      </c>
      <c r="Z48" s="4">
        <v>29.318000000000001</v>
      </c>
      <c r="AA48" s="4">
        <v>27.782</v>
      </c>
      <c r="AB48" s="4">
        <v>33.107999999999997</v>
      </c>
      <c r="AC48" s="4">
        <v>20.927</v>
      </c>
      <c r="AD48" s="4">
        <v>32.802999999999997</v>
      </c>
      <c r="AE48" s="32">
        <v>29.007000000000001</v>
      </c>
      <c r="AF48" s="4">
        <v>27.103000000000002</v>
      </c>
      <c r="AG48" s="4">
        <v>24.785</v>
      </c>
      <c r="AH48" s="4">
        <v>33.000999999999998</v>
      </c>
      <c r="ALQ48" s="4" t="e">
        <v>#N/A</v>
      </c>
    </row>
    <row r="49" spans="1:1005" ht="14.5" x14ac:dyDescent="0.35">
      <c r="A49" s="29">
        <v>47515</v>
      </c>
      <c r="B49" s="15">
        <v>29</v>
      </c>
      <c r="C49" s="13">
        <v>29</v>
      </c>
      <c r="D49" s="14">
        <v>29</v>
      </c>
      <c r="E49">
        <v>31.466000000000001</v>
      </c>
      <c r="F49">
        <v>39.442</v>
      </c>
      <c r="G49" s="4">
        <v>28.148</v>
      </c>
      <c r="H49" s="4">
        <v>32.033000000000001</v>
      </c>
      <c r="I49" s="4">
        <v>33.872</v>
      </c>
      <c r="J49" s="4">
        <v>32.387999999999998</v>
      </c>
      <c r="K49" s="4">
        <v>24.974</v>
      </c>
      <c r="L49" s="4">
        <v>20.867000000000001</v>
      </c>
      <c r="M49" s="4">
        <v>22.792999999999999</v>
      </c>
      <c r="N49" s="4">
        <v>21.291</v>
      </c>
      <c r="O49" s="4">
        <v>25.245000000000001</v>
      </c>
      <c r="P49" s="4">
        <v>24.349</v>
      </c>
      <c r="Q49" s="4">
        <v>31.83</v>
      </c>
      <c r="R49" s="4">
        <v>21.346</v>
      </c>
      <c r="S49" s="4">
        <v>30.207999999999998</v>
      </c>
      <c r="T49" s="4">
        <v>24.855</v>
      </c>
      <c r="U49" s="4">
        <v>23.792000000000002</v>
      </c>
      <c r="V49" s="4">
        <v>27.370999999999999</v>
      </c>
      <c r="W49" s="4">
        <v>17.466000000000001</v>
      </c>
      <c r="X49" s="4">
        <v>26.437999999999999</v>
      </c>
      <c r="Y49" s="4">
        <v>37.131999999999998</v>
      </c>
      <c r="Z49" s="4">
        <v>27.63</v>
      </c>
      <c r="AA49" s="4">
        <v>34.098999999999997</v>
      </c>
      <c r="AB49" s="4">
        <v>34.344999999999999</v>
      </c>
      <c r="AC49" s="4">
        <v>18.183</v>
      </c>
      <c r="AD49" s="4">
        <v>28.975999999999999</v>
      </c>
      <c r="AE49" s="32">
        <v>27.367000000000001</v>
      </c>
      <c r="AF49" s="4">
        <v>24.89</v>
      </c>
      <c r="AG49" s="4">
        <v>22.792999999999999</v>
      </c>
      <c r="AH49" s="4">
        <v>27.866</v>
      </c>
      <c r="ALQ49" s="4" t="e">
        <v>#N/A</v>
      </c>
    </row>
    <row r="50" spans="1:1005" ht="14.5" x14ac:dyDescent="0.35">
      <c r="A50" s="29">
        <v>47543</v>
      </c>
      <c r="B50" s="15">
        <v>46</v>
      </c>
      <c r="C50" s="13">
        <v>46</v>
      </c>
      <c r="D50" s="14">
        <v>46</v>
      </c>
      <c r="E50">
        <v>62.472999999999999</v>
      </c>
      <c r="F50">
        <v>52.579000000000001</v>
      </c>
      <c r="G50" s="4">
        <v>60.006</v>
      </c>
      <c r="H50" s="4">
        <v>54.031999999999996</v>
      </c>
      <c r="I50" s="4">
        <v>52.847999999999999</v>
      </c>
      <c r="J50" s="4">
        <v>40.631</v>
      </c>
      <c r="K50" s="4">
        <v>37.764000000000003</v>
      </c>
      <c r="L50" s="4">
        <v>27.3</v>
      </c>
      <c r="M50" s="4">
        <v>38.960999999999999</v>
      </c>
      <c r="N50" s="4">
        <v>59.87</v>
      </c>
      <c r="O50" s="4">
        <v>32.911000000000001</v>
      </c>
      <c r="P50" s="4">
        <v>35.762</v>
      </c>
      <c r="Q50" s="4">
        <v>82.507000000000005</v>
      </c>
      <c r="R50" s="4">
        <v>24.561</v>
      </c>
      <c r="S50" s="4">
        <v>55.448999999999998</v>
      </c>
      <c r="T50" s="4">
        <v>29.821000000000002</v>
      </c>
      <c r="U50" s="4">
        <v>41.65</v>
      </c>
      <c r="V50" s="4">
        <v>52.405000000000001</v>
      </c>
      <c r="W50" s="4">
        <v>26.378</v>
      </c>
      <c r="X50" s="4">
        <v>38.320999999999998</v>
      </c>
      <c r="Y50" s="4">
        <v>67.316999999999993</v>
      </c>
      <c r="Z50" s="4">
        <v>49.149000000000001</v>
      </c>
      <c r="AA50" s="4">
        <v>79.463999999999999</v>
      </c>
      <c r="AB50" s="4">
        <v>37.243000000000002</v>
      </c>
      <c r="AC50" s="4">
        <v>28.925999999999998</v>
      </c>
      <c r="AD50" s="4">
        <v>45.444000000000003</v>
      </c>
      <c r="AE50" s="32">
        <v>37.31</v>
      </c>
      <c r="AF50" s="4">
        <v>44.716000000000001</v>
      </c>
      <c r="AG50" s="4">
        <v>43.584000000000003</v>
      </c>
      <c r="AH50" s="4">
        <v>51.14</v>
      </c>
      <c r="ALQ50" s="4" t="e">
        <v>#N/A</v>
      </c>
    </row>
    <row r="51" spans="1:1005" ht="14.5" x14ac:dyDescent="0.35">
      <c r="A51" s="29">
        <v>47574</v>
      </c>
      <c r="B51" s="15">
        <v>100</v>
      </c>
      <c r="C51" s="13">
        <v>100</v>
      </c>
      <c r="D51" s="14">
        <v>100</v>
      </c>
      <c r="E51">
        <v>81.278999999999996</v>
      </c>
      <c r="F51">
        <v>126.142</v>
      </c>
      <c r="G51" s="4">
        <v>114.149</v>
      </c>
      <c r="H51" s="4">
        <v>88.816999999999993</v>
      </c>
      <c r="I51" s="4">
        <v>79.44</v>
      </c>
      <c r="J51" s="4">
        <v>110.464</v>
      </c>
      <c r="K51" s="4">
        <v>82.893000000000001</v>
      </c>
      <c r="L51" s="4">
        <v>67.058999999999997</v>
      </c>
      <c r="M51" s="4">
        <v>73.798000000000002</v>
      </c>
      <c r="N51" s="4">
        <v>139.238</v>
      </c>
      <c r="O51" s="4">
        <v>83.659000000000006</v>
      </c>
      <c r="P51" s="4">
        <v>117.395</v>
      </c>
      <c r="Q51" s="4">
        <v>140.38900000000001</v>
      </c>
      <c r="R51" s="4">
        <v>76.938000000000002</v>
      </c>
      <c r="S51" s="4">
        <v>86.588999999999999</v>
      </c>
      <c r="T51" s="4">
        <v>72.878</v>
      </c>
      <c r="U51" s="4">
        <v>98.936000000000007</v>
      </c>
      <c r="V51" s="4">
        <v>116.84699999999999</v>
      </c>
      <c r="W51" s="4">
        <v>50.963000000000001</v>
      </c>
      <c r="X51" s="4">
        <v>84.522000000000006</v>
      </c>
      <c r="Y51" s="4">
        <v>101.303</v>
      </c>
      <c r="Z51" s="4">
        <v>85.900999999999996</v>
      </c>
      <c r="AA51" s="4">
        <v>144.63499999999999</v>
      </c>
      <c r="AB51" s="4">
        <v>65.271000000000001</v>
      </c>
      <c r="AC51" s="4">
        <v>116.24299999999999</v>
      </c>
      <c r="AD51" s="4">
        <v>67.221999999999994</v>
      </c>
      <c r="AE51" s="32">
        <v>66.936999999999998</v>
      </c>
      <c r="AF51" s="4">
        <v>97.968000000000004</v>
      </c>
      <c r="AG51" s="4">
        <v>99.337999999999994</v>
      </c>
      <c r="AH51" s="4">
        <v>96.549000000000007</v>
      </c>
      <c r="ALQ51" s="4" t="e">
        <v>#N/A</v>
      </c>
    </row>
    <row r="52" spans="1:1005" ht="14.5" x14ac:dyDescent="0.35">
      <c r="A52" s="29">
        <v>47604</v>
      </c>
      <c r="B52" s="15">
        <v>251</v>
      </c>
      <c r="C52" s="13">
        <v>251</v>
      </c>
      <c r="D52" s="14">
        <v>251</v>
      </c>
      <c r="E52">
        <v>311.822</v>
      </c>
      <c r="F52">
        <v>431.40100000000001</v>
      </c>
      <c r="G52" s="4">
        <v>414.267</v>
      </c>
      <c r="H52" s="4">
        <v>254.453</v>
      </c>
      <c r="I52" s="4">
        <v>290.363</v>
      </c>
      <c r="J52" s="4">
        <v>298.65699999999998</v>
      </c>
      <c r="K52" s="4">
        <v>316.91699999999997</v>
      </c>
      <c r="L52" s="4">
        <v>108.845</v>
      </c>
      <c r="M52" s="4">
        <v>202.87200000000001</v>
      </c>
      <c r="N52" s="4">
        <v>278.34899999999999</v>
      </c>
      <c r="O52" s="4">
        <v>319.471</v>
      </c>
      <c r="P52" s="4">
        <v>287.03800000000001</v>
      </c>
      <c r="Q52" s="4">
        <v>299.524</v>
      </c>
      <c r="R52" s="4">
        <v>332.41800000000001</v>
      </c>
      <c r="S52" s="4">
        <v>373.77600000000001</v>
      </c>
      <c r="T52" s="4">
        <v>155.62</v>
      </c>
      <c r="U52" s="4">
        <v>219.59200000000001</v>
      </c>
      <c r="V52" s="4">
        <v>180.21799999999999</v>
      </c>
      <c r="W52" s="4">
        <v>126.19199999999999</v>
      </c>
      <c r="X52" s="4">
        <v>283.82499999999999</v>
      </c>
      <c r="Y52" s="4">
        <v>210.91800000000001</v>
      </c>
      <c r="Z52" s="4">
        <v>209.166</v>
      </c>
      <c r="AA52" s="4">
        <v>306.74099999999999</v>
      </c>
      <c r="AB52" s="4">
        <v>195.3</v>
      </c>
      <c r="AC52" s="4">
        <v>256.19299999999998</v>
      </c>
      <c r="AD52" s="4">
        <v>223.31899999999999</v>
      </c>
      <c r="AE52" s="32">
        <v>170.42</v>
      </c>
      <c r="AF52" s="4">
        <v>256.97899999999998</v>
      </c>
      <c r="AG52" s="4">
        <v>346.84100000000001</v>
      </c>
      <c r="AH52" s="4">
        <v>267.20499999999998</v>
      </c>
      <c r="ALQ52" s="4" t="e">
        <v>#N/A</v>
      </c>
    </row>
    <row r="53" spans="1:1005" ht="14.5" x14ac:dyDescent="0.35">
      <c r="A53" s="29">
        <v>47635</v>
      </c>
      <c r="B53" s="15">
        <v>293</v>
      </c>
      <c r="C53" s="13">
        <v>293</v>
      </c>
      <c r="D53" s="14">
        <v>293</v>
      </c>
      <c r="E53">
        <v>677.73599999999999</v>
      </c>
      <c r="F53">
        <v>349.83600000000001</v>
      </c>
      <c r="G53" s="4">
        <v>577.75300000000004</v>
      </c>
      <c r="H53" s="4">
        <v>254.64099999999999</v>
      </c>
      <c r="I53" s="4">
        <v>403.46499999999997</v>
      </c>
      <c r="J53" s="4">
        <v>179.47300000000001</v>
      </c>
      <c r="K53" s="4">
        <v>227.94200000000001</v>
      </c>
      <c r="L53" s="4">
        <v>64.561000000000007</v>
      </c>
      <c r="M53" s="4">
        <v>231.65</v>
      </c>
      <c r="N53" s="4">
        <v>163.97800000000001</v>
      </c>
      <c r="O53" s="4">
        <v>333.733</v>
      </c>
      <c r="P53" s="4">
        <v>214.02199999999999</v>
      </c>
      <c r="Q53" s="4">
        <v>209.999</v>
      </c>
      <c r="R53" s="4">
        <v>573.255</v>
      </c>
      <c r="S53" s="4">
        <v>303.82</v>
      </c>
      <c r="T53" s="4">
        <v>326.79000000000002</v>
      </c>
      <c r="U53" s="4">
        <v>517.14099999999996</v>
      </c>
      <c r="V53" s="4">
        <v>65.105999999999995</v>
      </c>
      <c r="W53" s="4">
        <v>172.63300000000001</v>
      </c>
      <c r="X53" s="4">
        <v>391.416</v>
      </c>
      <c r="Y53" s="4">
        <v>415.16399999999999</v>
      </c>
      <c r="Z53" s="4">
        <v>351.62099999999998</v>
      </c>
      <c r="AA53" s="4">
        <v>458.738</v>
      </c>
      <c r="AB53" s="4">
        <v>83.527000000000001</v>
      </c>
      <c r="AC53" s="4">
        <v>495.18700000000001</v>
      </c>
      <c r="AD53" s="4">
        <v>222.423</v>
      </c>
      <c r="AE53" s="32">
        <v>317.99</v>
      </c>
      <c r="AF53" s="4">
        <v>196.114</v>
      </c>
      <c r="AG53" s="4">
        <v>462.13499999999999</v>
      </c>
      <c r="AH53" s="4">
        <v>242.28100000000001</v>
      </c>
      <c r="ALQ53" s="4" t="e">
        <v>#N/A</v>
      </c>
    </row>
    <row r="54" spans="1:1005" ht="14.5" x14ac:dyDescent="0.35">
      <c r="A54" s="29">
        <v>47665</v>
      </c>
      <c r="B54" s="15">
        <v>98</v>
      </c>
      <c r="C54" s="13">
        <v>98</v>
      </c>
      <c r="D54" s="14">
        <v>98</v>
      </c>
      <c r="E54">
        <v>482.428</v>
      </c>
      <c r="F54" s="4">
        <v>117.139</v>
      </c>
      <c r="G54" s="4">
        <v>190.739</v>
      </c>
      <c r="H54" s="4">
        <v>118.04</v>
      </c>
      <c r="I54" s="4">
        <v>249.38200000000001</v>
      </c>
      <c r="J54" s="4">
        <v>54.954000000000001</v>
      </c>
      <c r="K54" s="4">
        <v>63.89</v>
      </c>
      <c r="L54" s="4">
        <v>26.837</v>
      </c>
      <c r="M54" s="4">
        <v>59.828000000000003</v>
      </c>
      <c r="N54" s="4">
        <v>58.374000000000002</v>
      </c>
      <c r="O54" s="4">
        <v>124.077</v>
      </c>
      <c r="P54" s="4">
        <v>76.712999999999994</v>
      </c>
      <c r="Q54" s="4">
        <v>70.944999999999993</v>
      </c>
      <c r="R54" s="4">
        <v>234.624</v>
      </c>
      <c r="S54" s="4">
        <v>147.50399999999999</v>
      </c>
      <c r="T54" s="4">
        <v>79.786000000000001</v>
      </c>
      <c r="U54" s="4">
        <v>247.20500000000001</v>
      </c>
      <c r="V54" s="4">
        <v>31.228999999999999</v>
      </c>
      <c r="W54" s="4">
        <v>59.935000000000002</v>
      </c>
      <c r="X54" s="4">
        <v>112.517</v>
      </c>
      <c r="Y54" s="4">
        <v>127.526</v>
      </c>
      <c r="Z54" s="4">
        <v>104.779</v>
      </c>
      <c r="AA54" s="4">
        <v>142.66</v>
      </c>
      <c r="AB54" s="4">
        <v>35.399000000000001</v>
      </c>
      <c r="AC54" s="4">
        <v>290.79399999999998</v>
      </c>
      <c r="AD54" s="4">
        <v>65.024000000000001</v>
      </c>
      <c r="AE54" s="32">
        <v>133.76900000000001</v>
      </c>
      <c r="AF54" s="4">
        <v>71.718000000000004</v>
      </c>
      <c r="AG54" s="4">
        <v>192.04</v>
      </c>
      <c r="AH54" s="4">
        <v>68.501000000000005</v>
      </c>
      <c r="ALQ54" s="4" t="e">
        <v>#N/A</v>
      </c>
    </row>
    <row r="55" spans="1:1005" ht="14.5" x14ac:dyDescent="0.35">
      <c r="A55" s="29">
        <v>47696</v>
      </c>
      <c r="B55" s="15">
        <v>63</v>
      </c>
      <c r="C55" s="13">
        <v>63</v>
      </c>
      <c r="D55" s="14">
        <v>63</v>
      </c>
      <c r="E55">
        <v>132.48400000000001</v>
      </c>
      <c r="F55" s="4">
        <v>58.298999999999999</v>
      </c>
      <c r="G55" s="4">
        <v>91.326999999999998</v>
      </c>
      <c r="H55" s="4">
        <v>56.963000000000001</v>
      </c>
      <c r="I55" s="4">
        <v>99.01</v>
      </c>
      <c r="J55" s="4">
        <v>49.37</v>
      </c>
      <c r="K55" s="4">
        <v>57.631999999999998</v>
      </c>
      <c r="L55" s="4">
        <v>24.045000000000002</v>
      </c>
      <c r="M55" s="4">
        <v>45.555999999999997</v>
      </c>
      <c r="N55" s="4">
        <v>41.210999999999999</v>
      </c>
      <c r="O55" s="4">
        <v>63.363</v>
      </c>
      <c r="P55" s="4">
        <v>56.618000000000002</v>
      </c>
      <c r="Q55" s="4">
        <v>53.960999999999999</v>
      </c>
      <c r="R55" s="4">
        <v>84.88</v>
      </c>
      <c r="S55" s="4">
        <v>59.719000000000001</v>
      </c>
      <c r="T55" s="4">
        <v>56.923999999999999</v>
      </c>
      <c r="U55" s="4">
        <v>75.564999999999998</v>
      </c>
      <c r="V55" s="4">
        <v>32.840000000000003</v>
      </c>
      <c r="W55" s="4">
        <v>44.212000000000003</v>
      </c>
      <c r="X55" s="4">
        <v>64.141000000000005</v>
      </c>
      <c r="Y55" s="4">
        <v>57.545000000000002</v>
      </c>
      <c r="Z55" s="4">
        <v>58.326000000000001</v>
      </c>
      <c r="AA55" s="4">
        <v>69.664000000000001</v>
      </c>
      <c r="AB55" s="4">
        <v>29.960999999999999</v>
      </c>
      <c r="AC55" s="4">
        <v>89.491</v>
      </c>
      <c r="AD55" s="4">
        <v>43.712000000000003</v>
      </c>
      <c r="AE55" s="32">
        <v>59.896000000000001</v>
      </c>
      <c r="AF55" s="4">
        <v>61.002000000000002</v>
      </c>
      <c r="AG55" s="4">
        <v>73.605000000000004</v>
      </c>
      <c r="AH55" s="4">
        <v>46.232999999999997</v>
      </c>
      <c r="ALQ55" s="4" t="e">
        <v>#N/A</v>
      </c>
    </row>
    <row r="56" spans="1:1005" ht="14.5" x14ac:dyDescent="0.35">
      <c r="A56" s="29">
        <v>47727</v>
      </c>
      <c r="B56" s="15">
        <v>42</v>
      </c>
      <c r="C56" s="13">
        <v>42</v>
      </c>
      <c r="D56" s="14">
        <v>42</v>
      </c>
      <c r="E56">
        <v>71.073999999999998</v>
      </c>
      <c r="F56" s="4">
        <v>44.066000000000003</v>
      </c>
      <c r="G56" s="4">
        <v>66.108000000000004</v>
      </c>
      <c r="H56" s="4">
        <v>37.198999999999998</v>
      </c>
      <c r="I56" s="4">
        <v>54.432000000000002</v>
      </c>
      <c r="J56" s="4">
        <v>37.006999999999998</v>
      </c>
      <c r="K56" s="4">
        <v>34.658000000000001</v>
      </c>
      <c r="L56" s="4">
        <v>23.506</v>
      </c>
      <c r="M56" s="4">
        <v>65.974999999999994</v>
      </c>
      <c r="N56" s="4">
        <v>41.488999999999997</v>
      </c>
      <c r="O56" s="4">
        <v>40.823</v>
      </c>
      <c r="P56" s="4">
        <v>41.853000000000002</v>
      </c>
      <c r="Q56" s="4">
        <v>50.822000000000003</v>
      </c>
      <c r="R56" s="4">
        <v>49.378</v>
      </c>
      <c r="S56" s="4">
        <v>40.411000000000001</v>
      </c>
      <c r="T56" s="4">
        <v>32.844999999999999</v>
      </c>
      <c r="U56" s="4">
        <v>44.393000000000001</v>
      </c>
      <c r="V56" s="4">
        <v>26.617999999999999</v>
      </c>
      <c r="W56" s="4">
        <v>61.018999999999998</v>
      </c>
      <c r="X56" s="4">
        <v>59.198999999999998</v>
      </c>
      <c r="Y56" s="4">
        <v>41.69</v>
      </c>
      <c r="Z56" s="4">
        <v>39.231999999999999</v>
      </c>
      <c r="AA56" s="4">
        <v>43.226999999999997</v>
      </c>
      <c r="AB56" s="4">
        <v>24.613</v>
      </c>
      <c r="AC56" s="4">
        <v>47.372</v>
      </c>
      <c r="AD56" s="4">
        <v>40.454000000000001</v>
      </c>
      <c r="AE56" s="32">
        <v>37.630000000000003</v>
      </c>
      <c r="AF56" s="4">
        <v>43.508000000000003</v>
      </c>
      <c r="AG56" s="4">
        <v>53.115000000000002</v>
      </c>
      <c r="AH56" s="4">
        <v>39.054000000000002</v>
      </c>
      <c r="ALQ56" s="4" t="e">
        <v>#N/A</v>
      </c>
    </row>
    <row r="57" spans="1:1005" ht="14.5" x14ac:dyDescent="0.35">
      <c r="A57" s="29">
        <v>47757</v>
      </c>
      <c r="B57" s="15">
        <v>48</v>
      </c>
      <c r="C57" s="13">
        <v>38</v>
      </c>
      <c r="D57" s="14">
        <v>43</v>
      </c>
      <c r="E57">
        <v>67.789000000000001</v>
      </c>
      <c r="F57">
        <v>61.78</v>
      </c>
      <c r="G57" s="4">
        <v>75.313999999999993</v>
      </c>
      <c r="H57" s="4">
        <v>55.177999999999997</v>
      </c>
      <c r="I57" s="4">
        <v>44.698</v>
      </c>
      <c r="J57" s="4">
        <v>37.494</v>
      </c>
      <c r="K57" s="4">
        <v>34.854999999999997</v>
      </c>
      <c r="L57" s="4">
        <v>38.579000000000001</v>
      </c>
      <c r="M57" s="4">
        <v>39.704000000000001</v>
      </c>
      <c r="N57" s="4">
        <v>41.619</v>
      </c>
      <c r="O57" s="4">
        <v>61.893999999999998</v>
      </c>
      <c r="P57" s="4">
        <v>85.311000000000007</v>
      </c>
      <c r="Q57" s="4">
        <v>57.13</v>
      </c>
      <c r="R57" s="4">
        <v>48.133000000000003</v>
      </c>
      <c r="S57" s="4">
        <v>45.667999999999999</v>
      </c>
      <c r="T57" s="4">
        <v>37.052999999999997</v>
      </c>
      <c r="U57" s="4">
        <v>48.225999999999999</v>
      </c>
      <c r="V57" s="4">
        <v>26.907</v>
      </c>
      <c r="W57" s="4">
        <v>61.360999999999997</v>
      </c>
      <c r="X57" s="4">
        <v>75.043000000000006</v>
      </c>
      <c r="Y57" s="4">
        <v>39.401000000000003</v>
      </c>
      <c r="Z57" s="4">
        <v>36.268999999999998</v>
      </c>
      <c r="AA57" s="4">
        <v>46.84</v>
      </c>
      <c r="AB57" s="4">
        <v>29.376000000000001</v>
      </c>
      <c r="AC57" s="4">
        <v>43.643000000000001</v>
      </c>
      <c r="AD57" s="4">
        <v>43.036999999999999</v>
      </c>
      <c r="AE57" s="32">
        <v>33.667999999999999</v>
      </c>
      <c r="AF57" s="4">
        <v>33.683999999999997</v>
      </c>
      <c r="AG57" s="4">
        <v>51.945999999999998</v>
      </c>
      <c r="AH57" s="4">
        <v>52.040999999999997</v>
      </c>
      <c r="ALQ57" s="4" t="e">
        <v>#N/A</v>
      </c>
    </row>
    <row r="58" spans="1:1005" ht="14.5" x14ac:dyDescent="0.35">
      <c r="A58" s="29">
        <v>47788</v>
      </c>
      <c r="B58" s="15">
        <v>39</v>
      </c>
      <c r="C58" s="13">
        <v>35</v>
      </c>
      <c r="D58" s="14">
        <v>37</v>
      </c>
      <c r="E58">
        <v>51.84</v>
      </c>
      <c r="F58">
        <v>49.843000000000004</v>
      </c>
      <c r="G58" s="4">
        <v>55.348999999999997</v>
      </c>
      <c r="H58" s="4">
        <v>46.512999999999998</v>
      </c>
      <c r="I58" s="4">
        <v>36.634</v>
      </c>
      <c r="J58" s="4">
        <v>33.64</v>
      </c>
      <c r="K58" s="4">
        <v>34.215000000000003</v>
      </c>
      <c r="L58" s="4">
        <v>24.984999999999999</v>
      </c>
      <c r="M58" s="4">
        <v>30.297999999999998</v>
      </c>
      <c r="N58" s="4">
        <v>38.155999999999999</v>
      </c>
      <c r="O58" s="4">
        <v>47.755000000000003</v>
      </c>
      <c r="P58" s="4">
        <v>56.33</v>
      </c>
      <c r="Q58" s="4">
        <v>44.332000000000001</v>
      </c>
      <c r="R58" s="4">
        <v>42.454999999999998</v>
      </c>
      <c r="S58" s="4">
        <v>42.255000000000003</v>
      </c>
      <c r="T58" s="4">
        <v>38.097999999999999</v>
      </c>
      <c r="U58" s="4">
        <v>39.734999999999999</v>
      </c>
      <c r="V58" s="4">
        <v>23.471</v>
      </c>
      <c r="W58" s="4">
        <v>39.499000000000002</v>
      </c>
      <c r="X58" s="4">
        <v>45.311</v>
      </c>
      <c r="Y58" s="4">
        <v>36.415999999999997</v>
      </c>
      <c r="Z58" s="4">
        <v>31.766999999999999</v>
      </c>
      <c r="AA58" s="4">
        <v>40.844999999999999</v>
      </c>
      <c r="AB58" s="4">
        <v>28.302</v>
      </c>
      <c r="AC58" s="4">
        <v>38.744999999999997</v>
      </c>
      <c r="AD58" s="4">
        <v>46.244</v>
      </c>
      <c r="AE58" s="32">
        <v>33.363999999999997</v>
      </c>
      <c r="AF58" s="4">
        <v>29.581</v>
      </c>
      <c r="AG58" s="4">
        <v>42.301000000000002</v>
      </c>
      <c r="AH58" s="4">
        <v>39.880000000000003</v>
      </c>
      <c r="ALQ58" s="4" t="e">
        <v>#N/A</v>
      </c>
    </row>
    <row r="59" spans="1:1005" ht="14.5" x14ac:dyDescent="0.35">
      <c r="A59" s="29">
        <v>47818</v>
      </c>
      <c r="B59" s="15">
        <v>32</v>
      </c>
      <c r="C59" s="13">
        <v>32</v>
      </c>
      <c r="D59" s="14">
        <v>32</v>
      </c>
      <c r="E59">
        <v>47.695999999999998</v>
      </c>
      <c r="F59">
        <v>40.442999999999998</v>
      </c>
      <c r="G59" s="4">
        <v>42.334000000000003</v>
      </c>
      <c r="H59" s="4">
        <v>41.222000000000001</v>
      </c>
      <c r="I59" s="4">
        <v>32.771000000000001</v>
      </c>
      <c r="J59" s="4">
        <v>28.870999999999999</v>
      </c>
      <c r="K59" s="4">
        <v>28.169</v>
      </c>
      <c r="L59" s="4">
        <v>21.077999999999999</v>
      </c>
      <c r="M59" s="4">
        <v>27.702999999999999</v>
      </c>
      <c r="N59" s="4">
        <v>29.747</v>
      </c>
      <c r="O59" s="4">
        <v>34.558999999999997</v>
      </c>
      <c r="P59" s="4">
        <v>38.521000000000001</v>
      </c>
      <c r="Q59" s="4">
        <v>31.614000000000001</v>
      </c>
      <c r="R59" s="4">
        <v>37.756999999999998</v>
      </c>
      <c r="S59" s="4">
        <v>34.042000000000002</v>
      </c>
      <c r="T59" s="4">
        <v>31.827999999999999</v>
      </c>
      <c r="U59" s="4">
        <v>34.725999999999999</v>
      </c>
      <c r="V59" s="4">
        <v>21.547999999999998</v>
      </c>
      <c r="W59" s="4">
        <v>29.379000000000001</v>
      </c>
      <c r="X59" s="4">
        <v>36.725000000000001</v>
      </c>
      <c r="Y59" s="4">
        <v>32.170999999999999</v>
      </c>
      <c r="Z59" s="4">
        <v>29.657</v>
      </c>
      <c r="AA59" s="4">
        <v>37.780999999999999</v>
      </c>
      <c r="AB59" s="4">
        <v>22.927</v>
      </c>
      <c r="AC59" s="4">
        <v>36.106999999999999</v>
      </c>
      <c r="AD59" s="4">
        <v>36.161000000000001</v>
      </c>
      <c r="AE59" s="32">
        <v>30.152999999999999</v>
      </c>
      <c r="AF59" s="4">
        <v>26.692</v>
      </c>
      <c r="AG59" s="4">
        <v>36.21</v>
      </c>
      <c r="AH59" s="4">
        <v>31.734000000000002</v>
      </c>
      <c r="ALQ59" s="4" t="e">
        <v>#N/A</v>
      </c>
    </row>
    <row r="60" spans="1:1005" ht="14.5" x14ac:dyDescent="0.35">
      <c r="A60" s="29">
        <v>47849</v>
      </c>
      <c r="B60" s="15">
        <v>31</v>
      </c>
      <c r="C60" s="13">
        <v>31</v>
      </c>
      <c r="D60" s="14">
        <v>31</v>
      </c>
      <c r="E60">
        <v>40.332999999999998</v>
      </c>
      <c r="F60">
        <v>34.853000000000002</v>
      </c>
      <c r="G60" s="4">
        <v>37.570999999999998</v>
      </c>
      <c r="H60" s="4">
        <v>35.326999999999998</v>
      </c>
      <c r="I60" s="4">
        <v>32.915999999999997</v>
      </c>
      <c r="J60" s="4">
        <v>26.558</v>
      </c>
      <c r="K60" s="4">
        <v>24.811</v>
      </c>
      <c r="L60" s="4">
        <v>19.91</v>
      </c>
      <c r="M60" s="4">
        <v>24.791</v>
      </c>
      <c r="N60" s="4">
        <v>28.962</v>
      </c>
      <c r="O60" s="4">
        <v>29.771999999999998</v>
      </c>
      <c r="P60" s="4">
        <v>32.317</v>
      </c>
      <c r="Q60" s="4">
        <v>26.358000000000001</v>
      </c>
      <c r="R60" s="4">
        <v>34.158999999999999</v>
      </c>
      <c r="S60" s="4">
        <v>30.096</v>
      </c>
      <c r="T60" s="4">
        <v>28.911999999999999</v>
      </c>
      <c r="U60" s="4">
        <v>33.17</v>
      </c>
      <c r="V60" s="4">
        <v>20.004000000000001</v>
      </c>
      <c r="W60" s="4">
        <v>25.466999999999999</v>
      </c>
      <c r="X60" s="4">
        <v>31.875</v>
      </c>
      <c r="Y60" s="4">
        <v>29.283999999999999</v>
      </c>
      <c r="Z60" s="4">
        <v>27.797999999999998</v>
      </c>
      <c r="AA60" s="4">
        <v>33.185000000000002</v>
      </c>
      <c r="AB60" s="4">
        <v>21.058</v>
      </c>
      <c r="AC60" s="4">
        <v>32.869</v>
      </c>
      <c r="AD60" s="4">
        <v>29.143999999999998</v>
      </c>
      <c r="AE60" s="32">
        <v>27.084</v>
      </c>
      <c r="AF60" s="4">
        <v>25.004999999999999</v>
      </c>
      <c r="AG60" s="4">
        <v>33.029000000000003</v>
      </c>
      <c r="AH60" s="4">
        <v>28.753</v>
      </c>
      <c r="ALQ60" s="4" t="e">
        <v>#N/A</v>
      </c>
    </row>
    <row r="61" spans="1:1005" ht="14.5" x14ac:dyDescent="0.35">
      <c r="A61" s="29">
        <v>47880</v>
      </c>
      <c r="B61" s="15">
        <v>29</v>
      </c>
      <c r="C61" s="13">
        <v>29</v>
      </c>
      <c r="D61" s="14">
        <v>29</v>
      </c>
      <c r="E61">
        <v>39.450000000000003</v>
      </c>
      <c r="F61">
        <v>28.248000000000001</v>
      </c>
      <c r="G61" s="4">
        <v>32.051000000000002</v>
      </c>
      <c r="H61" s="4">
        <v>34.052999999999997</v>
      </c>
      <c r="I61" s="4">
        <v>32.503</v>
      </c>
      <c r="J61" s="4">
        <v>25.126000000000001</v>
      </c>
      <c r="K61" s="4">
        <v>20.960999999999999</v>
      </c>
      <c r="L61" s="4">
        <v>23.11</v>
      </c>
      <c r="M61" s="4">
        <v>21.334</v>
      </c>
      <c r="N61" s="4">
        <v>25.28</v>
      </c>
      <c r="O61" s="4">
        <v>24.315000000000001</v>
      </c>
      <c r="P61" s="4">
        <v>31.882999999999999</v>
      </c>
      <c r="Q61" s="4">
        <v>21.390999999999998</v>
      </c>
      <c r="R61" s="4">
        <v>30.248000000000001</v>
      </c>
      <c r="S61" s="4">
        <v>24.887</v>
      </c>
      <c r="T61" s="4">
        <v>23.86</v>
      </c>
      <c r="U61" s="4">
        <v>27.553999999999998</v>
      </c>
      <c r="V61" s="4">
        <v>17.538</v>
      </c>
      <c r="W61" s="4">
        <v>26.460999999999999</v>
      </c>
      <c r="X61" s="4">
        <v>37.372999999999998</v>
      </c>
      <c r="Y61" s="4">
        <v>27.600999999999999</v>
      </c>
      <c r="Z61" s="4">
        <v>34.115000000000002</v>
      </c>
      <c r="AA61" s="4">
        <v>34.412999999999997</v>
      </c>
      <c r="AB61" s="4">
        <v>18.260999999999999</v>
      </c>
      <c r="AC61" s="4">
        <v>29.032</v>
      </c>
      <c r="AD61" s="4">
        <v>27.486999999999998</v>
      </c>
      <c r="AE61" s="32">
        <v>24.873999999999999</v>
      </c>
      <c r="AF61" s="4">
        <v>22.913</v>
      </c>
      <c r="AG61" s="4">
        <v>27.888999999999999</v>
      </c>
      <c r="AH61" s="4">
        <v>31.497</v>
      </c>
      <c r="ALQ61" s="4" t="e">
        <v>#N/A</v>
      </c>
    </row>
    <row r="62" spans="1:1005" ht="14.5" x14ac:dyDescent="0.35">
      <c r="A62" s="29">
        <v>47908</v>
      </c>
      <c r="B62" s="15">
        <v>46</v>
      </c>
      <c r="C62" s="13">
        <v>46</v>
      </c>
      <c r="D62" s="14">
        <v>46</v>
      </c>
      <c r="E62">
        <v>52.585999999999999</v>
      </c>
      <c r="F62">
        <v>60.152000000000001</v>
      </c>
      <c r="G62" s="4">
        <v>54.054000000000002</v>
      </c>
      <c r="H62" s="4">
        <v>52.301000000000002</v>
      </c>
      <c r="I62" s="4">
        <v>40.758000000000003</v>
      </c>
      <c r="J62" s="4">
        <v>37.945999999999998</v>
      </c>
      <c r="K62" s="4">
        <v>27.408000000000001</v>
      </c>
      <c r="L62" s="4">
        <v>38.491999999999997</v>
      </c>
      <c r="M62" s="4">
        <v>59.938000000000002</v>
      </c>
      <c r="N62" s="4">
        <v>32.948999999999998</v>
      </c>
      <c r="O62" s="4">
        <v>35.720999999999997</v>
      </c>
      <c r="P62" s="4">
        <v>81.945999999999998</v>
      </c>
      <c r="Q62" s="4">
        <v>24.609000000000002</v>
      </c>
      <c r="R62" s="4">
        <v>55.499000000000002</v>
      </c>
      <c r="S62" s="4">
        <v>29.853999999999999</v>
      </c>
      <c r="T62" s="4">
        <v>41.16</v>
      </c>
      <c r="U62" s="4">
        <v>52.652000000000001</v>
      </c>
      <c r="V62" s="4">
        <v>26.460999999999999</v>
      </c>
      <c r="W62" s="4">
        <v>38.343000000000004</v>
      </c>
      <c r="X62" s="4">
        <v>65.334999999999994</v>
      </c>
      <c r="Y62" s="4">
        <v>49.112000000000002</v>
      </c>
      <c r="Z62" s="4">
        <v>79.489999999999995</v>
      </c>
      <c r="AA62" s="4">
        <v>37.314999999999998</v>
      </c>
      <c r="AB62" s="4">
        <v>28.213000000000001</v>
      </c>
      <c r="AC62" s="4">
        <v>45.511000000000003</v>
      </c>
      <c r="AD62" s="4">
        <v>37.444000000000003</v>
      </c>
      <c r="AE62" s="32">
        <v>44.695999999999998</v>
      </c>
      <c r="AF62" s="4">
        <v>41.892000000000003</v>
      </c>
      <c r="AG62" s="4">
        <v>51.167999999999999</v>
      </c>
      <c r="AH62" s="4">
        <v>62.508000000000003</v>
      </c>
      <c r="ALQ62" s="4" t="e">
        <v>#N/A</v>
      </c>
    </row>
    <row r="63" spans="1:1005" ht="14.5" x14ac:dyDescent="0.35">
      <c r="A63" s="29">
        <v>47939</v>
      </c>
      <c r="B63" s="15">
        <v>100</v>
      </c>
      <c r="C63" s="13">
        <v>100</v>
      </c>
      <c r="D63" s="14">
        <v>100</v>
      </c>
      <c r="E63">
        <v>126.15600000000001</v>
      </c>
      <c r="F63">
        <v>114.32899999999999</v>
      </c>
      <c r="G63" s="4">
        <v>88.844999999999999</v>
      </c>
      <c r="H63" s="4">
        <v>75.662000000000006</v>
      </c>
      <c r="I63" s="4">
        <v>110.654</v>
      </c>
      <c r="J63" s="4">
        <v>83.134</v>
      </c>
      <c r="K63" s="4">
        <v>67.180999999999997</v>
      </c>
      <c r="L63" s="4">
        <v>72.108000000000004</v>
      </c>
      <c r="M63" s="4">
        <v>139.33099999999999</v>
      </c>
      <c r="N63" s="4">
        <v>83.721999999999994</v>
      </c>
      <c r="O63" s="4">
        <v>117.336</v>
      </c>
      <c r="P63" s="4">
        <v>134.238</v>
      </c>
      <c r="Q63" s="4">
        <v>77.031000000000006</v>
      </c>
      <c r="R63" s="4">
        <v>86.662000000000006</v>
      </c>
      <c r="S63" s="4">
        <v>72.927999999999997</v>
      </c>
      <c r="T63" s="4">
        <v>96.899000000000001</v>
      </c>
      <c r="U63" s="4">
        <v>117.077</v>
      </c>
      <c r="V63" s="4">
        <v>51.061</v>
      </c>
      <c r="W63" s="4">
        <v>84.558999999999997</v>
      </c>
      <c r="X63" s="4">
        <v>102.39100000000001</v>
      </c>
      <c r="Y63" s="4">
        <v>85.852000000000004</v>
      </c>
      <c r="Z63" s="4">
        <v>144.66</v>
      </c>
      <c r="AA63" s="4">
        <v>65.364000000000004</v>
      </c>
      <c r="AB63" s="4">
        <v>107.8</v>
      </c>
      <c r="AC63" s="4">
        <v>67.305000000000007</v>
      </c>
      <c r="AD63" s="4">
        <v>67.106999999999999</v>
      </c>
      <c r="AE63" s="32">
        <v>97.938000000000002</v>
      </c>
      <c r="AF63" s="4">
        <v>96.481999999999999</v>
      </c>
      <c r="AG63" s="4">
        <v>96.588999999999999</v>
      </c>
      <c r="AH63" s="4">
        <v>81.335999999999999</v>
      </c>
      <c r="ALQ63" s="4" t="e">
        <v>#N/A</v>
      </c>
    </row>
    <row r="64" spans="1:1005" ht="14.5" x14ac:dyDescent="0.35">
      <c r="A64" s="29">
        <v>47969</v>
      </c>
      <c r="B64" s="15">
        <v>251</v>
      </c>
      <c r="C64" s="13">
        <v>251</v>
      </c>
      <c r="D64" s="14">
        <v>251</v>
      </c>
      <c r="E64">
        <v>431.40100000000001</v>
      </c>
      <c r="F64">
        <v>414.267</v>
      </c>
      <c r="G64" s="4">
        <v>254.453</v>
      </c>
      <c r="H64" s="4">
        <v>290.363</v>
      </c>
      <c r="I64" s="4">
        <v>298.65699999999998</v>
      </c>
      <c r="J64" s="4">
        <v>316.91699999999997</v>
      </c>
      <c r="K64" s="4">
        <v>108.845</v>
      </c>
      <c r="L64" s="4">
        <v>202.87200000000001</v>
      </c>
      <c r="M64" s="4">
        <v>278.34899999999999</v>
      </c>
      <c r="N64" s="4">
        <v>319.471</v>
      </c>
      <c r="O64" s="4">
        <v>287.03800000000001</v>
      </c>
      <c r="P64" s="4">
        <v>299.524</v>
      </c>
      <c r="Q64" s="4">
        <v>332.41800000000001</v>
      </c>
      <c r="R64" s="4">
        <v>373.77600000000001</v>
      </c>
      <c r="S64" s="4">
        <v>155.62</v>
      </c>
      <c r="T64" s="4">
        <v>219.59200000000001</v>
      </c>
      <c r="U64" s="4">
        <v>180.21799999999999</v>
      </c>
      <c r="V64" s="4">
        <v>126.19199999999999</v>
      </c>
      <c r="W64" s="4">
        <v>283.82499999999999</v>
      </c>
      <c r="X64" s="4">
        <v>210.91800000000001</v>
      </c>
      <c r="Y64" s="4">
        <v>209.166</v>
      </c>
      <c r="Z64" s="4">
        <v>306.74099999999999</v>
      </c>
      <c r="AA64" s="4">
        <v>195.3</v>
      </c>
      <c r="AB64" s="4">
        <v>256.19299999999998</v>
      </c>
      <c r="AC64" s="4">
        <v>223.31899999999999</v>
      </c>
      <c r="AD64" s="4">
        <v>170.42</v>
      </c>
      <c r="AE64" s="32">
        <v>256.97899999999998</v>
      </c>
      <c r="AF64" s="4">
        <v>346.84100000000001</v>
      </c>
      <c r="AG64" s="4">
        <v>267.20499999999998</v>
      </c>
      <c r="AH64" s="4">
        <v>267.20499999999998</v>
      </c>
      <c r="ALQ64" s="4" t="e">
        <v>#N/A</v>
      </c>
    </row>
    <row r="65" spans="1:1005" ht="14.5" x14ac:dyDescent="0.35">
      <c r="A65" s="29">
        <v>48000</v>
      </c>
      <c r="B65" s="15">
        <v>293</v>
      </c>
      <c r="C65" s="13">
        <v>293</v>
      </c>
      <c r="D65" s="14">
        <v>293</v>
      </c>
      <c r="E65">
        <v>349.83600000000001</v>
      </c>
      <c r="F65">
        <v>577.75300000000004</v>
      </c>
      <c r="G65" s="4">
        <v>254.64099999999999</v>
      </c>
      <c r="H65" s="4">
        <v>403.46499999999997</v>
      </c>
      <c r="I65" s="4">
        <v>179.47300000000001</v>
      </c>
      <c r="J65" s="4">
        <v>227.94200000000001</v>
      </c>
      <c r="K65" s="4">
        <v>64.561000000000007</v>
      </c>
      <c r="L65" s="4">
        <v>231.65</v>
      </c>
      <c r="M65" s="4">
        <v>163.97800000000001</v>
      </c>
      <c r="N65" s="4">
        <v>333.733</v>
      </c>
      <c r="O65" s="4">
        <v>214.02199999999999</v>
      </c>
      <c r="P65" s="4">
        <v>209.999</v>
      </c>
      <c r="Q65" s="4">
        <v>573.255</v>
      </c>
      <c r="R65" s="4">
        <v>303.82</v>
      </c>
      <c r="S65" s="4">
        <v>326.79000000000002</v>
      </c>
      <c r="T65" s="4">
        <v>517.14099999999996</v>
      </c>
      <c r="U65" s="4">
        <v>65.105999999999995</v>
      </c>
      <c r="V65" s="4">
        <v>172.63300000000001</v>
      </c>
      <c r="W65" s="4">
        <v>391.416</v>
      </c>
      <c r="X65" s="4">
        <v>415.16399999999999</v>
      </c>
      <c r="Y65" s="4">
        <v>351.62099999999998</v>
      </c>
      <c r="Z65" s="4">
        <v>458.738</v>
      </c>
      <c r="AA65" s="4">
        <v>83.527000000000001</v>
      </c>
      <c r="AB65" s="4">
        <v>495.18700000000001</v>
      </c>
      <c r="AC65" s="4">
        <v>222.423</v>
      </c>
      <c r="AD65" s="4">
        <v>317.99</v>
      </c>
      <c r="AE65" s="32">
        <v>196.114</v>
      </c>
      <c r="AF65" s="4">
        <v>462.13499999999999</v>
      </c>
      <c r="AG65" s="4">
        <v>242.28100000000001</v>
      </c>
      <c r="AH65" s="4">
        <v>242.28100000000001</v>
      </c>
      <c r="ALQ65" s="4" t="e">
        <v>#N/A</v>
      </c>
    </row>
    <row r="66" spans="1:1005" ht="14.5" x14ac:dyDescent="0.35">
      <c r="A66" s="29">
        <v>48030</v>
      </c>
      <c r="B66" s="15">
        <v>98</v>
      </c>
      <c r="C66" s="13">
        <v>98</v>
      </c>
      <c r="D66" s="14">
        <v>98</v>
      </c>
      <c r="E66">
        <v>117.139</v>
      </c>
      <c r="F66" s="4">
        <v>190.739</v>
      </c>
      <c r="G66" s="4">
        <v>118.04</v>
      </c>
      <c r="H66" s="4">
        <v>249.38200000000001</v>
      </c>
      <c r="I66" s="4">
        <v>54.954000000000001</v>
      </c>
      <c r="J66" s="4">
        <v>63.89</v>
      </c>
      <c r="K66" s="4">
        <v>26.837</v>
      </c>
      <c r="L66" s="4">
        <v>59.828000000000003</v>
      </c>
      <c r="M66" s="4">
        <v>58.374000000000002</v>
      </c>
      <c r="N66" s="4">
        <v>124.077</v>
      </c>
      <c r="O66" s="4">
        <v>76.712999999999994</v>
      </c>
      <c r="P66" s="4">
        <v>70.944999999999993</v>
      </c>
      <c r="Q66" s="4">
        <v>234.624</v>
      </c>
      <c r="R66" s="4">
        <v>147.50399999999999</v>
      </c>
      <c r="S66" s="4">
        <v>79.786000000000001</v>
      </c>
      <c r="T66" s="4">
        <v>247.20500000000001</v>
      </c>
      <c r="U66" s="4">
        <v>31.228999999999999</v>
      </c>
      <c r="V66" s="4">
        <v>59.935000000000002</v>
      </c>
      <c r="W66" s="4">
        <v>112.517</v>
      </c>
      <c r="X66" s="4">
        <v>127.526</v>
      </c>
      <c r="Y66" s="4">
        <v>104.779</v>
      </c>
      <c r="Z66" s="4">
        <v>142.66</v>
      </c>
      <c r="AA66" s="4">
        <v>35.399000000000001</v>
      </c>
      <c r="AB66" s="4">
        <v>290.79399999999998</v>
      </c>
      <c r="AC66" s="4">
        <v>65.024000000000001</v>
      </c>
      <c r="AD66" s="4">
        <v>133.76900000000001</v>
      </c>
      <c r="AE66" s="32">
        <v>71.718000000000004</v>
      </c>
      <c r="AF66" s="4">
        <v>192.04</v>
      </c>
      <c r="AG66" s="4">
        <v>68.501000000000005</v>
      </c>
      <c r="AH66" s="4">
        <v>68.501000000000005</v>
      </c>
      <c r="ALQ66" s="4" t="e">
        <v>#N/A</v>
      </c>
    </row>
    <row r="67" spans="1:1005" ht="14.5" x14ac:dyDescent="0.35">
      <c r="A67" s="29">
        <v>48061</v>
      </c>
      <c r="B67" s="15">
        <v>63</v>
      </c>
      <c r="C67" s="13">
        <v>63</v>
      </c>
      <c r="D67" s="14">
        <v>63</v>
      </c>
      <c r="E67">
        <v>58.298999999999999</v>
      </c>
      <c r="F67" s="4">
        <v>91.326999999999998</v>
      </c>
      <c r="G67" s="4">
        <v>56.963000000000001</v>
      </c>
      <c r="H67" s="4">
        <v>99.01</v>
      </c>
      <c r="I67" s="4">
        <v>49.37</v>
      </c>
      <c r="J67" s="4">
        <v>57.631999999999998</v>
      </c>
      <c r="K67" s="4">
        <v>24.045000000000002</v>
      </c>
      <c r="L67" s="4">
        <v>45.555999999999997</v>
      </c>
      <c r="M67" s="4">
        <v>41.210999999999999</v>
      </c>
      <c r="N67" s="4">
        <v>63.363</v>
      </c>
      <c r="O67" s="4">
        <v>56.618000000000002</v>
      </c>
      <c r="P67" s="4">
        <v>53.960999999999999</v>
      </c>
      <c r="Q67" s="4">
        <v>84.88</v>
      </c>
      <c r="R67" s="4">
        <v>59.719000000000001</v>
      </c>
      <c r="S67" s="4">
        <v>56.923999999999999</v>
      </c>
      <c r="T67" s="4">
        <v>75.564999999999998</v>
      </c>
      <c r="U67" s="4">
        <v>32.840000000000003</v>
      </c>
      <c r="V67" s="4">
        <v>44.212000000000003</v>
      </c>
      <c r="W67" s="4">
        <v>64.141000000000005</v>
      </c>
      <c r="X67" s="4">
        <v>57.545000000000002</v>
      </c>
      <c r="Y67" s="4">
        <v>58.326000000000001</v>
      </c>
      <c r="Z67" s="4">
        <v>69.664000000000001</v>
      </c>
      <c r="AA67" s="4">
        <v>29.960999999999999</v>
      </c>
      <c r="AB67" s="4">
        <v>89.491</v>
      </c>
      <c r="AC67" s="4">
        <v>43.712000000000003</v>
      </c>
      <c r="AD67" s="4">
        <v>59.896000000000001</v>
      </c>
      <c r="AE67" s="32">
        <v>61.002000000000002</v>
      </c>
      <c r="AF67" s="4">
        <v>73.605000000000004</v>
      </c>
      <c r="AG67" s="4">
        <v>46.232999999999997</v>
      </c>
      <c r="AH67" s="4">
        <v>46.232999999999997</v>
      </c>
      <c r="ALQ67" s="4" t="e">
        <v>#N/A</v>
      </c>
    </row>
    <row r="68" spans="1:1005" ht="14.5" x14ac:dyDescent="0.35">
      <c r="A68" s="29">
        <v>48092</v>
      </c>
      <c r="B68" s="15">
        <v>42</v>
      </c>
      <c r="C68" s="13">
        <v>42</v>
      </c>
      <c r="D68" s="14">
        <v>42</v>
      </c>
      <c r="E68">
        <v>44.066000000000003</v>
      </c>
      <c r="F68" s="4">
        <v>66.108000000000004</v>
      </c>
      <c r="G68" s="4">
        <v>37.198999999999998</v>
      </c>
      <c r="H68" s="4">
        <v>54.432000000000002</v>
      </c>
      <c r="I68" s="4">
        <v>37.006999999999998</v>
      </c>
      <c r="J68" s="4">
        <v>34.658000000000001</v>
      </c>
      <c r="K68" s="4">
        <v>23.506</v>
      </c>
      <c r="L68" s="4">
        <v>65.974999999999994</v>
      </c>
      <c r="M68" s="4">
        <v>41.488999999999997</v>
      </c>
      <c r="N68" s="4">
        <v>40.823</v>
      </c>
      <c r="O68" s="4">
        <v>41.853000000000002</v>
      </c>
      <c r="P68" s="4">
        <v>50.822000000000003</v>
      </c>
      <c r="Q68" s="4">
        <v>49.378</v>
      </c>
      <c r="R68" s="4">
        <v>40.411000000000001</v>
      </c>
      <c r="S68" s="4">
        <v>32.844999999999999</v>
      </c>
      <c r="T68" s="4">
        <v>44.393000000000001</v>
      </c>
      <c r="U68" s="4">
        <v>26.617999999999999</v>
      </c>
      <c r="V68" s="4">
        <v>61.018999999999998</v>
      </c>
      <c r="W68" s="4">
        <v>59.198999999999998</v>
      </c>
      <c r="X68" s="4">
        <v>41.69</v>
      </c>
      <c r="Y68" s="4">
        <v>39.231999999999999</v>
      </c>
      <c r="Z68" s="4">
        <v>43.226999999999997</v>
      </c>
      <c r="AA68" s="4">
        <v>24.613</v>
      </c>
      <c r="AB68" s="4">
        <v>47.372</v>
      </c>
      <c r="AC68" s="4">
        <v>40.454000000000001</v>
      </c>
      <c r="AD68" s="4">
        <v>37.630000000000003</v>
      </c>
      <c r="AE68" s="32">
        <v>43.508000000000003</v>
      </c>
      <c r="AF68" s="4">
        <v>53.115000000000002</v>
      </c>
      <c r="AG68" s="4">
        <v>39.054000000000002</v>
      </c>
      <c r="AH68" s="4">
        <v>39.054000000000002</v>
      </c>
      <c r="ALQ68" s="4" t="e">
        <v>#N/A</v>
      </c>
    </row>
    <row r="69" spans="1:1005" ht="14.5" x14ac:dyDescent="0.35">
      <c r="A69" s="29"/>
      <c r="B69" s="15"/>
      <c r="C69" s="13"/>
      <c r="D69" s="14"/>
      <c r="E69"/>
      <c r="F69"/>
      <c r="ALQ69" s="4" t="e">
        <v>#N/A</v>
      </c>
    </row>
    <row r="70" spans="1:1005" ht="14.5" x14ac:dyDescent="0.35">
      <c r="A70" s="29"/>
      <c r="B70" s="15"/>
      <c r="C70" s="13"/>
      <c r="D70" s="14"/>
      <c r="E70"/>
      <c r="F70"/>
      <c r="ALQ70" s="4" t="e">
        <v>#N/A</v>
      </c>
    </row>
    <row r="71" spans="1:1005" ht="14.5" x14ac:dyDescent="0.35">
      <c r="A71" s="29"/>
      <c r="B71" s="15"/>
      <c r="C71" s="13"/>
      <c r="D71" s="14"/>
      <c r="E71"/>
      <c r="F71" s="16"/>
      <c r="ALQ71" s="4" t="e">
        <v>#N/A</v>
      </c>
    </row>
    <row r="72" spans="1:1005" ht="14.5" x14ac:dyDescent="0.35">
      <c r="A72" s="35"/>
      <c r="B72" s="15"/>
      <c r="C72" s="13"/>
      <c r="D72" s="14"/>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LQ72" s="4" t="e">
        <v>#N/A</v>
      </c>
    </row>
    <row r="73" spans="1:1005" ht="14.5" x14ac:dyDescent="0.35">
      <c r="A73" s="35"/>
      <c r="B73" s="15"/>
      <c r="C73" s="13"/>
      <c r="D73" s="14"/>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1005" ht="14.5" x14ac:dyDescent="0.35">
      <c r="A74" s="35"/>
      <c r="B74" s="15"/>
      <c r="C74" s="13"/>
      <c r="D74" s="14"/>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row>
    <row r="75" spans="1:1005" ht="14.5" x14ac:dyDescent="0.35">
      <c r="A75" s="35"/>
      <c r="B75" s="15"/>
      <c r="C75" s="13"/>
      <c r="D75" s="14"/>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6" spans="1:1005" ht="14.5" x14ac:dyDescent="0.35">
      <c r="A76" s="35"/>
      <c r="B76" s="15"/>
      <c r="C76" s="13"/>
      <c r="D76" s="14"/>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row>
    <row r="77" spans="1:1005" ht="14.5" x14ac:dyDescent="0.35">
      <c r="A77" s="35"/>
      <c r="B77" s="15"/>
      <c r="C77" s="13"/>
      <c r="D77" s="14"/>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row>
    <row r="78" spans="1:1005" ht="14.5" x14ac:dyDescent="0.35">
      <c r="A78" s="35"/>
      <c r="B78" s="15"/>
      <c r="C78" s="13"/>
      <c r="D78" s="14"/>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row>
    <row r="79" spans="1:1005" ht="14.5" x14ac:dyDescent="0.35">
      <c r="A79" s="35"/>
      <c r="B79" s="15"/>
      <c r="C79" s="13"/>
      <c r="D79" s="14"/>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row>
    <row r="80" spans="1:1005" ht="14.5" x14ac:dyDescent="0.35">
      <c r="A80" s="35"/>
      <c r="B80" s="15"/>
      <c r="C80" s="13"/>
      <c r="D80" s="14"/>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row>
    <row r="81" spans="2:4" ht="12.75" customHeight="1" x14ac:dyDescent="0.35">
      <c r="B81" s="18"/>
      <c r="C81" s="19"/>
      <c r="D81" s="20"/>
    </row>
    <row r="82" spans="2:4" ht="12.75" customHeight="1" x14ac:dyDescent="0.35">
      <c r="B82" s="18"/>
      <c r="C82" s="19"/>
      <c r="D82" s="20"/>
    </row>
    <row r="83" spans="2:4" ht="12.75" customHeight="1" x14ac:dyDescent="0.35">
      <c r="B83" s="18"/>
      <c r="C83" s="19"/>
      <c r="D83" s="20"/>
    </row>
    <row r="84" spans="2:4" ht="12.75" customHeight="1" x14ac:dyDescent="0.35">
      <c r="B84" s="18"/>
      <c r="C84" s="19"/>
      <c r="D84" s="20"/>
    </row>
  </sheetData>
  <mergeCells count="2">
    <mergeCell ref="B1:AH1"/>
    <mergeCell ref="AI1:B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830C-54F1-484E-9659-26E2CA5C931A}">
  <sheetPr codeName="Sheet5">
    <tabColor rgb="FFBEBADA"/>
  </sheetPr>
  <dimension ref="A1:ALQ84"/>
  <sheetViews>
    <sheetView workbookViewId="0">
      <selection activeCell="D4" sqref="D4"/>
    </sheetView>
  </sheetViews>
  <sheetFormatPr defaultColWidth="18.6328125" defaultRowHeight="12.75" customHeight="1" x14ac:dyDescent="0.35"/>
  <cols>
    <col min="1" max="4" width="7.54296875" style="3" customWidth="1"/>
    <col min="5" max="30" width="8" style="4" customWidth="1"/>
    <col min="31" max="31" width="9" style="4" customWidth="1"/>
    <col min="32" max="54" width="8.6328125" style="4" customWidth="1"/>
    <col min="55" max="16384" width="18.6328125" style="4"/>
  </cols>
  <sheetData>
    <row r="1" spans="1:39" ht="14.5" x14ac:dyDescent="0.35">
      <c r="A1" s="36"/>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
      <c r="AJ1" s="3"/>
      <c r="AK1" s="3"/>
      <c r="AL1" s="3"/>
      <c r="AM1" s="3"/>
    </row>
    <row r="2" spans="1:39" s="3" customFormat="1" ht="14.5" x14ac:dyDescent="0.35">
      <c r="A2" s="36"/>
      <c r="B2" s="38" t="s">
        <v>0</v>
      </c>
      <c r="C2" s="38" t="s">
        <v>1</v>
      </c>
      <c r="D2" s="38" t="s">
        <v>2</v>
      </c>
      <c r="E2" s="38">
        <v>1991</v>
      </c>
      <c r="F2" s="38">
        <v>1992</v>
      </c>
      <c r="G2" s="38">
        <v>1993</v>
      </c>
      <c r="H2" s="38">
        <v>1994</v>
      </c>
      <c r="I2" s="38">
        <v>1995</v>
      </c>
      <c r="J2" s="38">
        <v>1996</v>
      </c>
      <c r="K2" s="38">
        <v>1997</v>
      </c>
      <c r="L2" s="38">
        <v>1998</v>
      </c>
      <c r="M2" s="38">
        <v>1999</v>
      </c>
      <c r="N2" s="38">
        <v>2000</v>
      </c>
      <c r="O2" s="38">
        <v>2001</v>
      </c>
      <c r="P2" s="38">
        <v>2002</v>
      </c>
      <c r="Q2" s="38">
        <v>2003</v>
      </c>
      <c r="R2" s="38">
        <v>2004</v>
      </c>
      <c r="S2" s="38">
        <v>2005</v>
      </c>
      <c r="T2" s="38">
        <v>2006</v>
      </c>
      <c r="U2" s="38">
        <v>2007</v>
      </c>
      <c r="V2" s="38">
        <v>2008</v>
      </c>
      <c r="W2" s="38">
        <v>2009</v>
      </c>
      <c r="X2" s="38">
        <v>2010</v>
      </c>
      <c r="Y2" s="38">
        <v>2011</v>
      </c>
      <c r="Z2" s="38">
        <v>2012</v>
      </c>
      <c r="AA2" s="38">
        <v>2013</v>
      </c>
      <c r="AB2" s="38">
        <v>2014</v>
      </c>
      <c r="AC2" s="38">
        <v>2015</v>
      </c>
      <c r="AD2" s="38">
        <v>2016</v>
      </c>
      <c r="AE2" s="38">
        <v>2017</v>
      </c>
      <c r="AF2" s="38">
        <v>2018</v>
      </c>
      <c r="AG2" s="38">
        <v>2019</v>
      </c>
      <c r="AH2" s="38">
        <v>2020</v>
      </c>
    </row>
    <row r="3" spans="1:39" s="3" customFormat="1" ht="14.5" x14ac:dyDescent="0.35">
      <c r="A3" s="39"/>
      <c r="B3" s="40" t="s">
        <v>3</v>
      </c>
      <c r="C3" s="40" t="s">
        <v>4</v>
      </c>
      <c r="D3" s="40" t="s">
        <v>5</v>
      </c>
      <c r="E3" s="40" t="s">
        <v>6</v>
      </c>
      <c r="F3" s="40" t="s">
        <v>7</v>
      </c>
      <c r="G3" s="40" t="s">
        <v>8</v>
      </c>
      <c r="H3" s="40" t="s">
        <v>9</v>
      </c>
      <c r="I3" s="40" t="s">
        <v>10</v>
      </c>
      <c r="J3" s="40" t="s">
        <v>11</v>
      </c>
      <c r="K3" s="40" t="s">
        <v>12</v>
      </c>
      <c r="L3" s="40" t="s">
        <v>13</v>
      </c>
      <c r="M3" s="40" t="s">
        <v>14</v>
      </c>
      <c r="N3" s="40" t="s">
        <v>15</v>
      </c>
      <c r="O3" s="40" t="s">
        <v>16</v>
      </c>
      <c r="P3" s="40" t="s">
        <v>17</v>
      </c>
      <c r="Q3" s="40" t="s">
        <v>18</v>
      </c>
      <c r="R3" s="40" t="s">
        <v>19</v>
      </c>
      <c r="S3" s="40" t="s">
        <v>20</v>
      </c>
      <c r="T3" s="40" t="s">
        <v>21</v>
      </c>
      <c r="U3" s="40" t="s">
        <v>22</v>
      </c>
      <c r="V3" s="40" t="s">
        <v>23</v>
      </c>
      <c r="W3" s="40" t="s">
        <v>24</v>
      </c>
      <c r="X3" s="40" t="s">
        <v>25</v>
      </c>
      <c r="Y3" s="40" t="s">
        <v>26</v>
      </c>
      <c r="Z3" s="40" t="s">
        <v>27</v>
      </c>
      <c r="AA3" s="40" t="s">
        <v>28</v>
      </c>
      <c r="AB3" s="40" t="s">
        <v>29</v>
      </c>
      <c r="AC3" s="40" t="s">
        <v>30</v>
      </c>
      <c r="AD3" s="40" t="s">
        <v>31</v>
      </c>
      <c r="AE3" s="40" t="s">
        <v>32</v>
      </c>
      <c r="AF3" s="40" t="s">
        <v>33</v>
      </c>
      <c r="AG3" s="40" t="s">
        <v>34</v>
      </c>
      <c r="AH3" s="40" t="s">
        <v>35</v>
      </c>
    </row>
    <row r="4" spans="1:39" ht="14.5" x14ac:dyDescent="0.35">
      <c r="A4" s="41">
        <v>46143</v>
      </c>
      <c r="B4" s="30">
        <v>116</v>
      </c>
      <c r="C4" s="31">
        <v>31</v>
      </c>
      <c r="D4" s="42">
        <v>65</v>
      </c>
      <c r="E4" s="16">
        <v>71.308999999999997</v>
      </c>
      <c r="F4" s="16">
        <v>116.08199999999999</v>
      </c>
      <c r="G4" s="16">
        <v>125.307</v>
      </c>
      <c r="H4" s="16">
        <v>94.97</v>
      </c>
      <c r="I4" s="16">
        <v>46.155999999999999</v>
      </c>
      <c r="J4" s="16">
        <v>50.23</v>
      </c>
      <c r="K4" s="16">
        <v>70.581999999999994</v>
      </c>
      <c r="L4" s="16">
        <v>56.938000000000002</v>
      </c>
      <c r="M4" s="16">
        <v>47.198</v>
      </c>
      <c r="N4" s="16">
        <v>94.013000000000005</v>
      </c>
      <c r="O4" s="16">
        <v>79.179000000000002</v>
      </c>
      <c r="P4" s="16">
        <v>42.917000000000002</v>
      </c>
      <c r="Q4" s="16">
        <v>53.485999999999997</v>
      </c>
      <c r="R4" s="16">
        <v>59.012</v>
      </c>
      <c r="S4" s="16">
        <v>84.135999999999996</v>
      </c>
      <c r="T4" s="16">
        <v>85.641000000000005</v>
      </c>
      <c r="U4" s="16">
        <v>97.501999999999995</v>
      </c>
      <c r="V4" s="16">
        <v>64.400999999999996</v>
      </c>
      <c r="W4" s="16">
        <v>60.606999999999999</v>
      </c>
      <c r="X4" s="16">
        <v>23.562999999999999</v>
      </c>
      <c r="Y4" s="16">
        <v>35.261000000000003</v>
      </c>
      <c r="Z4" s="16">
        <v>60.387</v>
      </c>
      <c r="AA4" s="16">
        <v>72.707999999999998</v>
      </c>
      <c r="AB4" s="16">
        <v>65.599000000000004</v>
      </c>
      <c r="AC4" s="16">
        <v>66.588999999999999</v>
      </c>
      <c r="AD4" s="16">
        <v>90.384</v>
      </c>
      <c r="AE4" s="16">
        <v>57.24</v>
      </c>
      <c r="AF4" s="16">
        <v>94.388000000000005</v>
      </c>
      <c r="AG4" s="16">
        <v>38.356000000000002</v>
      </c>
      <c r="AH4" s="43">
        <v>39.451000000000001</v>
      </c>
    </row>
    <row r="5" spans="1:39" ht="14.5" x14ac:dyDescent="0.35">
      <c r="A5" s="41">
        <v>46174</v>
      </c>
      <c r="B5" s="33">
        <v>293</v>
      </c>
      <c r="C5" s="8">
        <v>77</v>
      </c>
      <c r="D5" s="44">
        <v>165</v>
      </c>
      <c r="E5" s="16">
        <v>240.77699999999999</v>
      </c>
      <c r="F5" s="16">
        <v>104.633</v>
      </c>
      <c r="G5" s="16">
        <v>182.47499999999999</v>
      </c>
      <c r="H5" s="16">
        <v>113.384</v>
      </c>
      <c r="I5" s="16">
        <v>275.589</v>
      </c>
      <c r="J5" s="16">
        <v>211.899</v>
      </c>
      <c r="K5" s="16">
        <v>184.874</v>
      </c>
      <c r="L5" s="16">
        <v>169.08</v>
      </c>
      <c r="M5" s="16">
        <v>197.96</v>
      </c>
      <c r="N5" s="16">
        <v>147.31</v>
      </c>
      <c r="O5" s="16">
        <v>97.688999999999993</v>
      </c>
      <c r="P5" s="16">
        <v>149.876</v>
      </c>
      <c r="Q5" s="16">
        <v>134.67099999999999</v>
      </c>
      <c r="R5" s="16">
        <v>187.952</v>
      </c>
      <c r="S5" s="16">
        <v>198.852</v>
      </c>
      <c r="T5" s="16">
        <v>76.902000000000001</v>
      </c>
      <c r="U5" s="16">
        <v>77.141000000000005</v>
      </c>
      <c r="V5" s="16">
        <v>160.31100000000001</v>
      </c>
      <c r="W5" s="16">
        <v>237.68799999999999</v>
      </c>
      <c r="X5" s="16">
        <v>187.125</v>
      </c>
      <c r="Y5" s="16">
        <v>131.90700000000001</v>
      </c>
      <c r="Z5" s="16">
        <v>126.498</v>
      </c>
      <c r="AA5" s="16">
        <v>88.254999999999995</v>
      </c>
      <c r="AB5" s="16">
        <v>128.59</v>
      </c>
      <c r="AC5" s="16">
        <v>232.86</v>
      </c>
      <c r="AD5" s="16">
        <v>194.191</v>
      </c>
      <c r="AE5" s="16">
        <v>121.11499999999999</v>
      </c>
      <c r="AF5" s="16">
        <v>190.81200000000001</v>
      </c>
      <c r="AG5" s="16">
        <v>160.91999999999999</v>
      </c>
      <c r="AH5" s="43">
        <v>183.54300000000001</v>
      </c>
    </row>
    <row r="6" spans="1:39" ht="14.5" x14ac:dyDescent="0.35">
      <c r="A6" s="41">
        <v>46204</v>
      </c>
      <c r="B6" s="33">
        <v>140</v>
      </c>
      <c r="C6" s="8">
        <v>37</v>
      </c>
      <c r="D6" s="44">
        <v>79</v>
      </c>
      <c r="E6" s="16">
        <v>103.652</v>
      </c>
      <c r="F6" s="16">
        <v>59.26</v>
      </c>
      <c r="G6" s="16">
        <v>111.446</v>
      </c>
      <c r="H6" s="16">
        <v>21.085000000000001</v>
      </c>
      <c r="I6" s="16">
        <v>209.791</v>
      </c>
      <c r="J6" s="16">
        <v>84.194000000000003</v>
      </c>
      <c r="K6" s="16">
        <v>66.188000000000002</v>
      </c>
      <c r="L6" s="16">
        <v>209.256</v>
      </c>
      <c r="M6" s="16">
        <v>106.724</v>
      </c>
      <c r="N6" s="16">
        <v>39.6</v>
      </c>
      <c r="O6" s="16">
        <v>26.428000000000001</v>
      </c>
      <c r="P6" s="16">
        <v>54.232999999999997</v>
      </c>
      <c r="Q6" s="16">
        <v>42.277999999999999</v>
      </c>
      <c r="R6" s="16">
        <v>139.89400000000001</v>
      </c>
      <c r="S6" s="16">
        <v>130.15199999999999</v>
      </c>
      <c r="T6" s="16">
        <v>8.9809999999999999</v>
      </c>
      <c r="U6" s="16">
        <v>18.617999999999999</v>
      </c>
      <c r="V6" s="16">
        <v>101.166</v>
      </c>
      <c r="W6" s="16">
        <v>174.43100000000001</v>
      </c>
      <c r="X6" s="16">
        <v>174.643</v>
      </c>
      <c r="Y6" s="16">
        <v>184.696</v>
      </c>
      <c r="Z6" s="16">
        <v>44.847999999999999</v>
      </c>
      <c r="AA6" s="16">
        <v>31.696000000000002</v>
      </c>
      <c r="AB6" s="16">
        <v>73.855999999999995</v>
      </c>
      <c r="AC6" s="16">
        <v>134.85900000000001</v>
      </c>
      <c r="AD6" s="16">
        <v>59.34</v>
      </c>
      <c r="AE6" s="16">
        <v>45.097999999999999</v>
      </c>
      <c r="AF6" s="16">
        <v>65.947000000000003</v>
      </c>
      <c r="AG6" s="16">
        <v>116.678</v>
      </c>
      <c r="AH6" s="43">
        <v>84.144000000000005</v>
      </c>
    </row>
    <row r="7" spans="1:39" ht="14.5" x14ac:dyDescent="0.35">
      <c r="A7" s="41">
        <v>46235</v>
      </c>
      <c r="B7" s="33">
        <v>60</v>
      </c>
      <c r="C7" s="8">
        <v>27</v>
      </c>
      <c r="D7" s="44">
        <v>30</v>
      </c>
      <c r="E7" s="16">
        <v>44.895000000000003</v>
      </c>
      <c r="F7" s="16">
        <v>23.847999999999999</v>
      </c>
      <c r="G7" s="16">
        <v>98.673000000000002</v>
      </c>
      <c r="H7" s="16">
        <v>17.18</v>
      </c>
      <c r="I7" s="16">
        <v>68.438999999999993</v>
      </c>
      <c r="J7" s="16">
        <v>30.004999999999999</v>
      </c>
      <c r="K7" s="16">
        <v>46.271000000000001</v>
      </c>
      <c r="L7" s="16">
        <v>61.822000000000003</v>
      </c>
      <c r="M7" s="16">
        <v>39.061</v>
      </c>
      <c r="N7" s="16">
        <v>22.001000000000001</v>
      </c>
      <c r="O7" s="16">
        <v>16.739000000000001</v>
      </c>
      <c r="P7" s="16">
        <v>23.164999999999999</v>
      </c>
      <c r="Q7" s="16">
        <v>20.030999999999999</v>
      </c>
      <c r="R7" s="16">
        <v>48.960999999999999</v>
      </c>
      <c r="S7" s="16">
        <v>43.91</v>
      </c>
      <c r="T7" s="16">
        <v>14.71</v>
      </c>
      <c r="U7" s="16">
        <v>22.497</v>
      </c>
      <c r="V7" s="16">
        <v>31.495000000000001</v>
      </c>
      <c r="W7" s="16">
        <v>47.845999999999997</v>
      </c>
      <c r="X7" s="16">
        <v>52.45</v>
      </c>
      <c r="Y7" s="16">
        <v>49.691000000000003</v>
      </c>
      <c r="Z7" s="16">
        <v>20.11</v>
      </c>
      <c r="AA7" s="16">
        <v>18.024999999999999</v>
      </c>
      <c r="AB7" s="16">
        <v>29.995000000000001</v>
      </c>
      <c r="AC7" s="16">
        <v>39.667999999999999</v>
      </c>
      <c r="AD7" s="16">
        <v>26.626000000000001</v>
      </c>
      <c r="AE7" s="16">
        <v>21.452999999999999</v>
      </c>
      <c r="AF7" s="16">
        <v>26.317</v>
      </c>
      <c r="AG7" s="16">
        <v>38.616999999999997</v>
      </c>
      <c r="AH7" s="43">
        <v>27.608000000000001</v>
      </c>
    </row>
    <row r="8" spans="1:39" ht="14.5" x14ac:dyDescent="0.35">
      <c r="A8" s="41">
        <v>46266</v>
      </c>
      <c r="B8" s="33">
        <v>42</v>
      </c>
      <c r="C8" s="8">
        <v>26</v>
      </c>
      <c r="D8" s="44">
        <v>27</v>
      </c>
      <c r="E8" s="16">
        <v>41.277000000000001</v>
      </c>
      <c r="F8" s="16">
        <v>22.614999999999998</v>
      </c>
      <c r="G8" s="16">
        <v>38.6</v>
      </c>
      <c r="H8" s="16">
        <v>17.109000000000002</v>
      </c>
      <c r="I8" s="16">
        <v>35.03</v>
      </c>
      <c r="J8" s="16">
        <v>22.384</v>
      </c>
      <c r="K8" s="16">
        <v>40.817</v>
      </c>
      <c r="L8" s="16">
        <v>32.225000000000001</v>
      </c>
      <c r="M8" s="16">
        <v>36.715000000000003</v>
      </c>
      <c r="N8" s="16">
        <v>27.741</v>
      </c>
      <c r="O8" s="16">
        <v>16.183</v>
      </c>
      <c r="P8" s="16">
        <v>25.879000000000001</v>
      </c>
      <c r="Q8" s="16">
        <v>23.57</v>
      </c>
      <c r="R8" s="16">
        <v>39.411000000000001</v>
      </c>
      <c r="S8" s="16">
        <v>27.41</v>
      </c>
      <c r="T8" s="16">
        <v>15.897</v>
      </c>
      <c r="U8" s="16">
        <v>20.216999999999999</v>
      </c>
      <c r="V8" s="16">
        <v>28.417999999999999</v>
      </c>
      <c r="W8" s="16">
        <v>26.59</v>
      </c>
      <c r="X8" s="16">
        <v>32.317</v>
      </c>
      <c r="Y8" s="16">
        <v>28.122</v>
      </c>
      <c r="Z8" s="16">
        <v>16.526</v>
      </c>
      <c r="AA8" s="16">
        <v>24.193999999999999</v>
      </c>
      <c r="AB8" s="16">
        <v>29.123999999999999</v>
      </c>
      <c r="AC8" s="16">
        <v>28.512</v>
      </c>
      <c r="AD8" s="16">
        <v>26.222999999999999</v>
      </c>
      <c r="AE8" s="16">
        <v>24.742000000000001</v>
      </c>
      <c r="AF8" s="16">
        <v>19.902000000000001</v>
      </c>
      <c r="AG8" s="16">
        <v>31.36</v>
      </c>
      <c r="AH8" s="43">
        <v>20.393999999999998</v>
      </c>
    </row>
    <row r="9" spans="1:39" ht="14.5" x14ac:dyDescent="0.35">
      <c r="A9" s="41">
        <v>46296</v>
      </c>
      <c r="B9" s="33">
        <v>51</v>
      </c>
      <c r="C9" s="8">
        <v>39</v>
      </c>
      <c r="D9" s="44">
        <v>36</v>
      </c>
      <c r="E9" s="16">
        <v>35.270000000000003</v>
      </c>
      <c r="F9" s="16">
        <v>25.271000000000001</v>
      </c>
      <c r="G9" s="16">
        <v>40.85</v>
      </c>
      <c r="H9" s="16">
        <v>32.369999999999997</v>
      </c>
      <c r="I9" s="16">
        <v>42.65</v>
      </c>
      <c r="J9" s="16">
        <v>31.291</v>
      </c>
      <c r="K9" s="16">
        <v>50.698999999999998</v>
      </c>
      <c r="L9" s="16">
        <v>42.152999999999999</v>
      </c>
      <c r="M9" s="16">
        <v>32.159999999999997</v>
      </c>
      <c r="N9" s="16">
        <v>33.107999999999997</v>
      </c>
      <c r="O9" s="16">
        <v>22.494</v>
      </c>
      <c r="P9" s="16">
        <v>33.856999999999999</v>
      </c>
      <c r="Q9" s="16">
        <v>24.61</v>
      </c>
      <c r="R9" s="16">
        <v>44.414999999999999</v>
      </c>
      <c r="S9" s="16">
        <v>36.155999999999999</v>
      </c>
      <c r="T9" s="16">
        <v>37.034999999999997</v>
      </c>
      <c r="U9" s="16">
        <v>41.39</v>
      </c>
      <c r="V9" s="16">
        <v>32.451999999999998</v>
      </c>
      <c r="W9" s="16">
        <v>38.802999999999997</v>
      </c>
      <c r="X9" s="16">
        <v>33.087000000000003</v>
      </c>
      <c r="Y9" s="16">
        <v>36.762</v>
      </c>
      <c r="Z9" s="16">
        <v>23.007999999999999</v>
      </c>
      <c r="AA9" s="16">
        <v>34.295999999999999</v>
      </c>
      <c r="AB9" s="16">
        <v>87.352999999999994</v>
      </c>
      <c r="AC9" s="16">
        <v>43.378</v>
      </c>
      <c r="AD9" s="16">
        <v>65.808999999999997</v>
      </c>
      <c r="AE9" s="16">
        <v>43.561999999999998</v>
      </c>
      <c r="AF9" s="16">
        <v>28.919</v>
      </c>
      <c r="AG9" s="16">
        <v>37.667000000000002</v>
      </c>
      <c r="AH9" s="43">
        <v>26.51</v>
      </c>
    </row>
    <row r="10" spans="1:39" ht="14.5" x14ac:dyDescent="0.35">
      <c r="A10" s="41">
        <v>46327</v>
      </c>
      <c r="B10" s="33">
        <v>45</v>
      </c>
      <c r="C10" s="8">
        <v>39</v>
      </c>
      <c r="D10" s="44">
        <v>38</v>
      </c>
      <c r="E10" s="16">
        <v>36.648000000000003</v>
      </c>
      <c r="F10" s="16">
        <v>26.616</v>
      </c>
      <c r="G10" s="16">
        <v>34.97</v>
      </c>
      <c r="H10" s="16">
        <v>30.303000000000001</v>
      </c>
      <c r="I10" s="16">
        <v>40.194000000000003</v>
      </c>
      <c r="J10" s="16">
        <v>33.85</v>
      </c>
      <c r="K10" s="16">
        <v>34.502000000000002</v>
      </c>
      <c r="L10" s="16">
        <v>35.033999999999999</v>
      </c>
      <c r="M10" s="16">
        <v>30.338999999999999</v>
      </c>
      <c r="N10" s="16">
        <v>30.196000000000002</v>
      </c>
      <c r="O10" s="16">
        <v>31.459</v>
      </c>
      <c r="P10" s="16">
        <v>29.542000000000002</v>
      </c>
      <c r="Q10" s="16">
        <v>26.635999999999999</v>
      </c>
      <c r="R10" s="16">
        <v>44.365000000000002</v>
      </c>
      <c r="S10" s="16">
        <v>33.853000000000002</v>
      </c>
      <c r="T10" s="16">
        <v>28.584</v>
      </c>
      <c r="U10" s="16">
        <v>34.991999999999997</v>
      </c>
      <c r="V10" s="16">
        <v>35.479999999999997</v>
      </c>
      <c r="W10" s="16">
        <v>38.073</v>
      </c>
      <c r="X10" s="16">
        <v>33.869999999999997</v>
      </c>
      <c r="Y10" s="16">
        <v>35.134999999999998</v>
      </c>
      <c r="Z10" s="16">
        <v>30.218</v>
      </c>
      <c r="AA10" s="16">
        <v>29.623000000000001</v>
      </c>
      <c r="AB10" s="16">
        <v>43.844000000000001</v>
      </c>
      <c r="AC10" s="16">
        <v>34.466000000000001</v>
      </c>
      <c r="AD10" s="16">
        <v>66.924000000000007</v>
      </c>
      <c r="AE10" s="16">
        <v>37.398000000000003</v>
      </c>
      <c r="AF10" s="16">
        <v>31.106000000000002</v>
      </c>
      <c r="AG10" s="16">
        <v>32.308999999999997</v>
      </c>
      <c r="AH10" s="43">
        <v>31.495000000000001</v>
      </c>
    </row>
    <row r="11" spans="1:39" ht="14.5" x14ac:dyDescent="0.35">
      <c r="A11" s="41">
        <v>46357</v>
      </c>
      <c r="B11" s="33">
        <v>34</v>
      </c>
      <c r="C11" s="8">
        <v>32</v>
      </c>
      <c r="D11" s="44">
        <v>32</v>
      </c>
      <c r="E11" s="16">
        <v>31.495999999999999</v>
      </c>
      <c r="F11" s="16">
        <v>22.856000000000002</v>
      </c>
      <c r="G11" s="16">
        <v>29.234999999999999</v>
      </c>
      <c r="H11" s="16">
        <v>23.867999999999999</v>
      </c>
      <c r="I11" s="16">
        <v>39.796999999999997</v>
      </c>
      <c r="J11" s="16">
        <v>31.515000000000001</v>
      </c>
      <c r="K11" s="16">
        <v>26.919</v>
      </c>
      <c r="L11" s="16">
        <v>30.895</v>
      </c>
      <c r="M11" s="16">
        <v>26.157</v>
      </c>
      <c r="N11" s="16">
        <v>24.597000000000001</v>
      </c>
      <c r="O11" s="16">
        <v>23.978999999999999</v>
      </c>
      <c r="P11" s="16">
        <v>24.303999999999998</v>
      </c>
      <c r="Q11" s="16">
        <v>22.622</v>
      </c>
      <c r="R11" s="16">
        <v>31.236999999999998</v>
      </c>
      <c r="S11" s="16">
        <v>29.518999999999998</v>
      </c>
      <c r="T11" s="16">
        <v>24.791</v>
      </c>
      <c r="U11" s="16">
        <v>25.382999999999999</v>
      </c>
      <c r="V11" s="16">
        <v>27.943000000000001</v>
      </c>
      <c r="W11" s="16">
        <v>30.314</v>
      </c>
      <c r="X11" s="16">
        <v>28.395</v>
      </c>
      <c r="Y11" s="16">
        <v>28.033000000000001</v>
      </c>
      <c r="Z11" s="16">
        <v>25.164000000000001</v>
      </c>
      <c r="AA11" s="16">
        <v>23.591999999999999</v>
      </c>
      <c r="AB11" s="16">
        <v>32.533999999999999</v>
      </c>
      <c r="AC11" s="16">
        <v>28.286000000000001</v>
      </c>
      <c r="AD11" s="16">
        <v>37.194000000000003</v>
      </c>
      <c r="AE11" s="16">
        <v>33.588999999999999</v>
      </c>
      <c r="AF11" s="16">
        <v>25.422000000000001</v>
      </c>
      <c r="AG11" s="16">
        <v>26.72</v>
      </c>
      <c r="AH11" s="43">
        <v>26.14</v>
      </c>
    </row>
    <row r="12" spans="1:39" ht="14.5" x14ac:dyDescent="0.35">
      <c r="A12" s="41">
        <v>46388</v>
      </c>
      <c r="B12" s="33">
        <v>33</v>
      </c>
      <c r="C12" s="8">
        <v>29</v>
      </c>
      <c r="D12" s="44">
        <v>31</v>
      </c>
      <c r="E12" s="16">
        <v>26.969000000000001</v>
      </c>
      <c r="F12" s="16">
        <v>20.541</v>
      </c>
      <c r="G12" s="16">
        <v>25.443000000000001</v>
      </c>
      <c r="H12" s="16">
        <v>20.678999999999998</v>
      </c>
      <c r="I12" s="16">
        <v>30.948</v>
      </c>
      <c r="J12" s="16">
        <v>32.756999999999998</v>
      </c>
      <c r="K12" s="16">
        <v>22.97</v>
      </c>
      <c r="L12" s="16">
        <v>26.135000000000002</v>
      </c>
      <c r="M12" s="16">
        <v>22.954000000000001</v>
      </c>
      <c r="N12" s="16">
        <v>21.36</v>
      </c>
      <c r="O12" s="16">
        <v>19.849</v>
      </c>
      <c r="P12" s="16">
        <v>21.178999999999998</v>
      </c>
      <c r="Q12" s="16">
        <v>20.178000000000001</v>
      </c>
      <c r="R12" s="16">
        <v>26.222000000000001</v>
      </c>
      <c r="S12" s="16">
        <v>29.536000000000001</v>
      </c>
      <c r="T12" s="16">
        <v>23.184000000000001</v>
      </c>
      <c r="U12" s="16">
        <v>20.983000000000001</v>
      </c>
      <c r="V12" s="16">
        <v>25.805</v>
      </c>
      <c r="W12" s="16">
        <v>25.946000000000002</v>
      </c>
      <c r="X12" s="16">
        <v>25.684000000000001</v>
      </c>
      <c r="Y12" s="16">
        <v>25.556000000000001</v>
      </c>
      <c r="Z12" s="16">
        <v>21.076000000000001</v>
      </c>
      <c r="AA12" s="16">
        <v>20.908000000000001</v>
      </c>
      <c r="AB12" s="16">
        <v>30.11</v>
      </c>
      <c r="AC12" s="16">
        <v>25.064</v>
      </c>
      <c r="AD12" s="16">
        <v>29.885000000000002</v>
      </c>
      <c r="AE12" s="16">
        <v>28.766999999999999</v>
      </c>
      <c r="AF12" s="16">
        <v>22.172999999999998</v>
      </c>
      <c r="AG12" s="16">
        <v>23.059000000000001</v>
      </c>
      <c r="AH12" s="43">
        <v>22.295000000000002</v>
      </c>
    </row>
    <row r="13" spans="1:39" ht="14.5" x14ac:dyDescent="0.35">
      <c r="A13" s="41">
        <v>46419</v>
      </c>
      <c r="B13" s="33">
        <v>31</v>
      </c>
      <c r="C13" s="8">
        <v>27</v>
      </c>
      <c r="D13" s="44">
        <v>29</v>
      </c>
      <c r="E13" s="16">
        <v>23.52</v>
      </c>
      <c r="F13" s="16">
        <v>19.14</v>
      </c>
      <c r="G13" s="16">
        <v>21.791</v>
      </c>
      <c r="H13" s="16">
        <v>29.001000000000001</v>
      </c>
      <c r="I13" s="16">
        <v>35.095999999999997</v>
      </c>
      <c r="J13" s="16">
        <v>26.513000000000002</v>
      </c>
      <c r="K13" s="16">
        <v>19.739999999999998</v>
      </c>
      <c r="L13" s="16">
        <v>24.317</v>
      </c>
      <c r="M13" s="16">
        <v>24.018000000000001</v>
      </c>
      <c r="N13" s="16">
        <v>18.936</v>
      </c>
      <c r="O13" s="16">
        <v>17.350000000000001</v>
      </c>
      <c r="P13" s="16">
        <v>27.030999999999999</v>
      </c>
      <c r="Q13" s="16">
        <v>18.940999999999999</v>
      </c>
      <c r="R13" s="16">
        <v>23.33</v>
      </c>
      <c r="S13" s="16">
        <v>24.890999999999998</v>
      </c>
      <c r="T13" s="16">
        <v>22.262</v>
      </c>
      <c r="U13" s="16">
        <v>17.920999999999999</v>
      </c>
      <c r="V13" s="16">
        <v>24.727</v>
      </c>
      <c r="W13" s="16">
        <v>22.088999999999999</v>
      </c>
      <c r="X13" s="16">
        <v>24.096</v>
      </c>
      <c r="Y13" s="16">
        <v>24.338000000000001</v>
      </c>
      <c r="Z13" s="16">
        <v>18.850000000000001</v>
      </c>
      <c r="AA13" s="16">
        <v>25.367999999999999</v>
      </c>
      <c r="AB13" s="16">
        <v>34.088999999999999</v>
      </c>
      <c r="AC13" s="16">
        <v>30.518999999999998</v>
      </c>
      <c r="AD13" s="16">
        <v>41.917000000000002</v>
      </c>
      <c r="AE13" s="16">
        <v>26.516999999999999</v>
      </c>
      <c r="AF13" s="16">
        <v>22.456</v>
      </c>
      <c r="AG13" s="16">
        <v>20.834</v>
      </c>
      <c r="AH13" s="43">
        <v>23.63</v>
      </c>
    </row>
    <row r="14" spans="1:39" ht="14.5" x14ac:dyDescent="0.35">
      <c r="A14" s="41">
        <v>46447</v>
      </c>
      <c r="B14" s="33">
        <v>64</v>
      </c>
      <c r="C14" s="8">
        <v>43</v>
      </c>
      <c r="D14" s="44">
        <v>51</v>
      </c>
      <c r="E14" s="16">
        <v>44.99</v>
      </c>
      <c r="F14" s="16">
        <v>41.94</v>
      </c>
      <c r="G14" s="16">
        <v>43.334000000000003</v>
      </c>
      <c r="H14" s="16">
        <v>58.643999999999998</v>
      </c>
      <c r="I14" s="16">
        <v>52.173999999999999</v>
      </c>
      <c r="J14" s="16">
        <v>50.554000000000002</v>
      </c>
      <c r="K14" s="16">
        <v>38.320999999999998</v>
      </c>
      <c r="L14" s="16">
        <v>41.347999999999999</v>
      </c>
      <c r="M14" s="16">
        <v>34.142000000000003</v>
      </c>
      <c r="N14" s="16">
        <v>32.643000000000001</v>
      </c>
      <c r="O14" s="16">
        <v>26.22</v>
      </c>
      <c r="P14" s="16">
        <v>35.545000000000002</v>
      </c>
      <c r="Q14" s="16">
        <v>50.6</v>
      </c>
      <c r="R14" s="16">
        <v>44.808</v>
      </c>
      <c r="S14" s="16">
        <v>33.659999999999997</v>
      </c>
      <c r="T14" s="16">
        <v>55.601999999999997</v>
      </c>
      <c r="U14" s="16">
        <v>26.167000000000002</v>
      </c>
      <c r="V14" s="16">
        <v>44.226999999999997</v>
      </c>
      <c r="W14" s="16">
        <v>32.265999999999998</v>
      </c>
      <c r="X14" s="16">
        <v>32.027999999999999</v>
      </c>
      <c r="Y14" s="16">
        <v>52.707000000000001</v>
      </c>
      <c r="Z14" s="16">
        <v>33.359000000000002</v>
      </c>
      <c r="AA14" s="16">
        <v>38.694000000000003</v>
      </c>
      <c r="AB14" s="16">
        <v>61.906999999999996</v>
      </c>
      <c r="AC14" s="16">
        <v>50.116</v>
      </c>
      <c r="AD14" s="16">
        <v>124.70699999999999</v>
      </c>
      <c r="AE14" s="16">
        <v>33.863</v>
      </c>
      <c r="AF14" s="16">
        <v>36.945999999999998</v>
      </c>
      <c r="AG14" s="16">
        <v>38.869</v>
      </c>
      <c r="AH14" s="43">
        <v>30.948</v>
      </c>
    </row>
    <row r="15" spans="1:39" ht="14.5" x14ac:dyDescent="0.35">
      <c r="A15" s="41">
        <v>46478</v>
      </c>
      <c r="B15" s="33">
        <v>97</v>
      </c>
      <c r="C15" s="8">
        <v>65</v>
      </c>
      <c r="D15" s="44">
        <v>77</v>
      </c>
      <c r="E15" s="16">
        <v>62.066000000000003</v>
      </c>
      <c r="F15" s="16">
        <v>63.2</v>
      </c>
      <c r="G15" s="16">
        <v>78.953999999999994</v>
      </c>
      <c r="H15" s="16">
        <v>57.642000000000003</v>
      </c>
      <c r="I15" s="16">
        <v>106.60599999999999</v>
      </c>
      <c r="J15" s="16">
        <v>79.438999999999993</v>
      </c>
      <c r="K15" s="16">
        <v>67.706999999999994</v>
      </c>
      <c r="L15" s="16">
        <v>56.308</v>
      </c>
      <c r="M15" s="16">
        <v>68.555000000000007</v>
      </c>
      <c r="N15" s="16">
        <v>43.396999999999998</v>
      </c>
      <c r="O15" s="16">
        <v>55.63</v>
      </c>
      <c r="P15" s="16">
        <v>58.884</v>
      </c>
      <c r="Q15" s="16">
        <v>101.37</v>
      </c>
      <c r="R15" s="16">
        <v>68.834000000000003</v>
      </c>
      <c r="S15" s="16">
        <v>90.346999999999994</v>
      </c>
      <c r="T15" s="16">
        <v>59.308</v>
      </c>
      <c r="U15" s="16">
        <v>31.542000000000002</v>
      </c>
      <c r="V15" s="16">
        <v>73.063999999999993</v>
      </c>
      <c r="W15" s="16">
        <v>45.631999999999998</v>
      </c>
      <c r="X15" s="16">
        <v>55.651000000000003</v>
      </c>
      <c r="Y15" s="16">
        <v>108.41</v>
      </c>
      <c r="Z15" s="16">
        <v>40.636000000000003</v>
      </c>
      <c r="AA15" s="16">
        <v>68.763999999999996</v>
      </c>
      <c r="AB15" s="16">
        <v>67.734999999999999</v>
      </c>
      <c r="AC15" s="16">
        <v>79.468999999999994</v>
      </c>
      <c r="AD15" s="16">
        <v>244.48699999999999</v>
      </c>
      <c r="AE15" s="16">
        <v>63.805</v>
      </c>
      <c r="AF15" s="16">
        <v>86.728999999999999</v>
      </c>
      <c r="AG15" s="16">
        <v>57.478000000000002</v>
      </c>
      <c r="AH15" s="43">
        <v>53.612000000000002</v>
      </c>
    </row>
    <row r="16" spans="1:39" ht="14.5" x14ac:dyDescent="0.35">
      <c r="A16" s="41">
        <v>46508</v>
      </c>
      <c r="B16" s="33">
        <v>224</v>
      </c>
      <c r="C16" s="8">
        <v>116</v>
      </c>
      <c r="D16" s="44">
        <v>166</v>
      </c>
      <c r="E16" s="16">
        <v>141.5</v>
      </c>
      <c r="F16" s="16">
        <v>189.54599999999999</v>
      </c>
      <c r="G16" s="16">
        <v>161.34800000000001</v>
      </c>
      <c r="H16" s="16">
        <v>53.914000000000001</v>
      </c>
      <c r="I16" s="16">
        <v>139.69800000000001</v>
      </c>
      <c r="J16" s="16">
        <v>303.98</v>
      </c>
      <c r="K16" s="16">
        <v>126.761</v>
      </c>
      <c r="L16" s="16">
        <v>149.708</v>
      </c>
      <c r="M16" s="16">
        <v>142.21600000000001</v>
      </c>
      <c r="N16" s="16">
        <v>93.891000000000005</v>
      </c>
      <c r="O16" s="16">
        <v>48.823999999999998</v>
      </c>
      <c r="P16" s="16">
        <v>57.293999999999997</v>
      </c>
      <c r="Q16" s="16">
        <v>92.099000000000004</v>
      </c>
      <c r="R16" s="16">
        <v>130.69800000000001</v>
      </c>
      <c r="S16" s="16">
        <v>210.922</v>
      </c>
      <c r="T16" s="16">
        <v>144.61000000000001</v>
      </c>
      <c r="U16" s="16">
        <v>107.83199999999999</v>
      </c>
      <c r="V16" s="16">
        <v>124.2</v>
      </c>
      <c r="W16" s="16">
        <v>21.273</v>
      </c>
      <c r="X16" s="16">
        <v>139.58799999999999</v>
      </c>
      <c r="Y16" s="16">
        <v>136.29499999999999</v>
      </c>
      <c r="Z16" s="16">
        <v>61.002000000000002</v>
      </c>
      <c r="AA16" s="16">
        <v>170.74199999999999</v>
      </c>
      <c r="AB16" s="16">
        <v>148.06200000000001</v>
      </c>
      <c r="AC16" s="16">
        <v>121.13200000000001</v>
      </c>
      <c r="AD16" s="16">
        <v>357.584</v>
      </c>
      <c r="AE16" s="16">
        <v>214.85400000000001</v>
      </c>
      <c r="AF16" s="16">
        <v>71.185000000000002</v>
      </c>
      <c r="AG16" s="16">
        <v>107.16</v>
      </c>
      <c r="AH16" s="43">
        <v>71.195999999999998</v>
      </c>
    </row>
    <row r="17" spans="1:34" ht="14.5" x14ac:dyDescent="0.35">
      <c r="A17" s="41">
        <v>46539</v>
      </c>
      <c r="B17" s="33">
        <v>404</v>
      </c>
      <c r="C17" s="8">
        <v>201</v>
      </c>
      <c r="D17" s="44">
        <v>301</v>
      </c>
      <c r="E17" s="16">
        <v>53.405000000000001</v>
      </c>
      <c r="F17" s="16">
        <v>349.28199999999998</v>
      </c>
      <c r="G17" s="16">
        <v>141.92599999999999</v>
      </c>
      <c r="H17" s="16">
        <v>388.23899999999998</v>
      </c>
      <c r="I17" s="16">
        <v>553.197</v>
      </c>
      <c r="J17" s="16">
        <v>674.654</v>
      </c>
      <c r="K17" s="16">
        <v>271.83</v>
      </c>
      <c r="L17" s="16">
        <v>507.44</v>
      </c>
      <c r="M17" s="16">
        <v>193.404</v>
      </c>
      <c r="N17" s="16">
        <v>111.599</v>
      </c>
      <c r="O17" s="16">
        <v>183.51</v>
      </c>
      <c r="P17" s="16">
        <v>208.55</v>
      </c>
      <c r="Q17" s="16">
        <v>229.95599999999999</v>
      </c>
      <c r="R17" s="16">
        <v>353.93799999999999</v>
      </c>
      <c r="S17" s="16">
        <v>261.69200000000001</v>
      </c>
      <c r="T17" s="16">
        <v>56.561999999999998</v>
      </c>
      <c r="U17" s="16">
        <v>272.392</v>
      </c>
      <c r="V17" s="16">
        <v>427.45499999999998</v>
      </c>
      <c r="W17" s="16">
        <v>179.471</v>
      </c>
      <c r="X17" s="16">
        <v>376.38400000000001</v>
      </c>
      <c r="Y17" s="16">
        <v>182.87299999999999</v>
      </c>
      <c r="Z17" s="16">
        <v>87.236000000000004</v>
      </c>
      <c r="AA17" s="16">
        <v>435.54</v>
      </c>
      <c r="AB17" s="16">
        <v>274.54199999999997</v>
      </c>
      <c r="AC17" s="16">
        <v>272.05200000000002</v>
      </c>
      <c r="AD17" s="16">
        <v>701.23099999999999</v>
      </c>
      <c r="AE17" s="16">
        <v>406.98599999999999</v>
      </c>
      <c r="AF17" s="16">
        <v>235.62799999999999</v>
      </c>
      <c r="AG17" s="16">
        <v>320.18799999999999</v>
      </c>
      <c r="AH17" s="43">
        <v>314.08199999999999</v>
      </c>
    </row>
    <row r="18" spans="1:34" ht="14.5" x14ac:dyDescent="0.35">
      <c r="A18" s="41">
        <v>46569</v>
      </c>
      <c r="B18" s="33">
        <v>223</v>
      </c>
      <c r="C18" s="8">
        <v>90</v>
      </c>
      <c r="D18" s="44">
        <v>146</v>
      </c>
      <c r="E18" s="16">
        <v>29.088000000000001</v>
      </c>
      <c r="F18" s="16">
        <v>226.63300000000001</v>
      </c>
      <c r="G18" s="16">
        <v>24.718</v>
      </c>
      <c r="H18" s="16">
        <v>415.48099999999999</v>
      </c>
      <c r="I18" s="16">
        <v>275.82900000000001</v>
      </c>
      <c r="J18" s="16">
        <v>304.42099999999999</v>
      </c>
      <c r="K18" s="16">
        <v>338.13600000000002</v>
      </c>
      <c r="L18" s="16">
        <v>325.34500000000003</v>
      </c>
      <c r="M18" s="16">
        <v>57.636000000000003</v>
      </c>
      <c r="N18" s="16">
        <v>28.407</v>
      </c>
      <c r="O18" s="16">
        <v>78.19</v>
      </c>
      <c r="P18" s="16">
        <v>75</v>
      </c>
      <c r="Q18" s="16">
        <v>158.56200000000001</v>
      </c>
      <c r="R18" s="16">
        <v>251.797</v>
      </c>
      <c r="S18" s="16">
        <v>73.891000000000005</v>
      </c>
      <c r="T18" s="16">
        <v>7.2519999999999998</v>
      </c>
      <c r="U18" s="16">
        <v>191.79300000000001</v>
      </c>
      <c r="V18" s="16">
        <v>338.29</v>
      </c>
      <c r="W18" s="16">
        <v>168.14500000000001</v>
      </c>
      <c r="X18" s="16">
        <v>614.245</v>
      </c>
      <c r="Y18" s="16">
        <v>62.421999999999997</v>
      </c>
      <c r="Z18" s="16">
        <v>33.345999999999997</v>
      </c>
      <c r="AA18" s="16">
        <v>285.49400000000003</v>
      </c>
      <c r="AB18" s="16">
        <v>130.50700000000001</v>
      </c>
      <c r="AC18" s="16">
        <v>88.643000000000001</v>
      </c>
      <c r="AD18" s="16">
        <v>354.25299999999999</v>
      </c>
      <c r="AE18" s="16">
        <v>183.55199999999999</v>
      </c>
      <c r="AF18" s="16">
        <v>207.434</v>
      </c>
      <c r="AG18" s="16">
        <v>161.51900000000001</v>
      </c>
      <c r="AH18" s="43">
        <v>156.38499999999999</v>
      </c>
    </row>
    <row r="19" spans="1:34" ht="14.5" x14ac:dyDescent="0.35">
      <c r="A19" s="41">
        <v>46600</v>
      </c>
      <c r="B19" s="33">
        <v>80</v>
      </c>
      <c r="C19" s="8">
        <v>42</v>
      </c>
      <c r="D19" s="44">
        <v>59</v>
      </c>
      <c r="E19" s="16">
        <v>19.241</v>
      </c>
      <c r="F19" s="16">
        <v>177.416</v>
      </c>
      <c r="G19" s="16">
        <v>23.596</v>
      </c>
      <c r="H19" s="16">
        <v>148.703</v>
      </c>
      <c r="I19" s="16">
        <v>88.409000000000006</v>
      </c>
      <c r="J19" s="16">
        <v>148.38</v>
      </c>
      <c r="K19" s="16">
        <v>113.21</v>
      </c>
      <c r="L19" s="16">
        <v>113.652</v>
      </c>
      <c r="M19" s="16">
        <v>33.389000000000003</v>
      </c>
      <c r="N19" s="16">
        <v>19.420000000000002</v>
      </c>
      <c r="O19" s="16">
        <v>33.750999999999998</v>
      </c>
      <c r="P19" s="16">
        <v>33.957999999999998</v>
      </c>
      <c r="Q19" s="16">
        <v>63.634999999999998</v>
      </c>
      <c r="R19" s="16">
        <v>82.614999999999995</v>
      </c>
      <c r="S19" s="16">
        <v>43.363999999999997</v>
      </c>
      <c r="T19" s="16">
        <v>24.495999999999999</v>
      </c>
      <c r="U19" s="16">
        <v>61.488</v>
      </c>
      <c r="V19" s="16">
        <v>105.96</v>
      </c>
      <c r="W19" s="16">
        <v>55.923000000000002</v>
      </c>
      <c r="X19" s="16">
        <v>182.23500000000001</v>
      </c>
      <c r="Y19" s="16">
        <v>32.133000000000003</v>
      </c>
      <c r="Z19" s="16">
        <v>21.616</v>
      </c>
      <c r="AA19" s="16">
        <v>97.353999999999999</v>
      </c>
      <c r="AB19" s="16">
        <v>49.545000000000002</v>
      </c>
      <c r="AC19" s="16">
        <v>42.933</v>
      </c>
      <c r="AD19" s="16">
        <v>115.60899999999999</v>
      </c>
      <c r="AE19" s="16">
        <v>65.194000000000003</v>
      </c>
      <c r="AF19" s="16">
        <v>77.222999999999999</v>
      </c>
      <c r="AG19" s="16">
        <v>56.814999999999998</v>
      </c>
      <c r="AH19" s="43">
        <v>69.381</v>
      </c>
    </row>
    <row r="20" spans="1:34" ht="14.5" x14ac:dyDescent="0.35">
      <c r="A20" s="41">
        <v>46631</v>
      </c>
      <c r="B20" s="33">
        <v>46</v>
      </c>
      <c r="C20" s="8">
        <v>32</v>
      </c>
      <c r="D20" s="44">
        <v>39</v>
      </c>
      <c r="E20" s="16">
        <v>23.254999999999999</v>
      </c>
      <c r="F20" s="16">
        <v>68.832999999999998</v>
      </c>
      <c r="G20" s="16">
        <v>23.207000000000001</v>
      </c>
      <c r="H20" s="16">
        <v>62.886000000000003</v>
      </c>
      <c r="I20" s="16">
        <v>53.5</v>
      </c>
      <c r="J20" s="16">
        <v>93.998000000000005</v>
      </c>
      <c r="K20" s="16">
        <v>52.8</v>
      </c>
      <c r="L20" s="16">
        <v>77.144999999999996</v>
      </c>
      <c r="M20" s="16">
        <v>38.789000000000001</v>
      </c>
      <c r="N20" s="16">
        <v>18.806000000000001</v>
      </c>
      <c r="O20" s="16">
        <v>34.377000000000002</v>
      </c>
      <c r="P20" s="16">
        <v>33.94</v>
      </c>
      <c r="Q20" s="16">
        <v>52.268000000000001</v>
      </c>
      <c r="R20" s="16">
        <v>46.517000000000003</v>
      </c>
      <c r="S20" s="16">
        <v>35.319000000000003</v>
      </c>
      <c r="T20" s="16">
        <v>23.44</v>
      </c>
      <c r="U20" s="16">
        <v>46.314</v>
      </c>
      <c r="V20" s="16">
        <v>51.323</v>
      </c>
      <c r="W20" s="16">
        <v>36.734999999999999</v>
      </c>
      <c r="X20" s="16">
        <v>79.525999999999996</v>
      </c>
      <c r="Y20" s="16">
        <v>25.582999999999998</v>
      </c>
      <c r="Z20" s="16">
        <v>28.529</v>
      </c>
      <c r="AA20" s="16">
        <v>66.597999999999999</v>
      </c>
      <c r="AB20" s="16">
        <v>37.554000000000002</v>
      </c>
      <c r="AC20" s="16">
        <v>38.591999999999999</v>
      </c>
      <c r="AD20" s="16">
        <v>80.018000000000001</v>
      </c>
      <c r="AE20" s="16">
        <v>40.558</v>
      </c>
      <c r="AF20" s="16">
        <v>52.216999999999999</v>
      </c>
      <c r="AG20" s="16">
        <v>37.322000000000003</v>
      </c>
      <c r="AH20" s="43">
        <v>56.136000000000003</v>
      </c>
    </row>
    <row r="21" spans="1:34" ht="14.5" x14ac:dyDescent="0.35">
      <c r="A21" s="41">
        <v>46661</v>
      </c>
      <c r="B21" s="33">
        <v>50</v>
      </c>
      <c r="C21" s="8">
        <v>40</v>
      </c>
      <c r="D21" s="44">
        <v>45</v>
      </c>
      <c r="E21" s="16">
        <v>22.193999999999999</v>
      </c>
      <c r="F21" s="16">
        <v>52.94</v>
      </c>
      <c r="G21" s="16">
        <v>34.508000000000003</v>
      </c>
      <c r="H21" s="16">
        <v>54.183</v>
      </c>
      <c r="I21" s="16">
        <v>50.783999999999999</v>
      </c>
      <c r="J21" s="16">
        <v>80.641000000000005</v>
      </c>
      <c r="K21" s="16">
        <v>50.902000000000001</v>
      </c>
      <c r="L21" s="16">
        <v>50.591000000000001</v>
      </c>
      <c r="M21" s="16">
        <v>36.423999999999999</v>
      </c>
      <c r="N21" s="16">
        <v>21.401</v>
      </c>
      <c r="O21" s="16">
        <v>35.091999999999999</v>
      </c>
      <c r="P21" s="16">
        <v>27.577999999999999</v>
      </c>
      <c r="Q21" s="16">
        <v>47.695</v>
      </c>
      <c r="R21" s="16">
        <v>45.838999999999999</v>
      </c>
      <c r="S21" s="16">
        <v>51.643000000000001</v>
      </c>
      <c r="T21" s="16">
        <v>40.107999999999997</v>
      </c>
      <c r="U21" s="16">
        <v>39.816000000000003</v>
      </c>
      <c r="V21" s="16">
        <v>50.975000000000001</v>
      </c>
      <c r="W21" s="16">
        <v>30.896000000000001</v>
      </c>
      <c r="X21" s="16">
        <v>66.974000000000004</v>
      </c>
      <c r="Y21" s="16">
        <v>27.428999999999998</v>
      </c>
      <c r="Z21" s="16">
        <v>32.685000000000002</v>
      </c>
      <c r="AA21" s="16">
        <v>115.723</v>
      </c>
      <c r="AB21" s="16">
        <v>45.238</v>
      </c>
      <c r="AC21" s="16">
        <v>71.620999999999995</v>
      </c>
      <c r="AD21" s="16">
        <v>83.837999999999994</v>
      </c>
      <c r="AE21" s="16">
        <v>41.213000000000001</v>
      </c>
      <c r="AF21" s="16">
        <v>46.44</v>
      </c>
      <c r="AG21" s="16">
        <v>35.445</v>
      </c>
      <c r="AH21" s="43">
        <v>38.226999999999997</v>
      </c>
    </row>
    <row r="22" spans="1:34" ht="14.5" x14ac:dyDescent="0.35">
      <c r="A22" s="41">
        <v>46692</v>
      </c>
      <c r="B22" s="33">
        <v>45</v>
      </c>
      <c r="C22" s="8">
        <v>39</v>
      </c>
      <c r="D22" s="44">
        <v>42</v>
      </c>
      <c r="E22" s="16">
        <v>24.292000000000002</v>
      </c>
      <c r="F22" s="16">
        <v>44.171999999999997</v>
      </c>
      <c r="G22" s="16">
        <v>32.11</v>
      </c>
      <c r="H22" s="16">
        <v>47.823</v>
      </c>
      <c r="I22" s="16">
        <v>49.164999999999999</v>
      </c>
      <c r="J22" s="16">
        <v>55.643000000000001</v>
      </c>
      <c r="K22" s="16">
        <v>41.228000000000002</v>
      </c>
      <c r="L22" s="16">
        <v>44.378</v>
      </c>
      <c r="M22" s="16">
        <v>32.728000000000002</v>
      </c>
      <c r="N22" s="16">
        <v>30.602</v>
      </c>
      <c r="O22" s="16">
        <v>30.420999999999999</v>
      </c>
      <c r="P22" s="16">
        <v>28.943999999999999</v>
      </c>
      <c r="Q22" s="16">
        <v>47.241</v>
      </c>
      <c r="R22" s="16">
        <v>41.09</v>
      </c>
      <c r="S22" s="16">
        <v>39.109000000000002</v>
      </c>
      <c r="T22" s="16">
        <v>34.021999999999998</v>
      </c>
      <c r="U22" s="16">
        <v>41.365000000000002</v>
      </c>
      <c r="V22" s="16">
        <v>47.24</v>
      </c>
      <c r="W22" s="16">
        <v>32.164999999999999</v>
      </c>
      <c r="X22" s="16">
        <v>56.281999999999996</v>
      </c>
      <c r="Y22" s="16">
        <v>34.271999999999998</v>
      </c>
      <c r="Z22" s="16">
        <v>28.2</v>
      </c>
      <c r="AA22" s="16">
        <v>60.241</v>
      </c>
      <c r="AB22" s="16">
        <v>36.131999999999998</v>
      </c>
      <c r="AC22" s="16">
        <v>71.733000000000004</v>
      </c>
      <c r="AD22" s="16">
        <v>66.703999999999994</v>
      </c>
      <c r="AE22" s="16">
        <v>40.78</v>
      </c>
      <c r="AF22" s="16">
        <v>38.761000000000003</v>
      </c>
      <c r="AG22" s="16">
        <v>38.814</v>
      </c>
      <c r="AH22" s="43">
        <v>38.975000000000001</v>
      </c>
    </row>
    <row r="23" spans="1:34" ht="14.5" x14ac:dyDescent="0.35">
      <c r="A23" s="41">
        <v>46722</v>
      </c>
      <c r="B23" s="33">
        <v>32</v>
      </c>
      <c r="C23" s="8">
        <v>32</v>
      </c>
      <c r="D23" s="44">
        <v>32</v>
      </c>
      <c r="E23" s="16">
        <v>20.806999999999999</v>
      </c>
      <c r="F23" s="16">
        <v>37.395000000000003</v>
      </c>
      <c r="G23" s="16">
        <v>25.542000000000002</v>
      </c>
      <c r="H23" s="16">
        <v>46.438000000000002</v>
      </c>
      <c r="I23" s="16">
        <v>45.098999999999997</v>
      </c>
      <c r="J23" s="16">
        <v>45.469000000000001</v>
      </c>
      <c r="K23" s="16">
        <v>36.363999999999997</v>
      </c>
      <c r="L23" s="16">
        <v>38.622999999999998</v>
      </c>
      <c r="M23" s="16">
        <v>26.841000000000001</v>
      </c>
      <c r="N23" s="16">
        <v>23.256</v>
      </c>
      <c r="O23" s="16">
        <v>25.071999999999999</v>
      </c>
      <c r="P23" s="16">
        <v>24.68</v>
      </c>
      <c r="Q23" s="16">
        <v>33.805999999999997</v>
      </c>
      <c r="R23" s="16">
        <v>35.985999999999997</v>
      </c>
      <c r="S23" s="16">
        <v>34.122</v>
      </c>
      <c r="T23" s="16">
        <v>24.568999999999999</v>
      </c>
      <c r="U23" s="16">
        <v>32.853000000000002</v>
      </c>
      <c r="V23" s="16">
        <v>38.128999999999998</v>
      </c>
      <c r="W23" s="16">
        <v>26.954999999999998</v>
      </c>
      <c r="X23" s="16">
        <v>46.125</v>
      </c>
      <c r="Y23" s="16">
        <v>28.643999999999998</v>
      </c>
      <c r="Z23" s="16">
        <v>22.271999999999998</v>
      </c>
      <c r="AA23" s="16">
        <v>45.862000000000002</v>
      </c>
      <c r="AB23" s="16">
        <v>29.841000000000001</v>
      </c>
      <c r="AC23" s="16">
        <v>40.332000000000001</v>
      </c>
      <c r="AD23" s="16">
        <v>59.423000000000002</v>
      </c>
      <c r="AE23" s="16">
        <v>33.872999999999998</v>
      </c>
      <c r="AF23" s="16">
        <v>32.405000000000001</v>
      </c>
      <c r="AG23" s="16">
        <v>32.450000000000003</v>
      </c>
      <c r="AH23" s="43">
        <v>33.470999999999997</v>
      </c>
    </row>
    <row r="24" spans="1:34" ht="14.5" x14ac:dyDescent="0.35">
      <c r="A24" s="41">
        <v>46753</v>
      </c>
      <c r="B24" s="33">
        <v>31</v>
      </c>
      <c r="C24" s="8">
        <v>31</v>
      </c>
      <c r="D24" s="44">
        <v>31</v>
      </c>
      <c r="E24" s="16">
        <v>18.756</v>
      </c>
      <c r="F24" s="16">
        <v>32.616</v>
      </c>
      <c r="G24" s="16">
        <v>22.234000000000002</v>
      </c>
      <c r="H24" s="16">
        <v>36.670999999999999</v>
      </c>
      <c r="I24" s="16">
        <v>44.613999999999997</v>
      </c>
      <c r="J24" s="16">
        <v>39.235999999999997</v>
      </c>
      <c r="K24" s="16">
        <v>30.917000000000002</v>
      </c>
      <c r="L24" s="16">
        <v>33.915999999999997</v>
      </c>
      <c r="M24" s="16">
        <v>23.364000000000001</v>
      </c>
      <c r="N24" s="16">
        <v>19.251000000000001</v>
      </c>
      <c r="O24" s="16">
        <v>21.853000000000002</v>
      </c>
      <c r="P24" s="16">
        <v>21.988</v>
      </c>
      <c r="Q24" s="16">
        <v>28.495999999999999</v>
      </c>
      <c r="R24" s="16">
        <v>35.295999999999999</v>
      </c>
      <c r="S24" s="16">
        <v>31.300999999999998</v>
      </c>
      <c r="T24" s="16">
        <v>20.277000000000001</v>
      </c>
      <c r="U24" s="16">
        <v>30.085000000000001</v>
      </c>
      <c r="V24" s="16">
        <v>32.771000000000001</v>
      </c>
      <c r="W24" s="16">
        <v>24.431000000000001</v>
      </c>
      <c r="X24" s="16">
        <v>41.27</v>
      </c>
      <c r="Y24" s="16">
        <v>24.158000000000001</v>
      </c>
      <c r="Z24" s="16">
        <v>19.706</v>
      </c>
      <c r="AA24" s="16">
        <v>41.509</v>
      </c>
      <c r="AB24" s="16">
        <v>26.423999999999999</v>
      </c>
      <c r="AC24" s="16">
        <v>32.572000000000003</v>
      </c>
      <c r="AD24" s="16">
        <v>50.652999999999999</v>
      </c>
      <c r="AE24" s="16">
        <v>29.616</v>
      </c>
      <c r="AF24" s="16">
        <v>28.047000000000001</v>
      </c>
      <c r="AG24" s="16">
        <v>27.794</v>
      </c>
      <c r="AH24" s="43">
        <v>28.841000000000001</v>
      </c>
    </row>
    <row r="25" spans="1:34" ht="14.5" x14ac:dyDescent="0.35">
      <c r="A25" s="41">
        <v>46784</v>
      </c>
      <c r="B25" s="33">
        <v>29</v>
      </c>
      <c r="C25" s="8">
        <v>29</v>
      </c>
      <c r="D25" s="44">
        <v>29</v>
      </c>
      <c r="E25" s="16">
        <v>18.417000000000002</v>
      </c>
      <c r="F25" s="16">
        <v>28.663</v>
      </c>
      <c r="G25" s="16">
        <v>31.989000000000001</v>
      </c>
      <c r="H25" s="16">
        <v>41.374000000000002</v>
      </c>
      <c r="I25" s="16">
        <v>37.253999999999998</v>
      </c>
      <c r="J25" s="16">
        <v>34.020000000000003</v>
      </c>
      <c r="K25" s="16">
        <v>29.349</v>
      </c>
      <c r="L25" s="16">
        <v>34.249000000000002</v>
      </c>
      <c r="M25" s="16">
        <v>21.472999999999999</v>
      </c>
      <c r="N25" s="16">
        <v>17.64</v>
      </c>
      <c r="O25" s="16">
        <v>28.449000000000002</v>
      </c>
      <c r="P25" s="16">
        <v>21.201000000000001</v>
      </c>
      <c r="Q25" s="16">
        <v>26.152000000000001</v>
      </c>
      <c r="R25" s="16">
        <v>30.68</v>
      </c>
      <c r="S25" s="16">
        <v>29.911999999999999</v>
      </c>
      <c r="T25" s="16">
        <v>18.033999999999999</v>
      </c>
      <c r="U25" s="16">
        <v>29.527999999999999</v>
      </c>
      <c r="V25" s="16">
        <v>28.603999999999999</v>
      </c>
      <c r="W25" s="16">
        <v>23.966000000000001</v>
      </c>
      <c r="X25" s="16">
        <v>38.279000000000003</v>
      </c>
      <c r="Y25" s="16">
        <v>22.175000000000001</v>
      </c>
      <c r="Z25" s="16">
        <v>25.492999999999999</v>
      </c>
      <c r="AA25" s="16">
        <v>45.220999999999997</v>
      </c>
      <c r="AB25" s="16">
        <v>32.968000000000004</v>
      </c>
      <c r="AC25" s="16">
        <v>45.884999999999998</v>
      </c>
      <c r="AD25" s="16">
        <v>45.706000000000003</v>
      </c>
      <c r="AE25" s="16">
        <v>29.693999999999999</v>
      </c>
      <c r="AF25" s="16">
        <v>25.803000000000001</v>
      </c>
      <c r="AG25" s="16">
        <v>29.218</v>
      </c>
      <c r="AH25" s="43">
        <v>26.120999999999999</v>
      </c>
    </row>
    <row r="26" spans="1:34" ht="14.5" x14ac:dyDescent="0.35">
      <c r="A26" s="41">
        <v>46813</v>
      </c>
      <c r="B26" s="33">
        <v>51</v>
      </c>
      <c r="C26" s="8">
        <v>51</v>
      </c>
      <c r="D26" s="44">
        <v>51</v>
      </c>
      <c r="E26" s="16">
        <v>42.058</v>
      </c>
      <c r="F26" s="16">
        <v>49.917999999999999</v>
      </c>
      <c r="G26" s="16">
        <v>59.722000000000001</v>
      </c>
      <c r="H26" s="16">
        <v>56.304000000000002</v>
      </c>
      <c r="I26" s="16">
        <v>61.597999999999999</v>
      </c>
      <c r="J26" s="16">
        <v>53.814999999999998</v>
      </c>
      <c r="K26" s="16">
        <v>45.889000000000003</v>
      </c>
      <c r="L26" s="16">
        <v>43.216999999999999</v>
      </c>
      <c r="M26" s="16">
        <v>34.750999999999998</v>
      </c>
      <c r="N26" s="16">
        <v>26.052</v>
      </c>
      <c r="O26" s="16">
        <v>36.222000000000001</v>
      </c>
      <c r="P26" s="16">
        <v>52.636000000000003</v>
      </c>
      <c r="Q26" s="16">
        <v>47.415999999999997</v>
      </c>
      <c r="R26" s="16">
        <v>38.706000000000003</v>
      </c>
      <c r="S26" s="16">
        <v>65.611999999999995</v>
      </c>
      <c r="T26" s="16">
        <v>25.834</v>
      </c>
      <c r="U26" s="16">
        <v>47.662999999999997</v>
      </c>
      <c r="V26" s="16">
        <v>38.124000000000002</v>
      </c>
      <c r="W26" s="16">
        <v>31.096</v>
      </c>
      <c r="X26" s="16">
        <v>67.814999999999998</v>
      </c>
      <c r="Y26" s="16">
        <v>36.442999999999998</v>
      </c>
      <c r="Z26" s="16">
        <v>37.652000000000001</v>
      </c>
      <c r="AA26" s="16">
        <v>75.831999999999994</v>
      </c>
      <c r="AB26" s="16">
        <v>50.85</v>
      </c>
      <c r="AC26" s="16">
        <v>131.63</v>
      </c>
      <c r="AD26" s="16">
        <v>51.79</v>
      </c>
      <c r="AE26" s="16">
        <v>43.453000000000003</v>
      </c>
      <c r="AF26" s="16">
        <v>43.194000000000003</v>
      </c>
      <c r="AG26" s="16">
        <v>35.372999999999998</v>
      </c>
      <c r="AH26" s="43">
        <v>48.109000000000002</v>
      </c>
    </row>
    <row r="27" spans="1:34" ht="14.5" x14ac:dyDescent="0.35">
      <c r="A27" s="41">
        <v>46844</v>
      </c>
      <c r="B27" s="33">
        <v>77</v>
      </c>
      <c r="C27" s="8">
        <v>77</v>
      </c>
      <c r="D27" s="44">
        <v>77</v>
      </c>
      <c r="E27" s="16">
        <v>60.966999999999999</v>
      </c>
      <c r="F27" s="16">
        <v>89.316000000000003</v>
      </c>
      <c r="G27" s="16">
        <v>58.981999999999999</v>
      </c>
      <c r="H27" s="16">
        <v>111.21299999999999</v>
      </c>
      <c r="I27" s="16">
        <v>93.299000000000007</v>
      </c>
      <c r="J27" s="16">
        <v>83.682000000000002</v>
      </c>
      <c r="K27" s="16">
        <v>63.564</v>
      </c>
      <c r="L27" s="16">
        <v>78.906000000000006</v>
      </c>
      <c r="M27" s="16">
        <v>46.06</v>
      </c>
      <c r="N27" s="16">
        <v>55.210999999999999</v>
      </c>
      <c r="O27" s="16">
        <v>59.674999999999997</v>
      </c>
      <c r="P27" s="16">
        <v>104.5</v>
      </c>
      <c r="Q27" s="16">
        <v>71.471000000000004</v>
      </c>
      <c r="R27" s="16">
        <v>98.963999999999999</v>
      </c>
      <c r="S27" s="16">
        <v>67.661000000000001</v>
      </c>
      <c r="T27" s="16">
        <v>30.274000000000001</v>
      </c>
      <c r="U27" s="16">
        <v>78.661000000000001</v>
      </c>
      <c r="V27" s="16">
        <v>52.378999999999998</v>
      </c>
      <c r="W27" s="16">
        <v>55.024000000000001</v>
      </c>
      <c r="X27" s="16">
        <v>130.49600000000001</v>
      </c>
      <c r="Y27" s="16">
        <v>42.905999999999999</v>
      </c>
      <c r="Z27" s="16">
        <v>68.456999999999994</v>
      </c>
      <c r="AA27" s="16">
        <v>80.703999999999994</v>
      </c>
      <c r="AB27" s="16">
        <v>79.646000000000001</v>
      </c>
      <c r="AC27" s="16">
        <v>245.56</v>
      </c>
      <c r="AD27" s="16">
        <v>87.33</v>
      </c>
      <c r="AE27" s="16">
        <v>96.281000000000006</v>
      </c>
      <c r="AF27" s="16">
        <v>60.616</v>
      </c>
      <c r="AG27" s="16">
        <v>58.360999999999997</v>
      </c>
      <c r="AH27" s="43">
        <v>66.805999999999997</v>
      </c>
    </row>
    <row r="28" spans="1:34" ht="14.5" x14ac:dyDescent="0.35">
      <c r="A28" s="41">
        <v>46874</v>
      </c>
      <c r="B28" s="33">
        <v>166</v>
      </c>
      <c r="C28" s="8">
        <v>166</v>
      </c>
      <c r="D28" s="44">
        <v>166</v>
      </c>
      <c r="E28" s="16">
        <v>198.26599999999999</v>
      </c>
      <c r="F28" s="16">
        <v>193.214</v>
      </c>
      <c r="G28" s="16">
        <v>59.024000000000001</v>
      </c>
      <c r="H28" s="16">
        <v>153.68799999999999</v>
      </c>
      <c r="I28" s="16">
        <v>347.27499999999998</v>
      </c>
      <c r="J28" s="16">
        <v>167.71899999999999</v>
      </c>
      <c r="K28" s="16">
        <v>174.92599999999999</v>
      </c>
      <c r="L28" s="16">
        <v>171.58500000000001</v>
      </c>
      <c r="M28" s="16">
        <v>105.193</v>
      </c>
      <c r="N28" s="16">
        <v>53.188000000000002</v>
      </c>
      <c r="O28" s="16">
        <v>71.162999999999997</v>
      </c>
      <c r="P28" s="16">
        <v>99.474999999999994</v>
      </c>
      <c r="Q28" s="16">
        <v>144.12100000000001</v>
      </c>
      <c r="R28" s="16">
        <v>243.00700000000001</v>
      </c>
      <c r="S28" s="16">
        <v>170.38800000000001</v>
      </c>
      <c r="T28" s="16">
        <v>103.81100000000001</v>
      </c>
      <c r="U28" s="16">
        <v>147.821</v>
      </c>
      <c r="V28" s="16">
        <v>29.126000000000001</v>
      </c>
      <c r="W28" s="16">
        <v>141.63800000000001</v>
      </c>
      <c r="X28" s="16">
        <v>178.14699999999999</v>
      </c>
      <c r="Y28" s="16">
        <v>69.491</v>
      </c>
      <c r="Z28" s="16">
        <v>189.38300000000001</v>
      </c>
      <c r="AA28" s="16">
        <v>188.41200000000001</v>
      </c>
      <c r="AB28" s="16">
        <v>123.63500000000001</v>
      </c>
      <c r="AC28" s="16">
        <v>375.81900000000002</v>
      </c>
      <c r="AD28" s="16">
        <v>287.536</v>
      </c>
      <c r="AE28" s="16">
        <v>82.063000000000002</v>
      </c>
      <c r="AF28" s="16">
        <v>122.187</v>
      </c>
      <c r="AG28" s="16">
        <v>83.441999999999993</v>
      </c>
      <c r="AH28" s="43">
        <v>150.917</v>
      </c>
    </row>
    <row r="29" spans="1:34" ht="14.5" x14ac:dyDescent="0.35">
      <c r="A29" s="41">
        <v>46905</v>
      </c>
      <c r="B29" s="33">
        <v>301</v>
      </c>
      <c r="C29" s="8">
        <v>301</v>
      </c>
      <c r="D29" s="44">
        <v>301</v>
      </c>
      <c r="E29" s="16">
        <v>345.28899999999999</v>
      </c>
      <c r="F29" s="16">
        <v>151.23699999999999</v>
      </c>
      <c r="G29" s="16">
        <v>416.36900000000003</v>
      </c>
      <c r="H29" s="16">
        <v>584.04399999999998</v>
      </c>
      <c r="I29" s="16">
        <v>716.28700000000003</v>
      </c>
      <c r="J29" s="16">
        <v>312.47199999999998</v>
      </c>
      <c r="K29" s="16">
        <v>531.79700000000003</v>
      </c>
      <c r="L29" s="16">
        <v>217.93</v>
      </c>
      <c r="M29" s="16">
        <v>114.59699999999999</v>
      </c>
      <c r="N29" s="16">
        <v>189.13800000000001</v>
      </c>
      <c r="O29" s="16">
        <v>210.10400000000001</v>
      </c>
      <c r="P29" s="16">
        <v>245.32300000000001</v>
      </c>
      <c r="Q29" s="16">
        <v>368.56200000000001</v>
      </c>
      <c r="R29" s="16">
        <v>272.02600000000001</v>
      </c>
      <c r="S29" s="16">
        <v>64.718000000000004</v>
      </c>
      <c r="T29" s="16">
        <v>270.25599999999997</v>
      </c>
      <c r="U29" s="16">
        <v>455.16399999999999</v>
      </c>
      <c r="V29" s="16">
        <v>209.59100000000001</v>
      </c>
      <c r="W29" s="16">
        <v>398.77699999999999</v>
      </c>
      <c r="X29" s="16">
        <v>209.35900000000001</v>
      </c>
      <c r="Y29" s="16">
        <v>93.435000000000002</v>
      </c>
      <c r="Z29" s="16">
        <v>435.13400000000001</v>
      </c>
      <c r="AA29" s="16">
        <v>298.80900000000003</v>
      </c>
      <c r="AB29" s="16">
        <v>275.72300000000001</v>
      </c>
      <c r="AC29" s="16">
        <v>717.89800000000002</v>
      </c>
      <c r="AD29" s="16">
        <v>450.786</v>
      </c>
      <c r="AE29" s="16">
        <v>266.084</v>
      </c>
      <c r="AF29" s="16">
        <v>341.13600000000002</v>
      </c>
      <c r="AG29" s="16">
        <v>335.798</v>
      </c>
      <c r="AH29" s="43">
        <v>57.155999999999999</v>
      </c>
    </row>
    <row r="30" spans="1:34" ht="14.5" x14ac:dyDescent="0.35">
      <c r="A30" s="41">
        <v>46935</v>
      </c>
      <c r="B30" s="33">
        <v>146</v>
      </c>
      <c r="C30" s="8">
        <v>146</v>
      </c>
      <c r="D30" s="44">
        <v>146</v>
      </c>
      <c r="E30" s="16">
        <v>223.97200000000001</v>
      </c>
      <c r="F30" s="16">
        <v>30.542000000000002</v>
      </c>
      <c r="G30" s="16">
        <v>409.35500000000002</v>
      </c>
      <c r="H30" s="16">
        <v>284.15300000000002</v>
      </c>
      <c r="I30" s="16">
        <v>302.16899999999998</v>
      </c>
      <c r="J30" s="16">
        <v>352.50599999999997</v>
      </c>
      <c r="K30" s="16">
        <v>322.137</v>
      </c>
      <c r="L30" s="16">
        <v>66.712999999999994</v>
      </c>
      <c r="M30" s="16">
        <v>29.577000000000002</v>
      </c>
      <c r="N30" s="16">
        <v>74.918000000000006</v>
      </c>
      <c r="O30" s="16">
        <v>74.319999999999993</v>
      </c>
      <c r="P30" s="16">
        <v>167.67699999999999</v>
      </c>
      <c r="Q30" s="16">
        <v>242.82499999999999</v>
      </c>
      <c r="R30" s="16">
        <v>75.631</v>
      </c>
      <c r="S30" s="16">
        <v>13.182</v>
      </c>
      <c r="T30" s="16">
        <v>191.51300000000001</v>
      </c>
      <c r="U30" s="16">
        <v>333.81299999999999</v>
      </c>
      <c r="V30" s="16">
        <v>170.23699999999999</v>
      </c>
      <c r="W30" s="16">
        <v>600.029</v>
      </c>
      <c r="X30" s="16">
        <v>74.239999999999995</v>
      </c>
      <c r="Y30" s="16">
        <v>34.813000000000002</v>
      </c>
      <c r="Z30" s="16">
        <v>279.24599999999998</v>
      </c>
      <c r="AA30" s="16">
        <v>134.24299999999999</v>
      </c>
      <c r="AB30" s="16">
        <v>90.805000000000007</v>
      </c>
      <c r="AC30" s="16">
        <v>345.42200000000003</v>
      </c>
      <c r="AD30" s="16">
        <v>189.548</v>
      </c>
      <c r="AE30" s="16">
        <v>211.89099999999999</v>
      </c>
      <c r="AF30" s="16">
        <v>168.56899999999999</v>
      </c>
      <c r="AG30" s="16">
        <v>156.773</v>
      </c>
      <c r="AH30" s="43">
        <v>29.327999999999999</v>
      </c>
    </row>
    <row r="31" spans="1:34" ht="14.5" x14ac:dyDescent="0.35">
      <c r="A31" s="41">
        <v>46966</v>
      </c>
      <c r="B31" s="33">
        <v>59</v>
      </c>
      <c r="C31" s="8">
        <v>59</v>
      </c>
      <c r="D31" s="44">
        <v>59</v>
      </c>
      <c r="E31" s="16">
        <v>170.71700000000001</v>
      </c>
      <c r="F31" s="16">
        <v>27.576000000000001</v>
      </c>
      <c r="G31" s="16">
        <v>143.846</v>
      </c>
      <c r="H31" s="16">
        <v>91.081000000000003</v>
      </c>
      <c r="I31" s="16">
        <v>149.03700000000001</v>
      </c>
      <c r="J31" s="16">
        <v>114.83</v>
      </c>
      <c r="K31" s="16">
        <v>112.20099999999999</v>
      </c>
      <c r="L31" s="16">
        <v>38.542000000000002</v>
      </c>
      <c r="M31" s="16">
        <v>20.766999999999999</v>
      </c>
      <c r="N31" s="16">
        <v>33.491</v>
      </c>
      <c r="O31" s="16">
        <v>34.680999999999997</v>
      </c>
      <c r="P31" s="16">
        <v>67.061000000000007</v>
      </c>
      <c r="Q31" s="16">
        <v>81.801000000000002</v>
      </c>
      <c r="R31" s="16">
        <v>45.607999999999997</v>
      </c>
      <c r="S31" s="16">
        <v>28.291</v>
      </c>
      <c r="T31" s="16">
        <v>61.369</v>
      </c>
      <c r="U31" s="16">
        <v>103.958</v>
      </c>
      <c r="V31" s="16">
        <v>58.872</v>
      </c>
      <c r="W31" s="16">
        <v>176.221</v>
      </c>
      <c r="X31" s="16">
        <v>39.213000000000001</v>
      </c>
      <c r="Y31" s="16">
        <v>23.033000000000001</v>
      </c>
      <c r="Z31" s="16">
        <v>97.230999999999995</v>
      </c>
      <c r="AA31" s="16">
        <v>52.984999999999999</v>
      </c>
      <c r="AB31" s="16">
        <v>43.762999999999998</v>
      </c>
      <c r="AC31" s="16">
        <v>113.63</v>
      </c>
      <c r="AD31" s="16">
        <v>70.834999999999994</v>
      </c>
      <c r="AE31" s="16">
        <v>78.606999999999999</v>
      </c>
      <c r="AF31" s="16">
        <v>59.914000000000001</v>
      </c>
      <c r="AG31" s="16">
        <v>70.727000000000004</v>
      </c>
      <c r="AH31" s="43">
        <v>20.556000000000001</v>
      </c>
    </row>
    <row r="32" spans="1:34" ht="14.5" x14ac:dyDescent="0.35">
      <c r="A32" s="41">
        <v>46997</v>
      </c>
      <c r="B32" s="33">
        <v>39</v>
      </c>
      <c r="C32" s="8">
        <v>39</v>
      </c>
      <c r="D32" s="44">
        <v>39</v>
      </c>
      <c r="E32" s="16">
        <v>67.349999999999994</v>
      </c>
      <c r="F32" s="16">
        <v>26.05</v>
      </c>
      <c r="G32" s="16">
        <v>62.100999999999999</v>
      </c>
      <c r="H32" s="16">
        <v>54.908000000000001</v>
      </c>
      <c r="I32" s="16">
        <v>96.341999999999999</v>
      </c>
      <c r="J32" s="16">
        <v>56.396999999999998</v>
      </c>
      <c r="K32" s="16">
        <v>77.962000000000003</v>
      </c>
      <c r="L32" s="16">
        <v>42.79</v>
      </c>
      <c r="M32" s="16">
        <v>19.763999999999999</v>
      </c>
      <c r="N32" s="16">
        <v>34.491999999999997</v>
      </c>
      <c r="O32" s="16">
        <v>34.506</v>
      </c>
      <c r="P32" s="16">
        <v>53.845999999999997</v>
      </c>
      <c r="Q32" s="16">
        <v>46.561</v>
      </c>
      <c r="R32" s="16">
        <v>37.585000000000001</v>
      </c>
      <c r="S32" s="16">
        <v>26.712</v>
      </c>
      <c r="T32" s="16">
        <v>45.868000000000002</v>
      </c>
      <c r="U32" s="16">
        <v>51.725999999999999</v>
      </c>
      <c r="V32" s="16">
        <v>38.396999999999998</v>
      </c>
      <c r="W32" s="16">
        <v>77.813000000000002</v>
      </c>
      <c r="X32" s="16">
        <v>30.777000000000001</v>
      </c>
      <c r="Y32" s="16">
        <v>30.073</v>
      </c>
      <c r="Z32" s="16">
        <v>67.909000000000006</v>
      </c>
      <c r="AA32" s="16">
        <v>40.859000000000002</v>
      </c>
      <c r="AB32" s="16">
        <v>38.832000000000001</v>
      </c>
      <c r="AC32" s="16">
        <v>80.91</v>
      </c>
      <c r="AD32" s="16">
        <v>45.301000000000002</v>
      </c>
      <c r="AE32" s="16">
        <v>54.518000000000001</v>
      </c>
      <c r="AF32" s="16">
        <v>39.231999999999999</v>
      </c>
      <c r="AG32" s="16">
        <v>56.866</v>
      </c>
      <c r="AH32" s="43">
        <v>24.276</v>
      </c>
    </row>
    <row r="33" spans="1:34" ht="14.5" x14ac:dyDescent="0.35">
      <c r="A33" s="41">
        <v>47027</v>
      </c>
      <c r="B33" s="34">
        <v>50</v>
      </c>
      <c r="C33" s="12">
        <v>40</v>
      </c>
      <c r="D33" s="44">
        <v>45</v>
      </c>
      <c r="E33" s="16">
        <v>51.902000000000001</v>
      </c>
      <c r="F33" s="16">
        <v>37.404000000000003</v>
      </c>
      <c r="G33" s="16">
        <v>53.933</v>
      </c>
      <c r="H33" s="16">
        <v>52.073</v>
      </c>
      <c r="I33" s="16">
        <v>80.349000000000004</v>
      </c>
      <c r="J33" s="16">
        <v>54.441000000000003</v>
      </c>
      <c r="K33" s="16">
        <v>51.237000000000002</v>
      </c>
      <c r="L33" s="16">
        <v>39.959000000000003</v>
      </c>
      <c r="M33" s="16">
        <v>22.437999999999999</v>
      </c>
      <c r="N33" s="16">
        <v>35.167999999999999</v>
      </c>
      <c r="O33" s="16">
        <v>28.108000000000001</v>
      </c>
      <c r="P33" s="16">
        <v>48.902000000000001</v>
      </c>
      <c r="Q33" s="16">
        <v>46.325000000000003</v>
      </c>
      <c r="R33" s="16">
        <v>53.378</v>
      </c>
      <c r="S33" s="16">
        <v>43.545999999999999</v>
      </c>
      <c r="T33" s="16">
        <v>39.552</v>
      </c>
      <c r="U33" s="16">
        <v>52.066000000000003</v>
      </c>
      <c r="V33" s="16">
        <v>33.015000000000001</v>
      </c>
      <c r="W33" s="16">
        <v>66.856999999999999</v>
      </c>
      <c r="X33" s="16">
        <v>32.191000000000003</v>
      </c>
      <c r="Y33" s="16">
        <v>33.86</v>
      </c>
      <c r="Z33" s="16">
        <v>112.798</v>
      </c>
      <c r="AA33" s="16">
        <v>48.145000000000003</v>
      </c>
      <c r="AB33" s="16">
        <v>71.95</v>
      </c>
      <c r="AC33" s="16">
        <v>83.272000000000006</v>
      </c>
      <c r="AD33" s="16">
        <v>46.198</v>
      </c>
      <c r="AE33" s="16">
        <v>48.139000000000003</v>
      </c>
      <c r="AF33" s="16">
        <v>37.213000000000001</v>
      </c>
      <c r="AG33" s="16">
        <v>39.411000000000001</v>
      </c>
      <c r="AH33" s="43">
        <v>23.082999999999998</v>
      </c>
    </row>
    <row r="34" spans="1:34" ht="14.5" x14ac:dyDescent="0.35">
      <c r="A34" s="41">
        <v>47058</v>
      </c>
      <c r="B34" s="33">
        <v>45</v>
      </c>
      <c r="C34" s="8">
        <v>39</v>
      </c>
      <c r="D34" s="44">
        <v>42</v>
      </c>
      <c r="E34" s="16">
        <v>43.713000000000001</v>
      </c>
      <c r="F34" s="16">
        <v>34.021000000000001</v>
      </c>
      <c r="G34" s="16">
        <v>47.997</v>
      </c>
      <c r="H34" s="16">
        <v>50.228999999999999</v>
      </c>
      <c r="I34" s="16">
        <v>56.423000000000002</v>
      </c>
      <c r="J34" s="16">
        <v>44.128999999999998</v>
      </c>
      <c r="K34" s="16">
        <v>45.170999999999999</v>
      </c>
      <c r="L34" s="16">
        <v>35.540999999999997</v>
      </c>
      <c r="M34" s="16">
        <v>31.498000000000001</v>
      </c>
      <c r="N34" s="16">
        <v>30.311</v>
      </c>
      <c r="O34" s="16">
        <v>29.318999999999999</v>
      </c>
      <c r="P34" s="16">
        <v>48.158999999999999</v>
      </c>
      <c r="Q34" s="16">
        <v>41.411999999999999</v>
      </c>
      <c r="R34" s="16">
        <v>40.411999999999999</v>
      </c>
      <c r="S34" s="16">
        <v>35.972000000000001</v>
      </c>
      <c r="T34" s="16">
        <v>41.133000000000003</v>
      </c>
      <c r="U34" s="16">
        <v>47.738999999999997</v>
      </c>
      <c r="V34" s="16">
        <v>33.969000000000001</v>
      </c>
      <c r="W34" s="16">
        <v>55.804000000000002</v>
      </c>
      <c r="X34" s="16">
        <v>38.508000000000003</v>
      </c>
      <c r="Y34" s="16">
        <v>28.937999999999999</v>
      </c>
      <c r="Z34" s="16">
        <v>59.27</v>
      </c>
      <c r="AA34" s="16">
        <v>38.396999999999998</v>
      </c>
      <c r="AB34" s="16">
        <v>72.045000000000002</v>
      </c>
      <c r="AC34" s="16">
        <v>66.768000000000001</v>
      </c>
      <c r="AD34" s="16">
        <v>44.415999999999997</v>
      </c>
      <c r="AE34" s="16">
        <v>40.177999999999997</v>
      </c>
      <c r="AF34" s="16">
        <v>40.323999999999998</v>
      </c>
      <c r="AG34" s="16">
        <v>39.975000000000001</v>
      </c>
      <c r="AH34" s="43">
        <v>25.067</v>
      </c>
    </row>
    <row r="35" spans="1:34" ht="14.5" x14ac:dyDescent="0.35">
      <c r="A35" s="41">
        <v>47088</v>
      </c>
      <c r="B35" s="33">
        <v>32</v>
      </c>
      <c r="C35" s="8">
        <v>32</v>
      </c>
      <c r="D35" s="44">
        <v>32</v>
      </c>
      <c r="E35" s="16">
        <v>37.021000000000001</v>
      </c>
      <c r="F35" s="16">
        <v>27.382999999999999</v>
      </c>
      <c r="G35" s="16">
        <v>46.197000000000003</v>
      </c>
      <c r="H35" s="16">
        <v>45.984999999999999</v>
      </c>
      <c r="I35" s="16">
        <v>46.304000000000002</v>
      </c>
      <c r="J35" s="16">
        <v>39.131</v>
      </c>
      <c r="K35" s="16">
        <v>39.31</v>
      </c>
      <c r="L35" s="16">
        <v>29.327999999999999</v>
      </c>
      <c r="M35" s="16">
        <v>23.777999999999999</v>
      </c>
      <c r="N35" s="16">
        <v>25.021000000000001</v>
      </c>
      <c r="O35" s="16">
        <v>25.004000000000001</v>
      </c>
      <c r="P35" s="16">
        <v>34.548000000000002</v>
      </c>
      <c r="Q35" s="16">
        <v>36.353000000000002</v>
      </c>
      <c r="R35" s="16">
        <v>35.381999999999998</v>
      </c>
      <c r="S35" s="16">
        <v>26.460999999999999</v>
      </c>
      <c r="T35" s="16">
        <v>32.552</v>
      </c>
      <c r="U35" s="16">
        <v>38.619999999999997</v>
      </c>
      <c r="V35" s="16">
        <v>28.486999999999998</v>
      </c>
      <c r="W35" s="16">
        <v>45.841000000000001</v>
      </c>
      <c r="X35" s="16">
        <v>32.314999999999998</v>
      </c>
      <c r="Y35" s="16">
        <v>23.013999999999999</v>
      </c>
      <c r="Z35" s="16">
        <v>45.526000000000003</v>
      </c>
      <c r="AA35" s="16">
        <v>31.939</v>
      </c>
      <c r="AB35" s="16">
        <v>40.424999999999997</v>
      </c>
      <c r="AC35" s="16">
        <v>59</v>
      </c>
      <c r="AD35" s="16">
        <v>37.302999999999997</v>
      </c>
      <c r="AE35" s="16">
        <v>33.703000000000003</v>
      </c>
      <c r="AF35" s="16">
        <v>33.735999999999997</v>
      </c>
      <c r="AG35" s="16">
        <v>34.228999999999999</v>
      </c>
      <c r="AH35" s="43">
        <v>21.448</v>
      </c>
    </row>
    <row r="36" spans="1:34" ht="14.5" x14ac:dyDescent="0.35">
      <c r="A36" s="41">
        <v>47119</v>
      </c>
      <c r="B36" s="33">
        <v>31</v>
      </c>
      <c r="C36" s="8">
        <v>31</v>
      </c>
      <c r="D36" s="45">
        <v>31</v>
      </c>
      <c r="E36" s="16">
        <v>32.314</v>
      </c>
      <c r="F36" s="16">
        <v>23.856000000000002</v>
      </c>
      <c r="G36" s="16">
        <v>36.543999999999997</v>
      </c>
      <c r="H36" s="16">
        <v>45.402999999999999</v>
      </c>
      <c r="I36" s="16">
        <v>40.021000000000001</v>
      </c>
      <c r="J36" s="16">
        <v>33.334000000000003</v>
      </c>
      <c r="K36" s="16">
        <v>34.537999999999997</v>
      </c>
      <c r="L36" s="16">
        <v>25.577999999999999</v>
      </c>
      <c r="M36" s="16">
        <v>19.789000000000001</v>
      </c>
      <c r="N36" s="16">
        <v>21.853000000000002</v>
      </c>
      <c r="O36" s="16">
        <v>22.300999999999998</v>
      </c>
      <c r="P36" s="16">
        <v>29.146999999999998</v>
      </c>
      <c r="Q36" s="16">
        <v>35.383000000000003</v>
      </c>
      <c r="R36" s="16">
        <v>32.234000000000002</v>
      </c>
      <c r="S36" s="16">
        <v>22.045999999999999</v>
      </c>
      <c r="T36" s="16">
        <v>29.823</v>
      </c>
      <c r="U36" s="16">
        <v>33.253999999999998</v>
      </c>
      <c r="V36" s="16">
        <v>25.86</v>
      </c>
      <c r="W36" s="16">
        <v>41.192</v>
      </c>
      <c r="X36" s="16">
        <v>27.388000000000002</v>
      </c>
      <c r="Y36" s="16">
        <v>20.356000000000002</v>
      </c>
      <c r="Z36" s="16">
        <v>41.348999999999997</v>
      </c>
      <c r="AA36" s="16">
        <v>28.335999999999999</v>
      </c>
      <c r="AB36" s="16">
        <v>32.645000000000003</v>
      </c>
      <c r="AC36" s="16">
        <v>50.527999999999999</v>
      </c>
      <c r="AD36" s="16">
        <v>32.686999999999998</v>
      </c>
      <c r="AE36" s="16">
        <v>29.233000000000001</v>
      </c>
      <c r="AF36" s="16">
        <v>28.931999999999999</v>
      </c>
      <c r="AG36" s="46">
        <v>29.606999999999999</v>
      </c>
      <c r="AH36" s="46">
        <v>19.309999999999999</v>
      </c>
    </row>
    <row r="37" spans="1:34" ht="14.5" x14ac:dyDescent="0.35">
      <c r="A37" s="41">
        <v>47150</v>
      </c>
      <c r="B37" s="15">
        <v>29</v>
      </c>
      <c r="C37" s="13">
        <v>29</v>
      </c>
      <c r="D37" s="45">
        <v>29</v>
      </c>
      <c r="E37" s="16">
        <v>27.402999999999999</v>
      </c>
      <c r="F37" s="16">
        <v>32.484999999999999</v>
      </c>
      <c r="G37" s="16">
        <v>40.076000000000001</v>
      </c>
      <c r="H37" s="16">
        <v>36.607999999999997</v>
      </c>
      <c r="I37" s="16">
        <v>33.451000000000001</v>
      </c>
      <c r="J37" s="16">
        <v>30.312000000000001</v>
      </c>
      <c r="K37" s="16">
        <v>33.706000000000003</v>
      </c>
      <c r="L37" s="16">
        <v>22.367999999999999</v>
      </c>
      <c r="M37" s="16">
        <v>17.431000000000001</v>
      </c>
      <c r="N37" s="16">
        <v>27.614999999999998</v>
      </c>
      <c r="O37" s="16">
        <v>20.666</v>
      </c>
      <c r="P37" s="16">
        <v>25.707000000000001</v>
      </c>
      <c r="Q37" s="16">
        <v>29.783999999999999</v>
      </c>
      <c r="R37" s="16">
        <v>29.83</v>
      </c>
      <c r="S37" s="16">
        <v>18.808</v>
      </c>
      <c r="T37" s="16">
        <v>27.954000000000001</v>
      </c>
      <c r="U37" s="16">
        <v>27.98</v>
      </c>
      <c r="V37" s="16">
        <v>24.187000000000001</v>
      </c>
      <c r="W37" s="16">
        <v>36.735999999999997</v>
      </c>
      <c r="X37" s="16">
        <v>23.963999999999999</v>
      </c>
      <c r="Y37" s="16">
        <v>25.349</v>
      </c>
      <c r="Z37" s="16">
        <v>43.557000000000002</v>
      </c>
      <c r="AA37" s="16">
        <v>33.552</v>
      </c>
      <c r="AB37" s="16">
        <v>44.069000000000003</v>
      </c>
      <c r="AC37" s="16">
        <v>44.179000000000002</v>
      </c>
      <c r="AD37" s="16">
        <v>31.126000000000001</v>
      </c>
      <c r="AE37" s="16">
        <v>25.837</v>
      </c>
      <c r="AF37" s="16">
        <v>28.998999999999999</v>
      </c>
      <c r="AG37" s="46">
        <v>25.821999999999999</v>
      </c>
      <c r="AH37" s="46">
        <v>18.173999999999999</v>
      </c>
    </row>
    <row r="38" spans="1:34" ht="14.5" x14ac:dyDescent="0.35">
      <c r="A38" s="41">
        <v>47178</v>
      </c>
      <c r="B38" s="15">
        <v>51</v>
      </c>
      <c r="C38" s="13">
        <v>51</v>
      </c>
      <c r="D38" s="45">
        <v>51</v>
      </c>
      <c r="E38" s="16">
        <v>49.779000000000003</v>
      </c>
      <c r="F38" s="16">
        <v>61.262</v>
      </c>
      <c r="G38" s="16">
        <v>56.42</v>
      </c>
      <c r="H38" s="16">
        <v>61.378999999999998</v>
      </c>
      <c r="I38" s="16">
        <v>54.621000000000002</v>
      </c>
      <c r="J38" s="16">
        <v>48.189</v>
      </c>
      <c r="K38" s="16">
        <v>43.884</v>
      </c>
      <c r="L38" s="16">
        <v>36.152999999999999</v>
      </c>
      <c r="M38" s="16">
        <v>26.562000000000001</v>
      </c>
      <c r="N38" s="16">
        <v>36.255000000000003</v>
      </c>
      <c r="O38" s="16">
        <v>52.896999999999998</v>
      </c>
      <c r="P38" s="16">
        <v>47.264000000000003</v>
      </c>
      <c r="Q38" s="16">
        <v>38.957000000000001</v>
      </c>
      <c r="R38" s="16">
        <v>66.837999999999994</v>
      </c>
      <c r="S38" s="16">
        <v>27.321000000000002</v>
      </c>
      <c r="T38" s="16">
        <v>47.442</v>
      </c>
      <c r="U38" s="16">
        <v>38.616</v>
      </c>
      <c r="V38" s="16">
        <v>32.293999999999997</v>
      </c>
      <c r="W38" s="16">
        <v>67.738</v>
      </c>
      <c r="X38" s="16">
        <v>38.624000000000002</v>
      </c>
      <c r="Y38" s="16">
        <v>38.323</v>
      </c>
      <c r="Z38" s="16">
        <v>75.622</v>
      </c>
      <c r="AA38" s="16">
        <v>52.59</v>
      </c>
      <c r="AB38" s="16">
        <v>126.364</v>
      </c>
      <c r="AC38" s="16">
        <v>51.988999999999997</v>
      </c>
      <c r="AD38" s="16">
        <v>46.064</v>
      </c>
      <c r="AE38" s="16">
        <v>44.197000000000003</v>
      </c>
      <c r="AF38" s="16">
        <v>36.243000000000002</v>
      </c>
      <c r="AG38" s="46">
        <v>48.850999999999999</v>
      </c>
      <c r="AH38" s="46">
        <v>42.558999999999997</v>
      </c>
    </row>
    <row r="39" spans="1:34" ht="14.5" x14ac:dyDescent="0.35">
      <c r="A39" s="41">
        <v>47209</v>
      </c>
      <c r="B39" s="15">
        <v>77</v>
      </c>
      <c r="C39" s="13">
        <v>77</v>
      </c>
      <c r="D39" s="45">
        <v>77</v>
      </c>
      <c r="E39" s="16">
        <v>89.805999999999997</v>
      </c>
      <c r="F39" s="16">
        <v>61.317</v>
      </c>
      <c r="G39" s="16">
        <v>111.751</v>
      </c>
      <c r="H39" s="16">
        <v>90.771000000000001</v>
      </c>
      <c r="I39" s="16">
        <v>85.361999999999995</v>
      </c>
      <c r="J39" s="16">
        <v>66.790999999999997</v>
      </c>
      <c r="K39" s="16">
        <v>80.596999999999994</v>
      </c>
      <c r="L39" s="16">
        <v>46.914999999999999</v>
      </c>
      <c r="M39" s="16">
        <v>56.456000000000003</v>
      </c>
      <c r="N39" s="16">
        <v>60.41</v>
      </c>
      <c r="O39" s="16">
        <v>105.601</v>
      </c>
      <c r="P39" s="16">
        <v>71.221000000000004</v>
      </c>
      <c r="Q39" s="16">
        <v>100.059</v>
      </c>
      <c r="R39" s="16">
        <v>69.75</v>
      </c>
      <c r="S39" s="16">
        <v>32.338999999999999</v>
      </c>
      <c r="T39" s="16">
        <v>76.912999999999997</v>
      </c>
      <c r="U39" s="16">
        <v>53.878999999999998</v>
      </c>
      <c r="V39" s="16">
        <v>56.869</v>
      </c>
      <c r="W39" s="16">
        <v>130.99100000000001</v>
      </c>
      <c r="X39" s="16">
        <v>45.548000000000002</v>
      </c>
      <c r="Y39" s="16">
        <v>69.721999999999994</v>
      </c>
      <c r="Z39" s="16">
        <v>81.087999999999994</v>
      </c>
      <c r="AA39" s="16">
        <v>82.733000000000004</v>
      </c>
      <c r="AB39" s="16">
        <v>245.58199999999999</v>
      </c>
      <c r="AC39" s="16">
        <v>88.058000000000007</v>
      </c>
      <c r="AD39" s="16">
        <v>100.899</v>
      </c>
      <c r="AE39" s="16">
        <v>62.515000000000001</v>
      </c>
      <c r="AF39" s="16">
        <v>59.122999999999998</v>
      </c>
      <c r="AG39" s="46">
        <v>68.644000000000005</v>
      </c>
      <c r="AH39" s="46">
        <v>62.195</v>
      </c>
    </row>
    <row r="40" spans="1:34" ht="14.5" x14ac:dyDescent="0.35">
      <c r="A40" s="41">
        <v>47239</v>
      </c>
      <c r="B40" s="15">
        <v>166</v>
      </c>
      <c r="C40" s="13">
        <v>166</v>
      </c>
      <c r="D40" s="45">
        <v>166</v>
      </c>
      <c r="E40" s="16">
        <v>193.36600000000001</v>
      </c>
      <c r="F40" s="46">
        <v>62.177</v>
      </c>
      <c r="G40" s="46">
        <v>154.42699999999999</v>
      </c>
      <c r="H40" s="46">
        <v>340.57299999999998</v>
      </c>
      <c r="I40" s="46">
        <v>169.57900000000001</v>
      </c>
      <c r="J40" s="46">
        <v>179.37100000000001</v>
      </c>
      <c r="K40" s="46">
        <v>172.87299999999999</v>
      </c>
      <c r="L40" s="46">
        <v>103.89700000000001</v>
      </c>
      <c r="M40" s="46">
        <v>54.862000000000002</v>
      </c>
      <c r="N40" s="46">
        <v>72.006</v>
      </c>
      <c r="O40" s="46">
        <v>100.925</v>
      </c>
      <c r="P40" s="46">
        <v>137.18600000000001</v>
      </c>
      <c r="Q40" s="46">
        <v>243.86099999999999</v>
      </c>
      <c r="R40" s="46">
        <v>172.99600000000001</v>
      </c>
      <c r="S40" s="46">
        <v>107.35599999999999</v>
      </c>
      <c r="T40" s="46">
        <v>136.97900000000001</v>
      </c>
      <c r="U40" s="46">
        <v>30.218</v>
      </c>
      <c r="V40" s="46">
        <v>144.64599999999999</v>
      </c>
      <c r="W40" s="46">
        <v>178.15700000000001</v>
      </c>
      <c r="X40" s="46">
        <v>71.23</v>
      </c>
      <c r="Y40" s="46">
        <v>191.483</v>
      </c>
      <c r="Z40" s="46">
        <v>188.50200000000001</v>
      </c>
      <c r="AA40" s="46">
        <v>127.322</v>
      </c>
      <c r="AB40" s="46">
        <v>367.40800000000002</v>
      </c>
      <c r="AC40" s="46">
        <v>288.06799999999998</v>
      </c>
      <c r="AD40" s="46">
        <v>87.061999999999998</v>
      </c>
      <c r="AE40" s="46">
        <v>124.92700000000001</v>
      </c>
      <c r="AF40" s="46">
        <v>81.736000000000004</v>
      </c>
      <c r="AG40" s="46">
        <v>152.839</v>
      </c>
      <c r="AH40" s="46">
        <v>200.453</v>
      </c>
    </row>
    <row r="41" spans="1:34" ht="14.5" x14ac:dyDescent="0.35">
      <c r="A41" s="41">
        <v>47270</v>
      </c>
      <c r="B41" s="15">
        <v>301</v>
      </c>
      <c r="C41" s="13">
        <v>301</v>
      </c>
      <c r="D41" s="45">
        <v>301</v>
      </c>
      <c r="E41" s="16">
        <v>149.76400000000001</v>
      </c>
      <c r="F41" s="46">
        <v>418.60399999999998</v>
      </c>
      <c r="G41" s="46">
        <v>582.505</v>
      </c>
      <c r="H41" s="46">
        <v>712.34199999999998</v>
      </c>
      <c r="I41" s="46">
        <v>312.24700000000001</v>
      </c>
      <c r="J41" s="46">
        <v>533.78300000000002</v>
      </c>
      <c r="K41" s="46">
        <v>217.16499999999999</v>
      </c>
      <c r="L41" s="46">
        <v>119.143</v>
      </c>
      <c r="M41" s="46">
        <v>188.57499999999999</v>
      </c>
      <c r="N41" s="46">
        <v>208.971</v>
      </c>
      <c r="O41" s="46">
        <v>244.78399999999999</v>
      </c>
      <c r="P41" s="46">
        <v>362.34800000000001</v>
      </c>
      <c r="Q41" s="46">
        <v>270.95</v>
      </c>
      <c r="R41" s="46">
        <v>64.3</v>
      </c>
      <c r="S41" s="46">
        <v>271.79599999999999</v>
      </c>
      <c r="T41" s="46">
        <v>447.79599999999999</v>
      </c>
      <c r="U41" s="46">
        <v>209.05500000000001</v>
      </c>
      <c r="V41" s="46">
        <v>400.54500000000002</v>
      </c>
      <c r="W41" s="46">
        <v>207.79400000000001</v>
      </c>
      <c r="X41" s="46">
        <v>95.483000000000004</v>
      </c>
      <c r="Y41" s="46">
        <v>435.33</v>
      </c>
      <c r="Z41" s="46">
        <v>297.33600000000001</v>
      </c>
      <c r="AA41" s="46">
        <v>276.59399999999999</v>
      </c>
      <c r="AB41" s="46">
        <v>710.98099999999999</v>
      </c>
      <c r="AC41" s="46">
        <v>449.21499999999997</v>
      </c>
      <c r="AD41" s="46">
        <v>268.44400000000002</v>
      </c>
      <c r="AE41" s="46">
        <v>341.52699999999999</v>
      </c>
      <c r="AF41" s="46">
        <v>331.62099999999998</v>
      </c>
      <c r="AG41" s="46">
        <v>56.612000000000002</v>
      </c>
      <c r="AH41" s="46">
        <v>345.52100000000002</v>
      </c>
    </row>
    <row r="42" spans="1:34" ht="14.5" x14ac:dyDescent="0.35">
      <c r="A42" s="41">
        <v>47300</v>
      </c>
      <c r="B42" s="15">
        <v>146</v>
      </c>
      <c r="C42" s="13">
        <v>146</v>
      </c>
      <c r="D42" s="45">
        <v>146</v>
      </c>
      <c r="E42" s="16">
        <v>28.736000000000001</v>
      </c>
      <c r="F42" s="46">
        <v>408.86200000000002</v>
      </c>
      <c r="G42" s="46">
        <v>282.25400000000002</v>
      </c>
      <c r="H42" s="46">
        <v>311.74799999999999</v>
      </c>
      <c r="I42" s="46">
        <v>350.95600000000002</v>
      </c>
      <c r="J42" s="46">
        <v>321.50200000000001</v>
      </c>
      <c r="K42" s="46">
        <v>65.3</v>
      </c>
      <c r="L42" s="46">
        <v>31.3</v>
      </c>
      <c r="M42" s="46">
        <v>73.290999999999997</v>
      </c>
      <c r="N42" s="46">
        <v>72.445999999999998</v>
      </c>
      <c r="O42" s="46">
        <v>166.23400000000001</v>
      </c>
      <c r="P42" s="46">
        <v>254.017</v>
      </c>
      <c r="Q42" s="46">
        <v>73.977999999999994</v>
      </c>
      <c r="R42" s="46">
        <v>11.785</v>
      </c>
      <c r="S42" s="46">
        <v>190.596</v>
      </c>
      <c r="T42" s="46">
        <v>343.73</v>
      </c>
      <c r="U42" s="46">
        <v>168.43600000000001</v>
      </c>
      <c r="V42" s="46">
        <v>599.54</v>
      </c>
      <c r="W42" s="46">
        <v>72.313000000000002</v>
      </c>
      <c r="X42" s="46">
        <v>37.090000000000003</v>
      </c>
      <c r="Y42" s="46">
        <v>277.78100000000001</v>
      </c>
      <c r="Z42" s="46">
        <v>132.41900000000001</v>
      </c>
      <c r="AA42" s="46">
        <v>90.045000000000002</v>
      </c>
      <c r="AB42" s="46">
        <v>355.858</v>
      </c>
      <c r="AC42" s="46">
        <v>187.589</v>
      </c>
      <c r="AD42" s="46">
        <v>211.68199999999999</v>
      </c>
      <c r="AE42" s="46">
        <v>167.46199999999999</v>
      </c>
      <c r="AF42" s="46">
        <v>161.333</v>
      </c>
      <c r="AG42" s="46">
        <v>28.033000000000001</v>
      </c>
      <c r="AH42" s="46">
        <v>222.84800000000001</v>
      </c>
    </row>
    <row r="43" spans="1:34" ht="14.5" x14ac:dyDescent="0.35">
      <c r="A43" s="41">
        <v>47331</v>
      </c>
      <c r="B43" s="15">
        <v>59</v>
      </c>
      <c r="C43" s="13">
        <v>59</v>
      </c>
      <c r="D43" s="45">
        <v>59</v>
      </c>
      <c r="E43" s="16">
        <v>26.888999999999999</v>
      </c>
      <c r="F43" s="46">
        <v>143.71199999999999</v>
      </c>
      <c r="G43" s="46">
        <v>90.463999999999999</v>
      </c>
      <c r="H43" s="46">
        <v>151.244</v>
      </c>
      <c r="I43" s="46">
        <v>114.428</v>
      </c>
      <c r="J43" s="46">
        <v>112.241</v>
      </c>
      <c r="K43" s="46">
        <v>38.164000000000001</v>
      </c>
      <c r="L43" s="46">
        <v>21.372</v>
      </c>
      <c r="M43" s="46">
        <v>33.082000000000001</v>
      </c>
      <c r="N43" s="46">
        <v>34.021999999999998</v>
      </c>
      <c r="O43" s="46">
        <v>66.593000000000004</v>
      </c>
      <c r="P43" s="46">
        <v>83.481999999999999</v>
      </c>
      <c r="Q43" s="46">
        <v>45.121000000000002</v>
      </c>
      <c r="R43" s="46">
        <v>28.117999999999999</v>
      </c>
      <c r="S43" s="46">
        <v>61.262999999999998</v>
      </c>
      <c r="T43" s="46">
        <v>107.48099999999999</v>
      </c>
      <c r="U43" s="46">
        <v>58.421999999999997</v>
      </c>
      <c r="V43" s="46">
        <v>175.96</v>
      </c>
      <c r="W43" s="46">
        <v>38.536999999999999</v>
      </c>
      <c r="X43" s="46">
        <v>24.288</v>
      </c>
      <c r="Y43" s="46">
        <v>96.763000000000005</v>
      </c>
      <c r="Z43" s="46">
        <v>52.335000000000001</v>
      </c>
      <c r="AA43" s="46">
        <v>43.805999999999997</v>
      </c>
      <c r="AB43" s="46">
        <v>116.11</v>
      </c>
      <c r="AC43" s="46">
        <v>70.206000000000003</v>
      </c>
      <c r="AD43" s="46">
        <v>78.992999999999995</v>
      </c>
      <c r="AE43" s="46">
        <v>59.625999999999998</v>
      </c>
      <c r="AF43" s="46">
        <v>71.757999999999996</v>
      </c>
      <c r="AG43" s="46">
        <v>20.259</v>
      </c>
      <c r="AH43" s="46">
        <v>170.33500000000001</v>
      </c>
    </row>
    <row r="44" spans="1:34" ht="14.5" x14ac:dyDescent="0.35">
      <c r="A44" s="41">
        <v>47362</v>
      </c>
      <c r="B44" s="15">
        <v>39</v>
      </c>
      <c r="C44" s="13">
        <v>39</v>
      </c>
      <c r="D44" s="45">
        <v>39</v>
      </c>
      <c r="E44" s="16">
        <v>25.905999999999999</v>
      </c>
      <c r="F44" s="46">
        <v>62.371000000000002</v>
      </c>
      <c r="G44" s="46">
        <v>54.823</v>
      </c>
      <c r="H44" s="46">
        <v>95.903999999999996</v>
      </c>
      <c r="I44" s="46">
        <v>56.512</v>
      </c>
      <c r="J44" s="46">
        <v>78.384</v>
      </c>
      <c r="K44" s="46">
        <v>42.920999999999999</v>
      </c>
      <c r="L44" s="46">
        <v>20.387</v>
      </c>
      <c r="M44" s="46">
        <v>34.569000000000003</v>
      </c>
      <c r="N44" s="46">
        <v>34.401000000000003</v>
      </c>
      <c r="O44" s="46">
        <v>53.844999999999999</v>
      </c>
      <c r="P44" s="46">
        <v>47.122999999999998</v>
      </c>
      <c r="Q44" s="46">
        <v>37.585000000000001</v>
      </c>
      <c r="R44" s="46">
        <v>27.015000000000001</v>
      </c>
      <c r="S44" s="46">
        <v>46.203000000000003</v>
      </c>
      <c r="T44" s="46">
        <v>52.228999999999999</v>
      </c>
      <c r="U44" s="46">
        <v>38.457999999999998</v>
      </c>
      <c r="V44" s="46">
        <v>77.926000000000002</v>
      </c>
      <c r="W44" s="46">
        <v>30.648</v>
      </c>
      <c r="X44" s="46">
        <v>30.85</v>
      </c>
      <c r="Y44" s="46">
        <v>67.930000000000007</v>
      </c>
      <c r="Z44" s="46">
        <v>40.734000000000002</v>
      </c>
      <c r="AA44" s="46">
        <v>39.304000000000002</v>
      </c>
      <c r="AB44" s="46">
        <v>80.334000000000003</v>
      </c>
      <c r="AC44" s="46">
        <v>45.225000000000001</v>
      </c>
      <c r="AD44" s="46">
        <v>55.308</v>
      </c>
      <c r="AE44" s="46">
        <v>39.411000000000001</v>
      </c>
      <c r="AF44" s="46">
        <v>57.951999999999998</v>
      </c>
      <c r="AG44" s="46">
        <v>24.472000000000001</v>
      </c>
      <c r="AH44" s="46">
        <v>67.376999999999995</v>
      </c>
    </row>
    <row r="45" spans="1:34" ht="14.5" x14ac:dyDescent="0.35">
      <c r="A45" s="41">
        <v>47392</v>
      </c>
      <c r="B45" s="15">
        <v>50</v>
      </c>
      <c r="C45" s="13">
        <v>40</v>
      </c>
      <c r="D45" s="45">
        <v>45</v>
      </c>
      <c r="E45" s="16">
        <v>37.183999999999997</v>
      </c>
      <c r="F45" s="46">
        <v>54.098999999999997</v>
      </c>
      <c r="G45" s="46">
        <v>51.93</v>
      </c>
      <c r="H45" s="46">
        <v>82.183000000000007</v>
      </c>
      <c r="I45" s="46">
        <v>54.466000000000001</v>
      </c>
      <c r="J45" s="46">
        <v>51.515999999999998</v>
      </c>
      <c r="K45" s="46">
        <v>39.984999999999999</v>
      </c>
      <c r="L45" s="46">
        <v>22.835000000000001</v>
      </c>
      <c r="M45" s="46">
        <v>35.164999999999999</v>
      </c>
      <c r="N45" s="46">
        <v>27.908999999999999</v>
      </c>
      <c r="O45" s="46">
        <v>48.8</v>
      </c>
      <c r="P45" s="46">
        <v>46.381</v>
      </c>
      <c r="Q45" s="46">
        <v>53.287999999999997</v>
      </c>
      <c r="R45" s="46">
        <v>43.790999999999997</v>
      </c>
      <c r="S45" s="46">
        <v>39.759</v>
      </c>
      <c r="T45" s="46">
        <v>51.765000000000001</v>
      </c>
      <c r="U45" s="46">
        <v>32.987000000000002</v>
      </c>
      <c r="V45" s="46">
        <v>66.875</v>
      </c>
      <c r="W45" s="46">
        <v>31.984000000000002</v>
      </c>
      <c r="X45" s="46">
        <v>34.927</v>
      </c>
      <c r="Y45" s="46">
        <v>112.736</v>
      </c>
      <c r="Z45" s="46">
        <v>47.917999999999999</v>
      </c>
      <c r="AA45" s="46">
        <v>72.367999999999995</v>
      </c>
      <c r="AB45" s="46">
        <v>84.132000000000005</v>
      </c>
      <c r="AC45" s="46">
        <v>46.036999999999999</v>
      </c>
      <c r="AD45" s="46">
        <v>48.81</v>
      </c>
      <c r="AE45" s="46">
        <v>37.296999999999997</v>
      </c>
      <c r="AF45" s="46">
        <v>39.689</v>
      </c>
      <c r="AG45" s="46">
        <v>23.158999999999999</v>
      </c>
      <c r="AH45" s="46">
        <v>51.837000000000003</v>
      </c>
    </row>
    <row r="46" spans="1:34" ht="14.5" x14ac:dyDescent="0.35">
      <c r="A46" s="41">
        <v>47423</v>
      </c>
      <c r="B46" s="15">
        <v>45</v>
      </c>
      <c r="C46" s="13">
        <v>39</v>
      </c>
      <c r="D46" s="45">
        <v>42</v>
      </c>
      <c r="E46" s="16">
        <v>33.863999999999997</v>
      </c>
      <c r="F46" s="46">
        <v>48.164000000000001</v>
      </c>
      <c r="G46" s="46">
        <v>50.106999999999999</v>
      </c>
      <c r="H46" s="46">
        <v>56.841000000000001</v>
      </c>
      <c r="I46" s="46">
        <v>44.189</v>
      </c>
      <c r="J46" s="46">
        <v>45.420999999999999</v>
      </c>
      <c r="K46" s="46">
        <v>35.619999999999997</v>
      </c>
      <c r="L46" s="46">
        <v>31.960999999999999</v>
      </c>
      <c r="M46" s="46">
        <v>30.323</v>
      </c>
      <c r="N46" s="46">
        <v>29.224</v>
      </c>
      <c r="O46" s="46">
        <v>48.085000000000001</v>
      </c>
      <c r="P46" s="46">
        <v>41.527999999999999</v>
      </c>
      <c r="Q46" s="46">
        <v>40.35</v>
      </c>
      <c r="R46" s="46">
        <v>36.165999999999997</v>
      </c>
      <c r="S46" s="46">
        <v>41.33</v>
      </c>
      <c r="T46" s="46">
        <v>47.89</v>
      </c>
      <c r="U46" s="46">
        <v>33.966000000000001</v>
      </c>
      <c r="V46" s="46">
        <v>55.853999999999999</v>
      </c>
      <c r="W46" s="46">
        <v>38.347999999999999</v>
      </c>
      <c r="X46" s="46">
        <v>30.001000000000001</v>
      </c>
      <c r="Y46" s="46">
        <v>59.24</v>
      </c>
      <c r="Z46" s="46">
        <v>38.243000000000002</v>
      </c>
      <c r="AA46" s="46">
        <v>72.417000000000002</v>
      </c>
      <c r="AB46" s="46">
        <v>66.897999999999996</v>
      </c>
      <c r="AC46" s="46">
        <v>44.314999999999998</v>
      </c>
      <c r="AD46" s="46">
        <v>40.741</v>
      </c>
      <c r="AE46" s="46">
        <v>40.427</v>
      </c>
      <c r="AF46" s="46">
        <v>40.198999999999998</v>
      </c>
      <c r="AG46" s="46">
        <v>25.177</v>
      </c>
      <c r="AH46" s="46">
        <v>43.688000000000002</v>
      </c>
    </row>
    <row r="47" spans="1:34" ht="14.5" x14ac:dyDescent="0.35">
      <c r="A47" s="41">
        <v>47453</v>
      </c>
      <c r="B47" s="15">
        <v>32</v>
      </c>
      <c r="C47" s="13">
        <v>32</v>
      </c>
      <c r="D47" s="45">
        <v>32</v>
      </c>
      <c r="E47" s="16">
        <v>27.315000000000001</v>
      </c>
      <c r="F47" s="46">
        <v>46.439</v>
      </c>
      <c r="G47" s="46">
        <v>45.959000000000003</v>
      </c>
      <c r="H47" s="46">
        <v>46.539000000000001</v>
      </c>
      <c r="I47" s="46">
        <v>39.255000000000003</v>
      </c>
      <c r="J47" s="46">
        <v>39.640999999999998</v>
      </c>
      <c r="K47" s="46">
        <v>29.449000000000002</v>
      </c>
      <c r="L47" s="46">
        <v>24.411000000000001</v>
      </c>
      <c r="M47" s="46">
        <v>25.105</v>
      </c>
      <c r="N47" s="46">
        <v>24.963999999999999</v>
      </c>
      <c r="O47" s="46">
        <v>34.57</v>
      </c>
      <c r="P47" s="46">
        <v>36.378</v>
      </c>
      <c r="Q47" s="46">
        <v>35.408999999999999</v>
      </c>
      <c r="R47" s="46">
        <v>26.731000000000002</v>
      </c>
      <c r="S47" s="46">
        <v>32.823</v>
      </c>
      <c r="T47" s="46">
        <v>38.692</v>
      </c>
      <c r="U47" s="46">
        <v>28.574999999999999</v>
      </c>
      <c r="V47" s="46">
        <v>45.947000000000003</v>
      </c>
      <c r="W47" s="46">
        <v>32.256</v>
      </c>
      <c r="X47" s="46">
        <v>23.891999999999999</v>
      </c>
      <c r="Y47" s="46">
        <v>45.563000000000002</v>
      </c>
      <c r="Z47" s="46">
        <v>31.882999999999999</v>
      </c>
      <c r="AA47" s="46">
        <v>40.786000000000001</v>
      </c>
      <c r="AB47" s="46">
        <v>59.59</v>
      </c>
      <c r="AC47" s="46">
        <v>37.286000000000001</v>
      </c>
      <c r="AD47" s="46">
        <v>34.302999999999997</v>
      </c>
      <c r="AE47" s="46">
        <v>33.905000000000001</v>
      </c>
      <c r="AF47" s="46">
        <v>34.585999999999999</v>
      </c>
      <c r="AG47" s="46">
        <v>21.623000000000001</v>
      </c>
      <c r="AH47" s="46">
        <v>37.064999999999998</v>
      </c>
    </row>
    <row r="48" spans="1:34" ht="14.5" x14ac:dyDescent="0.35">
      <c r="A48" s="41">
        <v>47484</v>
      </c>
      <c r="B48" s="15">
        <v>31</v>
      </c>
      <c r="C48" s="13">
        <v>31</v>
      </c>
      <c r="D48" s="45">
        <v>31</v>
      </c>
      <c r="E48" s="16">
        <v>23.797000000000001</v>
      </c>
      <c r="F48" s="46">
        <v>36.753</v>
      </c>
      <c r="G48" s="46">
        <v>45.38</v>
      </c>
      <c r="H48" s="46">
        <v>40.176000000000002</v>
      </c>
      <c r="I48" s="46">
        <v>33.442999999999998</v>
      </c>
      <c r="J48" s="46">
        <v>34.837000000000003</v>
      </c>
      <c r="K48" s="46">
        <v>25.687000000000001</v>
      </c>
      <c r="L48" s="46">
        <v>20.271999999999998</v>
      </c>
      <c r="M48" s="46">
        <v>21.928000000000001</v>
      </c>
      <c r="N48" s="46">
        <v>22.265000000000001</v>
      </c>
      <c r="O48" s="46">
        <v>29.167000000000002</v>
      </c>
      <c r="P48" s="46">
        <v>35.642000000000003</v>
      </c>
      <c r="Q48" s="46">
        <v>32.256999999999998</v>
      </c>
      <c r="R48" s="46">
        <v>22.291</v>
      </c>
      <c r="S48" s="46">
        <v>30.068000000000001</v>
      </c>
      <c r="T48" s="46">
        <v>33.262999999999998</v>
      </c>
      <c r="U48" s="46">
        <v>25.94</v>
      </c>
      <c r="V48" s="46">
        <v>41.287999999999997</v>
      </c>
      <c r="W48" s="46">
        <v>27.337</v>
      </c>
      <c r="X48" s="46">
        <v>21.158000000000001</v>
      </c>
      <c r="Y48" s="46">
        <v>41.381999999999998</v>
      </c>
      <c r="Z48" s="46">
        <v>28.286999999999999</v>
      </c>
      <c r="AA48" s="46">
        <v>32.96</v>
      </c>
      <c r="AB48" s="46">
        <v>50.795999999999999</v>
      </c>
      <c r="AC48" s="46">
        <v>32.671999999999997</v>
      </c>
      <c r="AD48" s="46">
        <v>29.771000000000001</v>
      </c>
      <c r="AE48" s="46">
        <v>29.082999999999998</v>
      </c>
      <c r="AF48" s="46">
        <v>29.827999999999999</v>
      </c>
      <c r="AG48" s="46">
        <v>19.466999999999999</v>
      </c>
      <c r="AH48" s="46">
        <v>32.354999999999997</v>
      </c>
    </row>
    <row r="49" spans="1:1005" ht="14.5" x14ac:dyDescent="0.35">
      <c r="A49" s="41">
        <v>47515</v>
      </c>
      <c r="B49" s="15">
        <v>29</v>
      </c>
      <c r="C49" s="13">
        <v>29</v>
      </c>
      <c r="D49" s="45">
        <v>29</v>
      </c>
      <c r="E49" s="16">
        <v>32.436999999999998</v>
      </c>
      <c r="F49" s="46">
        <v>40.258000000000003</v>
      </c>
      <c r="G49" s="46">
        <v>36.591000000000001</v>
      </c>
      <c r="H49" s="46">
        <v>33.567999999999998</v>
      </c>
      <c r="I49" s="46">
        <v>30.399000000000001</v>
      </c>
      <c r="J49" s="46">
        <v>33.954999999999998</v>
      </c>
      <c r="K49" s="46">
        <v>22.457000000000001</v>
      </c>
      <c r="L49" s="46">
        <v>17.733000000000001</v>
      </c>
      <c r="M49" s="46">
        <v>27.675999999999998</v>
      </c>
      <c r="N49" s="46">
        <v>20.635999999999999</v>
      </c>
      <c r="O49" s="46">
        <v>25.722000000000001</v>
      </c>
      <c r="P49" s="46">
        <v>29.86</v>
      </c>
      <c r="Q49" s="46">
        <v>29.85</v>
      </c>
      <c r="R49" s="46">
        <v>19.012</v>
      </c>
      <c r="S49" s="46">
        <v>28.157</v>
      </c>
      <c r="T49" s="46">
        <v>27.978000000000002</v>
      </c>
      <c r="U49" s="46">
        <v>24.253</v>
      </c>
      <c r="V49" s="46">
        <v>36.814999999999998</v>
      </c>
      <c r="W49" s="46">
        <v>23.922000000000001</v>
      </c>
      <c r="X49" s="46">
        <v>25.533999999999999</v>
      </c>
      <c r="Y49" s="46">
        <v>43.578000000000003</v>
      </c>
      <c r="Z49" s="46">
        <v>33.51</v>
      </c>
      <c r="AA49" s="46">
        <v>44.332999999999998</v>
      </c>
      <c r="AB49" s="46">
        <v>44.323</v>
      </c>
      <c r="AC49" s="46">
        <v>31.114000000000001</v>
      </c>
      <c r="AD49" s="46">
        <v>26.277999999999999</v>
      </c>
      <c r="AE49" s="46">
        <v>29.126000000000001</v>
      </c>
      <c r="AF49" s="46">
        <v>25.895</v>
      </c>
      <c r="AG49" s="46">
        <v>18.302</v>
      </c>
      <c r="AH49" s="46">
        <v>27.436</v>
      </c>
    </row>
    <row r="50" spans="1:1005" ht="14.5" x14ac:dyDescent="0.35">
      <c r="A50" s="41">
        <v>47543</v>
      </c>
      <c r="B50" s="15">
        <v>51</v>
      </c>
      <c r="C50" s="13">
        <v>51</v>
      </c>
      <c r="D50" s="45">
        <v>51</v>
      </c>
      <c r="E50" s="16">
        <v>61.210999999999999</v>
      </c>
      <c r="F50" s="46">
        <v>56.616999999999997</v>
      </c>
      <c r="G50" s="46">
        <v>61.354999999999997</v>
      </c>
      <c r="H50" s="46">
        <v>53.110999999999997</v>
      </c>
      <c r="I50" s="46">
        <v>48.29</v>
      </c>
      <c r="J50" s="46">
        <v>44.15</v>
      </c>
      <c r="K50" s="46">
        <v>36.252000000000002</v>
      </c>
      <c r="L50" s="46">
        <v>26.623000000000001</v>
      </c>
      <c r="M50" s="46">
        <v>36.316000000000003</v>
      </c>
      <c r="N50" s="46">
        <v>52.853000000000002</v>
      </c>
      <c r="O50" s="46">
        <v>47.276000000000003</v>
      </c>
      <c r="P50" s="46">
        <v>38.682000000000002</v>
      </c>
      <c r="Q50" s="46">
        <v>66.855999999999995</v>
      </c>
      <c r="R50" s="46">
        <v>27.529</v>
      </c>
      <c r="S50" s="46">
        <v>47.661999999999999</v>
      </c>
      <c r="T50" s="46">
        <v>38.243000000000002</v>
      </c>
      <c r="U50" s="46">
        <v>32.360999999999997</v>
      </c>
      <c r="V50" s="46">
        <v>67.837999999999994</v>
      </c>
      <c r="W50" s="46">
        <v>38.58</v>
      </c>
      <c r="X50" s="46">
        <v>38.875999999999998</v>
      </c>
      <c r="Y50" s="46">
        <v>75.643000000000001</v>
      </c>
      <c r="Z50" s="46">
        <v>52.542999999999999</v>
      </c>
      <c r="AA50" s="46">
        <v>126.791</v>
      </c>
      <c r="AB50" s="46">
        <v>51.725999999999999</v>
      </c>
      <c r="AC50" s="46">
        <v>46.052</v>
      </c>
      <c r="AD50" s="46">
        <v>44.680999999999997</v>
      </c>
      <c r="AE50" s="46">
        <v>36.369999999999997</v>
      </c>
      <c r="AF50" s="46">
        <v>48.392000000000003</v>
      </c>
      <c r="AG50" s="46">
        <v>42.701000000000001</v>
      </c>
      <c r="AH50" s="46">
        <v>49.811</v>
      </c>
    </row>
    <row r="51" spans="1:1005" ht="14.5" x14ac:dyDescent="0.35">
      <c r="A51" s="41">
        <v>47574</v>
      </c>
      <c r="B51" s="15">
        <v>77</v>
      </c>
      <c r="C51" s="13">
        <v>77</v>
      </c>
      <c r="D51" s="45">
        <v>77</v>
      </c>
      <c r="E51" s="16">
        <v>61.271000000000001</v>
      </c>
      <c r="F51" s="46">
        <v>112.044</v>
      </c>
      <c r="G51" s="46">
        <v>90.739000000000004</v>
      </c>
      <c r="H51" s="46">
        <v>84.09</v>
      </c>
      <c r="I51" s="46">
        <v>66.906000000000006</v>
      </c>
      <c r="J51" s="46">
        <v>80.998000000000005</v>
      </c>
      <c r="K51" s="46">
        <v>47.024000000000001</v>
      </c>
      <c r="L51" s="46">
        <v>55.91</v>
      </c>
      <c r="M51" s="46">
        <v>60.491</v>
      </c>
      <c r="N51" s="46">
        <v>105.538</v>
      </c>
      <c r="O51" s="46">
        <v>71.222999999999999</v>
      </c>
      <c r="P51" s="46">
        <v>97.108999999999995</v>
      </c>
      <c r="Q51" s="46">
        <v>69.763999999999996</v>
      </c>
      <c r="R51" s="46">
        <v>32.548999999999999</v>
      </c>
      <c r="S51" s="46">
        <v>77.180000000000007</v>
      </c>
      <c r="T51" s="46">
        <v>52.109000000000002</v>
      </c>
      <c r="U51" s="46">
        <v>56.94</v>
      </c>
      <c r="V51" s="46">
        <v>131.131</v>
      </c>
      <c r="W51" s="46">
        <v>45.503</v>
      </c>
      <c r="X51" s="46">
        <v>68.837000000000003</v>
      </c>
      <c r="Y51" s="46">
        <v>81.117999999999995</v>
      </c>
      <c r="Z51" s="46">
        <v>82.677000000000007</v>
      </c>
      <c r="AA51" s="46">
        <v>246.20500000000001</v>
      </c>
      <c r="AB51" s="46">
        <v>84.331000000000003</v>
      </c>
      <c r="AC51" s="46">
        <v>100.877</v>
      </c>
      <c r="AD51" s="46">
        <v>63.148000000000003</v>
      </c>
      <c r="AE51" s="46">
        <v>59.279000000000003</v>
      </c>
      <c r="AF51" s="46">
        <v>65.433999999999997</v>
      </c>
      <c r="AG51" s="46">
        <v>62.341999999999999</v>
      </c>
      <c r="AH51" s="46">
        <v>89.855000000000004</v>
      </c>
    </row>
    <row r="52" spans="1:1005" ht="14.5" x14ac:dyDescent="0.35">
      <c r="A52" s="41">
        <v>47604</v>
      </c>
      <c r="B52" s="15">
        <v>166</v>
      </c>
      <c r="C52" s="13">
        <v>166</v>
      </c>
      <c r="D52" s="45">
        <v>166</v>
      </c>
      <c r="E52" s="16">
        <v>62.110999999999997</v>
      </c>
      <c r="F52" s="46">
        <v>154.67500000000001</v>
      </c>
      <c r="G52" s="46">
        <v>340.5</v>
      </c>
      <c r="H52" s="46">
        <v>162.29300000000001</v>
      </c>
      <c r="I52" s="46">
        <v>179.53</v>
      </c>
      <c r="J52" s="46">
        <v>173.23500000000001</v>
      </c>
      <c r="K52" s="46">
        <v>104.024</v>
      </c>
      <c r="L52" s="46">
        <v>50.478999999999999</v>
      </c>
      <c r="M52" s="46">
        <v>72.114000000000004</v>
      </c>
      <c r="N52" s="46">
        <v>100.908</v>
      </c>
      <c r="O52" s="46">
        <v>137.24600000000001</v>
      </c>
      <c r="P52" s="46">
        <v>234.85300000000001</v>
      </c>
      <c r="Q52" s="46">
        <v>173.00399999999999</v>
      </c>
      <c r="R52" s="46">
        <v>107.73699999999999</v>
      </c>
      <c r="S52" s="46">
        <v>137.41300000000001</v>
      </c>
      <c r="T52" s="46">
        <v>27.254999999999999</v>
      </c>
      <c r="U52" s="46">
        <v>144.78800000000001</v>
      </c>
      <c r="V52" s="46">
        <v>178.28700000000001</v>
      </c>
      <c r="W52" s="46">
        <v>71.156999999999996</v>
      </c>
      <c r="X52" s="46">
        <v>174.63</v>
      </c>
      <c r="Y52" s="46">
        <v>188.58199999999999</v>
      </c>
      <c r="Z52" s="46">
        <v>127.26600000000001</v>
      </c>
      <c r="AA52" s="46">
        <v>368.149</v>
      </c>
      <c r="AB52" s="46">
        <v>275.83999999999997</v>
      </c>
      <c r="AC52" s="46">
        <v>87.037999999999997</v>
      </c>
      <c r="AD52" s="46">
        <v>125.673</v>
      </c>
      <c r="AE52" s="46">
        <v>81.97</v>
      </c>
      <c r="AF52" s="46">
        <v>151.07499999999999</v>
      </c>
      <c r="AG52" s="46">
        <v>200.79300000000001</v>
      </c>
      <c r="AH52" s="46">
        <v>193.47200000000001</v>
      </c>
    </row>
    <row r="53" spans="1:1005" ht="14.5" x14ac:dyDescent="0.35">
      <c r="A53" s="41">
        <v>47635</v>
      </c>
      <c r="B53" s="15">
        <v>301</v>
      </c>
      <c r="C53" s="13">
        <v>301</v>
      </c>
      <c r="D53" s="45">
        <v>301</v>
      </c>
      <c r="E53" s="16">
        <v>418.47899999999998</v>
      </c>
      <c r="F53" s="46">
        <v>582.79399999999998</v>
      </c>
      <c r="G53" s="46">
        <v>712.31799999999998</v>
      </c>
      <c r="H53" s="46">
        <v>310.28800000000001</v>
      </c>
      <c r="I53" s="46">
        <v>533.89800000000002</v>
      </c>
      <c r="J53" s="46">
        <v>217.381</v>
      </c>
      <c r="K53" s="46">
        <v>119.214</v>
      </c>
      <c r="L53" s="46">
        <v>188.09100000000001</v>
      </c>
      <c r="M53" s="46">
        <v>209.05600000000001</v>
      </c>
      <c r="N53" s="46">
        <v>244.785</v>
      </c>
      <c r="O53" s="46">
        <v>362.42899999999997</v>
      </c>
      <c r="P53" s="46">
        <v>277.59800000000001</v>
      </c>
      <c r="Q53" s="46">
        <v>64.304000000000002</v>
      </c>
      <c r="R53" s="46">
        <v>272.16000000000003</v>
      </c>
      <c r="S53" s="46">
        <v>448.30099999999999</v>
      </c>
      <c r="T53" s="46">
        <v>202.232</v>
      </c>
      <c r="U53" s="46">
        <v>400.637</v>
      </c>
      <c r="V53" s="46">
        <v>207.88399999999999</v>
      </c>
      <c r="W53" s="46">
        <v>95.417000000000002</v>
      </c>
      <c r="X53" s="46">
        <v>442.82400000000001</v>
      </c>
      <c r="Y53" s="46">
        <v>297.39</v>
      </c>
      <c r="Z53" s="46">
        <v>276.53699999999998</v>
      </c>
      <c r="AA53" s="46">
        <v>711.41</v>
      </c>
      <c r="AB53" s="46">
        <v>453.81400000000002</v>
      </c>
      <c r="AC53" s="46">
        <v>268.39400000000001</v>
      </c>
      <c r="AD53" s="46">
        <v>342.05900000000003</v>
      </c>
      <c r="AE53" s="46">
        <v>331.85300000000001</v>
      </c>
      <c r="AF53" s="46">
        <v>57.319000000000003</v>
      </c>
      <c r="AG53" s="46">
        <v>345.762</v>
      </c>
      <c r="AH53" s="46">
        <v>149.803</v>
      </c>
    </row>
    <row r="54" spans="1:1005" ht="14.5" x14ac:dyDescent="0.35">
      <c r="A54" s="41">
        <v>47665</v>
      </c>
      <c r="B54" s="15">
        <v>146</v>
      </c>
      <c r="C54" s="13">
        <v>146</v>
      </c>
      <c r="D54" s="45">
        <v>146</v>
      </c>
      <c r="E54" s="16">
        <v>408.815</v>
      </c>
      <c r="F54" s="46">
        <v>282.358</v>
      </c>
      <c r="G54" s="46">
        <v>311.74</v>
      </c>
      <c r="H54" s="46">
        <v>354.608</v>
      </c>
      <c r="I54" s="46">
        <v>321.54899999999998</v>
      </c>
      <c r="J54" s="46">
        <v>65.438999999999993</v>
      </c>
      <c r="K54" s="46">
        <v>31.353000000000002</v>
      </c>
      <c r="L54" s="46">
        <v>78.954999999999998</v>
      </c>
      <c r="M54" s="46">
        <v>72.474000000000004</v>
      </c>
      <c r="N54" s="46">
        <v>166.21199999999999</v>
      </c>
      <c r="O54" s="46">
        <v>254.024</v>
      </c>
      <c r="P54" s="46">
        <v>78.081000000000003</v>
      </c>
      <c r="Q54" s="46">
        <v>11.795</v>
      </c>
      <c r="R54" s="46">
        <v>190.74799999999999</v>
      </c>
      <c r="S54" s="46">
        <v>343.87099999999998</v>
      </c>
      <c r="T54" s="46">
        <v>177.434</v>
      </c>
      <c r="U54" s="46">
        <v>599.54300000000001</v>
      </c>
      <c r="V54" s="46">
        <v>72.352000000000004</v>
      </c>
      <c r="W54" s="46">
        <v>37.058999999999997</v>
      </c>
      <c r="X54" s="46">
        <v>286.57</v>
      </c>
      <c r="Y54" s="46">
        <v>132.428</v>
      </c>
      <c r="Z54" s="46">
        <v>90.021000000000001</v>
      </c>
      <c r="AA54" s="46">
        <v>355.95</v>
      </c>
      <c r="AB54" s="46">
        <v>196.28899999999999</v>
      </c>
      <c r="AC54" s="46">
        <v>211.66200000000001</v>
      </c>
      <c r="AD54" s="46">
        <v>167.73500000000001</v>
      </c>
      <c r="AE54" s="46">
        <v>161.405</v>
      </c>
      <c r="AF54" s="46">
        <v>31.327999999999999</v>
      </c>
      <c r="AG54" s="46">
        <v>222.92599999999999</v>
      </c>
      <c r="AH54" s="46">
        <v>28.748999999999999</v>
      </c>
    </row>
    <row r="55" spans="1:1005" ht="14.5" x14ac:dyDescent="0.35">
      <c r="A55" s="41">
        <v>47696</v>
      </c>
      <c r="B55" s="15">
        <v>59</v>
      </c>
      <c r="C55" s="13">
        <v>59</v>
      </c>
      <c r="D55" s="45">
        <v>59</v>
      </c>
      <c r="E55" s="16">
        <v>143.697</v>
      </c>
      <c r="F55" s="46">
        <v>90.536000000000001</v>
      </c>
      <c r="G55" s="46">
        <v>151.24</v>
      </c>
      <c r="H55" s="46">
        <v>119.655</v>
      </c>
      <c r="I55" s="46">
        <v>112.274</v>
      </c>
      <c r="J55" s="46">
        <v>38.286999999999999</v>
      </c>
      <c r="K55" s="46">
        <v>21.42</v>
      </c>
      <c r="L55" s="46">
        <v>34.103999999999999</v>
      </c>
      <c r="M55" s="46">
        <v>34.042000000000002</v>
      </c>
      <c r="N55" s="46">
        <v>66.569999999999993</v>
      </c>
      <c r="O55" s="46">
        <v>83.481999999999999</v>
      </c>
      <c r="P55" s="46">
        <v>45.837000000000003</v>
      </c>
      <c r="Q55" s="46">
        <v>28.126999999999999</v>
      </c>
      <c r="R55" s="46">
        <v>61.363</v>
      </c>
      <c r="S55" s="46">
        <v>107.54600000000001</v>
      </c>
      <c r="T55" s="46">
        <v>59.454000000000001</v>
      </c>
      <c r="U55" s="46">
        <v>175.97200000000001</v>
      </c>
      <c r="V55" s="46">
        <v>38.57</v>
      </c>
      <c r="W55" s="46">
        <v>24.266999999999999</v>
      </c>
      <c r="X55" s="46">
        <v>97.828999999999994</v>
      </c>
      <c r="Y55" s="46">
        <v>52.337000000000003</v>
      </c>
      <c r="Z55" s="46">
        <v>43.787999999999997</v>
      </c>
      <c r="AA55" s="46">
        <v>116.154</v>
      </c>
      <c r="AB55" s="46">
        <v>71.858000000000004</v>
      </c>
      <c r="AC55" s="46">
        <v>78.986999999999995</v>
      </c>
      <c r="AD55" s="46">
        <v>59.837000000000003</v>
      </c>
      <c r="AE55" s="46">
        <v>71.805999999999997</v>
      </c>
      <c r="AF55" s="46">
        <v>20.696000000000002</v>
      </c>
      <c r="AG55" s="46">
        <v>170.38399999999999</v>
      </c>
      <c r="AH55" s="46">
        <v>26.899000000000001</v>
      </c>
    </row>
    <row r="56" spans="1:1005" ht="14.5" x14ac:dyDescent="0.35">
      <c r="A56" s="41">
        <v>47727</v>
      </c>
      <c r="B56" s="15">
        <v>39</v>
      </c>
      <c r="C56" s="13">
        <v>39</v>
      </c>
      <c r="D56" s="45">
        <v>39</v>
      </c>
      <c r="E56" s="16">
        <v>62.362000000000002</v>
      </c>
      <c r="F56" s="46">
        <v>54.884</v>
      </c>
      <c r="G56" s="46">
        <v>95.900999999999996</v>
      </c>
      <c r="H56" s="46">
        <v>57.274999999999999</v>
      </c>
      <c r="I56" s="46">
        <v>78.412999999999997</v>
      </c>
      <c r="J56" s="46">
        <v>43.030999999999999</v>
      </c>
      <c r="K56" s="46">
        <v>20.428999999999998</v>
      </c>
      <c r="L56" s="46">
        <v>34.676000000000002</v>
      </c>
      <c r="M56" s="46">
        <v>34.42</v>
      </c>
      <c r="N56" s="46">
        <v>53.825000000000003</v>
      </c>
      <c r="O56" s="46">
        <v>47.122</v>
      </c>
      <c r="P56" s="46">
        <v>37.295999999999999</v>
      </c>
      <c r="Q56" s="46">
        <v>27.023</v>
      </c>
      <c r="R56" s="46">
        <v>46.292000000000002</v>
      </c>
      <c r="S56" s="46">
        <v>52.28</v>
      </c>
      <c r="T56" s="46">
        <v>39.268999999999998</v>
      </c>
      <c r="U56" s="46">
        <v>77.936999999999998</v>
      </c>
      <c r="V56" s="46">
        <v>30.675999999999998</v>
      </c>
      <c r="W56" s="46">
        <v>30.832000000000001</v>
      </c>
      <c r="X56" s="46">
        <v>66.876000000000005</v>
      </c>
      <c r="Y56" s="46">
        <v>40.734999999999999</v>
      </c>
      <c r="Z56" s="46">
        <v>39.289000000000001</v>
      </c>
      <c r="AA56" s="46">
        <v>80.367999999999995</v>
      </c>
      <c r="AB56" s="46">
        <v>45.646999999999998</v>
      </c>
      <c r="AC56" s="46">
        <v>55.304000000000002</v>
      </c>
      <c r="AD56" s="46">
        <v>39.594999999999999</v>
      </c>
      <c r="AE56" s="46">
        <v>57.993000000000002</v>
      </c>
      <c r="AF56" s="46">
        <v>24.504000000000001</v>
      </c>
      <c r="AG56" s="46">
        <v>67.415999999999997</v>
      </c>
      <c r="AH56" s="46">
        <v>25.914999999999999</v>
      </c>
    </row>
    <row r="57" spans="1:1005" ht="14.5" x14ac:dyDescent="0.35">
      <c r="A57" s="41">
        <v>47757</v>
      </c>
      <c r="B57" s="15">
        <v>50</v>
      </c>
      <c r="C57" s="13">
        <v>40</v>
      </c>
      <c r="D57" s="45">
        <v>45</v>
      </c>
      <c r="E57" s="16">
        <v>54.091999999999999</v>
      </c>
      <c r="F57" s="46">
        <v>51.987000000000002</v>
      </c>
      <c r="G57" s="46">
        <v>82.18</v>
      </c>
      <c r="H57" s="46">
        <v>54.887</v>
      </c>
      <c r="I57" s="46">
        <v>51.540999999999997</v>
      </c>
      <c r="J57" s="46">
        <v>40.088999999999999</v>
      </c>
      <c r="K57" s="46">
        <v>22.873999999999999</v>
      </c>
      <c r="L57" s="46">
        <v>35.357999999999997</v>
      </c>
      <c r="M57" s="46">
        <v>27.925000000000001</v>
      </c>
      <c r="N57" s="46">
        <v>48.780999999999999</v>
      </c>
      <c r="O57" s="46">
        <v>46.38</v>
      </c>
      <c r="P57" s="46">
        <v>53.741999999999997</v>
      </c>
      <c r="Q57" s="46">
        <v>43.798999999999999</v>
      </c>
      <c r="R57" s="46">
        <v>39.841000000000001</v>
      </c>
      <c r="S57" s="46">
        <v>51.816000000000003</v>
      </c>
      <c r="T57" s="46">
        <v>33.054000000000002</v>
      </c>
      <c r="U57" s="46">
        <v>66.885999999999996</v>
      </c>
      <c r="V57" s="46">
        <v>32.01</v>
      </c>
      <c r="W57" s="46">
        <v>34.908999999999999</v>
      </c>
      <c r="X57" s="46">
        <v>116.071</v>
      </c>
      <c r="Y57" s="46">
        <v>47.92</v>
      </c>
      <c r="Z57" s="46">
        <v>72.350999999999999</v>
      </c>
      <c r="AA57" s="46">
        <v>84.165000000000006</v>
      </c>
      <c r="AB57" s="46">
        <v>45.853999999999999</v>
      </c>
      <c r="AC57" s="46">
        <v>48.805999999999997</v>
      </c>
      <c r="AD57" s="46">
        <v>37.468000000000004</v>
      </c>
      <c r="AE57" s="46">
        <v>39.725000000000001</v>
      </c>
      <c r="AF57" s="46">
        <v>23.274000000000001</v>
      </c>
      <c r="AG57" s="46">
        <v>51.872</v>
      </c>
      <c r="AH57" s="46">
        <v>37.192999999999998</v>
      </c>
    </row>
    <row r="58" spans="1:1005" ht="14.5" x14ac:dyDescent="0.35">
      <c r="A58" s="41">
        <v>47788</v>
      </c>
      <c r="B58" s="15">
        <v>45</v>
      </c>
      <c r="C58" s="13">
        <v>39</v>
      </c>
      <c r="D58" s="45">
        <v>42</v>
      </c>
      <c r="E58" s="16">
        <v>48.158000000000001</v>
      </c>
      <c r="F58" s="46">
        <v>50.16</v>
      </c>
      <c r="G58" s="46">
        <v>56.84</v>
      </c>
      <c r="H58" s="46">
        <v>44.497999999999998</v>
      </c>
      <c r="I58" s="46">
        <v>45.442999999999998</v>
      </c>
      <c r="J58" s="46">
        <v>35.710999999999999</v>
      </c>
      <c r="K58" s="46">
        <v>31.997</v>
      </c>
      <c r="L58" s="46">
        <v>30.635999999999999</v>
      </c>
      <c r="M58" s="46">
        <v>29.238</v>
      </c>
      <c r="N58" s="46">
        <v>48.067</v>
      </c>
      <c r="O58" s="46">
        <v>41.526000000000003</v>
      </c>
      <c r="P58" s="46">
        <v>40.659999999999997</v>
      </c>
      <c r="Q58" s="46">
        <v>36.171999999999997</v>
      </c>
      <c r="R58" s="46">
        <v>41.404000000000003</v>
      </c>
      <c r="S58" s="46">
        <v>47.933999999999997</v>
      </c>
      <c r="T58" s="46">
        <v>34.006999999999998</v>
      </c>
      <c r="U58" s="46">
        <v>55.863999999999997</v>
      </c>
      <c r="V58" s="46">
        <v>38.372</v>
      </c>
      <c r="W58" s="46">
        <v>29.986999999999998</v>
      </c>
      <c r="X58" s="46">
        <v>60.432000000000002</v>
      </c>
      <c r="Y58" s="46">
        <v>38.244</v>
      </c>
      <c r="Z58" s="46">
        <v>72.403000000000006</v>
      </c>
      <c r="AA58" s="46">
        <v>66.924000000000007</v>
      </c>
      <c r="AB58" s="46">
        <v>44.698</v>
      </c>
      <c r="AC58" s="46">
        <v>40.738</v>
      </c>
      <c r="AD58" s="46">
        <v>40.58</v>
      </c>
      <c r="AE58" s="46">
        <v>40.229999999999997</v>
      </c>
      <c r="AF58" s="46">
        <v>25.222999999999999</v>
      </c>
      <c r="AG58" s="46">
        <v>43.719000000000001</v>
      </c>
      <c r="AH58" s="46">
        <v>33.871000000000002</v>
      </c>
    </row>
    <row r="59" spans="1:1005" ht="14.5" x14ac:dyDescent="0.35">
      <c r="A59" s="41">
        <v>47818</v>
      </c>
      <c r="B59" s="15">
        <v>32</v>
      </c>
      <c r="C59" s="13">
        <v>32</v>
      </c>
      <c r="D59" s="45">
        <v>32</v>
      </c>
      <c r="E59" s="16">
        <v>46.433999999999997</v>
      </c>
      <c r="F59" s="46">
        <v>46.008000000000003</v>
      </c>
      <c r="G59" s="46">
        <v>46.537999999999997</v>
      </c>
      <c r="H59" s="46">
        <v>39.378999999999998</v>
      </c>
      <c r="I59" s="46">
        <v>39.661000000000001</v>
      </c>
      <c r="J59" s="46">
        <v>29.535</v>
      </c>
      <c r="K59" s="46">
        <v>24.443999999999999</v>
      </c>
      <c r="L59" s="46">
        <v>25.274000000000001</v>
      </c>
      <c r="M59" s="46">
        <v>24.977</v>
      </c>
      <c r="N59" s="46">
        <v>34.555</v>
      </c>
      <c r="O59" s="46">
        <v>36.375999999999998</v>
      </c>
      <c r="P59" s="46">
        <v>35.518000000000001</v>
      </c>
      <c r="Q59" s="46">
        <v>26.736999999999998</v>
      </c>
      <c r="R59" s="46">
        <v>32.892000000000003</v>
      </c>
      <c r="S59" s="46">
        <v>38.731000000000002</v>
      </c>
      <c r="T59" s="46">
        <v>28.623999999999999</v>
      </c>
      <c r="U59" s="46">
        <v>45.956000000000003</v>
      </c>
      <c r="V59" s="46">
        <v>32.277999999999999</v>
      </c>
      <c r="W59" s="46">
        <v>23.879000000000001</v>
      </c>
      <c r="X59" s="46">
        <v>46.021999999999998</v>
      </c>
      <c r="Y59" s="46">
        <v>31.882999999999999</v>
      </c>
      <c r="Z59" s="46">
        <v>40.774999999999999</v>
      </c>
      <c r="AA59" s="46">
        <v>59.613</v>
      </c>
      <c r="AB59" s="46">
        <v>37.401000000000003</v>
      </c>
      <c r="AC59" s="46">
        <v>34.299999999999997</v>
      </c>
      <c r="AD59" s="46">
        <v>34.049999999999997</v>
      </c>
      <c r="AE59" s="46">
        <v>34.615000000000002</v>
      </c>
      <c r="AF59" s="46">
        <v>21.670999999999999</v>
      </c>
      <c r="AG59" s="46">
        <v>37.094000000000001</v>
      </c>
      <c r="AH59" s="46">
        <v>27.321999999999999</v>
      </c>
    </row>
    <row r="60" spans="1:1005" ht="14.5" x14ac:dyDescent="0.35">
      <c r="A60" s="41">
        <v>47849</v>
      </c>
      <c r="B60" s="15">
        <v>31</v>
      </c>
      <c r="C60" s="13">
        <v>31</v>
      </c>
      <c r="D60" s="45">
        <v>31</v>
      </c>
      <c r="E60" s="16">
        <v>36.749000000000002</v>
      </c>
      <c r="F60" s="46">
        <v>45.424999999999997</v>
      </c>
      <c r="G60" s="46">
        <v>40.174999999999997</v>
      </c>
      <c r="H60" s="46">
        <v>33.543999999999997</v>
      </c>
      <c r="I60" s="46">
        <v>34.854999999999997</v>
      </c>
      <c r="J60" s="46">
        <v>25.765999999999998</v>
      </c>
      <c r="K60" s="46">
        <v>20.302</v>
      </c>
      <c r="L60" s="46">
        <v>22.04</v>
      </c>
      <c r="M60" s="46">
        <v>22.277000000000001</v>
      </c>
      <c r="N60" s="46">
        <v>29.152999999999999</v>
      </c>
      <c r="O60" s="46">
        <v>35.64</v>
      </c>
      <c r="P60" s="46">
        <v>32.548000000000002</v>
      </c>
      <c r="Q60" s="46">
        <v>22.295999999999999</v>
      </c>
      <c r="R60" s="46">
        <v>30.132000000000001</v>
      </c>
      <c r="S60" s="46">
        <v>33.298999999999999</v>
      </c>
      <c r="T60" s="46">
        <v>25.92</v>
      </c>
      <c r="U60" s="46">
        <v>41.295999999999999</v>
      </c>
      <c r="V60" s="46">
        <v>27.356999999999999</v>
      </c>
      <c r="W60" s="46">
        <v>21.146999999999998</v>
      </c>
      <c r="X60" s="46">
        <v>41.651000000000003</v>
      </c>
      <c r="Y60" s="46">
        <v>28.286999999999999</v>
      </c>
      <c r="Z60" s="46">
        <v>32.950000000000003</v>
      </c>
      <c r="AA60" s="46">
        <v>50.816000000000003</v>
      </c>
      <c r="AB60" s="46">
        <v>32.741999999999997</v>
      </c>
      <c r="AC60" s="46">
        <v>29.768999999999998</v>
      </c>
      <c r="AD60" s="46">
        <v>29.213999999999999</v>
      </c>
      <c r="AE60" s="46">
        <v>29.855</v>
      </c>
      <c r="AF60" s="46">
        <v>19.533999999999999</v>
      </c>
      <c r="AG60" s="46">
        <v>32.381</v>
      </c>
      <c r="AH60" s="46">
        <v>23.803000000000001</v>
      </c>
    </row>
    <row r="61" spans="1:1005" ht="14.5" x14ac:dyDescent="0.35">
      <c r="A61" s="41">
        <v>47880</v>
      </c>
      <c r="B61" s="15">
        <v>29</v>
      </c>
      <c r="C61" s="13">
        <v>29</v>
      </c>
      <c r="D61" s="45">
        <v>29</v>
      </c>
      <c r="E61" s="16">
        <v>40.256</v>
      </c>
      <c r="F61" s="46">
        <v>36.628</v>
      </c>
      <c r="G61" s="46">
        <v>33.567</v>
      </c>
      <c r="H61" s="46">
        <v>30.300999999999998</v>
      </c>
      <c r="I61" s="46">
        <v>33.97</v>
      </c>
      <c r="J61" s="46">
        <v>22.523</v>
      </c>
      <c r="K61" s="46">
        <v>17.757999999999999</v>
      </c>
      <c r="L61" s="46">
        <v>27.693000000000001</v>
      </c>
      <c r="M61" s="46">
        <v>20.646000000000001</v>
      </c>
      <c r="N61" s="46">
        <v>25.710999999999999</v>
      </c>
      <c r="O61" s="46">
        <v>29.858000000000001</v>
      </c>
      <c r="P61" s="46">
        <v>29.866</v>
      </c>
      <c r="Q61" s="46">
        <v>19.015999999999998</v>
      </c>
      <c r="R61" s="46">
        <v>28.212</v>
      </c>
      <c r="S61" s="46">
        <v>28.007000000000001</v>
      </c>
      <c r="T61" s="46">
        <v>24.303999999999998</v>
      </c>
      <c r="U61" s="46">
        <v>36.820999999999998</v>
      </c>
      <c r="V61" s="46">
        <v>23.939</v>
      </c>
      <c r="W61" s="46">
        <v>25.524000000000001</v>
      </c>
      <c r="X61" s="46">
        <v>43.822000000000003</v>
      </c>
      <c r="Y61" s="46">
        <v>33.509</v>
      </c>
      <c r="Z61" s="46">
        <v>44.323999999999998</v>
      </c>
      <c r="AA61" s="46">
        <v>44.34</v>
      </c>
      <c r="AB61" s="46">
        <v>30.994</v>
      </c>
      <c r="AC61" s="46">
        <v>26.277000000000001</v>
      </c>
      <c r="AD61" s="46">
        <v>29.241</v>
      </c>
      <c r="AE61" s="46">
        <v>25.917000000000002</v>
      </c>
      <c r="AF61" s="46">
        <v>18.350999999999999</v>
      </c>
      <c r="AG61" s="46">
        <v>27.457999999999998</v>
      </c>
      <c r="AH61" s="46">
        <v>32.442</v>
      </c>
    </row>
    <row r="62" spans="1:1005" ht="14.5" x14ac:dyDescent="0.35">
      <c r="A62" s="41">
        <v>47908</v>
      </c>
      <c r="B62" s="15">
        <v>51</v>
      </c>
      <c r="C62" s="13">
        <v>51</v>
      </c>
      <c r="D62" s="45">
        <v>51</v>
      </c>
      <c r="E62" s="16">
        <v>56.615000000000002</v>
      </c>
      <c r="F62" s="46">
        <v>61.405000000000001</v>
      </c>
      <c r="G62" s="46">
        <v>53.109000000000002</v>
      </c>
      <c r="H62" s="46">
        <v>47.773000000000003</v>
      </c>
      <c r="I62" s="46">
        <v>44.165999999999997</v>
      </c>
      <c r="J62" s="46">
        <v>36.33</v>
      </c>
      <c r="K62" s="46">
        <v>26.648</v>
      </c>
      <c r="L62" s="46">
        <v>36.198</v>
      </c>
      <c r="M62" s="46">
        <v>52.862000000000002</v>
      </c>
      <c r="N62" s="46">
        <v>47.262999999999998</v>
      </c>
      <c r="O62" s="46">
        <v>38.680999999999997</v>
      </c>
      <c r="P62" s="46">
        <v>65.418000000000006</v>
      </c>
      <c r="Q62" s="46">
        <v>27.533000000000001</v>
      </c>
      <c r="R62" s="46">
        <v>47.73</v>
      </c>
      <c r="S62" s="46">
        <v>38.274999999999999</v>
      </c>
      <c r="T62" s="46">
        <v>32.247999999999998</v>
      </c>
      <c r="U62" s="46">
        <v>67.846999999999994</v>
      </c>
      <c r="V62" s="46">
        <v>38.598999999999997</v>
      </c>
      <c r="W62" s="46">
        <v>38.866</v>
      </c>
      <c r="X62" s="46">
        <v>73.932000000000002</v>
      </c>
      <c r="Y62" s="46">
        <v>52.54</v>
      </c>
      <c r="Z62" s="46">
        <v>126.774</v>
      </c>
      <c r="AA62" s="46">
        <v>51.744</v>
      </c>
      <c r="AB62" s="46">
        <v>45.506</v>
      </c>
      <c r="AC62" s="46">
        <v>44.68</v>
      </c>
      <c r="AD62" s="46">
        <v>36.49</v>
      </c>
      <c r="AE62" s="46">
        <v>48.42</v>
      </c>
      <c r="AF62" s="46">
        <v>41.031999999999996</v>
      </c>
      <c r="AG62" s="46">
        <v>49.837000000000003</v>
      </c>
      <c r="AH62" s="46">
        <v>61.215000000000003</v>
      </c>
    </row>
    <row r="63" spans="1:1005" ht="14.5" x14ac:dyDescent="0.35">
      <c r="A63" s="41">
        <v>47939</v>
      </c>
      <c r="B63" s="15">
        <v>77</v>
      </c>
      <c r="C63" s="13">
        <v>77</v>
      </c>
      <c r="D63" s="45">
        <v>77</v>
      </c>
      <c r="E63" s="16">
        <v>112.04</v>
      </c>
      <c r="F63" s="46">
        <v>90.81</v>
      </c>
      <c r="G63" s="46">
        <v>84.085999999999999</v>
      </c>
      <c r="H63" s="46">
        <v>63.018000000000001</v>
      </c>
      <c r="I63" s="46">
        <v>81.028000000000006</v>
      </c>
      <c r="J63" s="46">
        <v>47.116</v>
      </c>
      <c r="K63" s="46">
        <v>55.945</v>
      </c>
      <c r="L63" s="46">
        <v>59.661999999999999</v>
      </c>
      <c r="M63" s="46">
        <v>105.551</v>
      </c>
      <c r="N63" s="46">
        <v>71.201999999999998</v>
      </c>
      <c r="O63" s="46">
        <v>97.100999999999999</v>
      </c>
      <c r="P63" s="46">
        <v>68.613</v>
      </c>
      <c r="Q63" s="46">
        <v>32.552</v>
      </c>
      <c r="R63" s="46">
        <v>77.278999999999996</v>
      </c>
      <c r="S63" s="46">
        <v>52.149000000000001</v>
      </c>
      <c r="T63" s="46">
        <v>55.537999999999997</v>
      </c>
      <c r="U63" s="46">
        <v>131.142</v>
      </c>
      <c r="V63" s="46">
        <v>45.521999999999998</v>
      </c>
      <c r="W63" s="46">
        <v>68.823999999999998</v>
      </c>
      <c r="X63" s="46">
        <v>81.628</v>
      </c>
      <c r="Y63" s="46">
        <v>82.67</v>
      </c>
      <c r="Z63" s="46">
        <v>246.178</v>
      </c>
      <c r="AA63" s="46">
        <v>84.36</v>
      </c>
      <c r="AB63" s="46">
        <v>97.57</v>
      </c>
      <c r="AC63" s="46">
        <v>63.146000000000001</v>
      </c>
      <c r="AD63" s="46">
        <v>59.435000000000002</v>
      </c>
      <c r="AE63" s="46">
        <v>65.466999999999999</v>
      </c>
      <c r="AF63" s="46">
        <v>62.087000000000003</v>
      </c>
      <c r="AG63" s="46">
        <v>89.89</v>
      </c>
      <c r="AH63" s="46">
        <v>61.274999999999999</v>
      </c>
    </row>
    <row r="64" spans="1:1005" ht="14.5" x14ac:dyDescent="0.35">
      <c r="A64" s="41">
        <v>47969</v>
      </c>
      <c r="B64" s="15">
        <v>166</v>
      </c>
      <c r="C64" s="13">
        <v>166</v>
      </c>
      <c r="D64" s="45">
        <v>166</v>
      </c>
      <c r="E64" s="16">
        <v>154.67500000000001</v>
      </c>
      <c r="F64" s="46">
        <v>340.5</v>
      </c>
      <c r="G64" s="46">
        <v>162.29300000000001</v>
      </c>
      <c r="H64" s="46">
        <v>179.53</v>
      </c>
      <c r="I64" s="46">
        <v>173.23500000000001</v>
      </c>
      <c r="J64" s="46">
        <v>104.024</v>
      </c>
      <c r="K64" s="46">
        <v>50.478999999999999</v>
      </c>
      <c r="L64" s="46">
        <v>72.114000000000004</v>
      </c>
      <c r="M64" s="46">
        <v>100.908</v>
      </c>
      <c r="N64" s="46">
        <v>137.24600000000001</v>
      </c>
      <c r="O64" s="46">
        <v>234.85300000000001</v>
      </c>
      <c r="P64" s="46">
        <v>173.00399999999999</v>
      </c>
      <c r="Q64" s="46">
        <v>107.73699999999999</v>
      </c>
      <c r="R64" s="46">
        <v>137.41300000000001</v>
      </c>
      <c r="S64" s="46">
        <v>27.254999999999999</v>
      </c>
      <c r="T64" s="46">
        <v>144.78800000000001</v>
      </c>
      <c r="U64" s="46">
        <v>178.28700000000001</v>
      </c>
      <c r="V64" s="46">
        <v>71.156999999999996</v>
      </c>
      <c r="W64" s="46">
        <v>174.63</v>
      </c>
      <c r="X64" s="46">
        <v>188.58199999999999</v>
      </c>
      <c r="Y64" s="46">
        <v>127.26600000000001</v>
      </c>
      <c r="Z64" s="46">
        <v>368.149</v>
      </c>
      <c r="AA64" s="46">
        <v>275.83999999999997</v>
      </c>
      <c r="AB64" s="46">
        <v>87.037999999999997</v>
      </c>
      <c r="AC64" s="46">
        <v>125.673</v>
      </c>
      <c r="AD64" s="46">
        <v>81.97</v>
      </c>
      <c r="AE64" s="46">
        <v>151.07499999999999</v>
      </c>
      <c r="AF64" s="46">
        <v>200.79300000000001</v>
      </c>
      <c r="AG64" s="46">
        <v>193.47200000000001</v>
      </c>
      <c r="AH64" s="46">
        <v>193.47200000000001</v>
      </c>
      <c r="ALQ64" s="4" t="e">
        <v>#N/A</v>
      </c>
    </row>
    <row r="65" spans="1:1005" ht="14.5" x14ac:dyDescent="0.35">
      <c r="A65" s="41">
        <v>48000</v>
      </c>
      <c r="B65" s="15">
        <v>301</v>
      </c>
      <c r="C65" s="13">
        <v>301</v>
      </c>
      <c r="D65" s="45">
        <v>301</v>
      </c>
      <c r="E65" s="16">
        <v>582.79399999999998</v>
      </c>
      <c r="F65" s="46">
        <v>712.31799999999998</v>
      </c>
      <c r="G65" s="46">
        <v>310.28800000000001</v>
      </c>
      <c r="H65" s="46">
        <v>533.89800000000002</v>
      </c>
      <c r="I65" s="46">
        <v>217.381</v>
      </c>
      <c r="J65" s="46">
        <v>119.214</v>
      </c>
      <c r="K65" s="46">
        <v>188.09100000000001</v>
      </c>
      <c r="L65" s="46">
        <v>209.05600000000001</v>
      </c>
      <c r="M65" s="46">
        <v>244.785</v>
      </c>
      <c r="N65" s="46">
        <v>362.42899999999997</v>
      </c>
      <c r="O65" s="46">
        <v>277.59800000000001</v>
      </c>
      <c r="P65" s="46">
        <v>64.304000000000002</v>
      </c>
      <c r="Q65" s="46">
        <v>272.16000000000003</v>
      </c>
      <c r="R65" s="46">
        <v>448.30099999999999</v>
      </c>
      <c r="S65" s="46">
        <v>202.232</v>
      </c>
      <c r="T65" s="46">
        <v>400.637</v>
      </c>
      <c r="U65" s="46">
        <v>207.88399999999999</v>
      </c>
      <c r="V65" s="46">
        <v>95.417000000000002</v>
      </c>
      <c r="W65" s="46">
        <v>442.82400000000001</v>
      </c>
      <c r="X65" s="46">
        <v>297.39</v>
      </c>
      <c r="Y65" s="46">
        <v>276.53699999999998</v>
      </c>
      <c r="Z65" s="46">
        <v>711.41</v>
      </c>
      <c r="AA65" s="46">
        <v>453.81400000000002</v>
      </c>
      <c r="AB65" s="46">
        <v>268.39400000000001</v>
      </c>
      <c r="AC65" s="46">
        <v>342.05900000000003</v>
      </c>
      <c r="AD65" s="46">
        <v>331.85300000000001</v>
      </c>
      <c r="AE65" s="46">
        <v>57.319000000000003</v>
      </c>
      <c r="AF65" s="46">
        <v>345.762</v>
      </c>
      <c r="AG65" s="46">
        <v>149.803</v>
      </c>
      <c r="AH65" s="46">
        <v>149.803</v>
      </c>
      <c r="ALQ65" s="4" t="e">
        <v>#N/A</v>
      </c>
    </row>
    <row r="66" spans="1:1005" ht="14.5" x14ac:dyDescent="0.35">
      <c r="A66" s="41">
        <v>48030</v>
      </c>
      <c r="B66" s="15">
        <v>146</v>
      </c>
      <c r="C66" s="13">
        <v>146</v>
      </c>
      <c r="D66" s="45">
        <v>146</v>
      </c>
      <c r="E66" s="16">
        <v>282.358</v>
      </c>
      <c r="F66" s="46">
        <v>311.74</v>
      </c>
      <c r="G66" s="46">
        <v>354.608</v>
      </c>
      <c r="H66" s="46">
        <v>321.54899999999998</v>
      </c>
      <c r="I66" s="46">
        <v>65.438999999999993</v>
      </c>
      <c r="J66" s="46">
        <v>31.353000000000002</v>
      </c>
      <c r="K66" s="46">
        <v>78.954999999999998</v>
      </c>
      <c r="L66" s="46">
        <v>72.474000000000004</v>
      </c>
      <c r="M66" s="46">
        <v>166.21199999999999</v>
      </c>
      <c r="N66" s="46">
        <v>254.024</v>
      </c>
      <c r="O66" s="46">
        <v>78.081000000000003</v>
      </c>
      <c r="P66" s="46">
        <v>11.795</v>
      </c>
      <c r="Q66" s="46">
        <v>190.74799999999999</v>
      </c>
      <c r="R66" s="46">
        <v>343.87099999999998</v>
      </c>
      <c r="S66" s="46">
        <v>177.434</v>
      </c>
      <c r="T66" s="46">
        <v>599.54300000000001</v>
      </c>
      <c r="U66" s="46">
        <v>72.352000000000004</v>
      </c>
      <c r="V66" s="46">
        <v>37.058999999999997</v>
      </c>
      <c r="W66" s="46">
        <v>286.57</v>
      </c>
      <c r="X66" s="46">
        <v>132.428</v>
      </c>
      <c r="Y66" s="46">
        <v>90.021000000000001</v>
      </c>
      <c r="Z66" s="46">
        <v>355.95</v>
      </c>
      <c r="AA66" s="46">
        <v>196.28899999999999</v>
      </c>
      <c r="AB66" s="46">
        <v>211.66200000000001</v>
      </c>
      <c r="AC66" s="46">
        <v>167.73500000000001</v>
      </c>
      <c r="AD66" s="46">
        <v>161.405</v>
      </c>
      <c r="AE66" s="46">
        <v>31.327999999999999</v>
      </c>
      <c r="AF66" s="46">
        <v>222.92599999999999</v>
      </c>
      <c r="AG66" s="46">
        <v>28.748999999999999</v>
      </c>
      <c r="AH66" s="46">
        <v>28.748999999999999</v>
      </c>
      <c r="ALQ66" s="4" t="e">
        <v>#N/A</v>
      </c>
    </row>
    <row r="67" spans="1:1005" ht="14.5" x14ac:dyDescent="0.35">
      <c r="A67" s="41">
        <v>48061</v>
      </c>
      <c r="B67" s="15">
        <v>59</v>
      </c>
      <c r="C67" s="13">
        <v>59</v>
      </c>
      <c r="D67" s="45">
        <v>59</v>
      </c>
      <c r="E67" s="16">
        <v>90.536000000000001</v>
      </c>
      <c r="F67" s="46">
        <v>151.24</v>
      </c>
      <c r="G67" s="46">
        <v>119.655</v>
      </c>
      <c r="H67" s="46">
        <v>112.274</v>
      </c>
      <c r="I67" s="46">
        <v>38.286999999999999</v>
      </c>
      <c r="J67" s="46">
        <v>21.42</v>
      </c>
      <c r="K67" s="46">
        <v>34.103999999999999</v>
      </c>
      <c r="L67" s="46">
        <v>34.042000000000002</v>
      </c>
      <c r="M67" s="46">
        <v>66.569999999999993</v>
      </c>
      <c r="N67" s="46">
        <v>83.481999999999999</v>
      </c>
      <c r="O67" s="46">
        <v>45.837000000000003</v>
      </c>
      <c r="P67" s="46">
        <v>28.126999999999999</v>
      </c>
      <c r="Q67" s="46">
        <v>61.363</v>
      </c>
      <c r="R67" s="46">
        <v>107.54600000000001</v>
      </c>
      <c r="S67" s="46">
        <v>59.454000000000001</v>
      </c>
      <c r="T67" s="46">
        <v>175.97200000000001</v>
      </c>
      <c r="U67" s="46">
        <v>38.57</v>
      </c>
      <c r="V67" s="46">
        <v>24.266999999999999</v>
      </c>
      <c r="W67" s="46">
        <v>97.828999999999994</v>
      </c>
      <c r="X67" s="46">
        <v>52.337000000000003</v>
      </c>
      <c r="Y67" s="46">
        <v>43.787999999999997</v>
      </c>
      <c r="Z67" s="46">
        <v>116.154</v>
      </c>
      <c r="AA67" s="46">
        <v>71.858000000000004</v>
      </c>
      <c r="AB67" s="46">
        <v>78.986999999999995</v>
      </c>
      <c r="AC67" s="46">
        <v>59.837000000000003</v>
      </c>
      <c r="AD67" s="46">
        <v>71.805999999999997</v>
      </c>
      <c r="AE67" s="46">
        <v>20.696000000000002</v>
      </c>
      <c r="AF67" s="46">
        <v>170.38399999999999</v>
      </c>
      <c r="AG67" s="46">
        <v>26.899000000000001</v>
      </c>
      <c r="AH67" s="46">
        <v>26.899000000000001</v>
      </c>
      <c r="ALQ67" s="4" t="e">
        <v>#N/A</v>
      </c>
    </row>
    <row r="68" spans="1:1005" ht="14.5" x14ac:dyDescent="0.35">
      <c r="A68" s="41">
        <v>48092</v>
      </c>
      <c r="B68" s="15">
        <v>39</v>
      </c>
      <c r="C68" s="13">
        <v>39</v>
      </c>
      <c r="D68" s="45">
        <v>39</v>
      </c>
      <c r="E68" s="16">
        <v>54.884</v>
      </c>
      <c r="F68" s="46">
        <v>95.900999999999996</v>
      </c>
      <c r="G68" s="46">
        <v>57.274999999999999</v>
      </c>
      <c r="H68" s="46">
        <v>78.412999999999997</v>
      </c>
      <c r="I68" s="46">
        <v>43.030999999999999</v>
      </c>
      <c r="J68" s="46">
        <v>20.428999999999998</v>
      </c>
      <c r="K68" s="46">
        <v>34.676000000000002</v>
      </c>
      <c r="L68" s="46">
        <v>34.42</v>
      </c>
      <c r="M68" s="46">
        <v>53.825000000000003</v>
      </c>
      <c r="N68" s="46">
        <v>47.122</v>
      </c>
      <c r="O68" s="46">
        <v>37.295999999999999</v>
      </c>
      <c r="P68" s="46">
        <v>27.023</v>
      </c>
      <c r="Q68" s="46">
        <v>46.292000000000002</v>
      </c>
      <c r="R68" s="46">
        <v>52.28</v>
      </c>
      <c r="S68" s="46">
        <v>39.268999999999998</v>
      </c>
      <c r="T68" s="46">
        <v>77.936999999999998</v>
      </c>
      <c r="U68" s="46">
        <v>30.675999999999998</v>
      </c>
      <c r="V68" s="46">
        <v>30.832000000000001</v>
      </c>
      <c r="W68" s="46">
        <v>66.876000000000005</v>
      </c>
      <c r="X68" s="46">
        <v>40.734999999999999</v>
      </c>
      <c r="Y68" s="46">
        <v>39.289000000000001</v>
      </c>
      <c r="Z68" s="46">
        <v>80.367999999999995</v>
      </c>
      <c r="AA68" s="46">
        <v>45.646999999999998</v>
      </c>
      <c r="AB68" s="46">
        <v>55.304000000000002</v>
      </c>
      <c r="AC68" s="46">
        <v>39.594999999999999</v>
      </c>
      <c r="AD68" s="46">
        <v>57.993000000000002</v>
      </c>
      <c r="AE68" s="46">
        <v>24.504000000000001</v>
      </c>
      <c r="AF68" s="46">
        <v>67.415999999999997</v>
      </c>
      <c r="AG68" s="46">
        <v>25.914999999999999</v>
      </c>
      <c r="AH68" s="46">
        <v>25.914999999999999</v>
      </c>
      <c r="ALQ68" s="4" t="e">
        <v>#N/A</v>
      </c>
    </row>
    <row r="69" spans="1:1005" ht="14.5" x14ac:dyDescent="0.35">
      <c r="A69" s="41"/>
      <c r="B69" s="15"/>
      <c r="C69" s="13"/>
      <c r="D69" s="45"/>
      <c r="E69" s="1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LQ69" s="4" t="e">
        <v>#N/A</v>
      </c>
    </row>
    <row r="70" spans="1:1005" ht="14.5" x14ac:dyDescent="0.35">
      <c r="A70" s="41"/>
      <c r="B70" s="15"/>
      <c r="C70" s="13"/>
      <c r="D70" s="45"/>
      <c r="E70" s="1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LQ70" s="4" t="e">
        <v>#N/A</v>
      </c>
    </row>
    <row r="71" spans="1:1005" ht="14.5" x14ac:dyDescent="0.35">
      <c r="A71" s="41"/>
      <c r="B71" s="15"/>
      <c r="C71" s="13"/>
      <c r="D71" s="45"/>
      <c r="E71" s="1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LQ71" s="4" t="e">
        <v>#N/A</v>
      </c>
    </row>
    <row r="72" spans="1:1005" ht="14.5" x14ac:dyDescent="0.35">
      <c r="A72" s="41"/>
      <c r="B72" s="15"/>
      <c r="C72" s="13"/>
      <c r="D72" s="14"/>
      <c r="E72"/>
      <c r="F72"/>
      <c r="G72"/>
      <c r="H72"/>
      <c r="I72"/>
      <c r="J72"/>
      <c r="K72"/>
      <c r="L72"/>
      <c r="M72"/>
      <c r="N72"/>
      <c r="O72"/>
      <c r="P72"/>
      <c r="Q72"/>
      <c r="R72"/>
      <c r="S72"/>
      <c r="T72"/>
      <c r="U72"/>
      <c r="V72"/>
      <c r="W72"/>
      <c r="X72"/>
      <c r="Y72"/>
      <c r="Z72"/>
      <c r="AA72"/>
      <c r="AB72"/>
      <c r="AC72"/>
      <c r="AD72"/>
      <c r="AE72"/>
      <c r="AF72"/>
      <c r="ALQ72" s="4" t="e">
        <v>#N/A</v>
      </c>
    </row>
    <row r="73" spans="1:1005" ht="14.5" x14ac:dyDescent="0.35">
      <c r="A73" s="41"/>
      <c r="B73" s="15"/>
      <c r="C73" s="13"/>
      <c r="D73" s="14"/>
      <c r="E73"/>
      <c r="F73"/>
      <c r="G73"/>
      <c r="H73"/>
      <c r="I73"/>
      <c r="J73"/>
      <c r="K73"/>
      <c r="L73"/>
      <c r="M73"/>
      <c r="N73"/>
      <c r="O73"/>
      <c r="P73"/>
      <c r="Q73"/>
      <c r="R73"/>
      <c r="S73"/>
      <c r="T73"/>
      <c r="U73"/>
      <c r="V73"/>
      <c r="W73"/>
      <c r="X73"/>
      <c r="Y73"/>
      <c r="Z73"/>
      <c r="AA73"/>
      <c r="AB73"/>
      <c r="AC73"/>
      <c r="AD73"/>
      <c r="AE73"/>
      <c r="AF73"/>
    </row>
    <row r="74" spans="1:1005" ht="14.5" x14ac:dyDescent="0.35">
      <c r="A74" s="41"/>
      <c r="B74" s="15"/>
      <c r="C74" s="13"/>
      <c r="D74" s="14"/>
      <c r="E74"/>
      <c r="F74"/>
      <c r="G74"/>
      <c r="H74"/>
      <c r="I74"/>
      <c r="J74"/>
      <c r="K74"/>
      <c r="L74"/>
      <c r="M74"/>
      <c r="N74"/>
      <c r="O74"/>
      <c r="P74"/>
      <c r="Q74"/>
      <c r="R74"/>
      <c r="S74"/>
      <c r="T74"/>
      <c r="U74"/>
      <c r="V74"/>
      <c r="W74"/>
      <c r="X74"/>
      <c r="Y74"/>
      <c r="Z74"/>
      <c r="AA74"/>
      <c r="AB74"/>
      <c r="AC74"/>
      <c r="AD74"/>
      <c r="AE74"/>
      <c r="AF74"/>
    </row>
    <row r="75" spans="1:1005" ht="14.5" x14ac:dyDescent="0.35">
      <c r="A75" s="41"/>
      <c r="B75" s="15"/>
      <c r="C75" s="13"/>
      <c r="D75" s="14"/>
      <c r="E75"/>
      <c r="F75"/>
      <c r="G75"/>
      <c r="H75"/>
      <c r="I75"/>
      <c r="J75"/>
      <c r="K75"/>
      <c r="L75"/>
      <c r="M75"/>
      <c r="N75"/>
      <c r="O75"/>
      <c r="P75"/>
      <c r="Q75"/>
      <c r="R75"/>
      <c r="S75"/>
      <c r="T75"/>
      <c r="U75"/>
      <c r="V75"/>
      <c r="W75"/>
      <c r="X75"/>
      <c r="Y75"/>
      <c r="Z75"/>
      <c r="AA75"/>
      <c r="AB75"/>
      <c r="AC75"/>
      <c r="AD75"/>
      <c r="AE75"/>
      <c r="AF75"/>
    </row>
    <row r="76" spans="1:1005" ht="14.5" x14ac:dyDescent="0.35">
      <c r="A76" s="41"/>
      <c r="B76" s="15"/>
      <c r="C76" s="13"/>
      <c r="D76" s="14"/>
      <c r="E76"/>
      <c r="F76"/>
      <c r="G76"/>
      <c r="H76"/>
      <c r="I76"/>
      <c r="J76"/>
      <c r="K76"/>
      <c r="L76"/>
      <c r="M76"/>
      <c r="N76"/>
      <c r="O76"/>
      <c r="P76"/>
      <c r="Q76"/>
      <c r="R76"/>
      <c r="S76"/>
      <c r="T76"/>
      <c r="U76"/>
      <c r="V76"/>
      <c r="W76"/>
      <c r="X76"/>
      <c r="Y76"/>
      <c r="Z76"/>
      <c r="AA76"/>
      <c r="AB76"/>
      <c r="AC76"/>
      <c r="AD76"/>
      <c r="AE76"/>
      <c r="AF76"/>
    </row>
    <row r="77" spans="1:1005" ht="14.5" x14ac:dyDescent="0.35">
      <c r="A77" s="41"/>
      <c r="B77" s="15"/>
      <c r="C77" s="13"/>
      <c r="D77" s="14"/>
      <c r="E77"/>
      <c r="F77"/>
      <c r="G77"/>
      <c r="H77"/>
      <c r="I77"/>
      <c r="J77"/>
      <c r="K77"/>
      <c r="L77"/>
      <c r="M77"/>
      <c r="N77"/>
      <c r="O77"/>
      <c r="P77"/>
      <c r="Q77"/>
      <c r="R77"/>
      <c r="S77"/>
      <c r="T77"/>
      <c r="U77"/>
      <c r="V77"/>
      <c r="W77"/>
      <c r="X77"/>
      <c r="Y77"/>
      <c r="Z77"/>
      <c r="AA77"/>
      <c r="AB77"/>
      <c r="AC77"/>
      <c r="AD77"/>
      <c r="AE77"/>
      <c r="AF77"/>
    </row>
    <row r="78" spans="1:1005" ht="14.5" x14ac:dyDescent="0.35">
      <c r="A78" s="41"/>
      <c r="B78" s="15"/>
      <c r="C78" s="13"/>
      <c r="D78" s="14"/>
      <c r="E78"/>
      <c r="F78"/>
      <c r="G78"/>
      <c r="H78"/>
      <c r="I78"/>
      <c r="J78"/>
      <c r="K78"/>
      <c r="L78"/>
      <c r="M78"/>
      <c r="N78"/>
      <c r="O78"/>
      <c r="P78"/>
      <c r="Q78"/>
      <c r="R78"/>
      <c r="S78"/>
      <c r="T78"/>
      <c r="U78"/>
      <c r="V78"/>
      <c r="W78"/>
      <c r="X78"/>
      <c r="Y78"/>
      <c r="Z78"/>
      <c r="AA78"/>
      <c r="AB78"/>
      <c r="AC78"/>
      <c r="AD78"/>
      <c r="AE78"/>
      <c r="AF78"/>
    </row>
    <row r="79" spans="1:1005" ht="14.5" x14ac:dyDescent="0.35">
      <c r="A79" s="41"/>
      <c r="B79" s="15"/>
      <c r="C79" s="13"/>
      <c r="D79" s="14"/>
      <c r="E79"/>
      <c r="F79"/>
      <c r="G79"/>
      <c r="H79"/>
      <c r="I79"/>
      <c r="J79"/>
      <c r="K79"/>
      <c r="L79"/>
      <c r="M79"/>
      <c r="N79"/>
      <c r="O79"/>
      <c r="P79"/>
      <c r="Q79"/>
      <c r="R79"/>
      <c r="S79"/>
      <c r="T79"/>
      <c r="U79"/>
      <c r="V79"/>
      <c r="W79"/>
      <c r="X79"/>
      <c r="Y79"/>
      <c r="Z79"/>
      <c r="AA79"/>
      <c r="AB79"/>
      <c r="AC79"/>
      <c r="AD79"/>
      <c r="AE79"/>
      <c r="AF79"/>
    </row>
    <row r="80" spans="1:1005" ht="14.5" x14ac:dyDescent="0.35">
      <c r="A80" s="41"/>
      <c r="B80" s="15"/>
      <c r="C80" s="13"/>
      <c r="D80" s="14"/>
      <c r="E80"/>
      <c r="F80"/>
      <c r="G80"/>
      <c r="H80"/>
      <c r="I80"/>
      <c r="J80"/>
      <c r="K80"/>
      <c r="L80"/>
      <c r="M80"/>
      <c r="N80"/>
      <c r="O80"/>
      <c r="P80"/>
      <c r="Q80"/>
      <c r="R80"/>
      <c r="S80"/>
      <c r="T80"/>
      <c r="U80"/>
      <c r="V80"/>
      <c r="W80"/>
      <c r="X80"/>
      <c r="Y80"/>
      <c r="Z80"/>
      <c r="AA80"/>
      <c r="AB80"/>
      <c r="AC80"/>
      <c r="AD80"/>
      <c r="AE80"/>
      <c r="AF80"/>
    </row>
    <row r="81" spans="1:4" ht="12.75" customHeight="1" x14ac:dyDescent="0.35">
      <c r="A81" s="41"/>
      <c r="B81" s="18"/>
      <c r="C81" s="19"/>
      <c r="D81" s="20"/>
    </row>
    <row r="82" spans="1:4" ht="12.75" customHeight="1" x14ac:dyDescent="0.35">
      <c r="A82" s="41"/>
      <c r="B82" s="18"/>
      <c r="C82" s="19"/>
      <c r="D82" s="20"/>
    </row>
    <row r="83" spans="1:4" ht="12.75" customHeight="1" x14ac:dyDescent="0.35">
      <c r="A83" s="41"/>
      <c r="B83" s="18"/>
      <c r="C83" s="19"/>
      <c r="D83" s="20"/>
    </row>
    <row r="84" spans="1:4" ht="12.75" customHeight="1" x14ac:dyDescent="0.35">
      <c r="A84" s="41"/>
      <c r="B84" s="18"/>
      <c r="C84" s="19"/>
      <c r="D84" s="20"/>
    </row>
  </sheetData>
  <mergeCells count="1">
    <mergeCell ref="B1:A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3B9AA-7127-4B49-BE02-D2E1DFDA5A1E}">
  <sheetPr codeName="Sheet6">
    <tabColor rgb="FFFB8072"/>
  </sheetPr>
  <dimension ref="A1:ALQ84"/>
  <sheetViews>
    <sheetView topLeftCell="A40" workbookViewId="0">
      <selection activeCell="D4" sqref="D4"/>
    </sheetView>
  </sheetViews>
  <sheetFormatPr defaultColWidth="18.6328125" defaultRowHeight="12.75" customHeight="1" x14ac:dyDescent="0.35"/>
  <cols>
    <col min="1" max="1" width="7.54296875" style="3" customWidth="1"/>
    <col min="2" max="2" width="7.6328125" style="3" customWidth="1"/>
    <col min="3" max="3" width="8.36328125" style="3" customWidth="1"/>
    <col min="4" max="4" width="7.54296875" style="3" customWidth="1"/>
    <col min="5" max="6" width="9" style="4" customWidth="1"/>
    <col min="7" max="30" width="9" style="4" bestFit="1" customWidth="1"/>
    <col min="31" max="31" width="8.453125" style="32" customWidth="1"/>
    <col min="32" max="54" width="8.6328125" style="4" customWidth="1"/>
    <col min="55" max="16384" width="18.6328125" style="4"/>
  </cols>
  <sheetData>
    <row r="1" spans="1:39" ht="14.5" x14ac:dyDescent="0.35">
      <c r="A1" s="47"/>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3"/>
      <c r="AJ1" s="3"/>
      <c r="AK1" s="3"/>
      <c r="AL1" s="3"/>
      <c r="AM1" s="3"/>
    </row>
    <row r="2" spans="1:39" s="3" customFormat="1" ht="14.5" x14ac:dyDescent="0.35">
      <c r="A2" s="47"/>
      <c r="B2" s="49" t="s">
        <v>0</v>
      </c>
      <c r="C2" s="49" t="s">
        <v>1</v>
      </c>
      <c r="D2" s="49" t="s">
        <v>2</v>
      </c>
      <c r="E2" s="49">
        <v>1991</v>
      </c>
      <c r="F2" s="49">
        <v>1992</v>
      </c>
      <c r="G2" s="49">
        <v>1993</v>
      </c>
      <c r="H2" s="49">
        <v>1994</v>
      </c>
      <c r="I2" s="49">
        <v>1995</v>
      </c>
      <c r="J2" s="49">
        <v>1996</v>
      </c>
      <c r="K2" s="49">
        <v>1997</v>
      </c>
      <c r="L2" s="49">
        <v>1998</v>
      </c>
      <c r="M2" s="49">
        <v>1999</v>
      </c>
      <c r="N2" s="49">
        <v>2000</v>
      </c>
      <c r="O2" s="49">
        <v>2001</v>
      </c>
      <c r="P2" s="49">
        <v>2002</v>
      </c>
      <c r="Q2" s="49">
        <v>2003</v>
      </c>
      <c r="R2" s="49">
        <v>2004</v>
      </c>
      <c r="S2" s="49">
        <v>2005</v>
      </c>
      <c r="T2" s="49">
        <v>2006</v>
      </c>
      <c r="U2" s="49">
        <v>2007</v>
      </c>
      <c r="V2" s="49">
        <v>2008</v>
      </c>
      <c r="W2" s="49">
        <v>2009</v>
      </c>
      <c r="X2" s="49">
        <v>2010</v>
      </c>
      <c r="Y2" s="49">
        <v>2011</v>
      </c>
      <c r="Z2" s="49">
        <v>2012</v>
      </c>
      <c r="AA2" s="49">
        <v>2013</v>
      </c>
      <c r="AB2" s="49">
        <v>2014</v>
      </c>
      <c r="AC2" s="49">
        <v>2015</v>
      </c>
      <c r="AD2" s="49">
        <v>2016</v>
      </c>
      <c r="AE2" s="50">
        <v>2017</v>
      </c>
      <c r="AF2" s="49">
        <v>2018</v>
      </c>
      <c r="AG2" s="49">
        <v>2019</v>
      </c>
      <c r="AH2" s="49">
        <v>2020</v>
      </c>
    </row>
    <row r="3" spans="1:39" s="3" customFormat="1" ht="14.5" x14ac:dyDescent="0.35">
      <c r="A3" s="51"/>
      <c r="B3" s="52" t="s">
        <v>3</v>
      </c>
      <c r="C3" s="52" t="s">
        <v>4</v>
      </c>
      <c r="D3" s="52" t="s">
        <v>5</v>
      </c>
      <c r="E3" s="52" t="s">
        <v>6</v>
      </c>
      <c r="F3" s="52" t="s">
        <v>7</v>
      </c>
      <c r="G3" s="52" t="s">
        <v>8</v>
      </c>
      <c r="H3" s="52" t="s">
        <v>9</v>
      </c>
      <c r="I3" s="52" t="s">
        <v>10</v>
      </c>
      <c r="J3" s="52" t="s">
        <v>11</v>
      </c>
      <c r="K3" s="52" t="s">
        <v>12</v>
      </c>
      <c r="L3" s="52" t="s">
        <v>13</v>
      </c>
      <c r="M3" s="52" t="s">
        <v>14</v>
      </c>
      <c r="N3" s="52" t="s">
        <v>15</v>
      </c>
      <c r="O3" s="52" t="s">
        <v>16</v>
      </c>
      <c r="P3" s="52" t="s">
        <v>17</v>
      </c>
      <c r="Q3" s="52" t="s">
        <v>18</v>
      </c>
      <c r="R3" s="52" t="s">
        <v>19</v>
      </c>
      <c r="S3" s="52" t="s">
        <v>20</v>
      </c>
      <c r="T3" s="52" t="s">
        <v>21</v>
      </c>
      <c r="U3" s="52" t="s">
        <v>22</v>
      </c>
      <c r="V3" s="52" t="s">
        <v>23</v>
      </c>
      <c r="W3" s="52" t="s">
        <v>24</v>
      </c>
      <c r="X3" s="52" t="s">
        <v>25</v>
      </c>
      <c r="Y3" s="52" t="s">
        <v>26</v>
      </c>
      <c r="Z3" s="52" t="s">
        <v>27</v>
      </c>
      <c r="AA3" s="52" t="s">
        <v>28</v>
      </c>
      <c r="AB3" s="52" t="s">
        <v>29</v>
      </c>
      <c r="AC3" s="52" t="s">
        <v>30</v>
      </c>
      <c r="AD3" s="52" t="s">
        <v>31</v>
      </c>
      <c r="AE3" s="52" t="s">
        <v>32</v>
      </c>
      <c r="AF3" s="52" t="s">
        <v>33</v>
      </c>
      <c r="AG3" s="52" t="s">
        <v>34</v>
      </c>
      <c r="AH3" s="52" t="s">
        <v>35</v>
      </c>
    </row>
    <row r="4" spans="1:39" ht="14.5" x14ac:dyDescent="0.35">
      <c r="A4" s="53">
        <v>46143</v>
      </c>
      <c r="B4" s="30">
        <v>517</v>
      </c>
      <c r="C4" s="31">
        <v>54</v>
      </c>
      <c r="D4" s="9">
        <v>180</v>
      </c>
      <c r="E4">
        <v>51.395000000000003</v>
      </c>
      <c r="F4">
        <v>348.96</v>
      </c>
      <c r="G4">
        <v>269.28100000000001</v>
      </c>
      <c r="H4" s="4">
        <v>158.18700000000001</v>
      </c>
      <c r="I4" s="4">
        <v>510.75200000000001</v>
      </c>
      <c r="J4" s="4">
        <v>135.529</v>
      </c>
      <c r="K4" s="4">
        <v>232.89099999999999</v>
      </c>
      <c r="L4" s="4">
        <v>70.602999999999994</v>
      </c>
      <c r="M4" s="4">
        <v>225.964</v>
      </c>
      <c r="N4" s="4">
        <v>231.63</v>
      </c>
      <c r="O4" s="4">
        <v>330</v>
      </c>
      <c r="P4" s="4">
        <v>0.78600000000000003</v>
      </c>
      <c r="Q4" s="4">
        <v>257.72300000000001</v>
      </c>
      <c r="R4" s="4">
        <v>157.84299999999999</v>
      </c>
      <c r="S4" s="4">
        <v>245.381</v>
      </c>
      <c r="T4" s="4">
        <v>153.23400000000001</v>
      </c>
      <c r="U4" s="4">
        <v>334.9</v>
      </c>
      <c r="V4" s="4">
        <v>161.762</v>
      </c>
      <c r="W4" s="4">
        <v>268.07600000000002</v>
      </c>
      <c r="X4" s="4">
        <v>43.182000000000002</v>
      </c>
      <c r="Y4" s="4">
        <v>168.43799999999999</v>
      </c>
      <c r="Z4" s="4">
        <v>130.101</v>
      </c>
      <c r="AA4" s="4">
        <v>183.059</v>
      </c>
      <c r="AB4" s="4">
        <v>176.941</v>
      </c>
      <c r="AC4" s="4">
        <v>442.60399999999998</v>
      </c>
      <c r="AD4" s="4">
        <v>445.834</v>
      </c>
      <c r="AE4" s="4">
        <v>154.46100000000001</v>
      </c>
      <c r="AF4" s="4">
        <v>262.38600000000002</v>
      </c>
      <c r="AG4" s="4">
        <v>117.187</v>
      </c>
      <c r="AH4" s="32">
        <v>137.93700000000001</v>
      </c>
    </row>
    <row r="5" spans="1:39" ht="14.5" x14ac:dyDescent="0.35">
      <c r="A5" s="53">
        <v>46174</v>
      </c>
      <c r="B5" s="33">
        <v>631</v>
      </c>
      <c r="C5" s="8">
        <v>66</v>
      </c>
      <c r="D5" s="11">
        <v>220</v>
      </c>
      <c r="E5">
        <v>273.85300000000001</v>
      </c>
      <c r="F5">
        <v>231.42699999999999</v>
      </c>
      <c r="G5">
        <v>270.76799999999997</v>
      </c>
      <c r="H5" s="4">
        <v>40.421999999999997</v>
      </c>
      <c r="I5" s="4">
        <v>910.38199999999995</v>
      </c>
      <c r="J5" s="4">
        <v>70.995000000000005</v>
      </c>
      <c r="K5" s="4">
        <v>315.69200000000001</v>
      </c>
      <c r="L5" s="4">
        <v>133.90799999999999</v>
      </c>
      <c r="M5" s="4">
        <v>388.23599999999999</v>
      </c>
      <c r="N5" s="4">
        <v>113.59</v>
      </c>
      <c r="O5" s="4">
        <v>87.793000000000006</v>
      </c>
      <c r="P5" s="4">
        <v>25.94</v>
      </c>
      <c r="Q5" s="4">
        <v>257.80099999999999</v>
      </c>
      <c r="R5" s="4">
        <v>3.032</v>
      </c>
      <c r="S5" s="4">
        <v>258.06799999999998</v>
      </c>
      <c r="T5" s="4">
        <v>28.385999999999999</v>
      </c>
      <c r="U5" s="4">
        <v>82.248999999999995</v>
      </c>
      <c r="V5" s="4">
        <v>234.83600000000001</v>
      </c>
      <c r="W5" s="4">
        <v>208.57300000000001</v>
      </c>
      <c r="X5" s="4">
        <v>296.06599999999997</v>
      </c>
      <c r="Y5" s="4">
        <v>358.72</v>
      </c>
      <c r="Z5" s="4">
        <v>-22.666</v>
      </c>
      <c r="AA5" s="4">
        <v>93.912000000000006</v>
      </c>
      <c r="AB5" s="4">
        <v>241.35599999999999</v>
      </c>
      <c r="AC5" s="4">
        <v>728.78200000000004</v>
      </c>
      <c r="AD5" s="4">
        <v>250.952</v>
      </c>
      <c r="AE5" s="4">
        <v>164.434</v>
      </c>
      <c r="AF5" s="4">
        <v>33.088999999999999</v>
      </c>
      <c r="AG5" s="4">
        <v>473.61099999999999</v>
      </c>
      <c r="AH5" s="32">
        <v>82.558999999999997</v>
      </c>
    </row>
    <row r="6" spans="1:39" ht="14.5" x14ac:dyDescent="0.35">
      <c r="A6" s="53">
        <v>46204</v>
      </c>
      <c r="B6" s="33">
        <v>80</v>
      </c>
      <c r="C6" s="8">
        <v>8</v>
      </c>
      <c r="D6" s="11">
        <v>28</v>
      </c>
      <c r="E6">
        <v>60.514000000000003</v>
      </c>
      <c r="F6">
        <v>27.306999999999999</v>
      </c>
      <c r="G6">
        <v>42.362000000000002</v>
      </c>
      <c r="H6" s="4">
        <v>-71.661000000000001</v>
      </c>
      <c r="I6" s="4">
        <v>531.827</v>
      </c>
      <c r="J6" s="4">
        <v>0.95499999999999996</v>
      </c>
      <c r="K6" s="4">
        <v>39.409999999999997</v>
      </c>
      <c r="L6" s="4">
        <v>105.63800000000001</v>
      </c>
      <c r="M6" s="4">
        <v>149.86099999999999</v>
      </c>
      <c r="N6" s="4">
        <v>-44.826999999999998</v>
      </c>
      <c r="O6" s="4">
        <v>-40.640999999999998</v>
      </c>
      <c r="P6" s="4">
        <v>-52.164000000000001</v>
      </c>
      <c r="Q6" s="4">
        <v>-9.0190000000000001</v>
      </c>
      <c r="R6" s="4">
        <v>28.693000000000001</v>
      </c>
      <c r="S6" s="4">
        <v>80.450999999999993</v>
      </c>
      <c r="T6" s="4">
        <v>-60.921999999999997</v>
      </c>
      <c r="U6" s="4">
        <v>-52.671999999999997</v>
      </c>
      <c r="V6" s="4">
        <v>58.23</v>
      </c>
      <c r="W6" s="4">
        <v>115.339</v>
      </c>
      <c r="X6" s="4">
        <v>107.08</v>
      </c>
      <c r="Y6" s="4">
        <v>170.684</v>
      </c>
      <c r="Z6" s="4">
        <v>-37.886000000000003</v>
      </c>
      <c r="AA6" s="4">
        <v>-32.264000000000003</v>
      </c>
      <c r="AB6" s="4">
        <v>6.6740000000000004</v>
      </c>
      <c r="AC6" s="4">
        <v>251.49100000000001</v>
      </c>
      <c r="AD6" s="4">
        <v>31.536000000000001</v>
      </c>
      <c r="AE6" s="4">
        <v>-1.6519999999999999</v>
      </c>
      <c r="AF6" s="4">
        <v>-31.591000000000001</v>
      </c>
      <c r="AG6" s="4">
        <v>207.43</v>
      </c>
      <c r="AH6" s="32">
        <v>-19.372</v>
      </c>
    </row>
    <row r="7" spans="1:39" ht="14.5" x14ac:dyDescent="0.35">
      <c r="A7" s="53">
        <v>46235</v>
      </c>
      <c r="B7" s="33">
        <v>181</v>
      </c>
      <c r="C7" s="8">
        <v>107</v>
      </c>
      <c r="D7" s="11">
        <v>100</v>
      </c>
      <c r="E7">
        <v>108.26900000000001</v>
      </c>
      <c r="F7">
        <v>107.994</v>
      </c>
      <c r="G7">
        <v>138.624</v>
      </c>
      <c r="H7" s="4">
        <v>21.181000000000001</v>
      </c>
      <c r="I7" s="4">
        <v>238.626</v>
      </c>
      <c r="J7" s="4">
        <v>31.34</v>
      </c>
      <c r="K7" s="4">
        <v>190.30199999999999</v>
      </c>
      <c r="L7" s="4">
        <v>122.733</v>
      </c>
      <c r="M7" s="4">
        <v>242.351</v>
      </c>
      <c r="N7" s="4">
        <v>31.420999999999999</v>
      </c>
      <c r="O7" s="4">
        <v>78.507000000000005</v>
      </c>
      <c r="P7" s="4">
        <v>26.898</v>
      </c>
      <c r="Q7" s="4">
        <v>60.406999999999996</v>
      </c>
      <c r="R7" s="4">
        <v>67.694000000000003</v>
      </c>
      <c r="S7" s="4">
        <v>104.08</v>
      </c>
      <c r="T7" s="4">
        <v>66.010999999999996</v>
      </c>
      <c r="U7" s="4">
        <v>97.441000000000003</v>
      </c>
      <c r="V7" s="4">
        <v>91.405000000000001</v>
      </c>
      <c r="W7" s="4">
        <v>90.081000000000003</v>
      </c>
      <c r="X7" s="4">
        <v>143.66800000000001</v>
      </c>
      <c r="Y7" s="4">
        <v>126.04600000000001</v>
      </c>
      <c r="Z7" s="4">
        <v>47.850999999999999</v>
      </c>
      <c r="AA7" s="4">
        <v>105.32</v>
      </c>
      <c r="AB7" s="4">
        <v>105.495</v>
      </c>
      <c r="AC7" s="4">
        <v>149.82599999999999</v>
      </c>
      <c r="AD7" s="4">
        <v>118.358</v>
      </c>
      <c r="AE7" s="4">
        <v>71.319999999999993</v>
      </c>
      <c r="AF7" s="4">
        <v>36.460999999999999</v>
      </c>
      <c r="AG7" s="4">
        <v>102.559</v>
      </c>
      <c r="AH7" s="32">
        <v>35.436999999999998</v>
      </c>
    </row>
    <row r="8" spans="1:39" ht="14.5" x14ac:dyDescent="0.35">
      <c r="A8" s="53">
        <v>46266</v>
      </c>
      <c r="B8" s="33">
        <v>273</v>
      </c>
      <c r="C8" s="8">
        <v>178</v>
      </c>
      <c r="D8" s="11">
        <v>150</v>
      </c>
      <c r="E8">
        <v>200.61699999999999</v>
      </c>
      <c r="F8">
        <v>162.83699999999999</v>
      </c>
      <c r="G8">
        <v>209.90100000000001</v>
      </c>
      <c r="H8" s="4">
        <v>121.746</v>
      </c>
      <c r="I8" s="4">
        <v>205.875</v>
      </c>
      <c r="J8" s="4">
        <v>121.759</v>
      </c>
      <c r="K8" s="4">
        <v>291.608</v>
      </c>
      <c r="L8" s="4">
        <v>142.75700000000001</v>
      </c>
      <c r="M8" s="4">
        <v>232.989</v>
      </c>
      <c r="N8" s="4">
        <v>111.136</v>
      </c>
      <c r="O8" s="4">
        <v>99.501000000000005</v>
      </c>
      <c r="P8" s="4">
        <v>151.029</v>
      </c>
      <c r="Q8" s="4">
        <v>228.744</v>
      </c>
      <c r="R8" s="4">
        <v>172.2</v>
      </c>
      <c r="S8" s="4">
        <v>122.56100000000001</v>
      </c>
      <c r="T8" s="4">
        <v>142.59200000000001</v>
      </c>
      <c r="U8" s="4">
        <v>177.428</v>
      </c>
      <c r="V8" s="4">
        <v>148.971</v>
      </c>
      <c r="W8" s="4">
        <v>103.384</v>
      </c>
      <c r="X8" s="4">
        <v>129.226</v>
      </c>
      <c r="Y8" s="4">
        <v>160.499</v>
      </c>
      <c r="Z8" s="4">
        <v>83.516999999999996</v>
      </c>
      <c r="AA8" s="4">
        <v>307.82799999999997</v>
      </c>
      <c r="AB8" s="4">
        <v>204.601</v>
      </c>
      <c r="AC8" s="4">
        <v>164.82499999999999</v>
      </c>
      <c r="AD8" s="4">
        <v>194.95</v>
      </c>
      <c r="AE8" s="4">
        <v>98.308000000000007</v>
      </c>
      <c r="AF8" s="4">
        <v>76.228999999999999</v>
      </c>
      <c r="AG8" s="4">
        <v>112.658</v>
      </c>
      <c r="AH8" s="32">
        <v>95.204999999999998</v>
      </c>
    </row>
    <row r="9" spans="1:39" ht="14.5" x14ac:dyDescent="0.35">
      <c r="A9" s="53">
        <v>46296</v>
      </c>
      <c r="B9" s="33">
        <v>516</v>
      </c>
      <c r="C9" s="8">
        <v>350</v>
      </c>
      <c r="D9" s="11">
        <v>271</v>
      </c>
      <c r="E9">
        <v>214.34899999999999</v>
      </c>
      <c r="F9">
        <v>202.88300000000001</v>
      </c>
      <c r="G9">
        <v>296.221</v>
      </c>
      <c r="H9" s="4">
        <v>304.27100000000002</v>
      </c>
      <c r="I9" s="4">
        <v>354.53399999999999</v>
      </c>
      <c r="J9" s="4">
        <v>316.03199999999998</v>
      </c>
      <c r="K9" s="4">
        <v>554.86900000000003</v>
      </c>
      <c r="L9" s="4">
        <v>296.03899999999999</v>
      </c>
      <c r="M9" s="4">
        <v>230.64699999999999</v>
      </c>
      <c r="N9" s="4">
        <v>303.101</v>
      </c>
      <c r="O9" s="4">
        <v>179.12799999999999</v>
      </c>
      <c r="P9" s="4">
        <v>293.92</v>
      </c>
      <c r="Q9" s="4">
        <v>239.68899999999999</v>
      </c>
      <c r="R9" s="4">
        <v>376.47500000000002</v>
      </c>
      <c r="S9" s="4">
        <v>360.50299999999999</v>
      </c>
      <c r="T9" s="4">
        <v>846.34</v>
      </c>
      <c r="U9" s="4">
        <v>395.72</v>
      </c>
      <c r="V9" s="4">
        <v>232.268</v>
      </c>
      <c r="W9" s="4">
        <v>221.79900000000001</v>
      </c>
      <c r="X9" s="4">
        <v>324.07499999999999</v>
      </c>
      <c r="Y9" s="4">
        <v>328.55</v>
      </c>
      <c r="Z9" s="4">
        <v>173.548</v>
      </c>
      <c r="AA9" s="4">
        <v>481.56400000000002</v>
      </c>
      <c r="AB9" s="4">
        <v>482.89</v>
      </c>
      <c r="AC9" s="4">
        <v>329.42700000000002</v>
      </c>
      <c r="AD9" s="4">
        <v>328.10399999999998</v>
      </c>
      <c r="AE9" s="4">
        <v>296.41899999999998</v>
      </c>
      <c r="AF9" s="4">
        <v>284.13299999999998</v>
      </c>
      <c r="AG9" s="4">
        <v>222.27500000000001</v>
      </c>
      <c r="AH9" s="32">
        <v>201.608</v>
      </c>
    </row>
    <row r="10" spans="1:39" ht="14.5" x14ac:dyDescent="0.35">
      <c r="A10" s="53">
        <v>46327</v>
      </c>
      <c r="B10" s="33">
        <v>456</v>
      </c>
      <c r="C10" s="8">
        <v>429</v>
      </c>
      <c r="D10" s="11">
        <v>371</v>
      </c>
      <c r="E10">
        <v>330.94600000000003</v>
      </c>
      <c r="F10">
        <v>288.49799999999999</v>
      </c>
      <c r="G10">
        <v>340.32299999999998</v>
      </c>
      <c r="H10" s="4">
        <v>355.92200000000003</v>
      </c>
      <c r="I10" s="4">
        <v>370.096</v>
      </c>
      <c r="J10" s="4">
        <v>377.899</v>
      </c>
      <c r="K10" s="4">
        <v>406.50400000000002</v>
      </c>
      <c r="L10" s="4">
        <v>424.58300000000003</v>
      </c>
      <c r="M10" s="4">
        <v>275.25200000000001</v>
      </c>
      <c r="N10" s="4">
        <v>320.74</v>
      </c>
      <c r="O10" s="4">
        <v>272.32100000000003</v>
      </c>
      <c r="P10" s="4">
        <v>315.16399999999999</v>
      </c>
      <c r="Q10" s="4">
        <v>303.56099999999998</v>
      </c>
      <c r="R10" s="4">
        <v>504.67200000000003</v>
      </c>
      <c r="S10" s="4">
        <v>386.10500000000002</v>
      </c>
      <c r="T10" s="4">
        <v>458.387</v>
      </c>
      <c r="U10" s="4">
        <v>388.26400000000001</v>
      </c>
      <c r="V10" s="4">
        <v>297.93200000000002</v>
      </c>
      <c r="W10" s="4">
        <v>312.08199999999999</v>
      </c>
      <c r="X10" s="4">
        <v>356.98099999999999</v>
      </c>
      <c r="Y10" s="4">
        <v>360.358</v>
      </c>
      <c r="Z10" s="4">
        <v>245.04599999999999</v>
      </c>
      <c r="AA10" s="4">
        <v>429.95600000000002</v>
      </c>
      <c r="AB10" s="4">
        <v>367.59300000000002</v>
      </c>
      <c r="AC10" s="4">
        <v>356.99</v>
      </c>
      <c r="AD10" s="4">
        <v>345.07100000000003</v>
      </c>
      <c r="AE10" s="4">
        <v>301.87700000000001</v>
      </c>
      <c r="AF10" s="4">
        <v>313.238</v>
      </c>
      <c r="AG10" s="4">
        <v>300.26799999999997</v>
      </c>
      <c r="AH10" s="32">
        <v>327.697</v>
      </c>
    </row>
    <row r="11" spans="1:39" ht="14.5" x14ac:dyDescent="0.35">
      <c r="A11" s="53">
        <v>46357</v>
      </c>
      <c r="B11" s="33">
        <v>354</v>
      </c>
      <c r="C11" s="8">
        <v>347</v>
      </c>
      <c r="D11" s="11">
        <v>361</v>
      </c>
      <c r="E11">
        <v>284.52800000000002</v>
      </c>
      <c r="F11">
        <v>249.55</v>
      </c>
      <c r="G11">
        <v>257.62599999999998</v>
      </c>
      <c r="H11" s="4">
        <v>277.589</v>
      </c>
      <c r="I11" s="4">
        <v>337.64800000000002</v>
      </c>
      <c r="J11" s="4">
        <v>352.03399999999999</v>
      </c>
      <c r="K11" s="4">
        <v>294.81299999999999</v>
      </c>
      <c r="L11" s="4">
        <v>320.57100000000003</v>
      </c>
      <c r="M11" s="4">
        <v>250.90100000000001</v>
      </c>
      <c r="N11" s="4">
        <v>248.10900000000001</v>
      </c>
      <c r="O11" s="4">
        <v>250.047</v>
      </c>
      <c r="P11" s="4">
        <v>255.00899999999999</v>
      </c>
      <c r="Q11" s="4">
        <v>277.98399999999998</v>
      </c>
      <c r="R11" s="4">
        <v>310.72500000000002</v>
      </c>
      <c r="S11" s="4">
        <v>279.88299999999998</v>
      </c>
      <c r="T11" s="4">
        <v>313.553</v>
      </c>
      <c r="U11" s="4">
        <v>329.673</v>
      </c>
      <c r="V11" s="4">
        <v>273.18799999999999</v>
      </c>
      <c r="W11" s="4">
        <v>268.904</v>
      </c>
      <c r="X11" s="4">
        <v>322.68799999999999</v>
      </c>
      <c r="Y11" s="4">
        <v>286.61399999999998</v>
      </c>
      <c r="Z11" s="4">
        <v>236.702</v>
      </c>
      <c r="AA11" s="4">
        <v>300.13799999999998</v>
      </c>
      <c r="AB11" s="4">
        <v>294.91899999999998</v>
      </c>
      <c r="AC11" s="4">
        <v>295.125</v>
      </c>
      <c r="AD11" s="4">
        <v>298.30700000000002</v>
      </c>
      <c r="AE11" s="4">
        <v>270.19200000000001</v>
      </c>
      <c r="AF11" s="4">
        <v>249.92699999999999</v>
      </c>
      <c r="AG11" s="4">
        <v>294.99099999999999</v>
      </c>
      <c r="AH11" s="32">
        <v>274.56700000000001</v>
      </c>
    </row>
    <row r="12" spans="1:39" ht="14.5" x14ac:dyDescent="0.35">
      <c r="A12" s="53">
        <v>46388</v>
      </c>
      <c r="B12" s="33">
        <v>364</v>
      </c>
      <c r="C12" s="8">
        <v>333</v>
      </c>
      <c r="D12" s="11">
        <v>350</v>
      </c>
      <c r="E12">
        <v>237.875</v>
      </c>
      <c r="F12">
        <v>320.98500000000001</v>
      </c>
      <c r="G12">
        <v>220.874</v>
      </c>
      <c r="H12" s="4">
        <v>261.40300000000002</v>
      </c>
      <c r="I12" s="4">
        <v>284.238</v>
      </c>
      <c r="J12" s="4">
        <v>313.99200000000002</v>
      </c>
      <c r="K12" s="4">
        <v>257.84399999999999</v>
      </c>
      <c r="L12" s="4">
        <v>251.779</v>
      </c>
      <c r="M12" s="4">
        <v>229.02600000000001</v>
      </c>
      <c r="N12" s="4">
        <v>224.821</v>
      </c>
      <c r="O12" s="4">
        <v>210.82599999999999</v>
      </c>
      <c r="P12" s="4">
        <v>217.92599999999999</v>
      </c>
      <c r="Q12" s="4">
        <v>239.60499999999999</v>
      </c>
      <c r="R12" s="4">
        <v>450.94799999999998</v>
      </c>
      <c r="S12" s="4">
        <v>250.58199999999999</v>
      </c>
      <c r="T12" s="4">
        <v>260.81400000000002</v>
      </c>
      <c r="U12" s="4">
        <v>261.30500000000001</v>
      </c>
      <c r="V12" s="4">
        <v>258.267</v>
      </c>
      <c r="W12" s="4">
        <v>234.334</v>
      </c>
      <c r="X12" s="4">
        <v>298.67899999999997</v>
      </c>
      <c r="Y12" s="4">
        <v>256.46800000000002</v>
      </c>
      <c r="Z12" s="4">
        <v>213.51400000000001</v>
      </c>
      <c r="AA12" s="4">
        <v>242.24299999999999</v>
      </c>
      <c r="AB12" s="4">
        <v>264.63099999999997</v>
      </c>
      <c r="AC12" s="4">
        <v>266.91300000000001</v>
      </c>
      <c r="AD12" s="4">
        <v>324.86799999999999</v>
      </c>
      <c r="AE12" s="4">
        <v>227.48</v>
      </c>
      <c r="AF12" s="4">
        <v>226.23</v>
      </c>
      <c r="AG12" s="4">
        <v>247.821</v>
      </c>
      <c r="AH12" s="32">
        <v>217.119</v>
      </c>
    </row>
    <row r="13" spans="1:39" ht="14.5" x14ac:dyDescent="0.35">
      <c r="A13" s="53">
        <v>46419</v>
      </c>
      <c r="B13" s="33">
        <v>398</v>
      </c>
      <c r="C13" s="8">
        <v>378</v>
      </c>
      <c r="D13" s="11">
        <v>397</v>
      </c>
      <c r="E13">
        <v>256.06900000000002</v>
      </c>
      <c r="F13">
        <v>420.93099999999998</v>
      </c>
      <c r="G13">
        <v>195.65299999999999</v>
      </c>
      <c r="H13" s="4">
        <v>281.084</v>
      </c>
      <c r="I13" s="4">
        <v>294.70699999999999</v>
      </c>
      <c r="J13" s="4">
        <v>288.35899999999998</v>
      </c>
      <c r="K13" s="4">
        <v>260.87299999999999</v>
      </c>
      <c r="L13" s="4">
        <v>242.62100000000001</v>
      </c>
      <c r="M13" s="4">
        <v>258.19600000000003</v>
      </c>
      <c r="N13" s="4">
        <v>206.17400000000001</v>
      </c>
      <c r="O13" s="4">
        <v>159.50700000000001</v>
      </c>
      <c r="P13" s="4">
        <v>235.44800000000001</v>
      </c>
      <c r="Q13" s="4">
        <v>207.648</v>
      </c>
      <c r="R13" s="4">
        <v>453.67</v>
      </c>
      <c r="S13" s="4">
        <v>204.54900000000001</v>
      </c>
      <c r="T13" s="4">
        <v>264.423</v>
      </c>
      <c r="U13" s="4">
        <v>243.30500000000001</v>
      </c>
      <c r="V13" s="4">
        <v>255.386</v>
      </c>
      <c r="W13" s="4">
        <v>264.61200000000002</v>
      </c>
      <c r="X13" s="4">
        <v>243.49299999999999</v>
      </c>
      <c r="Y13" s="4">
        <v>228.10300000000001</v>
      </c>
      <c r="Z13" s="4">
        <v>207.10499999999999</v>
      </c>
      <c r="AA13" s="4">
        <v>234.636</v>
      </c>
      <c r="AB13" s="4">
        <v>344.74299999999999</v>
      </c>
      <c r="AC13" s="4">
        <v>298.78699999999998</v>
      </c>
      <c r="AD13" s="4">
        <v>447.09</v>
      </c>
      <c r="AE13" s="4">
        <v>218.13300000000001</v>
      </c>
      <c r="AF13" s="4">
        <v>230.42099999999999</v>
      </c>
      <c r="AG13" s="4">
        <v>214.31700000000001</v>
      </c>
      <c r="AH13" s="32">
        <v>202.98099999999999</v>
      </c>
    </row>
    <row r="14" spans="1:39" ht="14.5" x14ac:dyDescent="0.35">
      <c r="A14" s="53">
        <v>46447</v>
      </c>
      <c r="B14" s="33">
        <v>660</v>
      </c>
      <c r="C14" s="8">
        <v>564</v>
      </c>
      <c r="D14" s="11">
        <v>614</v>
      </c>
      <c r="E14">
        <v>451.584</v>
      </c>
      <c r="F14">
        <v>497.67399999999998</v>
      </c>
      <c r="G14">
        <v>392.83499999999998</v>
      </c>
      <c r="H14" s="4">
        <v>808.25599999999997</v>
      </c>
      <c r="I14" s="4">
        <v>462.18200000000002</v>
      </c>
      <c r="J14" s="4">
        <v>626.72199999999998</v>
      </c>
      <c r="K14" s="4">
        <v>356.64600000000002</v>
      </c>
      <c r="L14" s="4">
        <v>346.334</v>
      </c>
      <c r="M14" s="4">
        <v>361.27499999999998</v>
      </c>
      <c r="N14" s="4">
        <v>397.733</v>
      </c>
      <c r="O14" s="4">
        <v>208.143</v>
      </c>
      <c r="P14" s="4">
        <v>392.94499999999999</v>
      </c>
      <c r="Q14" s="4">
        <v>531.96699999999998</v>
      </c>
      <c r="R14" s="4">
        <v>608.971</v>
      </c>
      <c r="S14" s="4">
        <v>304.49799999999999</v>
      </c>
      <c r="T14" s="4">
        <v>633.12900000000002</v>
      </c>
      <c r="U14" s="4">
        <v>343.76299999999998</v>
      </c>
      <c r="V14" s="4">
        <v>456.15499999999997</v>
      </c>
      <c r="W14" s="4">
        <v>404.48599999999999</v>
      </c>
      <c r="X14" s="4">
        <v>389.596</v>
      </c>
      <c r="Y14" s="4">
        <v>362.56299999999999</v>
      </c>
      <c r="Z14" s="4">
        <v>292.75599999999997</v>
      </c>
      <c r="AA14" s="4">
        <v>403.31900000000002</v>
      </c>
      <c r="AB14" s="4">
        <v>540.78300000000002</v>
      </c>
      <c r="AC14" s="4">
        <v>485.56299999999999</v>
      </c>
      <c r="AD14" s="4">
        <v>1037.175</v>
      </c>
      <c r="AE14" s="4">
        <v>277.19499999999999</v>
      </c>
      <c r="AF14" s="4">
        <v>472.26299999999998</v>
      </c>
      <c r="AG14" s="4">
        <v>370.541</v>
      </c>
      <c r="AH14" s="32">
        <v>326.55200000000002</v>
      </c>
    </row>
    <row r="15" spans="1:39" ht="14.5" x14ac:dyDescent="0.35">
      <c r="A15" s="53">
        <v>46478</v>
      </c>
      <c r="B15" s="33">
        <v>1106</v>
      </c>
      <c r="C15" s="8">
        <v>716</v>
      </c>
      <c r="D15" s="11">
        <v>920</v>
      </c>
      <c r="E15">
        <v>852.851</v>
      </c>
      <c r="F15">
        <v>1176.78</v>
      </c>
      <c r="G15">
        <v>620.39099999999996</v>
      </c>
      <c r="H15" s="4">
        <v>745.26300000000003</v>
      </c>
      <c r="I15" s="4">
        <v>792.91300000000001</v>
      </c>
      <c r="J15" s="4">
        <v>1171.287</v>
      </c>
      <c r="K15" s="4">
        <v>761.23</v>
      </c>
      <c r="L15" s="4">
        <v>488.30200000000002</v>
      </c>
      <c r="M15" s="4">
        <v>604.02099999999996</v>
      </c>
      <c r="N15" s="4">
        <v>656.59900000000005</v>
      </c>
      <c r="O15" s="4">
        <v>369.78199999999998</v>
      </c>
      <c r="P15" s="4">
        <v>530.39800000000002</v>
      </c>
      <c r="Q15" s="4">
        <v>1218.578</v>
      </c>
      <c r="R15" s="4">
        <v>1232.239</v>
      </c>
      <c r="S15" s="4">
        <v>795.68600000000004</v>
      </c>
      <c r="T15" s="4">
        <v>948.59100000000001</v>
      </c>
      <c r="U15" s="4">
        <v>552.88599999999997</v>
      </c>
      <c r="V15" s="4">
        <v>573.86</v>
      </c>
      <c r="W15" s="4">
        <v>534.48199999999997</v>
      </c>
      <c r="X15" s="4">
        <v>928.96500000000003</v>
      </c>
      <c r="Y15" s="4">
        <v>797.79899999999998</v>
      </c>
      <c r="Z15" s="4">
        <v>280.68799999999999</v>
      </c>
      <c r="AA15" s="4">
        <v>575.78800000000001</v>
      </c>
      <c r="AB15" s="4">
        <v>542.84500000000003</v>
      </c>
      <c r="AC15" s="4">
        <v>708.98800000000006</v>
      </c>
      <c r="AD15" s="4">
        <v>1685.067</v>
      </c>
      <c r="AE15" s="4">
        <v>305.96899999999999</v>
      </c>
      <c r="AF15" s="4">
        <v>1024.375</v>
      </c>
      <c r="AG15" s="4">
        <v>435.99</v>
      </c>
      <c r="AH15" s="32">
        <v>363.5</v>
      </c>
    </row>
    <row r="16" spans="1:39" ht="14.5" x14ac:dyDescent="0.35">
      <c r="A16" s="53">
        <v>46508</v>
      </c>
      <c r="B16" s="33">
        <v>2555</v>
      </c>
      <c r="C16" s="8">
        <v>1552</v>
      </c>
      <c r="D16" s="11">
        <v>2060</v>
      </c>
      <c r="E16">
        <v>1597.163</v>
      </c>
      <c r="F16">
        <v>3058.6950000000002</v>
      </c>
      <c r="G16">
        <v>1539.095</v>
      </c>
      <c r="H16" s="4">
        <v>2047.56</v>
      </c>
      <c r="I16" s="4">
        <v>2501.14</v>
      </c>
      <c r="J16" s="4">
        <v>3393.57</v>
      </c>
      <c r="K16" s="4">
        <v>2042.1320000000001</v>
      </c>
      <c r="L16" s="4">
        <v>1638.508</v>
      </c>
      <c r="M16" s="4">
        <v>1639.6189999999999</v>
      </c>
      <c r="N16" s="4">
        <v>1986.6510000000001</v>
      </c>
      <c r="O16" s="4">
        <v>165.31700000000001</v>
      </c>
      <c r="P16" s="4">
        <v>1242.9280000000001</v>
      </c>
      <c r="Q16" s="4">
        <v>1549.7840000000001</v>
      </c>
      <c r="R16" s="4">
        <v>2699.26</v>
      </c>
      <c r="S16" s="4">
        <v>1955.751</v>
      </c>
      <c r="T16" s="4">
        <v>1721.184</v>
      </c>
      <c r="U16" s="4">
        <v>1940.6289999999999</v>
      </c>
      <c r="V16" s="4">
        <v>2214.9050000000002</v>
      </c>
      <c r="W16" s="4">
        <v>700.67700000000002</v>
      </c>
      <c r="X16" s="4">
        <v>2005.4749999999999</v>
      </c>
      <c r="Y16" s="4">
        <v>947.98800000000006</v>
      </c>
      <c r="Z16" s="4">
        <v>607.596</v>
      </c>
      <c r="AA16" s="4">
        <v>1480.712</v>
      </c>
      <c r="AB16" s="4">
        <v>1072.019</v>
      </c>
      <c r="AC16" s="4">
        <v>1921.405</v>
      </c>
      <c r="AD16" s="4">
        <v>2171.3969999999999</v>
      </c>
      <c r="AE16" s="4">
        <v>920.12900000000002</v>
      </c>
      <c r="AF16" s="4">
        <v>2283.1590000000001</v>
      </c>
      <c r="AG16" s="4">
        <v>1181.4179999999999</v>
      </c>
      <c r="AH16" s="32">
        <v>774.83600000000001</v>
      </c>
    </row>
    <row r="17" spans="1:34" ht="14.5" x14ac:dyDescent="0.35">
      <c r="A17" s="53">
        <v>46539</v>
      </c>
      <c r="B17" s="33">
        <v>3265</v>
      </c>
      <c r="C17" s="8">
        <v>1570</v>
      </c>
      <c r="D17" s="11">
        <v>2423</v>
      </c>
      <c r="E17">
        <v>1049.2650000000001</v>
      </c>
      <c r="F17">
        <v>4259.4579999999996</v>
      </c>
      <c r="G17">
        <v>1400.346</v>
      </c>
      <c r="H17" s="4">
        <v>4555.152</v>
      </c>
      <c r="I17" s="4">
        <v>2633.761</v>
      </c>
      <c r="J17" s="4">
        <v>4472.4089999999997</v>
      </c>
      <c r="K17" s="4">
        <v>2182.64</v>
      </c>
      <c r="L17" s="4">
        <v>2920.7449999999999</v>
      </c>
      <c r="M17" s="4">
        <v>1226.8979999999999</v>
      </c>
      <c r="N17" s="4">
        <v>1443.6890000000001</v>
      </c>
      <c r="O17" s="4">
        <v>311.70400000000001</v>
      </c>
      <c r="P17" s="4">
        <v>2146.3009999999999</v>
      </c>
      <c r="Q17" s="4">
        <v>912.43299999999999</v>
      </c>
      <c r="R17" s="4">
        <v>3353.5970000000002</v>
      </c>
      <c r="S17" s="4">
        <v>1792.538</v>
      </c>
      <c r="T17" s="4">
        <v>1061.5170000000001</v>
      </c>
      <c r="U17" s="4">
        <v>3494.0830000000001</v>
      </c>
      <c r="V17" s="4">
        <v>2281.5700000000002</v>
      </c>
      <c r="W17" s="4">
        <v>2282.915</v>
      </c>
      <c r="X17" s="4">
        <v>4639.3530000000001</v>
      </c>
      <c r="Y17" s="4">
        <v>269.49200000000002</v>
      </c>
      <c r="Z17" s="4">
        <v>1138.211</v>
      </c>
      <c r="AA17" s="4">
        <v>2824.1010000000001</v>
      </c>
      <c r="AB17" s="4">
        <v>1990.8889999999999</v>
      </c>
      <c r="AC17" s="4">
        <v>2415.6460000000002</v>
      </c>
      <c r="AD17" s="4">
        <v>3053.3150000000001</v>
      </c>
      <c r="AE17" s="4">
        <v>759.13400000000001</v>
      </c>
      <c r="AF17" s="4">
        <v>3570.1219999999998</v>
      </c>
      <c r="AG17" s="4">
        <v>1553.067</v>
      </c>
      <c r="AH17" s="32">
        <v>2159.6669999999999</v>
      </c>
    </row>
    <row r="18" spans="1:34" ht="14.5" x14ac:dyDescent="0.35">
      <c r="A18" s="53">
        <v>46569</v>
      </c>
      <c r="B18" s="33">
        <v>1366</v>
      </c>
      <c r="C18" s="8">
        <v>298</v>
      </c>
      <c r="D18" s="11">
        <v>711</v>
      </c>
      <c r="E18">
        <v>370.35199999999998</v>
      </c>
      <c r="F18">
        <v>1951.56</v>
      </c>
      <c r="G18">
        <v>250.959</v>
      </c>
      <c r="H18" s="4">
        <v>3878.5810000000001</v>
      </c>
      <c r="I18" s="4">
        <v>1093.9269999999999</v>
      </c>
      <c r="J18" s="4">
        <v>1663.221</v>
      </c>
      <c r="K18" s="4">
        <v>1373.768</v>
      </c>
      <c r="L18" s="4">
        <v>1810.548</v>
      </c>
      <c r="M18" s="4">
        <v>198.583</v>
      </c>
      <c r="N18" s="4">
        <v>305.15899999999999</v>
      </c>
      <c r="O18" s="4">
        <v>-16.372</v>
      </c>
      <c r="P18" s="4">
        <v>525.61400000000003</v>
      </c>
      <c r="Q18" s="4">
        <v>355.93799999999999</v>
      </c>
      <c r="R18" s="4">
        <v>1414.704</v>
      </c>
      <c r="S18" s="4">
        <v>423.62400000000002</v>
      </c>
      <c r="T18" s="4">
        <v>294.745</v>
      </c>
      <c r="U18" s="4">
        <v>1820.3630000000001</v>
      </c>
      <c r="V18" s="4">
        <v>1430.2149999999999</v>
      </c>
      <c r="W18" s="4">
        <v>775.18899999999996</v>
      </c>
      <c r="X18" s="4">
        <v>3672.6590000000001</v>
      </c>
      <c r="Y18" s="4">
        <v>21.878</v>
      </c>
      <c r="Z18" s="4">
        <v>261.34199999999998</v>
      </c>
      <c r="AA18" s="4">
        <v>1040.54</v>
      </c>
      <c r="AB18" s="4">
        <v>790.69</v>
      </c>
      <c r="AC18" s="4">
        <v>725.27800000000002</v>
      </c>
      <c r="AD18" s="4">
        <v>1107.711</v>
      </c>
      <c r="AE18" s="4">
        <v>179.72499999999999</v>
      </c>
      <c r="AF18" s="4">
        <v>2281.5770000000002</v>
      </c>
      <c r="AG18" s="4">
        <v>391.18700000000001</v>
      </c>
      <c r="AH18" s="32">
        <v>918.65300000000002</v>
      </c>
    </row>
    <row r="19" spans="1:34" ht="14.5" x14ac:dyDescent="0.35">
      <c r="A19" s="53">
        <v>46600</v>
      </c>
      <c r="B19" s="33">
        <v>520</v>
      </c>
      <c r="C19" s="8">
        <v>211</v>
      </c>
      <c r="D19" s="11">
        <v>371</v>
      </c>
      <c r="E19">
        <v>255.37200000000001</v>
      </c>
      <c r="F19">
        <v>683.74400000000003</v>
      </c>
      <c r="G19">
        <v>130.70599999999999</v>
      </c>
      <c r="H19" s="4">
        <v>1054.6410000000001</v>
      </c>
      <c r="I19" s="4">
        <v>315.49200000000002</v>
      </c>
      <c r="J19" s="4">
        <v>804.91200000000003</v>
      </c>
      <c r="K19" s="4">
        <v>492.76400000000001</v>
      </c>
      <c r="L19" s="4">
        <v>719.72199999999998</v>
      </c>
      <c r="M19" s="4">
        <v>125.45</v>
      </c>
      <c r="N19" s="4">
        <v>230.52699999999999</v>
      </c>
      <c r="O19" s="4">
        <v>37.691000000000003</v>
      </c>
      <c r="P19" s="4">
        <v>216.202</v>
      </c>
      <c r="Q19" s="4">
        <v>181.40299999999999</v>
      </c>
      <c r="R19" s="4">
        <v>484.57100000000003</v>
      </c>
      <c r="S19" s="4">
        <v>251.81100000000001</v>
      </c>
      <c r="T19" s="4">
        <v>254.976</v>
      </c>
      <c r="U19" s="4">
        <v>551.64200000000005</v>
      </c>
      <c r="V19" s="4">
        <v>409.44</v>
      </c>
      <c r="W19" s="4">
        <v>360.59100000000001</v>
      </c>
      <c r="X19" s="4">
        <v>863.89700000000005</v>
      </c>
      <c r="Y19" s="4">
        <v>84.378</v>
      </c>
      <c r="Z19" s="4">
        <v>211.636</v>
      </c>
      <c r="AA19" s="4">
        <v>434.78300000000002</v>
      </c>
      <c r="AB19" s="4">
        <v>266.39600000000002</v>
      </c>
      <c r="AC19" s="4">
        <v>340.39299999999997</v>
      </c>
      <c r="AD19" s="4">
        <v>464.26499999999999</v>
      </c>
      <c r="AE19" s="4">
        <v>108.245</v>
      </c>
      <c r="AF19" s="4">
        <v>595.197</v>
      </c>
      <c r="AG19" s="4">
        <v>170.09100000000001</v>
      </c>
      <c r="AH19" s="32">
        <v>341.76299999999998</v>
      </c>
    </row>
    <row r="20" spans="1:34" ht="14.5" x14ac:dyDescent="0.35">
      <c r="A20" s="53">
        <v>46631</v>
      </c>
      <c r="B20" s="33">
        <v>427</v>
      </c>
      <c r="C20" s="8">
        <v>226</v>
      </c>
      <c r="D20" s="11">
        <v>316</v>
      </c>
      <c r="E20">
        <v>282.60500000000002</v>
      </c>
      <c r="F20">
        <v>605.21600000000001</v>
      </c>
      <c r="G20">
        <v>235.553</v>
      </c>
      <c r="H20" s="4">
        <v>550.26199999999994</v>
      </c>
      <c r="I20" s="4">
        <v>322.495</v>
      </c>
      <c r="J20" s="4">
        <v>715.27099999999996</v>
      </c>
      <c r="K20" s="4">
        <v>358.93700000000001</v>
      </c>
      <c r="L20" s="4">
        <v>480.02699999999999</v>
      </c>
      <c r="M20" s="4">
        <v>205.172</v>
      </c>
      <c r="N20" s="4">
        <v>208.65199999999999</v>
      </c>
      <c r="O20" s="4">
        <v>177.81800000000001</v>
      </c>
      <c r="P20" s="4">
        <v>394.14600000000002</v>
      </c>
      <c r="Q20" s="4">
        <v>310.375</v>
      </c>
      <c r="R20" s="4">
        <v>368.95</v>
      </c>
      <c r="S20" s="4">
        <v>292.404</v>
      </c>
      <c r="T20" s="4">
        <v>311.52199999999999</v>
      </c>
      <c r="U20" s="4">
        <v>419.04700000000003</v>
      </c>
      <c r="V20" s="4">
        <v>274.06799999999998</v>
      </c>
      <c r="W20" s="4">
        <v>252.23400000000001</v>
      </c>
      <c r="X20" s="4">
        <v>523.20100000000002</v>
      </c>
      <c r="Y20" s="4">
        <v>121.286</v>
      </c>
      <c r="Z20" s="4">
        <v>442.93799999999999</v>
      </c>
      <c r="AA20" s="4">
        <v>439.13</v>
      </c>
      <c r="AB20" s="4">
        <v>245.59200000000001</v>
      </c>
      <c r="AC20" s="4">
        <v>366.1</v>
      </c>
      <c r="AD20" s="4">
        <v>340.00900000000001</v>
      </c>
      <c r="AE20" s="4">
        <v>125.179</v>
      </c>
      <c r="AF20" s="4">
        <v>372.46100000000001</v>
      </c>
      <c r="AG20" s="4">
        <v>194.18</v>
      </c>
      <c r="AH20" s="32">
        <v>377.32400000000001</v>
      </c>
    </row>
    <row r="21" spans="1:34" ht="14.5" x14ac:dyDescent="0.35">
      <c r="A21" s="53">
        <v>46661</v>
      </c>
      <c r="B21" s="33">
        <v>515</v>
      </c>
      <c r="C21" s="8">
        <v>338</v>
      </c>
      <c r="D21" s="11">
        <v>417</v>
      </c>
      <c r="E21">
        <v>260.75099999999998</v>
      </c>
      <c r="F21">
        <v>554.11900000000003</v>
      </c>
      <c r="G21">
        <v>378.23700000000002</v>
      </c>
      <c r="H21" s="4">
        <v>580.58399999999995</v>
      </c>
      <c r="I21" s="4">
        <v>488.31200000000001</v>
      </c>
      <c r="J21" s="4">
        <v>860.76</v>
      </c>
      <c r="K21" s="4">
        <v>454.53899999999999</v>
      </c>
      <c r="L21" s="4">
        <v>354.72800000000001</v>
      </c>
      <c r="M21" s="4">
        <v>365.89800000000002</v>
      </c>
      <c r="N21" s="4">
        <v>250.84800000000001</v>
      </c>
      <c r="O21" s="4">
        <v>286.99599999999998</v>
      </c>
      <c r="P21" s="4">
        <v>315.44</v>
      </c>
      <c r="Q21" s="4">
        <v>475.70699999999999</v>
      </c>
      <c r="R21" s="4">
        <v>586.58000000000004</v>
      </c>
      <c r="S21" s="4">
        <v>1012.121</v>
      </c>
      <c r="T21" s="4">
        <v>487.55700000000002</v>
      </c>
      <c r="U21" s="4">
        <v>406.81599999999997</v>
      </c>
      <c r="V21" s="4">
        <v>349.76</v>
      </c>
      <c r="W21" s="4">
        <v>408.47800000000001</v>
      </c>
      <c r="X21" s="4">
        <v>591.90599999999995</v>
      </c>
      <c r="Y21" s="4">
        <v>193.04499999999999</v>
      </c>
      <c r="Z21" s="4">
        <v>546.78499999999997</v>
      </c>
      <c r="AA21" s="4">
        <v>649.70899999999995</v>
      </c>
      <c r="AB21" s="4">
        <v>364.95499999999998</v>
      </c>
      <c r="AC21" s="4">
        <v>444.27499999999998</v>
      </c>
      <c r="AD21" s="4">
        <v>513.197</v>
      </c>
      <c r="AE21" s="4">
        <v>307.49799999999999</v>
      </c>
      <c r="AF21" s="4">
        <v>404.28500000000003</v>
      </c>
      <c r="AG21" s="4">
        <v>276.97399999999999</v>
      </c>
      <c r="AH21" s="32">
        <v>294.59199999999998</v>
      </c>
    </row>
    <row r="22" spans="1:34" ht="14.5" x14ac:dyDescent="0.35">
      <c r="A22" s="53">
        <v>46692</v>
      </c>
      <c r="B22" s="33">
        <v>503</v>
      </c>
      <c r="C22" s="8">
        <v>407</v>
      </c>
      <c r="D22" s="11">
        <v>450</v>
      </c>
      <c r="E22">
        <v>338.62299999999999</v>
      </c>
      <c r="F22">
        <v>548.755</v>
      </c>
      <c r="G22">
        <v>417.589</v>
      </c>
      <c r="H22" s="4">
        <v>532.82000000000005</v>
      </c>
      <c r="I22" s="4">
        <v>516.66200000000003</v>
      </c>
      <c r="J22" s="4">
        <v>613.54200000000003</v>
      </c>
      <c r="K22" s="4">
        <v>561.00300000000004</v>
      </c>
      <c r="L22" s="4">
        <v>374.24400000000003</v>
      </c>
      <c r="M22" s="4">
        <v>371.10399999999998</v>
      </c>
      <c r="N22" s="4">
        <v>338.00900000000001</v>
      </c>
      <c r="O22" s="4">
        <v>306.14100000000002</v>
      </c>
      <c r="P22" s="4">
        <v>361.02600000000001</v>
      </c>
      <c r="Q22" s="4">
        <v>582.947</v>
      </c>
      <c r="R22" s="4">
        <v>560.26700000000005</v>
      </c>
      <c r="S22" s="4">
        <v>567.20399999999995</v>
      </c>
      <c r="T22" s="4">
        <v>455.529</v>
      </c>
      <c r="U22" s="4">
        <v>442.24599999999998</v>
      </c>
      <c r="V22" s="4">
        <v>420.80200000000002</v>
      </c>
      <c r="W22" s="4">
        <v>434.62799999999999</v>
      </c>
      <c r="X22" s="4">
        <v>569.05100000000004</v>
      </c>
      <c r="Y22" s="4">
        <v>262.26600000000002</v>
      </c>
      <c r="Z22" s="4">
        <v>469.322</v>
      </c>
      <c r="AA22" s="4">
        <v>473.35700000000003</v>
      </c>
      <c r="AB22" s="4">
        <v>385.73399999999998</v>
      </c>
      <c r="AC22" s="4">
        <v>437.25900000000001</v>
      </c>
      <c r="AD22" s="4">
        <v>468.565</v>
      </c>
      <c r="AE22" s="4">
        <v>332.21300000000002</v>
      </c>
      <c r="AF22" s="4">
        <v>456.51299999999998</v>
      </c>
      <c r="AG22" s="4">
        <v>398.67599999999999</v>
      </c>
      <c r="AH22" s="32">
        <v>397.2</v>
      </c>
    </row>
    <row r="23" spans="1:34" ht="14.5" x14ac:dyDescent="0.35">
      <c r="A23" s="53">
        <v>46722</v>
      </c>
      <c r="B23" s="33">
        <v>361</v>
      </c>
      <c r="C23" s="8">
        <v>361</v>
      </c>
      <c r="D23" s="11">
        <v>361</v>
      </c>
      <c r="E23">
        <v>288.63299999999998</v>
      </c>
      <c r="F23">
        <v>415.93700000000001</v>
      </c>
      <c r="G23">
        <v>321.15600000000001</v>
      </c>
      <c r="H23" s="4">
        <v>461.67</v>
      </c>
      <c r="I23" s="4">
        <v>457.4</v>
      </c>
      <c r="J23" s="4">
        <v>443.21699999999998</v>
      </c>
      <c r="K23" s="4">
        <v>424.017</v>
      </c>
      <c r="L23" s="4">
        <v>326.99299999999999</v>
      </c>
      <c r="M23" s="4">
        <v>287.18099999999998</v>
      </c>
      <c r="N23" s="4">
        <v>300.58499999999998</v>
      </c>
      <c r="O23" s="4">
        <v>248.72300000000001</v>
      </c>
      <c r="P23" s="4">
        <v>323.87400000000002</v>
      </c>
      <c r="Q23" s="4">
        <v>361.88799999999998</v>
      </c>
      <c r="R23" s="4">
        <v>406.00099999999998</v>
      </c>
      <c r="S23" s="4">
        <v>386.75099999999998</v>
      </c>
      <c r="T23" s="4">
        <v>375.62700000000001</v>
      </c>
      <c r="U23" s="4">
        <v>384.04899999999998</v>
      </c>
      <c r="V23" s="4">
        <v>348.10199999999998</v>
      </c>
      <c r="W23" s="4">
        <v>380.57100000000003</v>
      </c>
      <c r="X23" s="4">
        <v>441.38299999999998</v>
      </c>
      <c r="Y23" s="4">
        <v>251.48500000000001</v>
      </c>
      <c r="Z23" s="4">
        <v>325.09199999999998</v>
      </c>
      <c r="AA23" s="4">
        <v>368.78800000000001</v>
      </c>
      <c r="AB23" s="4">
        <v>316.08300000000003</v>
      </c>
      <c r="AC23" s="4">
        <v>369.351</v>
      </c>
      <c r="AD23" s="4">
        <v>401.57400000000001</v>
      </c>
      <c r="AE23" s="4">
        <v>264.43200000000002</v>
      </c>
      <c r="AF23" s="4">
        <v>420.27499999999998</v>
      </c>
      <c r="AG23" s="4">
        <v>326.887</v>
      </c>
      <c r="AH23" s="32">
        <v>333.32600000000002</v>
      </c>
    </row>
    <row r="24" spans="1:34" ht="14.5" x14ac:dyDescent="0.35">
      <c r="A24" s="53">
        <v>46753</v>
      </c>
      <c r="B24" s="33">
        <v>350</v>
      </c>
      <c r="C24" s="8">
        <v>350</v>
      </c>
      <c r="D24" s="11">
        <v>350</v>
      </c>
      <c r="E24">
        <v>361.322</v>
      </c>
      <c r="F24">
        <v>380.64600000000002</v>
      </c>
      <c r="G24">
        <v>304.19400000000002</v>
      </c>
      <c r="H24" s="4">
        <v>403.774</v>
      </c>
      <c r="I24" s="4">
        <v>415.49799999999999</v>
      </c>
      <c r="J24" s="4">
        <v>404.08</v>
      </c>
      <c r="K24" s="4">
        <v>348.99799999999999</v>
      </c>
      <c r="L24" s="4">
        <v>308.42399999999998</v>
      </c>
      <c r="M24" s="4">
        <v>263.64499999999998</v>
      </c>
      <c r="N24" s="4">
        <v>261.65499999999997</v>
      </c>
      <c r="O24" s="4">
        <v>211.2</v>
      </c>
      <c r="P24" s="4">
        <v>285.25099999999998</v>
      </c>
      <c r="Q24" s="4">
        <v>509.642</v>
      </c>
      <c r="R24" s="4">
        <v>377.56900000000002</v>
      </c>
      <c r="S24" s="4">
        <v>329.28699999999998</v>
      </c>
      <c r="T24" s="4">
        <v>303.572</v>
      </c>
      <c r="U24" s="4">
        <v>372.30700000000002</v>
      </c>
      <c r="V24" s="4">
        <v>311.51900000000001</v>
      </c>
      <c r="W24" s="4">
        <v>354.15</v>
      </c>
      <c r="X24" s="4">
        <v>412.065</v>
      </c>
      <c r="Y24" s="4">
        <v>227.982</v>
      </c>
      <c r="Z24" s="4">
        <v>265.86200000000002</v>
      </c>
      <c r="AA24" s="4">
        <v>334.70800000000003</v>
      </c>
      <c r="AB24" s="4">
        <v>287.41800000000001</v>
      </c>
      <c r="AC24" s="4">
        <v>397.30799999999999</v>
      </c>
      <c r="AD24" s="4">
        <v>355.98599999999999</v>
      </c>
      <c r="AE24" s="4">
        <v>238.11799999999999</v>
      </c>
      <c r="AF24" s="4">
        <v>372.34899999999999</v>
      </c>
      <c r="AG24" s="4">
        <v>267.53899999999999</v>
      </c>
      <c r="AH24" s="32">
        <v>289.97199999999998</v>
      </c>
    </row>
    <row r="25" spans="1:34" ht="14.5" x14ac:dyDescent="0.35">
      <c r="A25" s="53">
        <v>46784</v>
      </c>
      <c r="B25" s="33">
        <v>397</v>
      </c>
      <c r="C25" s="8">
        <v>397</v>
      </c>
      <c r="D25" s="11">
        <v>397</v>
      </c>
      <c r="E25">
        <v>476.79899999999998</v>
      </c>
      <c r="F25">
        <v>369.25400000000002</v>
      </c>
      <c r="G25">
        <v>343.11</v>
      </c>
      <c r="H25" s="4">
        <v>448.49099999999999</v>
      </c>
      <c r="I25" s="4">
        <v>400.339</v>
      </c>
      <c r="J25" s="4">
        <v>421.40699999999998</v>
      </c>
      <c r="K25" s="4">
        <v>356.14600000000002</v>
      </c>
      <c r="L25" s="4">
        <v>353.29599999999999</v>
      </c>
      <c r="M25" s="4">
        <v>256.75700000000001</v>
      </c>
      <c r="N25" s="4">
        <v>218.64400000000001</v>
      </c>
      <c r="O25" s="4">
        <v>240.333</v>
      </c>
      <c r="P25" s="4">
        <v>266.815</v>
      </c>
      <c r="Q25" s="4">
        <v>536.21299999999997</v>
      </c>
      <c r="R25" s="4">
        <v>341.06200000000001</v>
      </c>
      <c r="S25" s="4">
        <v>348.173</v>
      </c>
      <c r="T25" s="4">
        <v>297.13</v>
      </c>
      <c r="U25" s="4">
        <v>385.90600000000001</v>
      </c>
      <c r="V25" s="4">
        <v>356.21499999999997</v>
      </c>
      <c r="W25" s="4">
        <v>311.334</v>
      </c>
      <c r="X25" s="4">
        <v>396.28899999999999</v>
      </c>
      <c r="Y25" s="4">
        <v>229.74299999999999</v>
      </c>
      <c r="Z25" s="4">
        <v>270.738</v>
      </c>
      <c r="AA25" s="4">
        <v>443.56700000000001</v>
      </c>
      <c r="AB25" s="4">
        <v>335.46199999999999</v>
      </c>
      <c r="AC25" s="4">
        <v>554.53599999999994</v>
      </c>
      <c r="AD25" s="4">
        <v>361.928</v>
      </c>
      <c r="AE25" s="4">
        <v>250.767</v>
      </c>
      <c r="AF25" s="4">
        <v>354.86700000000002</v>
      </c>
      <c r="AG25" s="4">
        <v>262.69200000000001</v>
      </c>
      <c r="AH25" s="32">
        <v>318.29199999999997</v>
      </c>
    </row>
    <row r="26" spans="1:34" ht="14.5" x14ac:dyDescent="0.35">
      <c r="A26" s="53">
        <v>46813</v>
      </c>
      <c r="B26" s="33">
        <v>614</v>
      </c>
      <c r="C26" s="8">
        <v>614</v>
      </c>
      <c r="D26" s="11">
        <v>614</v>
      </c>
      <c r="E26">
        <v>586.71</v>
      </c>
      <c r="F26">
        <v>607.86300000000006</v>
      </c>
      <c r="G26">
        <v>895.15300000000002</v>
      </c>
      <c r="H26" s="4">
        <v>593.03599999999994</v>
      </c>
      <c r="I26" s="4">
        <v>774.31399999999996</v>
      </c>
      <c r="J26" s="4">
        <v>557.93100000000004</v>
      </c>
      <c r="K26" s="4">
        <v>475.529</v>
      </c>
      <c r="L26" s="4">
        <v>449.31</v>
      </c>
      <c r="M26" s="4">
        <v>452.44799999999998</v>
      </c>
      <c r="N26" s="4">
        <v>263.67</v>
      </c>
      <c r="O26" s="4">
        <v>387.92399999999998</v>
      </c>
      <c r="P26" s="4">
        <v>604.36699999999996</v>
      </c>
      <c r="Q26" s="4">
        <v>685.57100000000003</v>
      </c>
      <c r="R26" s="4">
        <v>444.87</v>
      </c>
      <c r="S26" s="4">
        <v>768.673</v>
      </c>
      <c r="T26" s="4">
        <v>393.86</v>
      </c>
      <c r="U26" s="4">
        <v>614.47299999999996</v>
      </c>
      <c r="V26" s="4">
        <v>492.46300000000002</v>
      </c>
      <c r="W26" s="4">
        <v>461.13499999999999</v>
      </c>
      <c r="X26" s="4">
        <v>552.28700000000003</v>
      </c>
      <c r="Y26" s="4">
        <v>312.84899999999999</v>
      </c>
      <c r="Z26" s="4">
        <v>433.24799999999999</v>
      </c>
      <c r="AA26" s="4">
        <v>648.85199999999998</v>
      </c>
      <c r="AB26" s="4">
        <v>508.35199999999998</v>
      </c>
      <c r="AC26" s="4">
        <v>1212.2650000000001</v>
      </c>
      <c r="AD26" s="4">
        <v>415.48500000000001</v>
      </c>
      <c r="AE26" s="4">
        <v>490.59699999999998</v>
      </c>
      <c r="AF26" s="4">
        <v>513.77700000000004</v>
      </c>
      <c r="AG26" s="4">
        <v>378.83100000000002</v>
      </c>
      <c r="AH26" s="32">
        <v>529.60599999999999</v>
      </c>
    </row>
    <row r="27" spans="1:34" ht="14.5" x14ac:dyDescent="0.35">
      <c r="A27" s="53">
        <v>46844</v>
      </c>
      <c r="B27" s="33">
        <v>920</v>
      </c>
      <c r="C27" s="8">
        <v>920</v>
      </c>
      <c r="D27" s="11">
        <v>920</v>
      </c>
      <c r="E27">
        <v>1315.2619999999999</v>
      </c>
      <c r="F27">
        <v>984.47400000000005</v>
      </c>
      <c r="G27">
        <v>835.399</v>
      </c>
      <c r="H27" s="4">
        <v>1024.421</v>
      </c>
      <c r="I27" s="4">
        <v>1373.1859999999999</v>
      </c>
      <c r="J27" s="4">
        <v>1083.1780000000001</v>
      </c>
      <c r="K27" s="4">
        <v>680.16600000000005</v>
      </c>
      <c r="L27" s="4">
        <v>755.36900000000003</v>
      </c>
      <c r="M27" s="4">
        <v>755.92100000000005</v>
      </c>
      <c r="N27" s="4">
        <v>460.8</v>
      </c>
      <c r="O27" s="4">
        <v>534.34900000000005</v>
      </c>
      <c r="P27" s="4">
        <v>1376.905</v>
      </c>
      <c r="Q27" s="4">
        <v>1425.933</v>
      </c>
      <c r="R27" s="4">
        <v>1090.0329999999999</v>
      </c>
      <c r="S27" s="4">
        <v>1106.845</v>
      </c>
      <c r="T27" s="4">
        <v>623.048</v>
      </c>
      <c r="U27" s="4">
        <v>816.01800000000003</v>
      </c>
      <c r="V27" s="4">
        <v>708.07299999999998</v>
      </c>
      <c r="W27" s="4">
        <v>1099.7529999999999</v>
      </c>
      <c r="X27" s="4">
        <v>1168.9359999999999</v>
      </c>
      <c r="Y27" s="4">
        <v>301.40600000000001</v>
      </c>
      <c r="Z27" s="4">
        <v>669.40800000000002</v>
      </c>
      <c r="AA27" s="4">
        <v>700.01300000000003</v>
      </c>
      <c r="AB27" s="4">
        <v>733.14099999999996</v>
      </c>
      <c r="AC27" s="4">
        <v>1869.271</v>
      </c>
      <c r="AD27" s="4">
        <v>476.23200000000003</v>
      </c>
      <c r="AE27" s="4">
        <v>1088.9280000000001</v>
      </c>
      <c r="AF27" s="4">
        <v>606.303</v>
      </c>
      <c r="AG27" s="4">
        <v>437.99700000000001</v>
      </c>
      <c r="AH27" s="32">
        <v>1000.466</v>
      </c>
    </row>
    <row r="28" spans="1:34" ht="14.5" x14ac:dyDescent="0.35">
      <c r="A28" s="53">
        <v>46874</v>
      </c>
      <c r="B28" s="33">
        <v>2060</v>
      </c>
      <c r="C28" s="8">
        <v>2060</v>
      </c>
      <c r="D28" s="11">
        <v>2060</v>
      </c>
      <c r="E28">
        <v>3429.3629999999998</v>
      </c>
      <c r="F28">
        <v>2086.643</v>
      </c>
      <c r="G28">
        <v>2349.8020000000001</v>
      </c>
      <c r="H28" s="4">
        <v>3000.5740000000001</v>
      </c>
      <c r="I28" s="4">
        <v>4019.518</v>
      </c>
      <c r="J28" s="4">
        <v>2658.5749999999998</v>
      </c>
      <c r="K28" s="4">
        <v>2117.4079999999999</v>
      </c>
      <c r="L28" s="4">
        <v>1972.934</v>
      </c>
      <c r="M28" s="4">
        <v>2250.9679999999998</v>
      </c>
      <c r="N28" s="4">
        <v>296.97399999999999</v>
      </c>
      <c r="O28" s="4">
        <v>1361.069</v>
      </c>
      <c r="P28" s="4">
        <v>1772.7070000000001</v>
      </c>
      <c r="Q28" s="4">
        <v>3104.2919999999999</v>
      </c>
      <c r="R28" s="4">
        <v>2452.8580000000002</v>
      </c>
      <c r="S28" s="4">
        <v>2017.0509999999999</v>
      </c>
      <c r="T28" s="4">
        <v>2094.2719999999999</v>
      </c>
      <c r="U28" s="4">
        <v>2818.886</v>
      </c>
      <c r="V28" s="4">
        <v>994.79600000000005</v>
      </c>
      <c r="W28" s="4">
        <v>2340.3980000000001</v>
      </c>
      <c r="X28" s="4">
        <v>1351.635</v>
      </c>
      <c r="Y28" s="4">
        <v>727.22199999999998</v>
      </c>
      <c r="Z28" s="4">
        <v>1724.3789999999999</v>
      </c>
      <c r="AA28" s="4">
        <v>1411.415</v>
      </c>
      <c r="AB28" s="4">
        <v>1989.556</v>
      </c>
      <c r="AC28" s="4">
        <v>2530.8609999999999</v>
      </c>
      <c r="AD28" s="4">
        <v>1299.751</v>
      </c>
      <c r="AE28" s="4">
        <v>2361.7269999999999</v>
      </c>
      <c r="AF28" s="4">
        <v>1553.098</v>
      </c>
      <c r="AG28" s="4">
        <v>1026.3119999999999</v>
      </c>
      <c r="AH28" s="32">
        <v>1904.8810000000001</v>
      </c>
    </row>
    <row r="29" spans="1:34" ht="14.5" x14ac:dyDescent="0.35">
      <c r="A29" s="53">
        <v>46905</v>
      </c>
      <c r="B29" s="33">
        <v>2423</v>
      </c>
      <c r="C29" s="8">
        <v>2423</v>
      </c>
      <c r="D29" s="11">
        <v>2423</v>
      </c>
      <c r="E29">
        <v>4323.5039999999999</v>
      </c>
      <c r="F29">
        <v>1630.3679999999999</v>
      </c>
      <c r="G29">
        <v>4845.1940000000004</v>
      </c>
      <c r="H29" s="4">
        <v>2868.2310000000002</v>
      </c>
      <c r="I29" s="4">
        <v>4803.5940000000001</v>
      </c>
      <c r="J29" s="4">
        <v>2504.1460000000002</v>
      </c>
      <c r="K29" s="4">
        <v>3245.7109999999998</v>
      </c>
      <c r="L29" s="4">
        <v>1369.164</v>
      </c>
      <c r="M29" s="4">
        <v>1487.7429999999999</v>
      </c>
      <c r="N29" s="4">
        <v>369.99700000000001</v>
      </c>
      <c r="O29" s="4">
        <v>2103.8960000000002</v>
      </c>
      <c r="P29" s="4">
        <v>1030.538</v>
      </c>
      <c r="Q29" s="4">
        <v>3440.4459999999999</v>
      </c>
      <c r="R29" s="4">
        <v>1914.9570000000001</v>
      </c>
      <c r="S29" s="4">
        <v>1137.1990000000001</v>
      </c>
      <c r="T29" s="4">
        <v>3667.2950000000001</v>
      </c>
      <c r="U29" s="4">
        <v>2559.7640000000001</v>
      </c>
      <c r="V29" s="4">
        <v>2546.2249999999999</v>
      </c>
      <c r="W29" s="4">
        <v>4979.01</v>
      </c>
      <c r="X29" s="4">
        <v>424.93900000000002</v>
      </c>
      <c r="Y29" s="4">
        <v>1154.944</v>
      </c>
      <c r="Z29" s="4">
        <v>2895.058</v>
      </c>
      <c r="AA29" s="4">
        <v>2197.085</v>
      </c>
      <c r="AB29" s="4">
        <v>2474.3209999999999</v>
      </c>
      <c r="AC29" s="4">
        <v>3227.1869999999999</v>
      </c>
      <c r="AD29" s="4">
        <v>919.00099999999998</v>
      </c>
      <c r="AE29" s="4">
        <v>3695.1840000000002</v>
      </c>
      <c r="AF29" s="4">
        <v>1767.9449999999999</v>
      </c>
      <c r="AG29" s="4">
        <v>2306.4830000000002</v>
      </c>
      <c r="AH29" s="32">
        <v>1095.1089999999999</v>
      </c>
    </row>
    <row r="30" spans="1:34" ht="14.5" x14ac:dyDescent="0.35">
      <c r="A30" s="53">
        <v>46935</v>
      </c>
      <c r="B30" s="33">
        <v>711</v>
      </c>
      <c r="C30" s="8">
        <v>711</v>
      </c>
      <c r="D30" s="11">
        <v>711</v>
      </c>
      <c r="E30">
        <v>1910.683</v>
      </c>
      <c r="F30">
        <v>317.94900000000001</v>
      </c>
      <c r="G30">
        <v>3865.5659999999998</v>
      </c>
      <c r="H30" s="4">
        <v>1177.172</v>
      </c>
      <c r="I30" s="4">
        <v>1661.1289999999999</v>
      </c>
      <c r="J30" s="4">
        <v>1466.269</v>
      </c>
      <c r="K30" s="4">
        <v>1823.963</v>
      </c>
      <c r="L30" s="4">
        <v>243.86600000000001</v>
      </c>
      <c r="M30" s="4">
        <v>309.89400000000001</v>
      </c>
      <c r="N30" s="4">
        <v>2.4329999999999998</v>
      </c>
      <c r="O30" s="4">
        <v>501.39</v>
      </c>
      <c r="P30" s="4">
        <v>408.39499999999998</v>
      </c>
      <c r="Q30" s="4">
        <v>1386.2629999999999</v>
      </c>
      <c r="R30" s="4">
        <v>477.142</v>
      </c>
      <c r="S30" s="4">
        <v>306.15300000000002</v>
      </c>
      <c r="T30" s="4">
        <v>1862.2090000000001</v>
      </c>
      <c r="U30" s="4">
        <v>1462.9690000000001</v>
      </c>
      <c r="V30" s="4">
        <v>819.05700000000002</v>
      </c>
      <c r="W30" s="4">
        <v>3654.451</v>
      </c>
      <c r="X30" s="4">
        <v>100.626</v>
      </c>
      <c r="Y30" s="4">
        <v>256.08999999999997</v>
      </c>
      <c r="Z30" s="4">
        <v>1025.769</v>
      </c>
      <c r="AA30" s="4">
        <v>800.31500000000005</v>
      </c>
      <c r="AB30" s="4">
        <v>743.03499999999997</v>
      </c>
      <c r="AC30" s="4">
        <v>1109.779</v>
      </c>
      <c r="AD30" s="4">
        <v>227.90600000000001</v>
      </c>
      <c r="AE30" s="4">
        <v>2231.7559999999999</v>
      </c>
      <c r="AF30" s="4">
        <v>471.08300000000003</v>
      </c>
      <c r="AG30" s="4">
        <v>917.20600000000002</v>
      </c>
      <c r="AH30" s="32">
        <v>391.80200000000002</v>
      </c>
    </row>
    <row r="31" spans="1:34" ht="14.5" x14ac:dyDescent="0.35">
      <c r="A31" s="53">
        <v>46966</v>
      </c>
      <c r="B31" s="33">
        <v>371</v>
      </c>
      <c r="C31" s="8">
        <v>371</v>
      </c>
      <c r="D31" s="11">
        <v>371</v>
      </c>
      <c r="E31">
        <v>703.31299999999999</v>
      </c>
      <c r="F31">
        <v>197.958</v>
      </c>
      <c r="G31">
        <v>1037.2</v>
      </c>
      <c r="H31" s="4">
        <v>370.86799999999999</v>
      </c>
      <c r="I31" s="4">
        <v>824.62599999999998</v>
      </c>
      <c r="J31" s="4">
        <v>534.20500000000004</v>
      </c>
      <c r="K31" s="4">
        <v>748.43899999999996</v>
      </c>
      <c r="L31" s="4">
        <v>155.244</v>
      </c>
      <c r="M31" s="4">
        <v>245.553</v>
      </c>
      <c r="N31" s="4">
        <v>54.835999999999999</v>
      </c>
      <c r="O31" s="4">
        <v>212.279</v>
      </c>
      <c r="P31" s="4">
        <v>209.81100000000001</v>
      </c>
      <c r="Q31" s="4">
        <v>491.61700000000002</v>
      </c>
      <c r="R31" s="4">
        <v>308.52</v>
      </c>
      <c r="S31" s="4">
        <v>277.41500000000002</v>
      </c>
      <c r="T31" s="4">
        <v>568.33600000000001</v>
      </c>
      <c r="U31" s="4">
        <v>442.67500000000001</v>
      </c>
      <c r="V31" s="4">
        <v>393.23899999999998</v>
      </c>
      <c r="W31" s="4">
        <v>853.99699999999996</v>
      </c>
      <c r="X31" s="4">
        <v>150.523</v>
      </c>
      <c r="Y31" s="4">
        <v>217.864</v>
      </c>
      <c r="Z31" s="4">
        <v>440.041</v>
      </c>
      <c r="AA31" s="4">
        <v>290.00599999999997</v>
      </c>
      <c r="AB31" s="4">
        <v>351.02</v>
      </c>
      <c r="AC31" s="4">
        <v>481.37</v>
      </c>
      <c r="AD31" s="4">
        <v>149.61099999999999</v>
      </c>
      <c r="AE31" s="4">
        <v>582.62</v>
      </c>
      <c r="AF31" s="4">
        <v>225.072</v>
      </c>
      <c r="AG31" s="4">
        <v>354.92399999999998</v>
      </c>
      <c r="AH31" s="32">
        <v>278.29500000000002</v>
      </c>
    </row>
    <row r="32" spans="1:34" ht="14.5" x14ac:dyDescent="0.35">
      <c r="A32" s="53">
        <v>46997</v>
      </c>
      <c r="B32" s="33">
        <v>316</v>
      </c>
      <c r="C32" s="8">
        <v>316</v>
      </c>
      <c r="D32" s="11">
        <v>316</v>
      </c>
      <c r="E32">
        <v>599.46400000000006</v>
      </c>
      <c r="F32">
        <v>307.76100000000002</v>
      </c>
      <c r="G32">
        <v>547.96299999999997</v>
      </c>
      <c r="H32" s="4">
        <v>375.72899999999998</v>
      </c>
      <c r="I32" s="4">
        <v>760.51199999999994</v>
      </c>
      <c r="J32" s="4">
        <v>410.30900000000003</v>
      </c>
      <c r="K32" s="4">
        <v>510.18799999999999</v>
      </c>
      <c r="L32" s="4">
        <v>234.44</v>
      </c>
      <c r="M32" s="4">
        <v>221.261</v>
      </c>
      <c r="N32" s="4">
        <v>202.05099999999999</v>
      </c>
      <c r="O32" s="4">
        <v>392.50099999999998</v>
      </c>
      <c r="P32" s="4">
        <v>334.45299999999997</v>
      </c>
      <c r="Q32" s="4">
        <v>387.61200000000002</v>
      </c>
      <c r="R32" s="4">
        <v>357.84100000000001</v>
      </c>
      <c r="S32" s="4">
        <v>343.529</v>
      </c>
      <c r="T32" s="4">
        <v>431.57100000000003</v>
      </c>
      <c r="U32" s="4">
        <v>319.09399999999999</v>
      </c>
      <c r="V32" s="4">
        <v>281.798</v>
      </c>
      <c r="W32" s="4">
        <v>540.21900000000005</v>
      </c>
      <c r="X32" s="4">
        <v>181.79499999999999</v>
      </c>
      <c r="Y32" s="4">
        <v>459.02699999999999</v>
      </c>
      <c r="Z32" s="4">
        <v>453.16399999999999</v>
      </c>
      <c r="AA32" s="4">
        <v>267.34399999999999</v>
      </c>
      <c r="AB32" s="4">
        <v>376.60700000000003</v>
      </c>
      <c r="AC32" s="4">
        <v>368.42099999999999</v>
      </c>
      <c r="AD32" s="4">
        <v>167.19399999999999</v>
      </c>
      <c r="AE32" s="4">
        <v>374.88099999999997</v>
      </c>
      <c r="AF32" s="4">
        <v>244.19</v>
      </c>
      <c r="AG32" s="4">
        <v>396.93099999999998</v>
      </c>
      <c r="AH32" s="32">
        <v>292.12799999999999</v>
      </c>
    </row>
    <row r="33" spans="1:34" ht="14.5" x14ac:dyDescent="0.35">
      <c r="A33" s="53">
        <v>47027</v>
      </c>
      <c r="B33" s="34">
        <v>515</v>
      </c>
      <c r="C33" s="12">
        <v>338</v>
      </c>
      <c r="D33" s="11">
        <v>417</v>
      </c>
      <c r="E33">
        <v>568.38400000000001</v>
      </c>
      <c r="F33">
        <v>456.53899999999999</v>
      </c>
      <c r="G33">
        <v>589.07399999999996</v>
      </c>
      <c r="H33" s="4">
        <v>535.38699999999994</v>
      </c>
      <c r="I33" s="4">
        <v>873.26800000000003</v>
      </c>
      <c r="J33" s="4">
        <v>523.73500000000001</v>
      </c>
      <c r="K33" s="4">
        <v>384.08499999999998</v>
      </c>
      <c r="L33" s="4">
        <v>399.71199999999999</v>
      </c>
      <c r="M33" s="4">
        <v>264.97199999999998</v>
      </c>
      <c r="N33" s="4">
        <v>313.27800000000002</v>
      </c>
      <c r="O33" s="4">
        <v>309.99900000000002</v>
      </c>
      <c r="P33" s="4">
        <v>500.00299999999999</v>
      </c>
      <c r="Q33" s="4">
        <v>607.75900000000001</v>
      </c>
      <c r="R33" s="4">
        <v>1083.8610000000001</v>
      </c>
      <c r="S33" s="4">
        <v>509.61399999999998</v>
      </c>
      <c r="T33" s="4">
        <v>418.202</v>
      </c>
      <c r="U33" s="4">
        <v>390.83699999999999</v>
      </c>
      <c r="V33" s="4">
        <v>438.642</v>
      </c>
      <c r="W33" s="4">
        <v>616.97500000000002</v>
      </c>
      <c r="X33" s="4">
        <v>258.86799999999999</v>
      </c>
      <c r="Y33" s="4">
        <v>545.01199999999994</v>
      </c>
      <c r="Z33" s="4">
        <v>654.279</v>
      </c>
      <c r="AA33" s="4">
        <v>391.25599999999997</v>
      </c>
      <c r="AB33" s="4">
        <v>451.81599999999997</v>
      </c>
      <c r="AC33" s="4">
        <v>538.33900000000006</v>
      </c>
      <c r="AD33" s="4">
        <v>363.37799999999999</v>
      </c>
      <c r="AE33" s="4">
        <v>407.02300000000002</v>
      </c>
      <c r="AF33" s="4">
        <v>329.34899999999999</v>
      </c>
      <c r="AG33" s="4">
        <v>311.95600000000002</v>
      </c>
      <c r="AH33" s="32">
        <v>278.154</v>
      </c>
    </row>
    <row r="34" spans="1:34" ht="14.5" x14ac:dyDescent="0.35">
      <c r="A34" s="53">
        <v>47058</v>
      </c>
      <c r="B34" s="33">
        <v>503</v>
      </c>
      <c r="C34" s="8">
        <v>407</v>
      </c>
      <c r="D34" s="11">
        <v>450</v>
      </c>
      <c r="E34">
        <v>554.32799999999997</v>
      </c>
      <c r="F34">
        <v>477.47399999999999</v>
      </c>
      <c r="G34">
        <v>538.33500000000004</v>
      </c>
      <c r="H34" s="4">
        <v>560.32500000000005</v>
      </c>
      <c r="I34" s="4">
        <v>627.84199999999998</v>
      </c>
      <c r="J34" s="4">
        <v>601.65800000000002</v>
      </c>
      <c r="K34" s="4">
        <v>402.93299999999999</v>
      </c>
      <c r="L34" s="4">
        <v>399.24299999999999</v>
      </c>
      <c r="M34" s="4">
        <v>350.05399999999997</v>
      </c>
      <c r="N34" s="4">
        <v>322.99799999999999</v>
      </c>
      <c r="O34" s="4">
        <v>358.09300000000002</v>
      </c>
      <c r="P34" s="4">
        <v>604.67200000000003</v>
      </c>
      <c r="Q34" s="4">
        <v>564.49699999999996</v>
      </c>
      <c r="R34" s="4">
        <v>604.721</v>
      </c>
      <c r="S34" s="4">
        <v>469.29300000000001</v>
      </c>
      <c r="T34" s="4">
        <v>452.221</v>
      </c>
      <c r="U34" s="4">
        <v>451.95499999999998</v>
      </c>
      <c r="V34" s="4">
        <v>459.20400000000001</v>
      </c>
      <c r="W34" s="4">
        <v>579.03300000000002</v>
      </c>
      <c r="X34" s="4">
        <v>324.16199999999998</v>
      </c>
      <c r="Y34" s="4">
        <v>466.14400000000001</v>
      </c>
      <c r="Z34" s="4">
        <v>473.41500000000002</v>
      </c>
      <c r="AA34" s="4">
        <v>402.27199999999999</v>
      </c>
      <c r="AB34" s="4">
        <v>443.15100000000001</v>
      </c>
      <c r="AC34" s="4">
        <v>486.76100000000002</v>
      </c>
      <c r="AD34" s="4">
        <v>376.10899999999998</v>
      </c>
      <c r="AE34" s="4">
        <v>458.452</v>
      </c>
      <c r="AF34" s="4">
        <v>446.68799999999999</v>
      </c>
      <c r="AG34" s="4">
        <v>412.19400000000002</v>
      </c>
      <c r="AH34" s="32">
        <v>354.61099999999999</v>
      </c>
    </row>
    <row r="35" spans="1:34" ht="14.5" x14ac:dyDescent="0.35">
      <c r="A35" s="53">
        <v>47088</v>
      </c>
      <c r="B35" s="33">
        <v>361</v>
      </c>
      <c r="C35" s="8">
        <v>361</v>
      </c>
      <c r="D35" s="11">
        <v>361</v>
      </c>
      <c r="E35">
        <v>424.11099999999999</v>
      </c>
      <c r="F35">
        <v>369.01600000000002</v>
      </c>
      <c r="G35">
        <v>465.33499999999998</v>
      </c>
      <c r="H35" s="4">
        <v>491.06400000000002</v>
      </c>
      <c r="I35" s="4">
        <v>458.38900000000001</v>
      </c>
      <c r="J35" s="4">
        <v>461.31</v>
      </c>
      <c r="K35" s="4">
        <v>350.53199999999998</v>
      </c>
      <c r="L35" s="4">
        <v>307.99799999999999</v>
      </c>
      <c r="M35" s="4">
        <v>309.20400000000001</v>
      </c>
      <c r="N35" s="4">
        <v>264.30599999999998</v>
      </c>
      <c r="O35" s="4">
        <v>321.315</v>
      </c>
      <c r="P35" s="4">
        <v>376.36700000000002</v>
      </c>
      <c r="Q35" s="4">
        <v>414.68799999999999</v>
      </c>
      <c r="R35" s="4">
        <v>417.47</v>
      </c>
      <c r="S35" s="4">
        <v>389.822</v>
      </c>
      <c r="T35" s="4">
        <v>391.41899999999998</v>
      </c>
      <c r="U35" s="4">
        <v>374.12400000000002</v>
      </c>
      <c r="V35" s="4">
        <v>403.49</v>
      </c>
      <c r="W35" s="4">
        <v>453.36</v>
      </c>
      <c r="X35" s="4">
        <v>301.40800000000002</v>
      </c>
      <c r="Y35" s="4">
        <v>324.488</v>
      </c>
      <c r="Z35" s="4">
        <v>372.86700000000002</v>
      </c>
      <c r="AA35" s="4">
        <v>331.13</v>
      </c>
      <c r="AB35" s="4">
        <v>373.27499999999998</v>
      </c>
      <c r="AC35" s="4">
        <v>417.24900000000002</v>
      </c>
      <c r="AD35" s="4">
        <v>300.66500000000002</v>
      </c>
      <c r="AE35" s="4">
        <v>420.42599999999999</v>
      </c>
      <c r="AF35" s="4">
        <v>364.6</v>
      </c>
      <c r="AG35" s="4">
        <v>343.43900000000002</v>
      </c>
      <c r="AH35" s="32">
        <v>301.661</v>
      </c>
    </row>
    <row r="36" spans="1:34" ht="14.5" x14ac:dyDescent="0.35">
      <c r="A36" s="53">
        <v>47119</v>
      </c>
      <c r="B36" s="15">
        <v>350</v>
      </c>
      <c r="C36" s="13">
        <v>350</v>
      </c>
      <c r="D36" s="14">
        <v>350</v>
      </c>
      <c r="E36" s="4">
        <v>390.154</v>
      </c>
      <c r="F36" s="4">
        <v>355.303</v>
      </c>
      <c r="G36" s="4">
        <v>408.76600000000002</v>
      </c>
      <c r="H36" s="4">
        <v>448.77499999999998</v>
      </c>
      <c r="I36" s="4">
        <v>421.947</v>
      </c>
      <c r="J36" s="4">
        <v>386.81900000000002</v>
      </c>
      <c r="K36" s="4">
        <v>335.72899999999998</v>
      </c>
      <c r="L36" s="4">
        <v>284.78500000000003</v>
      </c>
      <c r="M36" s="4">
        <v>271.18700000000001</v>
      </c>
      <c r="N36" s="4">
        <v>228.166</v>
      </c>
      <c r="O36" s="4">
        <v>281.23500000000001</v>
      </c>
      <c r="P36" s="4">
        <v>525.28300000000002</v>
      </c>
      <c r="Q36" s="4">
        <v>388.60500000000002</v>
      </c>
      <c r="R36" s="4">
        <v>362.56400000000002</v>
      </c>
      <c r="S36" s="4">
        <v>319.20499999999998</v>
      </c>
      <c r="T36" s="4">
        <v>379.99200000000002</v>
      </c>
      <c r="U36" s="4">
        <v>340.59100000000001</v>
      </c>
      <c r="V36" s="4">
        <v>370.976</v>
      </c>
      <c r="W36" s="4">
        <v>425.916</v>
      </c>
      <c r="X36" s="4">
        <v>276.72699999999998</v>
      </c>
      <c r="Y36" s="4">
        <v>268.12900000000002</v>
      </c>
      <c r="Z36" s="4">
        <v>340.464</v>
      </c>
      <c r="AA36" s="4">
        <v>305.11099999999999</v>
      </c>
      <c r="AB36" s="4">
        <v>401.82600000000002</v>
      </c>
      <c r="AC36" s="4">
        <v>373.03899999999999</v>
      </c>
      <c r="AD36" s="4">
        <v>277.66000000000003</v>
      </c>
      <c r="AE36" s="32">
        <v>373.02499999999998</v>
      </c>
      <c r="AF36" s="4">
        <v>305.00299999999999</v>
      </c>
      <c r="AG36" s="4">
        <v>302.26299999999998</v>
      </c>
      <c r="AH36" s="4">
        <v>376.17500000000001</v>
      </c>
    </row>
    <row r="37" spans="1:34" ht="14.5" x14ac:dyDescent="0.35">
      <c r="A37" s="53">
        <v>47150</v>
      </c>
      <c r="B37" s="15">
        <v>397</v>
      </c>
      <c r="C37" s="13">
        <v>397</v>
      </c>
      <c r="D37" s="14">
        <v>397</v>
      </c>
      <c r="E37" s="4">
        <v>365.303</v>
      </c>
      <c r="F37" s="4">
        <v>388.166</v>
      </c>
      <c r="G37" s="4">
        <v>440.81799999999998</v>
      </c>
      <c r="H37" s="4">
        <v>420.90600000000001</v>
      </c>
      <c r="I37" s="4">
        <v>426.24700000000001</v>
      </c>
      <c r="J37" s="4">
        <v>384.15199999999999</v>
      </c>
      <c r="K37" s="4">
        <v>366.82299999999998</v>
      </c>
      <c r="L37" s="4">
        <v>266.714</v>
      </c>
      <c r="M37" s="4">
        <v>220.351</v>
      </c>
      <c r="N37" s="4">
        <v>251.14699999999999</v>
      </c>
      <c r="O37" s="4">
        <v>255.36699999999999</v>
      </c>
      <c r="P37" s="4">
        <v>530.50199999999995</v>
      </c>
      <c r="Q37" s="4">
        <v>339.041</v>
      </c>
      <c r="R37" s="4">
        <v>375.54899999999998</v>
      </c>
      <c r="S37" s="4">
        <v>303.55399999999997</v>
      </c>
      <c r="T37" s="4">
        <v>379.37400000000002</v>
      </c>
      <c r="U37" s="4">
        <v>373.08199999999999</v>
      </c>
      <c r="V37" s="4">
        <v>322.45299999999997</v>
      </c>
      <c r="W37" s="4">
        <v>396.8</v>
      </c>
      <c r="X37" s="4">
        <v>272.38200000000001</v>
      </c>
      <c r="Y37" s="4">
        <v>264.64699999999999</v>
      </c>
      <c r="Z37" s="4">
        <v>436.82600000000002</v>
      </c>
      <c r="AA37" s="4">
        <v>341.44900000000001</v>
      </c>
      <c r="AB37" s="4">
        <v>535.351</v>
      </c>
      <c r="AC37" s="4">
        <v>368.49099999999999</v>
      </c>
      <c r="AD37" s="4">
        <v>281.63400000000001</v>
      </c>
      <c r="AE37" s="32">
        <v>343.24200000000002</v>
      </c>
      <c r="AF37" s="4">
        <v>291.02100000000002</v>
      </c>
      <c r="AG37" s="4">
        <v>320.77600000000001</v>
      </c>
      <c r="AH37" s="4">
        <v>477.80099999999999</v>
      </c>
    </row>
    <row r="38" spans="1:34" ht="14.5" x14ac:dyDescent="0.35">
      <c r="A38" s="53">
        <v>47178</v>
      </c>
      <c r="B38" s="15">
        <v>614</v>
      </c>
      <c r="C38" s="13">
        <v>614</v>
      </c>
      <c r="D38" s="14">
        <v>614</v>
      </c>
      <c r="E38" s="4">
        <v>618.84500000000003</v>
      </c>
      <c r="F38" s="4">
        <v>973.13800000000003</v>
      </c>
      <c r="G38" s="4">
        <v>600.13300000000004</v>
      </c>
      <c r="H38" s="4">
        <v>800.83299999999997</v>
      </c>
      <c r="I38" s="4">
        <v>578.73400000000004</v>
      </c>
      <c r="J38" s="4">
        <v>522.10699999999997</v>
      </c>
      <c r="K38" s="4">
        <v>478.49200000000002</v>
      </c>
      <c r="L38" s="4">
        <v>466.84</v>
      </c>
      <c r="M38" s="4">
        <v>273.976</v>
      </c>
      <c r="N38" s="4">
        <v>408.673</v>
      </c>
      <c r="O38" s="4">
        <v>598.57299999999998</v>
      </c>
      <c r="P38" s="4">
        <v>700.39499999999998</v>
      </c>
      <c r="Q38" s="4">
        <v>456.43299999999999</v>
      </c>
      <c r="R38" s="4">
        <v>817.78399999999999</v>
      </c>
      <c r="S38" s="4">
        <v>409.74400000000003</v>
      </c>
      <c r="T38" s="4">
        <v>615.39700000000005</v>
      </c>
      <c r="U38" s="4">
        <v>525.61099999999999</v>
      </c>
      <c r="V38" s="4">
        <v>485.02300000000002</v>
      </c>
      <c r="W38" s="4">
        <v>569.75400000000002</v>
      </c>
      <c r="X38" s="4">
        <v>362.38499999999999</v>
      </c>
      <c r="Y38" s="4">
        <v>434.51799999999997</v>
      </c>
      <c r="Z38" s="4">
        <v>654.745</v>
      </c>
      <c r="AA38" s="4">
        <v>527.1</v>
      </c>
      <c r="AB38" s="4">
        <v>1177.42</v>
      </c>
      <c r="AC38" s="4">
        <v>436.41800000000001</v>
      </c>
      <c r="AD38" s="4">
        <v>537.61900000000003</v>
      </c>
      <c r="AE38" s="32">
        <v>515.99</v>
      </c>
      <c r="AF38" s="4">
        <v>418.11200000000002</v>
      </c>
      <c r="AG38" s="4">
        <v>544.15</v>
      </c>
      <c r="AH38" s="4">
        <v>601.33000000000004</v>
      </c>
    </row>
    <row r="39" spans="1:34" ht="14.5" x14ac:dyDescent="0.35">
      <c r="A39" s="53">
        <v>47209</v>
      </c>
      <c r="B39" s="15">
        <v>920</v>
      </c>
      <c r="C39" s="13">
        <v>920</v>
      </c>
      <c r="D39" s="14">
        <v>920</v>
      </c>
      <c r="E39" s="4">
        <v>996.21299999999997</v>
      </c>
      <c r="F39" s="4">
        <v>909.02499999999998</v>
      </c>
      <c r="G39" s="4">
        <v>1033.5830000000001</v>
      </c>
      <c r="H39" s="4">
        <v>1410.2329999999999</v>
      </c>
      <c r="I39" s="4">
        <v>1105.2529999999999</v>
      </c>
      <c r="J39" s="4">
        <v>732.93200000000002</v>
      </c>
      <c r="K39" s="4">
        <v>796.995</v>
      </c>
      <c r="L39" s="4">
        <v>764.06799999999998</v>
      </c>
      <c r="M39" s="4">
        <v>476.61500000000001</v>
      </c>
      <c r="N39" s="4">
        <v>560.43200000000002</v>
      </c>
      <c r="O39" s="4">
        <v>1367.3119999999999</v>
      </c>
      <c r="P39" s="4">
        <v>1395.4849999999999</v>
      </c>
      <c r="Q39" s="4">
        <v>1107.886</v>
      </c>
      <c r="R39" s="4">
        <v>1153.58</v>
      </c>
      <c r="S39" s="4">
        <v>642.827</v>
      </c>
      <c r="T39" s="4">
        <v>782.399</v>
      </c>
      <c r="U39" s="4">
        <v>758.43</v>
      </c>
      <c r="V39" s="4">
        <v>1137.8109999999999</v>
      </c>
      <c r="W39" s="4">
        <v>1184.9380000000001</v>
      </c>
      <c r="X39" s="4">
        <v>360.82100000000003</v>
      </c>
      <c r="Y39" s="4">
        <v>670.30799999999999</v>
      </c>
      <c r="Z39" s="4">
        <v>705.74400000000003</v>
      </c>
      <c r="AA39" s="4">
        <v>763.625</v>
      </c>
      <c r="AB39" s="4">
        <v>1873.2429999999999</v>
      </c>
      <c r="AC39" s="4">
        <v>502.45499999999998</v>
      </c>
      <c r="AD39" s="4">
        <v>1163.472</v>
      </c>
      <c r="AE39" s="32">
        <v>611.06200000000001</v>
      </c>
      <c r="AF39" s="4">
        <v>480.39800000000002</v>
      </c>
      <c r="AG39" s="4">
        <v>1018.974</v>
      </c>
      <c r="AH39" s="4">
        <v>1335.2429999999999</v>
      </c>
    </row>
    <row r="40" spans="1:34" ht="14.5" x14ac:dyDescent="0.35">
      <c r="A40" s="53">
        <v>47239</v>
      </c>
      <c r="B40" s="15">
        <v>2060</v>
      </c>
      <c r="C40" s="13">
        <v>2060</v>
      </c>
      <c r="D40" s="14">
        <v>2060</v>
      </c>
      <c r="E40" s="4">
        <v>2088.11</v>
      </c>
      <c r="F40" s="4">
        <v>2463.8809999999999</v>
      </c>
      <c r="G40" s="4">
        <v>3010.7139999999999</v>
      </c>
      <c r="H40" s="4">
        <v>4000.1309999999999</v>
      </c>
      <c r="I40" s="4">
        <v>2687.5639999999999</v>
      </c>
      <c r="J40" s="4">
        <v>2185.2040000000002</v>
      </c>
      <c r="K40" s="4">
        <v>2009.421</v>
      </c>
      <c r="L40" s="4">
        <v>2239.04</v>
      </c>
      <c r="M40" s="4">
        <v>310.58300000000003</v>
      </c>
      <c r="N40" s="4">
        <v>1398.2439999999999</v>
      </c>
      <c r="O40" s="4">
        <v>1768.2750000000001</v>
      </c>
      <c r="P40" s="4">
        <v>3000.3519999999999</v>
      </c>
      <c r="Q40" s="4">
        <v>2469.558</v>
      </c>
      <c r="R40" s="4">
        <v>2071.355</v>
      </c>
      <c r="S40" s="4">
        <v>2130.306</v>
      </c>
      <c r="T40" s="4">
        <v>2760.87</v>
      </c>
      <c r="U40" s="4">
        <v>1036.6079999999999</v>
      </c>
      <c r="V40" s="4">
        <v>2390.4580000000001</v>
      </c>
      <c r="W40" s="4">
        <v>1363.44</v>
      </c>
      <c r="X40" s="4">
        <v>748.25400000000002</v>
      </c>
      <c r="Y40" s="4">
        <v>1724.2639999999999</v>
      </c>
      <c r="Z40" s="4">
        <v>1420.126</v>
      </c>
      <c r="AA40" s="4">
        <v>2033.7950000000001</v>
      </c>
      <c r="AB40" s="4">
        <v>2459.424</v>
      </c>
      <c r="AC40" s="4">
        <v>1323.2729999999999</v>
      </c>
      <c r="AD40" s="4">
        <v>2449.674</v>
      </c>
      <c r="AE40" s="32">
        <v>1556.7049999999999</v>
      </c>
      <c r="AF40" s="4">
        <v>1000.0890000000001</v>
      </c>
      <c r="AG40" s="4">
        <v>1927.4490000000001</v>
      </c>
      <c r="AH40" s="4">
        <v>3472.5050000000001</v>
      </c>
    </row>
    <row r="41" spans="1:34" ht="14.5" x14ac:dyDescent="0.35">
      <c r="A41" s="53">
        <v>47270</v>
      </c>
      <c r="B41" s="15">
        <v>2423</v>
      </c>
      <c r="C41" s="13">
        <v>2423</v>
      </c>
      <c r="D41" s="14">
        <v>2423</v>
      </c>
      <c r="E41" s="4">
        <v>1632.7339999999999</v>
      </c>
      <c r="F41" s="4">
        <v>4955.634</v>
      </c>
      <c r="G41" s="4">
        <v>2875.953</v>
      </c>
      <c r="H41" s="4">
        <v>4851.076</v>
      </c>
      <c r="I41" s="4">
        <v>2521.6109999999999</v>
      </c>
      <c r="J41" s="4">
        <v>3295.7629999999999</v>
      </c>
      <c r="K41" s="4">
        <v>1386.1410000000001</v>
      </c>
      <c r="L41" s="4">
        <v>1550.3409999999999</v>
      </c>
      <c r="M41" s="4">
        <v>375.42</v>
      </c>
      <c r="N41" s="4">
        <v>2124.0169999999998</v>
      </c>
      <c r="O41" s="4">
        <v>1027.0329999999999</v>
      </c>
      <c r="P41" s="4">
        <v>3525.056</v>
      </c>
      <c r="Q41" s="4">
        <v>1920.2650000000001</v>
      </c>
      <c r="R41" s="4">
        <v>1157.7349999999999</v>
      </c>
      <c r="S41" s="4">
        <v>3699.39</v>
      </c>
      <c r="T41" s="4">
        <v>2562.451</v>
      </c>
      <c r="U41" s="4">
        <v>2575.056</v>
      </c>
      <c r="V41" s="4">
        <v>5021.9750000000004</v>
      </c>
      <c r="W41" s="4">
        <v>430.70299999999997</v>
      </c>
      <c r="X41" s="4">
        <v>1235.867</v>
      </c>
      <c r="Y41" s="4">
        <v>2896.6170000000002</v>
      </c>
      <c r="Z41" s="4">
        <v>2199.511</v>
      </c>
      <c r="AA41" s="4">
        <v>2510.0149999999999</v>
      </c>
      <c r="AB41" s="4">
        <v>3239.9920000000002</v>
      </c>
      <c r="AC41" s="4">
        <v>928.00099999999998</v>
      </c>
      <c r="AD41" s="4">
        <v>3758.625</v>
      </c>
      <c r="AE41" s="32">
        <v>1770.9949999999999</v>
      </c>
      <c r="AF41" s="4">
        <v>2358.3980000000001</v>
      </c>
      <c r="AG41" s="4">
        <v>1106.07</v>
      </c>
      <c r="AH41" s="4">
        <v>4357.0600000000004</v>
      </c>
    </row>
    <row r="42" spans="1:34" ht="14.5" x14ac:dyDescent="0.35">
      <c r="A42" s="53">
        <v>47300</v>
      </c>
      <c r="B42" s="15">
        <v>711</v>
      </c>
      <c r="C42" s="13">
        <v>711</v>
      </c>
      <c r="D42" s="14">
        <v>711</v>
      </c>
      <c r="E42" s="4">
        <v>318.18900000000002</v>
      </c>
      <c r="F42" s="4">
        <v>3904.9</v>
      </c>
      <c r="G42" s="4">
        <v>1173.952</v>
      </c>
      <c r="H42" s="4">
        <v>1750.154</v>
      </c>
      <c r="I42" s="4">
        <v>1469.4739999999999</v>
      </c>
      <c r="J42" s="4">
        <v>1846.4829999999999</v>
      </c>
      <c r="K42" s="4">
        <v>251.226</v>
      </c>
      <c r="L42" s="4">
        <v>338.26</v>
      </c>
      <c r="M42" s="4">
        <v>3.407</v>
      </c>
      <c r="N42" s="4">
        <v>505.66</v>
      </c>
      <c r="O42" s="4">
        <v>403.02300000000002</v>
      </c>
      <c r="P42" s="4">
        <v>1469.11</v>
      </c>
      <c r="Q42" s="4">
        <v>477.42500000000001</v>
      </c>
      <c r="R42" s="4">
        <v>316.11700000000002</v>
      </c>
      <c r="S42" s="4">
        <v>1870.0170000000001</v>
      </c>
      <c r="T42" s="4">
        <v>1524.3779999999999</v>
      </c>
      <c r="U42" s="4">
        <v>830.78399999999999</v>
      </c>
      <c r="V42" s="4">
        <v>3669.1570000000002</v>
      </c>
      <c r="W42" s="4">
        <v>103.807</v>
      </c>
      <c r="X42" s="4">
        <v>295.05399999999997</v>
      </c>
      <c r="Y42" s="4">
        <v>1021.224</v>
      </c>
      <c r="Z42" s="4">
        <v>798.46299999999997</v>
      </c>
      <c r="AA42" s="4">
        <v>747.57399999999996</v>
      </c>
      <c r="AB42" s="4">
        <v>1154.854</v>
      </c>
      <c r="AC42" s="4">
        <v>232.01900000000001</v>
      </c>
      <c r="AD42" s="4">
        <v>2257.6460000000002</v>
      </c>
      <c r="AE42" s="32">
        <v>466.952</v>
      </c>
      <c r="AF42" s="4">
        <v>983.83500000000004</v>
      </c>
      <c r="AG42" s="4">
        <v>393.291</v>
      </c>
      <c r="AH42" s="4">
        <v>1913.4639999999999</v>
      </c>
    </row>
    <row r="43" spans="1:34" ht="14.5" x14ac:dyDescent="0.35">
      <c r="A43" s="53">
        <v>47331</v>
      </c>
      <c r="B43" s="15">
        <v>371</v>
      </c>
      <c r="C43" s="13">
        <v>371</v>
      </c>
      <c r="D43" s="14">
        <v>371</v>
      </c>
      <c r="E43" s="4">
        <v>199.59399999999999</v>
      </c>
      <c r="F43" s="4">
        <v>1053.0329999999999</v>
      </c>
      <c r="G43" s="4">
        <v>370.149</v>
      </c>
      <c r="H43" s="4">
        <v>851.92700000000002</v>
      </c>
      <c r="I43" s="4">
        <v>538.26099999999997</v>
      </c>
      <c r="J43" s="4">
        <v>762.67</v>
      </c>
      <c r="K43" s="4">
        <v>162.59700000000001</v>
      </c>
      <c r="L43" s="4">
        <v>254.31399999999999</v>
      </c>
      <c r="M43" s="4">
        <v>56.720999999999997</v>
      </c>
      <c r="N43" s="4">
        <v>216.33699999999999</v>
      </c>
      <c r="O43" s="4">
        <v>206.40100000000001</v>
      </c>
      <c r="P43" s="4">
        <v>508.68299999999999</v>
      </c>
      <c r="Q43" s="4">
        <v>310.541</v>
      </c>
      <c r="R43" s="4">
        <v>288.75900000000001</v>
      </c>
      <c r="S43" s="4">
        <v>571.47299999999996</v>
      </c>
      <c r="T43" s="4">
        <v>457.72199999999998</v>
      </c>
      <c r="U43" s="4">
        <v>404.99900000000002</v>
      </c>
      <c r="V43" s="4">
        <v>856.88300000000004</v>
      </c>
      <c r="W43" s="4">
        <v>154.82400000000001</v>
      </c>
      <c r="X43" s="4">
        <v>237.18600000000001</v>
      </c>
      <c r="Y43" s="4">
        <v>437.86500000000001</v>
      </c>
      <c r="Z43" s="4">
        <v>289.80700000000002</v>
      </c>
      <c r="AA43" s="4">
        <v>354.37200000000001</v>
      </c>
      <c r="AB43" s="4">
        <v>494.45100000000002</v>
      </c>
      <c r="AC43" s="4">
        <v>155.041</v>
      </c>
      <c r="AD43" s="4">
        <v>593.34799999999996</v>
      </c>
      <c r="AE43" s="32">
        <v>222.78200000000001</v>
      </c>
      <c r="AF43" s="4">
        <v>380.18700000000001</v>
      </c>
      <c r="AG43" s="4">
        <v>280.43799999999999</v>
      </c>
      <c r="AH43" s="4">
        <v>704.29499999999996</v>
      </c>
    </row>
    <row r="44" spans="1:34" ht="14.5" x14ac:dyDescent="0.35">
      <c r="A44" s="53">
        <v>47362</v>
      </c>
      <c r="B44" s="15">
        <v>316</v>
      </c>
      <c r="C44" s="13">
        <v>316</v>
      </c>
      <c r="D44" s="14">
        <v>316</v>
      </c>
      <c r="E44" s="4">
        <v>310.94</v>
      </c>
      <c r="F44" s="4">
        <v>563.82100000000003</v>
      </c>
      <c r="G44" s="4">
        <v>376.57400000000001</v>
      </c>
      <c r="H44" s="4">
        <v>760.26900000000001</v>
      </c>
      <c r="I44" s="4">
        <v>415.46699999999998</v>
      </c>
      <c r="J44" s="4">
        <v>524.24300000000005</v>
      </c>
      <c r="K44" s="4">
        <v>244.10400000000001</v>
      </c>
      <c r="L44" s="4">
        <v>229.93299999999999</v>
      </c>
      <c r="M44" s="4">
        <v>205.33099999999999</v>
      </c>
      <c r="N44" s="4">
        <v>398.46499999999997</v>
      </c>
      <c r="O44" s="4">
        <v>332.05099999999999</v>
      </c>
      <c r="P44" s="4">
        <v>389.346</v>
      </c>
      <c r="Q44" s="4">
        <v>361.50200000000001</v>
      </c>
      <c r="R44" s="4">
        <v>357.697</v>
      </c>
      <c r="S44" s="4">
        <v>435.779</v>
      </c>
      <c r="T44" s="4">
        <v>322.52300000000002</v>
      </c>
      <c r="U44" s="4">
        <v>292.84300000000002</v>
      </c>
      <c r="V44" s="4">
        <v>544.11699999999996</v>
      </c>
      <c r="W44" s="4">
        <v>188.89500000000001</v>
      </c>
      <c r="X44" s="4">
        <v>473.52300000000002</v>
      </c>
      <c r="Y44" s="4">
        <v>452.37599999999998</v>
      </c>
      <c r="Z44" s="4">
        <v>268.50900000000001</v>
      </c>
      <c r="AA44" s="4">
        <v>380.93700000000001</v>
      </c>
      <c r="AB44" s="4">
        <v>366.22300000000001</v>
      </c>
      <c r="AC44" s="4">
        <v>173.84200000000001</v>
      </c>
      <c r="AD44" s="4">
        <v>385.59500000000003</v>
      </c>
      <c r="AE44" s="32">
        <v>243.21799999999999</v>
      </c>
      <c r="AF44" s="4">
        <v>415.10500000000002</v>
      </c>
      <c r="AG44" s="4">
        <v>295.49599999999998</v>
      </c>
      <c r="AH44" s="4">
        <v>601.48599999999999</v>
      </c>
    </row>
    <row r="45" spans="1:34" ht="14.5" x14ac:dyDescent="0.35">
      <c r="A45" s="53">
        <v>47392</v>
      </c>
      <c r="B45" s="15">
        <v>515</v>
      </c>
      <c r="C45" s="13">
        <v>338</v>
      </c>
      <c r="D45" s="14">
        <v>417</v>
      </c>
      <c r="E45" s="4">
        <v>460.00900000000001</v>
      </c>
      <c r="F45" s="4">
        <v>605.49599999999998</v>
      </c>
      <c r="G45" s="4">
        <v>535.91499999999996</v>
      </c>
      <c r="H45" s="4">
        <v>902.15700000000004</v>
      </c>
      <c r="I45" s="4">
        <v>529.096</v>
      </c>
      <c r="J45" s="4">
        <v>397.23099999999999</v>
      </c>
      <c r="K45" s="4">
        <v>409.60500000000002</v>
      </c>
      <c r="L45" s="4">
        <v>271.3</v>
      </c>
      <c r="M45" s="4">
        <v>316.81099999999998</v>
      </c>
      <c r="N45" s="4">
        <v>314.35700000000003</v>
      </c>
      <c r="O45" s="4">
        <v>497.53100000000001</v>
      </c>
      <c r="P45" s="4">
        <v>608.19899999999996</v>
      </c>
      <c r="Q45" s="4">
        <v>1088.3109999999999</v>
      </c>
      <c r="R45" s="4">
        <v>524.04399999999998</v>
      </c>
      <c r="S45" s="4">
        <v>422.26</v>
      </c>
      <c r="T45" s="4">
        <v>391.28800000000001</v>
      </c>
      <c r="U45" s="4">
        <v>449.18400000000003</v>
      </c>
      <c r="V45" s="4">
        <v>620.92999999999995</v>
      </c>
      <c r="W45" s="4">
        <v>264.09100000000001</v>
      </c>
      <c r="X45" s="4">
        <v>576.85599999999999</v>
      </c>
      <c r="Y45" s="4">
        <v>653.76199999999994</v>
      </c>
      <c r="Z45" s="4">
        <v>392.202</v>
      </c>
      <c r="AA45" s="4">
        <v>456.99599999999998</v>
      </c>
      <c r="AB45" s="4">
        <v>540.72400000000005</v>
      </c>
      <c r="AC45" s="4">
        <v>370.78199999999998</v>
      </c>
      <c r="AD45" s="4">
        <v>417.851</v>
      </c>
      <c r="AE45" s="32">
        <v>328.23399999999998</v>
      </c>
      <c r="AF45" s="4">
        <v>327.59899999999999</v>
      </c>
      <c r="AG45" s="4">
        <v>282.18599999999998</v>
      </c>
      <c r="AH45" s="4">
        <v>570.73</v>
      </c>
    </row>
    <row r="46" spans="1:34" ht="14.5" x14ac:dyDescent="0.35">
      <c r="A46" s="53">
        <v>47423</v>
      </c>
      <c r="B46" s="15">
        <v>503</v>
      </c>
      <c r="C46" s="13">
        <v>407</v>
      </c>
      <c r="D46" s="14">
        <v>450</v>
      </c>
      <c r="E46" s="4">
        <v>481.17</v>
      </c>
      <c r="F46" s="4">
        <v>552.71500000000003</v>
      </c>
      <c r="G46" s="4">
        <v>561.59699999999998</v>
      </c>
      <c r="H46" s="4">
        <v>645.72400000000005</v>
      </c>
      <c r="I46" s="4">
        <v>607.15099999999995</v>
      </c>
      <c r="J46" s="4">
        <v>415.35199999999998</v>
      </c>
      <c r="K46" s="4">
        <v>409.20100000000002</v>
      </c>
      <c r="L46" s="4">
        <v>357.15199999999999</v>
      </c>
      <c r="M46" s="4">
        <v>326.63299999999998</v>
      </c>
      <c r="N46" s="4">
        <v>363.452</v>
      </c>
      <c r="O46" s="4">
        <v>602.37599999999998</v>
      </c>
      <c r="P46" s="4">
        <v>578.52200000000005</v>
      </c>
      <c r="Q46" s="4">
        <v>608.46500000000003</v>
      </c>
      <c r="R46" s="4">
        <v>482.15</v>
      </c>
      <c r="S46" s="4">
        <v>456.23200000000003</v>
      </c>
      <c r="T46" s="4">
        <v>458.01100000000002</v>
      </c>
      <c r="U46" s="4">
        <v>469.87299999999999</v>
      </c>
      <c r="V46" s="4">
        <v>583.22400000000005</v>
      </c>
      <c r="W46" s="4">
        <v>329.52300000000002</v>
      </c>
      <c r="X46" s="4">
        <v>494.26799999999997</v>
      </c>
      <c r="Y46" s="4">
        <v>473.37400000000002</v>
      </c>
      <c r="Z46" s="4">
        <v>403.78100000000001</v>
      </c>
      <c r="AA46" s="4">
        <v>446.93400000000003</v>
      </c>
      <c r="AB46" s="4">
        <v>491.447</v>
      </c>
      <c r="AC46" s="4">
        <v>383.43200000000002</v>
      </c>
      <c r="AD46" s="4">
        <v>469.06</v>
      </c>
      <c r="AE46" s="32">
        <v>445.94</v>
      </c>
      <c r="AF46" s="4">
        <v>428.89600000000002</v>
      </c>
      <c r="AG46" s="4">
        <v>358.69400000000002</v>
      </c>
      <c r="AH46" s="4">
        <v>556.95000000000005</v>
      </c>
    </row>
    <row r="47" spans="1:34" ht="14.5" x14ac:dyDescent="0.35">
      <c r="A47" s="53">
        <v>47453</v>
      </c>
      <c r="B47" s="15">
        <v>361</v>
      </c>
      <c r="C47" s="13">
        <v>361</v>
      </c>
      <c r="D47" s="14">
        <v>361</v>
      </c>
      <c r="E47" s="4">
        <v>372.59</v>
      </c>
      <c r="F47" s="4">
        <v>478.07</v>
      </c>
      <c r="G47" s="4">
        <v>492.803</v>
      </c>
      <c r="H47" s="4">
        <v>469.23899999999998</v>
      </c>
      <c r="I47" s="4">
        <v>466.44299999999998</v>
      </c>
      <c r="J47" s="4">
        <v>361.85199999999998</v>
      </c>
      <c r="K47" s="4">
        <v>316.47699999999998</v>
      </c>
      <c r="L47" s="4">
        <v>316.20800000000003</v>
      </c>
      <c r="M47" s="4">
        <v>267.75299999999999</v>
      </c>
      <c r="N47" s="4">
        <v>326.44900000000001</v>
      </c>
      <c r="O47" s="4">
        <v>375.202</v>
      </c>
      <c r="P47" s="4">
        <v>420.50599999999997</v>
      </c>
      <c r="Q47" s="4">
        <v>420.92099999999999</v>
      </c>
      <c r="R47" s="4">
        <v>401.91699999999997</v>
      </c>
      <c r="S47" s="4">
        <v>395.40699999999998</v>
      </c>
      <c r="T47" s="4">
        <v>377.85599999999999</v>
      </c>
      <c r="U47" s="4">
        <v>413.13299999999998</v>
      </c>
      <c r="V47" s="4">
        <v>456.97</v>
      </c>
      <c r="W47" s="4">
        <v>306.41199999999998</v>
      </c>
      <c r="X47" s="4">
        <v>345.005</v>
      </c>
      <c r="Y47" s="4">
        <v>373.40600000000001</v>
      </c>
      <c r="Z47" s="4">
        <v>332.84</v>
      </c>
      <c r="AA47" s="4">
        <v>377.24200000000002</v>
      </c>
      <c r="AB47" s="4">
        <v>420.471</v>
      </c>
      <c r="AC47" s="4">
        <v>307.22899999999998</v>
      </c>
      <c r="AD47" s="4">
        <v>430.08699999999999</v>
      </c>
      <c r="AE47" s="32">
        <v>364.51799999999997</v>
      </c>
      <c r="AF47" s="4">
        <v>358.13900000000001</v>
      </c>
      <c r="AG47" s="4">
        <v>305.47699999999998</v>
      </c>
      <c r="AH47" s="4">
        <v>426.43799999999999</v>
      </c>
    </row>
    <row r="48" spans="1:34" ht="14.5" x14ac:dyDescent="0.35">
      <c r="A48" s="53">
        <v>47484</v>
      </c>
      <c r="B48" s="15">
        <v>350</v>
      </c>
      <c r="C48" s="13">
        <v>350</v>
      </c>
      <c r="D48" s="14">
        <v>350</v>
      </c>
      <c r="E48" s="4">
        <v>358.96800000000002</v>
      </c>
      <c r="F48" s="4">
        <v>421.416</v>
      </c>
      <c r="G48" s="4">
        <v>450.47199999999998</v>
      </c>
      <c r="H48" s="4">
        <v>430.70800000000003</v>
      </c>
      <c r="I48" s="4">
        <v>391.88</v>
      </c>
      <c r="J48" s="4">
        <v>347.54700000000003</v>
      </c>
      <c r="K48" s="4">
        <v>293.464</v>
      </c>
      <c r="L48" s="4">
        <v>277.89999999999998</v>
      </c>
      <c r="M48" s="4">
        <v>231.63200000000001</v>
      </c>
      <c r="N48" s="4">
        <v>286.35000000000002</v>
      </c>
      <c r="O48" s="4">
        <v>523.70799999999997</v>
      </c>
      <c r="P48" s="4">
        <v>392.36599999999999</v>
      </c>
      <c r="Q48" s="4">
        <v>366.17500000000001</v>
      </c>
      <c r="R48" s="4">
        <v>331.28199999999998</v>
      </c>
      <c r="S48" s="4">
        <v>384.01499999999999</v>
      </c>
      <c r="T48" s="4">
        <v>341.839</v>
      </c>
      <c r="U48" s="4">
        <v>380.66699999999997</v>
      </c>
      <c r="V48" s="4">
        <v>429.90600000000001</v>
      </c>
      <c r="W48" s="4">
        <v>282.02199999999999</v>
      </c>
      <c r="X48" s="4">
        <v>286.19499999999999</v>
      </c>
      <c r="Y48" s="4">
        <v>341.00799999999998</v>
      </c>
      <c r="Z48" s="4">
        <v>306.67700000000002</v>
      </c>
      <c r="AA48" s="4">
        <v>405.85599999999999</v>
      </c>
      <c r="AB48" s="4">
        <v>375.07400000000001</v>
      </c>
      <c r="AC48" s="4">
        <v>284.286</v>
      </c>
      <c r="AD48" s="4">
        <v>382.86599999999999</v>
      </c>
      <c r="AE48" s="32">
        <v>304.82100000000003</v>
      </c>
      <c r="AF48" s="4">
        <v>314.82900000000001</v>
      </c>
      <c r="AG48" s="4">
        <v>380.12200000000001</v>
      </c>
      <c r="AH48" s="4">
        <v>392.46699999999998</v>
      </c>
    </row>
    <row r="49" spans="1:1005" ht="14.5" x14ac:dyDescent="0.35">
      <c r="A49" s="53">
        <v>47515</v>
      </c>
      <c r="B49" s="15">
        <v>397</v>
      </c>
      <c r="C49" s="13">
        <v>397</v>
      </c>
      <c r="D49" s="14">
        <v>397</v>
      </c>
      <c r="E49" s="4">
        <v>392.45</v>
      </c>
      <c r="F49" s="4">
        <v>455.24799999999999</v>
      </c>
      <c r="G49" s="4">
        <v>422.589</v>
      </c>
      <c r="H49" s="4">
        <v>433.44400000000002</v>
      </c>
      <c r="I49" s="4">
        <v>388.87799999999999</v>
      </c>
      <c r="J49" s="4">
        <v>379.46899999999999</v>
      </c>
      <c r="K49" s="4">
        <v>275.58600000000001</v>
      </c>
      <c r="L49" s="4">
        <v>227.05199999999999</v>
      </c>
      <c r="M49" s="4">
        <v>254.809</v>
      </c>
      <c r="N49" s="4">
        <v>260.67200000000003</v>
      </c>
      <c r="O49" s="4">
        <v>528.84100000000001</v>
      </c>
      <c r="P49" s="4">
        <v>344.226</v>
      </c>
      <c r="Q49" s="4">
        <v>379.61200000000002</v>
      </c>
      <c r="R49" s="4">
        <v>315.923</v>
      </c>
      <c r="S49" s="4">
        <v>383.755</v>
      </c>
      <c r="T49" s="4">
        <v>375.34699999999998</v>
      </c>
      <c r="U49" s="4">
        <v>332.23500000000001</v>
      </c>
      <c r="V49" s="4">
        <v>400.84100000000001</v>
      </c>
      <c r="W49" s="4">
        <v>278.08800000000002</v>
      </c>
      <c r="X49" s="4">
        <v>279.85000000000002</v>
      </c>
      <c r="Y49" s="4">
        <v>437.43299999999999</v>
      </c>
      <c r="Z49" s="4">
        <v>343.29899999999998</v>
      </c>
      <c r="AA49" s="4">
        <v>539.76900000000001</v>
      </c>
      <c r="AB49" s="4">
        <v>368.91800000000001</v>
      </c>
      <c r="AC49" s="4">
        <v>288.64999999999998</v>
      </c>
      <c r="AD49" s="4">
        <v>353.22899999999998</v>
      </c>
      <c r="AE49" s="32">
        <v>290.77699999999999</v>
      </c>
      <c r="AF49" s="4">
        <v>333.99400000000003</v>
      </c>
      <c r="AG49" s="4">
        <v>481.82600000000002</v>
      </c>
      <c r="AH49" s="4">
        <v>367.62</v>
      </c>
    </row>
    <row r="50" spans="1:1005" ht="14.5" x14ac:dyDescent="0.35">
      <c r="A50" s="53">
        <v>47543</v>
      </c>
      <c r="B50" s="15">
        <v>614</v>
      </c>
      <c r="C50" s="13">
        <v>614</v>
      </c>
      <c r="D50" s="14">
        <v>614</v>
      </c>
      <c r="E50" s="4">
        <v>979.71400000000006</v>
      </c>
      <c r="F50" s="4">
        <v>615.60900000000004</v>
      </c>
      <c r="G50" s="4">
        <v>803.44200000000001</v>
      </c>
      <c r="H50" s="4">
        <v>563.20500000000004</v>
      </c>
      <c r="I50" s="4">
        <v>527.78800000000001</v>
      </c>
      <c r="J50" s="4">
        <v>491.61500000000001</v>
      </c>
      <c r="K50" s="4">
        <v>477.72899999999998</v>
      </c>
      <c r="L50" s="4">
        <v>276.44299999999998</v>
      </c>
      <c r="M50" s="4">
        <v>412.93599999999998</v>
      </c>
      <c r="N50" s="4">
        <v>606.90700000000004</v>
      </c>
      <c r="O50" s="4">
        <v>698.50699999999995</v>
      </c>
      <c r="P50" s="4">
        <v>452.05</v>
      </c>
      <c r="Q50" s="4">
        <v>822.81799999999998</v>
      </c>
      <c r="R50" s="4">
        <v>424.96600000000001</v>
      </c>
      <c r="S50" s="4">
        <v>620.27200000000005</v>
      </c>
      <c r="T50" s="4">
        <v>522.54100000000005</v>
      </c>
      <c r="U50" s="4">
        <v>496.75299999999999</v>
      </c>
      <c r="V50" s="4">
        <v>574.649</v>
      </c>
      <c r="W50" s="4">
        <v>368.58600000000001</v>
      </c>
      <c r="X50" s="4">
        <v>455.60399999999998</v>
      </c>
      <c r="Y50" s="4">
        <v>655.30100000000004</v>
      </c>
      <c r="Z50" s="4">
        <v>529.13900000000001</v>
      </c>
      <c r="AA50" s="4">
        <v>1183.48</v>
      </c>
      <c r="AB50" s="4">
        <v>431.58300000000003</v>
      </c>
      <c r="AC50" s="4">
        <v>545.48800000000006</v>
      </c>
      <c r="AD50" s="4">
        <v>528.173</v>
      </c>
      <c r="AE50" s="32">
        <v>417.77</v>
      </c>
      <c r="AF50" s="4">
        <v>547.35199999999998</v>
      </c>
      <c r="AG50" s="4">
        <v>606.04499999999996</v>
      </c>
      <c r="AH50" s="4">
        <v>620.92499999999995</v>
      </c>
    </row>
    <row r="51" spans="1:1005" ht="14.5" x14ac:dyDescent="0.35">
      <c r="A51" s="53">
        <v>47574</v>
      </c>
      <c r="B51" s="15">
        <v>920</v>
      </c>
      <c r="C51" s="13">
        <v>920</v>
      </c>
      <c r="D51" s="14">
        <v>920</v>
      </c>
      <c r="E51" s="4">
        <v>913.35400000000004</v>
      </c>
      <c r="F51" s="4">
        <v>1053.0309999999999</v>
      </c>
      <c r="G51" s="4">
        <v>1413.046</v>
      </c>
      <c r="H51" s="4">
        <v>1086.9580000000001</v>
      </c>
      <c r="I51" s="4">
        <v>739.25099999999998</v>
      </c>
      <c r="J51" s="4">
        <v>815.68899999999996</v>
      </c>
      <c r="K51" s="4">
        <v>779.14800000000002</v>
      </c>
      <c r="L51" s="4">
        <v>472.46800000000002</v>
      </c>
      <c r="M51" s="4">
        <v>566.05100000000004</v>
      </c>
      <c r="N51" s="4">
        <v>1376.79</v>
      </c>
      <c r="O51" s="4">
        <v>1392.8389999999999</v>
      </c>
      <c r="P51" s="4">
        <v>1072.1320000000001</v>
      </c>
      <c r="Q51" s="4">
        <v>1158.0409999999999</v>
      </c>
      <c r="R51" s="4">
        <v>663.70399999999995</v>
      </c>
      <c r="S51" s="4">
        <v>787.92</v>
      </c>
      <c r="T51" s="4">
        <v>731.649</v>
      </c>
      <c r="U51" s="4">
        <v>1153.393</v>
      </c>
      <c r="V51" s="4">
        <v>1190.6669999999999</v>
      </c>
      <c r="W51" s="4">
        <v>366.95600000000002</v>
      </c>
      <c r="X51" s="4">
        <v>663.77099999999996</v>
      </c>
      <c r="Y51" s="4">
        <v>705.87199999999996</v>
      </c>
      <c r="Z51" s="4">
        <v>766.351</v>
      </c>
      <c r="AA51" s="4">
        <v>1880.7</v>
      </c>
      <c r="AB51" s="4">
        <v>488.75700000000001</v>
      </c>
      <c r="AC51" s="4">
        <v>1178.7159999999999</v>
      </c>
      <c r="AD51" s="4">
        <v>623.01300000000003</v>
      </c>
      <c r="AE51" s="32">
        <v>480.21899999999999</v>
      </c>
      <c r="AF51" s="4">
        <v>1021.27</v>
      </c>
      <c r="AG51" s="4">
        <v>1342.25</v>
      </c>
      <c r="AH51" s="4">
        <v>999.65200000000004</v>
      </c>
    </row>
    <row r="52" spans="1:1005" ht="14.5" x14ac:dyDescent="0.35">
      <c r="A52" s="53">
        <v>47604</v>
      </c>
      <c r="B52" s="15">
        <v>2060</v>
      </c>
      <c r="C52" s="13">
        <v>2060</v>
      </c>
      <c r="D52" s="14">
        <v>2060</v>
      </c>
      <c r="E52" s="4">
        <v>2468.1860000000001</v>
      </c>
      <c r="F52" s="4">
        <v>3029.1</v>
      </c>
      <c r="G52" s="4">
        <v>4003.3389999999999</v>
      </c>
      <c r="H52" s="4">
        <v>2660.645</v>
      </c>
      <c r="I52" s="4">
        <v>2192.6489999999999</v>
      </c>
      <c r="J52" s="4">
        <v>2023.39</v>
      </c>
      <c r="K52" s="4">
        <v>2254.13</v>
      </c>
      <c r="L52" s="4">
        <v>302.24599999999998</v>
      </c>
      <c r="M52" s="4">
        <v>1405.5909999999999</v>
      </c>
      <c r="N52" s="4">
        <v>1775.7829999999999</v>
      </c>
      <c r="O52" s="4">
        <v>2997.5639999999999</v>
      </c>
      <c r="P52" s="4">
        <v>2392.268</v>
      </c>
      <c r="Q52" s="4">
        <v>2074.5889999999999</v>
      </c>
      <c r="R52" s="4">
        <v>2150.605</v>
      </c>
      <c r="S52" s="4">
        <v>2767.837</v>
      </c>
      <c r="T52" s="4">
        <v>988.46500000000003</v>
      </c>
      <c r="U52" s="4">
        <v>2409.2570000000001</v>
      </c>
      <c r="V52" s="4">
        <v>1367.7059999999999</v>
      </c>
      <c r="W52" s="4">
        <v>753.78</v>
      </c>
      <c r="X52" s="4">
        <v>1672.3630000000001</v>
      </c>
      <c r="Y52" s="4">
        <v>1419.6849999999999</v>
      </c>
      <c r="Z52" s="4">
        <v>2033.998</v>
      </c>
      <c r="AA52" s="4">
        <v>2471.4479999999999</v>
      </c>
      <c r="AB52" s="4">
        <v>1275.5</v>
      </c>
      <c r="AC52" s="4">
        <v>2464.5500000000002</v>
      </c>
      <c r="AD52" s="4">
        <v>1570.3309999999999</v>
      </c>
      <c r="AE52" s="32">
        <v>1000.218</v>
      </c>
      <c r="AF52" s="4">
        <v>1882.442</v>
      </c>
      <c r="AG52" s="4">
        <v>3481.8870000000002</v>
      </c>
      <c r="AH52" s="4">
        <v>2091.2939999999999</v>
      </c>
    </row>
    <row r="53" spans="1:1005" ht="14.5" x14ac:dyDescent="0.35">
      <c r="A53" s="53">
        <v>47635</v>
      </c>
      <c r="B53" s="15">
        <v>2423</v>
      </c>
      <c r="C53" s="13">
        <v>2423</v>
      </c>
      <c r="D53" s="14">
        <v>2423</v>
      </c>
      <c r="E53" s="4">
        <v>4957.0129999999999</v>
      </c>
      <c r="F53" s="4">
        <v>2887.08</v>
      </c>
      <c r="G53" s="4">
        <v>4852.3959999999997</v>
      </c>
      <c r="H53" s="4">
        <v>2548.1190000000001</v>
      </c>
      <c r="I53" s="4">
        <v>3311.4960000000001</v>
      </c>
      <c r="J53" s="4">
        <v>1394.1949999999999</v>
      </c>
      <c r="K53" s="4">
        <v>1557.36</v>
      </c>
      <c r="L53" s="4">
        <v>387.31900000000002</v>
      </c>
      <c r="M53" s="4">
        <v>2128.2350000000001</v>
      </c>
      <c r="N53" s="4">
        <v>1030.8789999999999</v>
      </c>
      <c r="O53" s="4">
        <v>3526.7759999999998</v>
      </c>
      <c r="P53" s="4">
        <v>2006.0260000000001</v>
      </c>
      <c r="Q53" s="4">
        <v>1160.0070000000001</v>
      </c>
      <c r="R53" s="4">
        <v>3711.2689999999998</v>
      </c>
      <c r="S53" s="4">
        <v>2567.931</v>
      </c>
      <c r="T53" s="4">
        <v>2575.1579999999999</v>
      </c>
      <c r="U53" s="4">
        <v>5040.0349999999999</v>
      </c>
      <c r="V53" s="4">
        <v>433.11200000000002</v>
      </c>
      <c r="W53" s="4">
        <v>1239.434</v>
      </c>
      <c r="X53" s="4">
        <v>2957.7539999999999</v>
      </c>
      <c r="Y53" s="4">
        <v>2199.3989999999999</v>
      </c>
      <c r="Z53" s="4">
        <v>2500.4780000000001</v>
      </c>
      <c r="AA53" s="4">
        <v>3245.0230000000001</v>
      </c>
      <c r="AB53" s="4">
        <v>960.24800000000005</v>
      </c>
      <c r="AC53" s="4">
        <v>3767.66</v>
      </c>
      <c r="AD53" s="4">
        <v>1778.9690000000001</v>
      </c>
      <c r="AE53" s="32">
        <v>2358.643</v>
      </c>
      <c r="AF53" s="4">
        <v>1162.0150000000001</v>
      </c>
      <c r="AG53" s="4">
        <v>4362.3140000000003</v>
      </c>
      <c r="AH53" s="4">
        <v>1634.5340000000001</v>
      </c>
    </row>
    <row r="54" spans="1:1005" ht="14.5" x14ac:dyDescent="0.35">
      <c r="A54" s="53">
        <v>47665</v>
      </c>
      <c r="B54" s="15">
        <v>711</v>
      </c>
      <c r="C54" s="13">
        <v>711</v>
      </c>
      <c r="D54" s="14">
        <v>711</v>
      </c>
      <c r="E54" s="4">
        <v>3907.1660000000002</v>
      </c>
      <c r="F54" s="4">
        <v>1181.5039999999999</v>
      </c>
      <c r="G54" s="4">
        <v>1750.979</v>
      </c>
      <c r="H54" s="4">
        <v>1515.153</v>
      </c>
      <c r="I54" s="4">
        <v>1850.712</v>
      </c>
      <c r="J54" s="4">
        <v>257.11500000000001</v>
      </c>
      <c r="K54" s="4">
        <v>342.78399999999999</v>
      </c>
      <c r="L54" s="4">
        <v>15.012</v>
      </c>
      <c r="M54" s="4">
        <v>507.36200000000002</v>
      </c>
      <c r="N54" s="4">
        <v>405.43200000000002</v>
      </c>
      <c r="O54" s="4">
        <v>1468.558</v>
      </c>
      <c r="P54" s="4">
        <v>500.56099999999998</v>
      </c>
      <c r="Q54" s="4">
        <v>317.82</v>
      </c>
      <c r="R54" s="4">
        <v>1877.1320000000001</v>
      </c>
      <c r="S54" s="4">
        <v>1537.0530000000001</v>
      </c>
      <c r="T54" s="4">
        <v>876.904</v>
      </c>
      <c r="U54" s="4">
        <v>3676.848</v>
      </c>
      <c r="V54" s="4">
        <v>105.676</v>
      </c>
      <c r="W54" s="4">
        <v>298.00700000000001</v>
      </c>
      <c r="X54" s="4">
        <v>1071.355</v>
      </c>
      <c r="Y54" s="4">
        <v>798.58600000000001</v>
      </c>
      <c r="Z54" s="4">
        <v>748.19600000000003</v>
      </c>
      <c r="AA54" s="4">
        <v>1157.116</v>
      </c>
      <c r="AB54" s="4">
        <v>251.464</v>
      </c>
      <c r="AC54" s="4">
        <v>2261.4589999999998</v>
      </c>
      <c r="AD54" s="4">
        <v>472.29899999999998</v>
      </c>
      <c r="AE54" s="32">
        <v>983.83799999999997</v>
      </c>
      <c r="AF54" s="4">
        <v>413.71499999999997</v>
      </c>
      <c r="AG54" s="4">
        <v>1916.4849999999999</v>
      </c>
      <c r="AH54" s="4">
        <v>319.13499999999999</v>
      </c>
    </row>
    <row r="55" spans="1:1005" ht="14.5" x14ac:dyDescent="0.35">
      <c r="A55" s="53">
        <v>47696</v>
      </c>
      <c r="B55" s="15">
        <v>371</v>
      </c>
      <c r="C55" s="13">
        <v>371</v>
      </c>
      <c r="D55" s="14">
        <v>371</v>
      </c>
      <c r="E55" s="4">
        <v>1054.8779999999999</v>
      </c>
      <c r="F55" s="4">
        <v>376.49200000000002</v>
      </c>
      <c r="G55" s="4">
        <v>852.81700000000001</v>
      </c>
      <c r="H55" s="4">
        <v>564.69500000000005</v>
      </c>
      <c r="I55" s="4">
        <v>765.00800000000004</v>
      </c>
      <c r="J55" s="4">
        <v>167.756</v>
      </c>
      <c r="K55" s="4">
        <v>258.34500000000003</v>
      </c>
      <c r="L55" s="4">
        <v>61.115000000000002</v>
      </c>
      <c r="M55" s="4">
        <v>217.65299999999999</v>
      </c>
      <c r="N55" s="4">
        <v>208.321</v>
      </c>
      <c r="O55" s="4">
        <v>508.28399999999999</v>
      </c>
      <c r="P55" s="4">
        <v>314.47500000000002</v>
      </c>
      <c r="Q55" s="4">
        <v>290.39499999999998</v>
      </c>
      <c r="R55" s="4">
        <v>577.07899999999995</v>
      </c>
      <c r="S55" s="4">
        <v>459.51100000000002</v>
      </c>
      <c r="T55" s="4">
        <v>415.94200000000001</v>
      </c>
      <c r="U55" s="4">
        <v>861.17200000000003</v>
      </c>
      <c r="V55" s="4">
        <v>156.74100000000001</v>
      </c>
      <c r="W55" s="4">
        <v>239.971</v>
      </c>
      <c r="X55" s="4">
        <v>453.13499999999999</v>
      </c>
      <c r="Y55" s="4">
        <v>289.834</v>
      </c>
      <c r="Z55" s="4">
        <v>355.19900000000001</v>
      </c>
      <c r="AA55" s="4">
        <v>496.20299999999997</v>
      </c>
      <c r="AB55" s="4">
        <v>159.63800000000001</v>
      </c>
      <c r="AC55" s="4">
        <v>596.23</v>
      </c>
      <c r="AD55" s="4">
        <v>227.05</v>
      </c>
      <c r="AE55" s="32">
        <v>380.13600000000002</v>
      </c>
      <c r="AF55" s="4">
        <v>286.19</v>
      </c>
      <c r="AG55" s="4">
        <v>705.96600000000001</v>
      </c>
      <c r="AH55" s="4">
        <v>200.62100000000001</v>
      </c>
    </row>
    <row r="56" spans="1:1005" ht="14.5" x14ac:dyDescent="0.35">
      <c r="A56" s="53">
        <v>47727</v>
      </c>
      <c r="B56" s="15">
        <v>316</v>
      </c>
      <c r="C56" s="13">
        <v>316</v>
      </c>
      <c r="D56" s="14">
        <v>316</v>
      </c>
      <c r="E56" s="4">
        <v>565.52499999999998</v>
      </c>
      <c r="F56" s="4">
        <v>383.245</v>
      </c>
      <c r="G56" s="4">
        <v>761.05</v>
      </c>
      <c r="H56" s="4">
        <v>423.399</v>
      </c>
      <c r="I56" s="4">
        <v>526.58500000000004</v>
      </c>
      <c r="J56" s="4">
        <v>249.70400000000001</v>
      </c>
      <c r="K56" s="4">
        <v>233.81700000000001</v>
      </c>
      <c r="L56" s="4">
        <v>205.94200000000001</v>
      </c>
      <c r="M56" s="4">
        <v>399.98700000000002</v>
      </c>
      <c r="N56" s="4">
        <v>334.22899999999998</v>
      </c>
      <c r="O56" s="4">
        <v>388.91899999999998</v>
      </c>
      <c r="P56" s="4">
        <v>362.92599999999999</v>
      </c>
      <c r="Q56" s="4">
        <v>359.50299999999999</v>
      </c>
      <c r="R56" s="4">
        <v>440.97800000000001</v>
      </c>
      <c r="S56" s="4">
        <v>324.22300000000001</v>
      </c>
      <c r="T56" s="4">
        <v>295.62400000000002</v>
      </c>
      <c r="U56" s="4">
        <v>548.14</v>
      </c>
      <c r="V56" s="4">
        <v>190.67099999999999</v>
      </c>
      <c r="W56" s="4">
        <v>476.81200000000001</v>
      </c>
      <c r="X56" s="4">
        <v>459.06599999999997</v>
      </c>
      <c r="Y56" s="4">
        <v>268.62799999999999</v>
      </c>
      <c r="Z56" s="4">
        <v>381.75</v>
      </c>
      <c r="AA56" s="4">
        <v>367.839</v>
      </c>
      <c r="AB56" s="4">
        <v>175.39500000000001</v>
      </c>
      <c r="AC56" s="4">
        <v>388.22699999999998</v>
      </c>
      <c r="AD56" s="4">
        <v>247.691</v>
      </c>
      <c r="AE56" s="32">
        <v>414.92899999999997</v>
      </c>
      <c r="AF56" s="4">
        <v>310.41199999999998</v>
      </c>
      <c r="AG56" s="4">
        <v>602.97</v>
      </c>
      <c r="AH56" s="4">
        <v>312.23200000000003</v>
      </c>
    </row>
    <row r="57" spans="1:1005" ht="14.5" x14ac:dyDescent="0.35">
      <c r="A57" s="53">
        <v>47757</v>
      </c>
      <c r="B57" s="15">
        <v>515</v>
      </c>
      <c r="C57" s="13">
        <v>338</v>
      </c>
      <c r="D57" s="14">
        <v>417</v>
      </c>
      <c r="E57" s="4">
        <v>607.15099999999995</v>
      </c>
      <c r="F57" s="4">
        <v>542.50699999999995</v>
      </c>
      <c r="G57" s="4">
        <v>902.88800000000003</v>
      </c>
      <c r="H57" s="4">
        <v>523.00199999999995</v>
      </c>
      <c r="I57" s="4">
        <v>399.49900000000002</v>
      </c>
      <c r="J57" s="4">
        <v>415.404</v>
      </c>
      <c r="K57" s="4">
        <v>275.06299999999999</v>
      </c>
      <c r="L57" s="4">
        <v>320.173</v>
      </c>
      <c r="M57" s="4">
        <v>315.721</v>
      </c>
      <c r="N57" s="4">
        <v>500.04700000000003</v>
      </c>
      <c r="O57" s="4">
        <v>607.67399999999998</v>
      </c>
      <c r="P57" s="4">
        <v>1089.1379999999999</v>
      </c>
      <c r="Q57" s="4">
        <v>525.83500000000004</v>
      </c>
      <c r="R57" s="4">
        <v>427.36399999999998</v>
      </c>
      <c r="S57" s="4">
        <v>392.995</v>
      </c>
      <c r="T57" s="4">
        <v>450.44900000000001</v>
      </c>
      <c r="U57" s="4">
        <v>625.10699999999997</v>
      </c>
      <c r="V57" s="4">
        <v>266.01799999999997</v>
      </c>
      <c r="W57" s="4">
        <v>579.87199999999996</v>
      </c>
      <c r="X57" s="4">
        <v>669.13900000000001</v>
      </c>
      <c r="Y57" s="4">
        <v>392.43799999999999</v>
      </c>
      <c r="Z57" s="4">
        <v>456.93900000000002</v>
      </c>
      <c r="AA57" s="4">
        <v>542.35400000000004</v>
      </c>
      <c r="AB57" s="4">
        <v>368.976</v>
      </c>
      <c r="AC57" s="4">
        <v>420.46600000000001</v>
      </c>
      <c r="AD57" s="4">
        <v>332.58</v>
      </c>
      <c r="AE57" s="32">
        <v>327.49599999999998</v>
      </c>
      <c r="AF57" s="4">
        <v>289.16000000000003</v>
      </c>
      <c r="AG57" s="4">
        <v>572.23</v>
      </c>
      <c r="AH57" s="4">
        <v>461.18299999999999</v>
      </c>
    </row>
    <row r="58" spans="1:1005" ht="14.5" x14ac:dyDescent="0.35">
      <c r="A58" s="53">
        <v>47788</v>
      </c>
      <c r="B58" s="15">
        <v>503</v>
      </c>
      <c r="C58" s="13">
        <v>407</v>
      </c>
      <c r="D58" s="14">
        <v>450</v>
      </c>
      <c r="E58" s="4">
        <v>554.26700000000005</v>
      </c>
      <c r="F58" s="4">
        <v>568.322</v>
      </c>
      <c r="G58" s="4">
        <v>646.32299999999998</v>
      </c>
      <c r="H58" s="4">
        <v>623.95500000000004</v>
      </c>
      <c r="I58" s="4">
        <v>417.47899999999998</v>
      </c>
      <c r="J58" s="4">
        <v>415.30099999999999</v>
      </c>
      <c r="K58" s="4">
        <v>360.892</v>
      </c>
      <c r="L58" s="4">
        <v>334.72300000000001</v>
      </c>
      <c r="M58" s="4">
        <v>364.71300000000002</v>
      </c>
      <c r="N58" s="4">
        <v>604.87800000000004</v>
      </c>
      <c r="O58" s="4">
        <v>578.02300000000002</v>
      </c>
      <c r="P58" s="4">
        <v>620.68399999999997</v>
      </c>
      <c r="Q58" s="4">
        <v>483.78</v>
      </c>
      <c r="R58" s="4">
        <v>461.24599999999998</v>
      </c>
      <c r="S58" s="4">
        <v>459.60899999999998</v>
      </c>
      <c r="T58" s="4">
        <v>474.87599999999998</v>
      </c>
      <c r="U58" s="4">
        <v>586.74900000000002</v>
      </c>
      <c r="V58" s="4">
        <v>331.37400000000002</v>
      </c>
      <c r="W58" s="4">
        <v>496.90899999999999</v>
      </c>
      <c r="X58" s="4">
        <v>488.84500000000003</v>
      </c>
      <c r="Y58" s="4">
        <v>403.90800000000002</v>
      </c>
      <c r="Z58" s="4">
        <v>447.58100000000002</v>
      </c>
      <c r="AA58" s="4">
        <v>492.83699999999999</v>
      </c>
      <c r="AB58" s="4">
        <v>387.87200000000001</v>
      </c>
      <c r="AC58" s="4">
        <v>471.59399999999999</v>
      </c>
      <c r="AD58" s="4">
        <v>450.25</v>
      </c>
      <c r="AE58" s="32">
        <v>428.66500000000002</v>
      </c>
      <c r="AF58" s="4">
        <v>365.08699999999999</v>
      </c>
      <c r="AG58" s="4">
        <v>558.43200000000002</v>
      </c>
      <c r="AH58" s="4">
        <v>482.55900000000003</v>
      </c>
    </row>
    <row r="59" spans="1:1005" ht="14.5" x14ac:dyDescent="0.35">
      <c r="A59" s="53">
        <v>47818</v>
      </c>
      <c r="B59" s="15">
        <v>361</v>
      </c>
      <c r="C59" s="13">
        <v>361</v>
      </c>
      <c r="D59" s="14">
        <v>361</v>
      </c>
      <c r="E59" s="4">
        <v>479.416</v>
      </c>
      <c r="F59" s="4">
        <v>498.476</v>
      </c>
      <c r="G59" s="4">
        <v>469.74299999999999</v>
      </c>
      <c r="H59" s="4">
        <v>473.31400000000002</v>
      </c>
      <c r="I59" s="4">
        <v>363.64699999999999</v>
      </c>
      <c r="J59" s="4">
        <v>321.32</v>
      </c>
      <c r="K59" s="4">
        <v>319.49700000000001</v>
      </c>
      <c r="L59" s="4">
        <v>271.92599999999999</v>
      </c>
      <c r="M59" s="4">
        <v>327.54199999999997</v>
      </c>
      <c r="N59" s="4">
        <v>377.15499999999997</v>
      </c>
      <c r="O59" s="4">
        <v>420.06599999999997</v>
      </c>
      <c r="P59" s="4">
        <v>426.23</v>
      </c>
      <c r="Q59" s="4">
        <v>403.43299999999999</v>
      </c>
      <c r="R59" s="4">
        <v>399.71699999999998</v>
      </c>
      <c r="S59" s="4">
        <v>379.22699999999998</v>
      </c>
      <c r="T59" s="4">
        <v>412.58499999999998</v>
      </c>
      <c r="U59" s="4">
        <v>459.858</v>
      </c>
      <c r="V59" s="4">
        <v>308.005</v>
      </c>
      <c r="W59" s="4">
        <v>347.28800000000001</v>
      </c>
      <c r="X59" s="4">
        <v>381.726</v>
      </c>
      <c r="Y59" s="4">
        <v>333.029</v>
      </c>
      <c r="Z59" s="4">
        <v>377.80099999999999</v>
      </c>
      <c r="AA59" s="4">
        <v>421.65300000000002</v>
      </c>
      <c r="AB59" s="4">
        <v>308.69200000000001</v>
      </c>
      <c r="AC59" s="4">
        <v>432.32600000000002</v>
      </c>
      <c r="AD59" s="4">
        <v>368.24400000000003</v>
      </c>
      <c r="AE59" s="32">
        <v>357.92899999999997</v>
      </c>
      <c r="AF59" s="4">
        <v>309.82299999999998</v>
      </c>
      <c r="AG59" s="4">
        <v>427.64299999999997</v>
      </c>
      <c r="AH59" s="4">
        <v>373.40100000000001</v>
      </c>
    </row>
    <row r="60" spans="1:1005" ht="14.5" x14ac:dyDescent="0.35">
      <c r="A60" s="53">
        <v>47849</v>
      </c>
      <c r="B60" s="15">
        <v>350</v>
      </c>
      <c r="C60" s="13">
        <v>350</v>
      </c>
      <c r="D60" s="14">
        <v>350</v>
      </c>
      <c r="E60" s="4">
        <v>422.80599999999998</v>
      </c>
      <c r="F60" s="4">
        <v>456.214</v>
      </c>
      <c r="G60" s="4">
        <v>431.24200000000002</v>
      </c>
      <c r="H60" s="4">
        <v>396.24400000000003</v>
      </c>
      <c r="I60" s="4">
        <v>349.43099999999998</v>
      </c>
      <c r="J60" s="4">
        <v>298.52600000000001</v>
      </c>
      <c r="K60" s="4">
        <v>281.35199999999998</v>
      </c>
      <c r="L60" s="4">
        <v>234.761</v>
      </c>
      <c r="M60" s="4">
        <v>287.46199999999999</v>
      </c>
      <c r="N60" s="4">
        <v>526.00699999999995</v>
      </c>
      <c r="O60" s="4">
        <v>391.90100000000001</v>
      </c>
      <c r="P60" s="4">
        <v>369.721</v>
      </c>
      <c r="Q60" s="4">
        <v>332.82799999999997</v>
      </c>
      <c r="R60" s="4">
        <v>388.58499999999998</v>
      </c>
      <c r="S60" s="4">
        <v>343.25299999999999</v>
      </c>
      <c r="T60" s="4">
        <v>385.88</v>
      </c>
      <c r="U60" s="4">
        <v>433.01299999999998</v>
      </c>
      <c r="V60" s="4">
        <v>283.654</v>
      </c>
      <c r="W60" s="4">
        <v>288.572</v>
      </c>
      <c r="X60" s="4">
        <v>347.95699999999999</v>
      </c>
      <c r="Y60" s="4">
        <v>306.86200000000002</v>
      </c>
      <c r="Z60" s="4">
        <v>406.47699999999998</v>
      </c>
      <c r="AA60" s="4">
        <v>376.28699999999998</v>
      </c>
      <c r="AB60" s="4">
        <v>284.88900000000001</v>
      </c>
      <c r="AC60" s="4">
        <v>385.18900000000002</v>
      </c>
      <c r="AD60" s="4">
        <v>308.69499999999999</v>
      </c>
      <c r="AE60" s="32">
        <v>314.61200000000002</v>
      </c>
      <c r="AF60" s="4">
        <v>383.48200000000003</v>
      </c>
      <c r="AG60" s="4">
        <v>393.71300000000002</v>
      </c>
      <c r="AH60" s="4">
        <v>359.80500000000001</v>
      </c>
    </row>
    <row r="61" spans="1:1005" ht="14.5" x14ac:dyDescent="0.35">
      <c r="A61" s="53">
        <v>47880</v>
      </c>
      <c r="B61" s="15">
        <v>397</v>
      </c>
      <c r="C61" s="13">
        <v>397</v>
      </c>
      <c r="D61" s="14">
        <v>397</v>
      </c>
      <c r="E61" s="4">
        <v>456.81</v>
      </c>
      <c r="F61" s="4">
        <v>428.80500000000001</v>
      </c>
      <c r="G61" s="4">
        <v>433.99099999999999</v>
      </c>
      <c r="H61" s="4">
        <v>393.35599999999999</v>
      </c>
      <c r="I61" s="4">
        <v>381.44499999999999</v>
      </c>
      <c r="J61" s="4">
        <v>280.82299999999998</v>
      </c>
      <c r="K61" s="4">
        <v>230.57300000000001</v>
      </c>
      <c r="L61" s="4">
        <v>252.934</v>
      </c>
      <c r="M61" s="4">
        <v>261.81400000000002</v>
      </c>
      <c r="N61" s="4">
        <v>531.30799999999999</v>
      </c>
      <c r="O61" s="4">
        <v>343.75</v>
      </c>
      <c r="P61" s="4">
        <v>379.14100000000002</v>
      </c>
      <c r="Q61" s="4">
        <v>317.51900000000001</v>
      </c>
      <c r="R61" s="4">
        <v>388.84199999999998</v>
      </c>
      <c r="S61" s="4">
        <v>376.767</v>
      </c>
      <c r="T61" s="4">
        <v>332.202</v>
      </c>
      <c r="U61" s="4">
        <v>404.08</v>
      </c>
      <c r="V61" s="4">
        <v>279.82</v>
      </c>
      <c r="W61" s="4">
        <v>282.36399999999998</v>
      </c>
      <c r="X61" s="4">
        <v>441.22800000000001</v>
      </c>
      <c r="Y61" s="4">
        <v>343.64400000000001</v>
      </c>
      <c r="Z61" s="4">
        <v>540.505</v>
      </c>
      <c r="AA61" s="4">
        <v>370.17599999999999</v>
      </c>
      <c r="AB61" s="4">
        <v>287.61599999999999</v>
      </c>
      <c r="AC61" s="4">
        <v>355.60599999999999</v>
      </c>
      <c r="AD61" s="4">
        <v>295.04199999999997</v>
      </c>
      <c r="AE61" s="32">
        <v>333.75700000000001</v>
      </c>
      <c r="AF61" s="4">
        <v>486.00599999999997</v>
      </c>
      <c r="AG61" s="4">
        <v>368.88600000000002</v>
      </c>
      <c r="AH61" s="4">
        <v>393.35500000000002</v>
      </c>
    </row>
    <row r="62" spans="1:1005" ht="14.5" x14ac:dyDescent="0.35">
      <c r="A62" s="53">
        <v>47908</v>
      </c>
      <c r="B62" s="15">
        <v>614</v>
      </c>
      <c r="C62" s="13">
        <v>614</v>
      </c>
      <c r="D62" s="14">
        <v>614</v>
      </c>
      <c r="E62" s="4">
        <v>617.30600000000004</v>
      </c>
      <c r="F62" s="4">
        <v>812.54899999999998</v>
      </c>
      <c r="G62" s="4">
        <v>563.90499999999997</v>
      </c>
      <c r="H62" s="4">
        <v>520.28399999999999</v>
      </c>
      <c r="I62" s="4">
        <v>493.64800000000002</v>
      </c>
      <c r="J62" s="4">
        <v>484.50200000000001</v>
      </c>
      <c r="K62" s="4">
        <v>280.14299999999997</v>
      </c>
      <c r="L62" s="4">
        <v>411.58100000000002</v>
      </c>
      <c r="M62" s="4">
        <v>608.56100000000004</v>
      </c>
      <c r="N62" s="4">
        <v>701.44299999999998</v>
      </c>
      <c r="O62" s="4">
        <v>451.54199999999997</v>
      </c>
      <c r="P62" s="4">
        <v>801.89</v>
      </c>
      <c r="Q62" s="4">
        <v>427.07400000000001</v>
      </c>
      <c r="R62" s="4">
        <v>626.42999999999995</v>
      </c>
      <c r="S62" s="4">
        <v>523.99199999999996</v>
      </c>
      <c r="T62" s="4">
        <v>492.05</v>
      </c>
      <c r="U62" s="4">
        <v>578.66</v>
      </c>
      <c r="V62" s="4">
        <v>370.483</v>
      </c>
      <c r="W62" s="4">
        <v>458.47</v>
      </c>
      <c r="X62" s="4">
        <v>658.654</v>
      </c>
      <c r="Y62" s="4">
        <v>529.46799999999996</v>
      </c>
      <c r="Z62" s="4">
        <v>1184.3710000000001</v>
      </c>
      <c r="AA62" s="4">
        <v>432.88799999999998</v>
      </c>
      <c r="AB62" s="4">
        <v>533.62099999999998</v>
      </c>
      <c r="AC62" s="4">
        <v>531.03700000000003</v>
      </c>
      <c r="AD62" s="4">
        <v>422.42</v>
      </c>
      <c r="AE62" s="32">
        <v>547.01900000000001</v>
      </c>
      <c r="AF62" s="4">
        <v>583.99199999999996</v>
      </c>
      <c r="AG62" s="4">
        <v>622.48800000000006</v>
      </c>
      <c r="AH62" s="4">
        <v>980.38900000000001</v>
      </c>
    </row>
    <row r="63" spans="1:1005" ht="14.5" x14ac:dyDescent="0.35">
      <c r="A63" s="53">
        <v>47939</v>
      </c>
      <c r="B63" s="15">
        <v>920</v>
      </c>
      <c r="C63" s="13">
        <v>920</v>
      </c>
      <c r="D63" s="14">
        <v>920</v>
      </c>
      <c r="E63" s="4">
        <v>1054.729</v>
      </c>
      <c r="F63" s="4">
        <v>1422.3989999999999</v>
      </c>
      <c r="G63" s="4">
        <v>1087.8009999999999</v>
      </c>
      <c r="H63" s="4">
        <v>712.34</v>
      </c>
      <c r="I63" s="4">
        <v>818.23099999999999</v>
      </c>
      <c r="J63" s="4">
        <v>787.49900000000002</v>
      </c>
      <c r="K63" s="4">
        <v>477.26400000000001</v>
      </c>
      <c r="L63" s="4">
        <v>553.846</v>
      </c>
      <c r="M63" s="4">
        <v>1378.7339999999999</v>
      </c>
      <c r="N63" s="4">
        <v>1396.5740000000001</v>
      </c>
      <c r="O63" s="4">
        <v>1071.4010000000001</v>
      </c>
      <c r="P63" s="4">
        <v>1168.752</v>
      </c>
      <c r="Q63" s="4">
        <v>666.28800000000001</v>
      </c>
      <c r="R63" s="4">
        <v>793.88199999999995</v>
      </c>
      <c r="S63" s="4">
        <v>733.53300000000002</v>
      </c>
      <c r="T63" s="4">
        <v>1107.1990000000001</v>
      </c>
      <c r="U63" s="4">
        <v>1194.5039999999999</v>
      </c>
      <c r="V63" s="4">
        <v>368.94499999999999</v>
      </c>
      <c r="W63" s="4">
        <v>666.44500000000005</v>
      </c>
      <c r="X63" s="4">
        <v>714.78499999999997</v>
      </c>
      <c r="Y63" s="4">
        <v>766.35900000000004</v>
      </c>
      <c r="Z63" s="4">
        <v>1881.444</v>
      </c>
      <c r="AA63" s="4">
        <v>490.274</v>
      </c>
      <c r="AB63" s="4">
        <v>1113.6859999999999</v>
      </c>
      <c r="AC63" s="4">
        <v>626.60699999999997</v>
      </c>
      <c r="AD63" s="4">
        <v>484.72699999999998</v>
      </c>
      <c r="AE63" s="32">
        <v>1020.845</v>
      </c>
      <c r="AF63" s="4">
        <v>1322.077</v>
      </c>
      <c r="AG63" s="4">
        <v>1001.244</v>
      </c>
      <c r="AH63" s="4">
        <v>914.81399999999996</v>
      </c>
    </row>
    <row r="64" spans="1:1005" ht="14.5" x14ac:dyDescent="0.35">
      <c r="A64" s="53">
        <v>47969</v>
      </c>
      <c r="B64" s="15">
        <v>2060</v>
      </c>
      <c r="C64" s="13">
        <v>2060</v>
      </c>
      <c r="D64" s="14">
        <v>2060</v>
      </c>
      <c r="E64" s="4">
        <v>3029.1</v>
      </c>
      <c r="F64" s="4">
        <v>4003.3389999999999</v>
      </c>
      <c r="G64" s="4">
        <v>2660.645</v>
      </c>
      <c r="H64" s="4">
        <v>2192.6489999999999</v>
      </c>
      <c r="I64" s="4">
        <v>2023.39</v>
      </c>
      <c r="J64" s="4">
        <v>2254.13</v>
      </c>
      <c r="K64" s="4">
        <v>302.24599999999998</v>
      </c>
      <c r="L64" s="4">
        <v>1405.5909999999999</v>
      </c>
      <c r="M64" s="4">
        <v>1775.7829999999999</v>
      </c>
      <c r="N64" s="4">
        <v>2997.5639999999999</v>
      </c>
      <c r="O64" s="4">
        <v>2392.268</v>
      </c>
      <c r="P64" s="4">
        <v>2074.5889999999999</v>
      </c>
      <c r="Q64" s="4">
        <v>2150.605</v>
      </c>
      <c r="R64" s="4">
        <v>2767.837</v>
      </c>
      <c r="S64" s="4">
        <v>988.46500000000003</v>
      </c>
      <c r="T64" s="4">
        <v>2409.2570000000001</v>
      </c>
      <c r="U64" s="4">
        <v>1367.7059999999999</v>
      </c>
      <c r="V64" s="4">
        <v>753.78</v>
      </c>
      <c r="W64" s="4">
        <v>1672.3630000000001</v>
      </c>
      <c r="X64" s="4">
        <v>1419.6849999999999</v>
      </c>
      <c r="Y64" s="4">
        <v>2033.998</v>
      </c>
      <c r="Z64" s="4">
        <v>2471.4479999999999</v>
      </c>
      <c r="AA64" s="4">
        <v>1275.5</v>
      </c>
      <c r="AB64" s="4">
        <v>2464.5500000000002</v>
      </c>
      <c r="AC64" s="4">
        <v>1570.3309999999999</v>
      </c>
      <c r="AD64" s="4">
        <v>1000.218</v>
      </c>
      <c r="AE64" s="32">
        <v>1882.442</v>
      </c>
      <c r="AF64" s="4">
        <v>3481.8870000000002</v>
      </c>
      <c r="AG64" s="4">
        <v>2091.2939999999999</v>
      </c>
      <c r="AH64" s="4">
        <v>2091.2939999999999</v>
      </c>
      <c r="ALQ64" s="4" t="e">
        <v>#N/A</v>
      </c>
    </row>
    <row r="65" spans="1:1005" ht="14.5" x14ac:dyDescent="0.35">
      <c r="A65" s="53">
        <v>48000</v>
      </c>
      <c r="B65" s="15">
        <v>2423</v>
      </c>
      <c r="C65" s="13">
        <v>2423</v>
      </c>
      <c r="D65" s="14">
        <v>2423</v>
      </c>
      <c r="E65" s="4">
        <v>2887.08</v>
      </c>
      <c r="F65" s="4">
        <v>4852.3959999999997</v>
      </c>
      <c r="G65" s="4">
        <v>2548.1190000000001</v>
      </c>
      <c r="H65" s="4">
        <v>3311.4960000000001</v>
      </c>
      <c r="I65" s="4">
        <v>1394.1949999999999</v>
      </c>
      <c r="J65" s="4">
        <v>1557.36</v>
      </c>
      <c r="K65" s="4">
        <v>387.31900000000002</v>
      </c>
      <c r="L65" s="4">
        <v>2128.2350000000001</v>
      </c>
      <c r="M65" s="4">
        <v>1030.8789999999999</v>
      </c>
      <c r="N65" s="4">
        <v>3526.7759999999998</v>
      </c>
      <c r="O65" s="4">
        <v>2006.0260000000001</v>
      </c>
      <c r="P65" s="4">
        <v>1160.0070000000001</v>
      </c>
      <c r="Q65" s="4">
        <v>3711.2689999999998</v>
      </c>
      <c r="R65" s="4">
        <v>2567.931</v>
      </c>
      <c r="S65" s="4">
        <v>2575.1579999999999</v>
      </c>
      <c r="T65" s="4">
        <v>5040.0349999999999</v>
      </c>
      <c r="U65" s="4">
        <v>433.11200000000002</v>
      </c>
      <c r="V65" s="4">
        <v>1239.434</v>
      </c>
      <c r="W65" s="4">
        <v>2957.7539999999999</v>
      </c>
      <c r="X65" s="4">
        <v>2199.3989999999999</v>
      </c>
      <c r="Y65" s="4">
        <v>2500.4780000000001</v>
      </c>
      <c r="Z65" s="4">
        <v>3245.0230000000001</v>
      </c>
      <c r="AA65" s="4">
        <v>960.24800000000005</v>
      </c>
      <c r="AB65" s="4">
        <v>3767.66</v>
      </c>
      <c r="AC65" s="4">
        <v>1778.9690000000001</v>
      </c>
      <c r="AD65" s="4">
        <v>2358.643</v>
      </c>
      <c r="AE65" s="32">
        <v>1162.0150000000001</v>
      </c>
      <c r="AF65" s="4">
        <v>4362.3140000000003</v>
      </c>
      <c r="AG65" s="4">
        <v>1634.5340000000001</v>
      </c>
      <c r="AH65" s="4">
        <v>1634.5340000000001</v>
      </c>
      <c r="ALQ65" s="4" t="e">
        <v>#N/A</v>
      </c>
    </row>
    <row r="66" spans="1:1005" ht="14.5" x14ac:dyDescent="0.35">
      <c r="A66" s="53">
        <v>48030</v>
      </c>
      <c r="B66" s="15">
        <v>711</v>
      </c>
      <c r="C66" s="13">
        <v>711</v>
      </c>
      <c r="D66" s="14">
        <v>711</v>
      </c>
      <c r="E66" s="4">
        <v>1181.5039999999999</v>
      </c>
      <c r="F66" s="4">
        <v>1750.979</v>
      </c>
      <c r="G66" s="4">
        <v>1515.153</v>
      </c>
      <c r="H66" s="4">
        <v>1850.712</v>
      </c>
      <c r="I66" s="4">
        <v>257.11500000000001</v>
      </c>
      <c r="J66" s="4">
        <v>342.78399999999999</v>
      </c>
      <c r="K66" s="4">
        <v>15.012</v>
      </c>
      <c r="L66" s="4">
        <v>507.36200000000002</v>
      </c>
      <c r="M66" s="4">
        <v>405.43200000000002</v>
      </c>
      <c r="N66" s="4">
        <v>1468.558</v>
      </c>
      <c r="O66" s="4">
        <v>500.56099999999998</v>
      </c>
      <c r="P66" s="4">
        <v>317.82</v>
      </c>
      <c r="Q66" s="4">
        <v>1877.1320000000001</v>
      </c>
      <c r="R66" s="4">
        <v>1537.0530000000001</v>
      </c>
      <c r="S66" s="4">
        <v>876.904</v>
      </c>
      <c r="T66" s="4">
        <v>3676.848</v>
      </c>
      <c r="U66" s="4">
        <v>105.676</v>
      </c>
      <c r="V66" s="4">
        <v>298.00700000000001</v>
      </c>
      <c r="W66" s="4">
        <v>1071.355</v>
      </c>
      <c r="X66" s="4">
        <v>798.58600000000001</v>
      </c>
      <c r="Y66" s="4">
        <v>748.19600000000003</v>
      </c>
      <c r="Z66" s="4">
        <v>1157.116</v>
      </c>
      <c r="AA66" s="4">
        <v>251.464</v>
      </c>
      <c r="AB66" s="4">
        <v>2261.4589999999998</v>
      </c>
      <c r="AC66" s="4">
        <v>472.29899999999998</v>
      </c>
      <c r="AD66" s="4">
        <v>983.83799999999997</v>
      </c>
      <c r="AE66" s="32">
        <v>413.71499999999997</v>
      </c>
      <c r="AF66" s="4">
        <v>1916.4849999999999</v>
      </c>
      <c r="AG66" s="4">
        <v>319.13499999999999</v>
      </c>
      <c r="AH66" s="4">
        <v>319.13499999999999</v>
      </c>
      <c r="ALQ66" s="4" t="e">
        <v>#N/A</v>
      </c>
    </row>
    <row r="67" spans="1:1005" ht="14.5" x14ac:dyDescent="0.35">
      <c r="A67" s="53">
        <v>48061</v>
      </c>
      <c r="B67" s="15">
        <v>371</v>
      </c>
      <c r="C67" s="13">
        <v>371</v>
      </c>
      <c r="D67" s="14">
        <v>371</v>
      </c>
      <c r="E67" s="4">
        <v>376.49200000000002</v>
      </c>
      <c r="F67" s="4">
        <v>852.81700000000001</v>
      </c>
      <c r="G67" s="4">
        <v>564.69500000000005</v>
      </c>
      <c r="H67" s="4">
        <v>765.00800000000004</v>
      </c>
      <c r="I67" s="4">
        <v>167.756</v>
      </c>
      <c r="J67" s="4">
        <v>258.34500000000003</v>
      </c>
      <c r="K67" s="4">
        <v>61.115000000000002</v>
      </c>
      <c r="L67" s="4">
        <v>217.65299999999999</v>
      </c>
      <c r="M67" s="4">
        <v>208.321</v>
      </c>
      <c r="N67" s="4">
        <v>508.28399999999999</v>
      </c>
      <c r="O67" s="4">
        <v>314.47500000000002</v>
      </c>
      <c r="P67" s="4">
        <v>290.39499999999998</v>
      </c>
      <c r="Q67" s="4">
        <v>577.07899999999995</v>
      </c>
      <c r="R67" s="4">
        <v>459.51100000000002</v>
      </c>
      <c r="S67" s="4">
        <v>415.94200000000001</v>
      </c>
      <c r="T67" s="4">
        <v>861.17200000000003</v>
      </c>
      <c r="U67" s="4">
        <v>156.74100000000001</v>
      </c>
      <c r="V67" s="4">
        <v>239.971</v>
      </c>
      <c r="W67" s="4">
        <v>453.13499999999999</v>
      </c>
      <c r="X67" s="4">
        <v>289.834</v>
      </c>
      <c r="Y67" s="4">
        <v>355.19900000000001</v>
      </c>
      <c r="Z67" s="4">
        <v>496.20299999999997</v>
      </c>
      <c r="AA67" s="4">
        <v>159.63800000000001</v>
      </c>
      <c r="AB67" s="4">
        <v>596.23</v>
      </c>
      <c r="AC67" s="4">
        <v>227.05</v>
      </c>
      <c r="AD67" s="4">
        <v>380.13600000000002</v>
      </c>
      <c r="AE67" s="32">
        <v>286.19</v>
      </c>
      <c r="AF67" s="4">
        <v>705.96600000000001</v>
      </c>
      <c r="AG67" s="4">
        <v>200.62100000000001</v>
      </c>
      <c r="AH67" s="4">
        <v>200.62100000000001</v>
      </c>
      <c r="ALQ67" s="4" t="e">
        <v>#N/A</v>
      </c>
    </row>
    <row r="68" spans="1:1005" ht="14.5" x14ac:dyDescent="0.35">
      <c r="A68" s="53">
        <v>48092</v>
      </c>
      <c r="B68" s="15">
        <v>316</v>
      </c>
      <c r="C68" s="13">
        <v>316</v>
      </c>
      <c r="D68" s="14">
        <v>316</v>
      </c>
      <c r="E68" s="4">
        <v>383.245</v>
      </c>
      <c r="F68" s="4">
        <v>761.05</v>
      </c>
      <c r="G68" s="4">
        <v>423.399</v>
      </c>
      <c r="H68" s="4">
        <v>526.58500000000004</v>
      </c>
      <c r="I68" s="4">
        <v>249.70400000000001</v>
      </c>
      <c r="J68" s="4">
        <v>233.81700000000001</v>
      </c>
      <c r="K68" s="4">
        <v>205.94200000000001</v>
      </c>
      <c r="L68" s="4">
        <v>399.98700000000002</v>
      </c>
      <c r="M68" s="4">
        <v>334.22899999999998</v>
      </c>
      <c r="N68" s="4">
        <v>388.91899999999998</v>
      </c>
      <c r="O68" s="4">
        <v>362.92599999999999</v>
      </c>
      <c r="P68" s="4">
        <v>359.50299999999999</v>
      </c>
      <c r="Q68" s="4">
        <v>440.97800000000001</v>
      </c>
      <c r="R68" s="4">
        <v>324.22300000000001</v>
      </c>
      <c r="S68" s="4">
        <v>295.62400000000002</v>
      </c>
      <c r="T68" s="4">
        <v>548.14</v>
      </c>
      <c r="U68" s="4">
        <v>190.67099999999999</v>
      </c>
      <c r="V68" s="4">
        <v>476.81200000000001</v>
      </c>
      <c r="W68" s="4">
        <v>459.06599999999997</v>
      </c>
      <c r="X68" s="4">
        <v>268.62799999999999</v>
      </c>
      <c r="Y68" s="4">
        <v>381.75</v>
      </c>
      <c r="Z68" s="4">
        <v>367.839</v>
      </c>
      <c r="AA68" s="4">
        <v>175.39500000000001</v>
      </c>
      <c r="AB68" s="4">
        <v>388.22699999999998</v>
      </c>
      <c r="AC68" s="4">
        <v>247.691</v>
      </c>
      <c r="AD68" s="4">
        <v>414.92899999999997</v>
      </c>
      <c r="AE68" s="32">
        <v>310.41199999999998</v>
      </c>
      <c r="AF68" s="4">
        <v>602.97</v>
      </c>
      <c r="AG68" s="4">
        <v>312.23200000000003</v>
      </c>
      <c r="AH68" s="4">
        <v>312.23200000000003</v>
      </c>
      <c r="ALQ68" s="4" t="e">
        <v>#N/A</v>
      </c>
    </row>
    <row r="69" spans="1:1005" ht="14.5" x14ac:dyDescent="0.35">
      <c r="A69" s="53"/>
      <c r="B69" s="15"/>
      <c r="C69" s="13"/>
      <c r="D69" s="14"/>
      <c r="ALQ69" s="4" t="e">
        <v>#N/A</v>
      </c>
    </row>
    <row r="70" spans="1:1005" ht="14.5" x14ac:dyDescent="0.35">
      <c r="A70" s="53"/>
      <c r="B70" s="15"/>
      <c r="C70" s="13"/>
      <c r="D70" s="14"/>
      <c r="ALQ70" s="4" t="e">
        <v>#N/A</v>
      </c>
    </row>
    <row r="71" spans="1:1005" ht="14.5" x14ac:dyDescent="0.35">
      <c r="A71" s="53"/>
      <c r="B71" s="15"/>
      <c r="C71" s="13"/>
      <c r="D71" s="14"/>
      <c r="ALQ71" s="4" t="e">
        <v>#N/A</v>
      </c>
    </row>
    <row r="72" spans="1:1005" ht="14.5" x14ac:dyDescent="0.35">
      <c r="A72" s="53"/>
      <c r="B72" s="15"/>
      <c r="C72" s="13"/>
      <c r="D72" s="14"/>
      <c r="ALQ72" s="4" t="e">
        <v>#N/A</v>
      </c>
    </row>
    <row r="73" spans="1:1005" ht="14.5" x14ac:dyDescent="0.35">
      <c r="A73" s="53"/>
      <c r="B73" s="15"/>
      <c r="C73" s="13"/>
      <c r="D73" s="14"/>
    </row>
    <row r="74" spans="1:1005" ht="14.5" x14ac:dyDescent="0.35">
      <c r="A74" s="53"/>
      <c r="B74" s="15"/>
      <c r="C74" s="13"/>
      <c r="D74" s="14"/>
    </row>
    <row r="75" spans="1:1005" ht="14.5" x14ac:dyDescent="0.35">
      <c r="A75" s="53"/>
      <c r="B75" s="15"/>
      <c r="C75" s="13"/>
      <c r="D75" s="14"/>
    </row>
    <row r="76" spans="1:1005" ht="14.5" x14ac:dyDescent="0.35">
      <c r="A76" s="53"/>
      <c r="B76" s="15"/>
      <c r="C76" s="13"/>
      <c r="D76" s="14"/>
    </row>
    <row r="77" spans="1:1005" ht="14.5" x14ac:dyDescent="0.35">
      <c r="A77" s="53"/>
      <c r="B77" s="15"/>
      <c r="C77" s="13"/>
      <c r="D77" s="14"/>
    </row>
    <row r="78" spans="1:1005" ht="14.5" x14ac:dyDescent="0.35">
      <c r="A78" s="53"/>
      <c r="B78" s="15"/>
      <c r="C78" s="13"/>
      <c r="D78" s="14"/>
    </row>
    <row r="79" spans="1:1005" ht="14.5" x14ac:dyDescent="0.35">
      <c r="A79" s="53"/>
      <c r="B79" s="15"/>
      <c r="C79" s="13"/>
      <c r="D79" s="14"/>
    </row>
    <row r="80" spans="1:1005" ht="14.5" x14ac:dyDescent="0.35">
      <c r="A80" s="53"/>
      <c r="B80" s="15"/>
      <c r="C80" s="13"/>
      <c r="D80" s="14"/>
    </row>
    <row r="81" spans="1:4" ht="12.75" customHeight="1" x14ac:dyDescent="0.35">
      <c r="A81" s="53"/>
      <c r="B81" s="18"/>
      <c r="C81" s="19"/>
      <c r="D81" s="20"/>
    </row>
    <row r="82" spans="1:4" ht="12.75" customHeight="1" x14ac:dyDescent="0.35">
      <c r="A82" s="53"/>
      <c r="B82" s="18"/>
      <c r="C82" s="19"/>
      <c r="D82" s="20"/>
    </row>
    <row r="83" spans="1:4" ht="12.75" customHeight="1" x14ac:dyDescent="0.35">
      <c r="A83" s="53"/>
      <c r="B83" s="18"/>
      <c r="C83" s="19"/>
      <c r="D83" s="20"/>
    </row>
    <row r="84" spans="1:4" ht="12.75" customHeight="1" x14ac:dyDescent="0.35">
      <c r="A84" s="53"/>
      <c r="B84" s="18"/>
      <c r="C84" s="19"/>
      <c r="D84" s="20"/>
    </row>
  </sheetData>
  <mergeCells count="1">
    <mergeCell ref="B1:A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6077E-B6C1-4BCF-BEAE-4294546C20AF}">
  <sheetPr codeName="Sheet7">
    <tabColor rgb="FF80B1D3"/>
  </sheetPr>
  <dimension ref="A1:ALQ84"/>
  <sheetViews>
    <sheetView workbookViewId="0">
      <selection activeCell="D4" sqref="D4"/>
    </sheetView>
  </sheetViews>
  <sheetFormatPr defaultColWidth="18.6328125" defaultRowHeight="12.75" customHeight="1" x14ac:dyDescent="0.35"/>
  <cols>
    <col min="1" max="4" width="7.54296875" style="3" customWidth="1"/>
    <col min="5" max="12" width="8" style="4" customWidth="1"/>
    <col min="13" max="14" width="9" style="4" bestFit="1" customWidth="1"/>
    <col min="15" max="15" width="9" style="4" customWidth="1"/>
    <col min="16" max="30" width="8" style="4" customWidth="1"/>
    <col min="31" max="31" width="8.36328125" style="32" customWidth="1"/>
    <col min="32" max="54" width="8.6328125" style="4" customWidth="1"/>
    <col min="55" max="16384" width="18.6328125" style="4"/>
  </cols>
  <sheetData>
    <row r="1" spans="1:39" ht="14.5" x14ac:dyDescent="0.35">
      <c r="A1" s="54"/>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3"/>
      <c r="AJ1" s="3"/>
      <c r="AK1" s="3"/>
      <c r="AL1" s="3"/>
      <c r="AM1" s="3"/>
    </row>
    <row r="2" spans="1:39" s="3" customFormat="1" ht="14.5" x14ac:dyDescent="0.35">
      <c r="A2" s="54"/>
      <c r="B2" s="56" t="s">
        <v>0</v>
      </c>
      <c r="C2" s="56" t="s">
        <v>1</v>
      </c>
      <c r="D2" s="56" t="s">
        <v>2</v>
      </c>
      <c r="E2" s="56">
        <v>1991</v>
      </c>
      <c r="F2" s="56">
        <v>1992</v>
      </c>
      <c r="G2" s="56">
        <v>1993</v>
      </c>
      <c r="H2" s="56">
        <v>1994</v>
      </c>
      <c r="I2" s="56">
        <v>1995</v>
      </c>
      <c r="J2" s="56">
        <v>1996</v>
      </c>
      <c r="K2" s="56">
        <v>1997</v>
      </c>
      <c r="L2" s="56">
        <v>1998</v>
      </c>
      <c r="M2" s="56">
        <v>1999</v>
      </c>
      <c r="N2" s="56">
        <v>2000</v>
      </c>
      <c r="O2" s="56">
        <v>2001</v>
      </c>
      <c r="P2" s="56">
        <v>2002</v>
      </c>
      <c r="Q2" s="56">
        <v>2003</v>
      </c>
      <c r="R2" s="56">
        <v>2004</v>
      </c>
      <c r="S2" s="56">
        <v>2005</v>
      </c>
      <c r="T2" s="56">
        <v>2006</v>
      </c>
      <c r="U2" s="56">
        <v>2007</v>
      </c>
      <c r="V2" s="56">
        <v>2008</v>
      </c>
      <c r="W2" s="56">
        <v>2009</v>
      </c>
      <c r="X2" s="56">
        <v>2010</v>
      </c>
      <c r="Y2" s="56">
        <v>2011</v>
      </c>
      <c r="Z2" s="56">
        <v>2012</v>
      </c>
      <c r="AA2" s="56">
        <v>2013</v>
      </c>
      <c r="AB2" s="56">
        <v>2014</v>
      </c>
      <c r="AC2" s="56">
        <v>2015</v>
      </c>
      <c r="AD2" s="56">
        <v>2016</v>
      </c>
      <c r="AE2" s="57">
        <v>2017</v>
      </c>
      <c r="AF2" s="56">
        <v>2018</v>
      </c>
      <c r="AG2" s="56">
        <v>2019</v>
      </c>
      <c r="AH2" s="56">
        <v>2020</v>
      </c>
    </row>
    <row r="3" spans="1:39" s="3" customFormat="1" ht="14.5" x14ac:dyDescent="0.35">
      <c r="A3" s="58"/>
      <c r="B3" s="59" t="s">
        <v>3</v>
      </c>
      <c r="C3" s="59" t="s">
        <v>4</v>
      </c>
      <c r="D3" s="59" t="s">
        <v>5</v>
      </c>
      <c r="E3" s="59" t="s">
        <v>6</v>
      </c>
      <c r="F3" s="59" t="s">
        <v>7</v>
      </c>
      <c r="G3" s="59" t="s">
        <v>8</v>
      </c>
      <c r="H3" s="59" t="s">
        <v>9</v>
      </c>
      <c r="I3" s="59" t="s">
        <v>10</v>
      </c>
      <c r="J3" s="59" t="s">
        <v>11</v>
      </c>
      <c r="K3" s="59" t="s">
        <v>12</v>
      </c>
      <c r="L3" s="59" t="s">
        <v>13</v>
      </c>
      <c r="M3" s="59" t="s">
        <v>14</v>
      </c>
      <c r="N3" s="59" t="s">
        <v>15</v>
      </c>
      <c r="O3" s="59" t="s">
        <v>16</v>
      </c>
      <c r="P3" s="59" t="s">
        <v>17</v>
      </c>
      <c r="Q3" s="59" t="s">
        <v>18</v>
      </c>
      <c r="R3" s="59" t="s">
        <v>19</v>
      </c>
      <c r="S3" s="59" t="s">
        <v>20</v>
      </c>
      <c r="T3" s="59" t="s">
        <v>21</v>
      </c>
      <c r="U3" s="59" t="s">
        <v>22</v>
      </c>
      <c r="V3" s="59" t="s">
        <v>23</v>
      </c>
      <c r="W3" s="59" t="s">
        <v>24</v>
      </c>
      <c r="X3" s="59" t="s">
        <v>25</v>
      </c>
      <c r="Y3" s="59" t="s">
        <v>26</v>
      </c>
      <c r="Z3" s="59" t="s">
        <v>27</v>
      </c>
      <c r="AA3" s="59" t="s">
        <v>28</v>
      </c>
      <c r="AB3" s="59" t="s">
        <v>29</v>
      </c>
      <c r="AC3" s="59" t="s">
        <v>30</v>
      </c>
      <c r="AD3" s="59" t="s">
        <v>31</v>
      </c>
      <c r="AE3" s="59" t="s">
        <v>32</v>
      </c>
      <c r="AF3" s="59" t="s">
        <v>33</v>
      </c>
      <c r="AG3" s="59" t="s">
        <v>34</v>
      </c>
      <c r="AH3" s="59" t="s">
        <v>35</v>
      </c>
    </row>
    <row r="4" spans="1:39" ht="14.5" x14ac:dyDescent="0.35">
      <c r="A4" s="60">
        <v>46143</v>
      </c>
      <c r="B4" s="8">
        <v>127</v>
      </c>
      <c r="C4" s="8">
        <v>32</v>
      </c>
      <c r="D4" s="42">
        <v>70</v>
      </c>
      <c r="E4" s="16">
        <v>80.453000000000003</v>
      </c>
      <c r="F4" s="16">
        <v>124.738</v>
      </c>
      <c r="G4" s="16">
        <v>140.512</v>
      </c>
      <c r="H4" s="46">
        <v>98.897999999999996</v>
      </c>
      <c r="I4" s="46">
        <v>64.816000000000003</v>
      </c>
      <c r="J4" s="46">
        <v>60.344999999999999</v>
      </c>
      <c r="K4" s="46">
        <v>78.418999999999997</v>
      </c>
      <c r="L4" s="46">
        <v>65.378</v>
      </c>
      <c r="M4" s="46">
        <v>54.66</v>
      </c>
      <c r="N4" s="46">
        <v>97.864000000000004</v>
      </c>
      <c r="O4" s="46">
        <v>87.635999999999996</v>
      </c>
      <c r="P4" s="46">
        <v>48.780999999999999</v>
      </c>
      <c r="Q4" s="46">
        <v>63.51</v>
      </c>
      <c r="R4" s="46">
        <v>66.774000000000001</v>
      </c>
      <c r="S4" s="46">
        <v>96.575999999999993</v>
      </c>
      <c r="T4" s="46">
        <v>90.891000000000005</v>
      </c>
      <c r="U4" s="46">
        <v>113.616</v>
      </c>
      <c r="V4" s="46">
        <v>69.528000000000006</v>
      </c>
      <c r="W4" s="46">
        <v>66.171000000000006</v>
      </c>
      <c r="X4" s="46">
        <v>35.405999999999999</v>
      </c>
      <c r="Y4" s="46">
        <v>57.164000000000001</v>
      </c>
      <c r="Z4" s="46">
        <v>68.537999999999997</v>
      </c>
      <c r="AA4" s="46">
        <v>78.590999999999994</v>
      </c>
      <c r="AB4" s="46">
        <v>70.471999999999994</v>
      </c>
      <c r="AC4" s="46">
        <v>99.515000000000001</v>
      </c>
      <c r="AD4" s="46">
        <v>223.74600000000001</v>
      </c>
      <c r="AE4" s="46">
        <v>66.355000000000004</v>
      </c>
      <c r="AF4" s="46">
        <v>103.637</v>
      </c>
      <c r="AG4" s="46">
        <v>57.773000000000003</v>
      </c>
      <c r="AH4" s="43">
        <v>47.118000000000002</v>
      </c>
    </row>
    <row r="5" spans="1:39" ht="14.5" x14ac:dyDescent="0.35">
      <c r="A5" s="60">
        <v>46174</v>
      </c>
      <c r="B5" s="8">
        <v>319</v>
      </c>
      <c r="C5" s="8">
        <v>79</v>
      </c>
      <c r="D5" s="44">
        <v>175</v>
      </c>
      <c r="E5" s="16">
        <v>261.59399999999999</v>
      </c>
      <c r="F5" s="16">
        <v>103.43300000000001</v>
      </c>
      <c r="G5" s="16">
        <v>188.816</v>
      </c>
      <c r="H5" s="46">
        <v>115.122</v>
      </c>
      <c r="I5" s="46">
        <v>313.87900000000002</v>
      </c>
      <c r="J5" s="46">
        <v>206.96199999999999</v>
      </c>
      <c r="K5" s="46">
        <v>177.66300000000001</v>
      </c>
      <c r="L5" s="46">
        <v>181.97300000000001</v>
      </c>
      <c r="M5" s="46">
        <v>201.33199999999999</v>
      </c>
      <c r="N5" s="46">
        <v>147.83799999999999</v>
      </c>
      <c r="O5" s="46">
        <v>100.575</v>
      </c>
      <c r="P5" s="46">
        <v>144.304</v>
      </c>
      <c r="Q5" s="46">
        <v>151.51900000000001</v>
      </c>
      <c r="R5" s="46">
        <v>176.72</v>
      </c>
      <c r="S5" s="46">
        <v>193.506</v>
      </c>
      <c r="T5" s="46">
        <v>79.804000000000002</v>
      </c>
      <c r="U5" s="46">
        <v>78.873999999999995</v>
      </c>
      <c r="V5" s="46">
        <v>157.84100000000001</v>
      </c>
      <c r="W5" s="46">
        <v>231.95500000000001</v>
      </c>
      <c r="X5" s="46">
        <v>186.90100000000001</v>
      </c>
      <c r="Y5" s="46">
        <v>148.13900000000001</v>
      </c>
      <c r="Z5" s="46">
        <v>119.69799999999999</v>
      </c>
      <c r="AA5" s="46">
        <v>88.775999999999996</v>
      </c>
      <c r="AB5" s="46">
        <v>130.10900000000001</v>
      </c>
      <c r="AC5" s="46">
        <v>240.505</v>
      </c>
      <c r="AD5" s="46">
        <v>218.678</v>
      </c>
      <c r="AE5" s="46">
        <v>116.09</v>
      </c>
      <c r="AF5" s="46">
        <v>187.97300000000001</v>
      </c>
      <c r="AG5" s="46">
        <v>173.28</v>
      </c>
      <c r="AH5" s="43">
        <v>177.22399999999999</v>
      </c>
    </row>
    <row r="6" spans="1:39" ht="14.5" x14ac:dyDescent="0.35">
      <c r="A6" s="60">
        <v>46204</v>
      </c>
      <c r="B6" s="8">
        <v>153</v>
      </c>
      <c r="C6" s="8">
        <v>38</v>
      </c>
      <c r="D6" s="44">
        <v>84</v>
      </c>
      <c r="E6" s="16">
        <v>115.282</v>
      </c>
      <c r="F6" s="16">
        <v>65.158000000000001</v>
      </c>
      <c r="G6" s="16">
        <v>115.66</v>
      </c>
      <c r="H6" s="46">
        <v>21.962</v>
      </c>
      <c r="I6" s="46">
        <v>230.38499999999999</v>
      </c>
      <c r="J6" s="46">
        <v>91.463999999999999</v>
      </c>
      <c r="K6" s="46">
        <v>71.156999999999996</v>
      </c>
      <c r="L6" s="46">
        <v>219.81700000000001</v>
      </c>
      <c r="M6" s="46">
        <v>115.127</v>
      </c>
      <c r="N6" s="46">
        <v>41.82</v>
      </c>
      <c r="O6" s="46">
        <v>29.364999999999998</v>
      </c>
      <c r="P6" s="46">
        <v>59.499000000000002</v>
      </c>
      <c r="Q6" s="46">
        <v>59.758000000000003</v>
      </c>
      <c r="R6" s="46">
        <v>149.26</v>
      </c>
      <c r="S6" s="46">
        <v>141.79599999999999</v>
      </c>
      <c r="T6" s="46">
        <v>8.9960000000000004</v>
      </c>
      <c r="U6" s="46">
        <v>17.811</v>
      </c>
      <c r="V6" s="46">
        <v>110.3</v>
      </c>
      <c r="W6" s="46">
        <v>188.78700000000001</v>
      </c>
      <c r="X6" s="46">
        <v>188.036</v>
      </c>
      <c r="Y6" s="46">
        <v>198.35300000000001</v>
      </c>
      <c r="Z6" s="46">
        <v>48.978000000000002</v>
      </c>
      <c r="AA6" s="46">
        <v>32.53</v>
      </c>
      <c r="AB6" s="46">
        <v>77.838999999999999</v>
      </c>
      <c r="AC6" s="46">
        <v>150.78399999999999</v>
      </c>
      <c r="AD6" s="46">
        <v>72.801000000000002</v>
      </c>
      <c r="AE6" s="46">
        <v>51.639000000000003</v>
      </c>
      <c r="AF6" s="46">
        <v>71.302000000000007</v>
      </c>
      <c r="AG6" s="46">
        <v>122.989</v>
      </c>
      <c r="AH6" s="43">
        <v>90.161000000000001</v>
      </c>
    </row>
    <row r="7" spans="1:39" ht="14.5" x14ac:dyDescent="0.35">
      <c r="A7" s="60">
        <v>46235</v>
      </c>
      <c r="B7" s="8">
        <v>68</v>
      </c>
      <c r="C7" s="8">
        <v>29</v>
      </c>
      <c r="D7" s="44">
        <v>34</v>
      </c>
      <c r="E7" s="16">
        <v>51.722999999999999</v>
      </c>
      <c r="F7" s="16">
        <v>25.222999999999999</v>
      </c>
      <c r="G7" s="16">
        <v>105.312</v>
      </c>
      <c r="H7" s="46">
        <v>17.620999999999999</v>
      </c>
      <c r="I7" s="46">
        <v>75.23</v>
      </c>
      <c r="J7" s="46">
        <v>31.931000000000001</v>
      </c>
      <c r="K7" s="46">
        <v>52.823</v>
      </c>
      <c r="L7" s="46">
        <v>67.471000000000004</v>
      </c>
      <c r="M7" s="46">
        <v>42.015999999999998</v>
      </c>
      <c r="N7" s="46">
        <v>22.172999999999998</v>
      </c>
      <c r="O7" s="46">
        <v>18.797000000000001</v>
      </c>
      <c r="P7" s="46">
        <v>25.34</v>
      </c>
      <c r="Q7" s="46">
        <v>23.785</v>
      </c>
      <c r="R7" s="46">
        <v>51.116999999999997</v>
      </c>
      <c r="S7" s="46">
        <v>46.354999999999997</v>
      </c>
      <c r="T7" s="46">
        <v>15.221</v>
      </c>
      <c r="U7" s="46">
        <v>23.774000000000001</v>
      </c>
      <c r="V7" s="46">
        <v>33.726999999999997</v>
      </c>
      <c r="W7" s="46">
        <v>52.003999999999998</v>
      </c>
      <c r="X7" s="46">
        <v>55.552999999999997</v>
      </c>
      <c r="Y7" s="46">
        <v>54.322000000000003</v>
      </c>
      <c r="Z7" s="46">
        <v>20.510999999999999</v>
      </c>
      <c r="AA7" s="46">
        <v>18.494</v>
      </c>
      <c r="AB7" s="46">
        <v>35.564</v>
      </c>
      <c r="AC7" s="46">
        <v>43.594999999999999</v>
      </c>
      <c r="AD7" s="46">
        <v>34.273000000000003</v>
      </c>
      <c r="AE7" s="46">
        <v>24.771999999999998</v>
      </c>
      <c r="AF7" s="46">
        <v>27.576000000000001</v>
      </c>
      <c r="AG7" s="46">
        <v>41.369</v>
      </c>
      <c r="AH7" s="43">
        <v>28.744</v>
      </c>
    </row>
    <row r="8" spans="1:39" ht="14.5" x14ac:dyDescent="0.35">
      <c r="A8" s="60">
        <v>46266</v>
      </c>
      <c r="B8" s="8">
        <v>47</v>
      </c>
      <c r="C8" s="8">
        <v>28</v>
      </c>
      <c r="D8" s="44">
        <v>28</v>
      </c>
      <c r="E8" s="16">
        <v>45.195</v>
      </c>
      <c r="F8" s="16">
        <v>21.989000000000001</v>
      </c>
      <c r="G8" s="16">
        <v>39.615000000000002</v>
      </c>
      <c r="H8" s="46">
        <v>16.161000000000001</v>
      </c>
      <c r="I8" s="46">
        <v>37.06</v>
      </c>
      <c r="J8" s="46">
        <v>23.553999999999998</v>
      </c>
      <c r="K8" s="46">
        <v>43.274000000000001</v>
      </c>
      <c r="L8" s="46">
        <v>32.283999999999999</v>
      </c>
      <c r="M8" s="46">
        <v>38.332000000000001</v>
      </c>
      <c r="N8" s="46">
        <v>29.349</v>
      </c>
      <c r="O8" s="46">
        <v>15.433999999999999</v>
      </c>
      <c r="P8" s="46">
        <v>26.169</v>
      </c>
      <c r="Q8" s="46">
        <v>25.314</v>
      </c>
      <c r="R8" s="46">
        <v>39.933999999999997</v>
      </c>
      <c r="S8" s="46">
        <v>27.757000000000001</v>
      </c>
      <c r="T8" s="46">
        <v>15.92</v>
      </c>
      <c r="U8" s="46">
        <v>20.538</v>
      </c>
      <c r="V8" s="46">
        <v>31.553999999999998</v>
      </c>
      <c r="W8" s="46">
        <v>25.981999999999999</v>
      </c>
      <c r="X8" s="46">
        <v>32.783999999999999</v>
      </c>
      <c r="Y8" s="46">
        <v>29.149000000000001</v>
      </c>
      <c r="Z8" s="46">
        <v>15.257999999999999</v>
      </c>
      <c r="AA8" s="46">
        <v>23.849</v>
      </c>
      <c r="AB8" s="46">
        <v>35.151000000000003</v>
      </c>
      <c r="AC8" s="46">
        <v>28.242999999999999</v>
      </c>
      <c r="AD8" s="46">
        <v>36.926000000000002</v>
      </c>
      <c r="AE8" s="46">
        <v>24.966999999999999</v>
      </c>
      <c r="AF8" s="46">
        <v>18.952999999999999</v>
      </c>
      <c r="AG8" s="46">
        <v>32.404000000000003</v>
      </c>
      <c r="AH8" s="43">
        <v>20.838999999999999</v>
      </c>
    </row>
    <row r="9" spans="1:39" ht="14.5" x14ac:dyDescent="0.35">
      <c r="A9" s="60">
        <v>46296</v>
      </c>
      <c r="B9" s="8">
        <v>61</v>
      </c>
      <c r="C9" s="8">
        <v>44</v>
      </c>
      <c r="D9" s="44">
        <v>40</v>
      </c>
      <c r="E9" s="16">
        <v>39.274999999999999</v>
      </c>
      <c r="F9" s="16">
        <v>25.940999999999999</v>
      </c>
      <c r="G9" s="16">
        <v>46.12</v>
      </c>
      <c r="H9" s="46">
        <v>49.195</v>
      </c>
      <c r="I9" s="46">
        <v>47.332000000000001</v>
      </c>
      <c r="J9" s="46">
        <v>34.332999999999998</v>
      </c>
      <c r="K9" s="46">
        <v>58.390999999999998</v>
      </c>
      <c r="L9" s="46">
        <v>46.076000000000001</v>
      </c>
      <c r="M9" s="46">
        <v>34.53</v>
      </c>
      <c r="N9" s="46">
        <v>38.787999999999997</v>
      </c>
      <c r="O9" s="46">
        <v>23.056999999999999</v>
      </c>
      <c r="P9" s="46">
        <v>38.151000000000003</v>
      </c>
      <c r="Q9" s="46">
        <v>27.859000000000002</v>
      </c>
      <c r="R9" s="46">
        <v>51.378</v>
      </c>
      <c r="S9" s="46">
        <v>37.182000000000002</v>
      </c>
      <c r="T9" s="46">
        <v>41.24</v>
      </c>
      <c r="U9" s="46">
        <v>52.531999999999996</v>
      </c>
      <c r="V9" s="46">
        <v>35.627000000000002</v>
      </c>
      <c r="W9" s="46">
        <v>40.783000000000001</v>
      </c>
      <c r="X9" s="46">
        <v>34.531999999999996</v>
      </c>
      <c r="Y9" s="46">
        <v>43.643999999999998</v>
      </c>
      <c r="Z9" s="46">
        <v>24.032</v>
      </c>
      <c r="AA9" s="46">
        <v>51.03</v>
      </c>
      <c r="AB9" s="46">
        <v>99.441999999999993</v>
      </c>
      <c r="AC9" s="46">
        <v>45.895000000000003</v>
      </c>
      <c r="AD9" s="46">
        <v>83.478999999999999</v>
      </c>
      <c r="AE9" s="46">
        <v>50.296999999999997</v>
      </c>
      <c r="AF9" s="46">
        <v>35.000999999999998</v>
      </c>
      <c r="AG9" s="46">
        <v>42.319000000000003</v>
      </c>
      <c r="AH9" s="43">
        <v>28.239000000000001</v>
      </c>
    </row>
    <row r="10" spans="1:39" ht="14.5" x14ac:dyDescent="0.35">
      <c r="A10" s="60">
        <v>46327</v>
      </c>
      <c r="B10" s="8">
        <v>55</v>
      </c>
      <c r="C10" s="8">
        <v>46</v>
      </c>
      <c r="D10" s="44">
        <v>44</v>
      </c>
      <c r="E10" s="16">
        <v>50.539000000000001</v>
      </c>
      <c r="F10" s="16">
        <v>30.893000000000001</v>
      </c>
      <c r="G10" s="16">
        <v>43.98</v>
      </c>
      <c r="H10" s="46">
        <v>39.433</v>
      </c>
      <c r="I10" s="46">
        <v>49.701000000000001</v>
      </c>
      <c r="J10" s="46">
        <v>45.512999999999998</v>
      </c>
      <c r="K10" s="46">
        <v>41.091000000000001</v>
      </c>
      <c r="L10" s="46">
        <v>44.384</v>
      </c>
      <c r="M10" s="46">
        <v>36.960999999999999</v>
      </c>
      <c r="N10" s="46">
        <v>37.274000000000001</v>
      </c>
      <c r="O10" s="46">
        <v>35.253999999999998</v>
      </c>
      <c r="P10" s="46">
        <v>35.19</v>
      </c>
      <c r="Q10" s="46">
        <v>35.798999999999999</v>
      </c>
      <c r="R10" s="46">
        <v>72.527000000000001</v>
      </c>
      <c r="S10" s="46">
        <v>40.378</v>
      </c>
      <c r="T10" s="46">
        <v>34.649000000000001</v>
      </c>
      <c r="U10" s="46">
        <v>43.850999999999999</v>
      </c>
      <c r="V10" s="46">
        <v>42.716000000000001</v>
      </c>
      <c r="W10" s="46">
        <v>46.002000000000002</v>
      </c>
      <c r="X10" s="46">
        <v>41.186</v>
      </c>
      <c r="Y10" s="46">
        <v>45.893999999999998</v>
      </c>
      <c r="Z10" s="46">
        <v>35.712000000000003</v>
      </c>
      <c r="AA10" s="46">
        <v>39.003</v>
      </c>
      <c r="AB10" s="46">
        <v>54.246000000000002</v>
      </c>
      <c r="AC10" s="46">
        <v>42.884999999999998</v>
      </c>
      <c r="AD10" s="46">
        <v>84.76</v>
      </c>
      <c r="AE10" s="46">
        <v>45.325000000000003</v>
      </c>
      <c r="AF10" s="46">
        <v>39.738</v>
      </c>
      <c r="AG10" s="46">
        <v>39.963999999999999</v>
      </c>
      <c r="AH10" s="43">
        <v>37.177999999999997</v>
      </c>
    </row>
    <row r="11" spans="1:39" ht="14.5" x14ac:dyDescent="0.35">
      <c r="A11" s="60">
        <v>46357</v>
      </c>
      <c r="B11" s="8">
        <v>37</v>
      </c>
      <c r="C11" s="8">
        <v>33</v>
      </c>
      <c r="D11" s="44">
        <v>34</v>
      </c>
      <c r="E11" s="16">
        <v>41.762999999999998</v>
      </c>
      <c r="F11" s="16">
        <v>25.995000000000001</v>
      </c>
      <c r="G11" s="16">
        <v>36.5</v>
      </c>
      <c r="H11" s="46">
        <v>29.329000000000001</v>
      </c>
      <c r="I11" s="46">
        <v>50.155000000000001</v>
      </c>
      <c r="J11" s="46">
        <v>41.307000000000002</v>
      </c>
      <c r="K11" s="46">
        <v>31.638999999999999</v>
      </c>
      <c r="L11" s="46">
        <v>39.698</v>
      </c>
      <c r="M11" s="46">
        <v>31.89</v>
      </c>
      <c r="N11" s="46">
        <v>28.195</v>
      </c>
      <c r="O11" s="46">
        <v>27.768999999999998</v>
      </c>
      <c r="P11" s="46">
        <v>27.77</v>
      </c>
      <c r="Q11" s="46">
        <v>28.187000000000001</v>
      </c>
      <c r="R11" s="46">
        <v>42.3</v>
      </c>
      <c r="S11" s="46">
        <v>34.515999999999998</v>
      </c>
      <c r="T11" s="46">
        <v>28.594999999999999</v>
      </c>
      <c r="U11" s="46">
        <v>30.02</v>
      </c>
      <c r="V11" s="46">
        <v>33.749000000000002</v>
      </c>
      <c r="W11" s="46">
        <v>37.244</v>
      </c>
      <c r="X11" s="46">
        <v>35.74</v>
      </c>
      <c r="Y11" s="46">
        <v>37.125999999999998</v>
      </c>
      <c r="Z11" s="46">
        <v>28.56</v>
      </c>
      <c r="AA11" s="46">
        <v>28.591000000000001</v>
      </c>
      <c r="AB11" s="46">
        <v>41.48</v>
      </c>
      <c r="AC11" s="46">
        <v>36.508000000000003</v>
      </c>
      <c r="AD11" s="46">
        <v>52.04</v>
      </c>
      <c r="AE11" s="46">
        <v>40.335999999999999</v>
      </c>
      <c r="AF11" s="46">
        <v>29.577999999999999</v>
      </c>
      <c r="AG11" s="46">
        <v>34.042000000000002</v>
      </c>
      <c r="AH11" s="43">
        <v>29.984999999999999</v>
      </c>
    </row>
    <row r="12" spans="1:39" ht="14.5" x14ac:dyDescent="0.35">
      <c r="A12" s="60">
        <v>46388</v>
      </c>
      <c r="B12" s="8">
        <v>45</v>
      </c>
      <c r="C12" s="8">
        <v>40</v>
      </c>
      <c r="D12" s="44">
        <v>42</v>
      </c>
      <c r="E12" s="16">
        <v>33.246000000000002</v>
      </c>
      <c r="F12" s="16">
        <v>23.678000000000001</v>
      </c>
      <c r="G12" s="16">
        <v>30.382999999999999</v>
      </c>
      <c r="H12" s="46">
        <v>27.387</v>
      </c>
      <c r="I12" s="46">
        <v>39.834000000000003</v>
      </c>
      <c r="J12" s="46">
        <v>57.037999999999997</v>
      </c>
      <c r="K12" s="46">
        <v>27.457000000000001</v>
      </c>
      <c r="L12" s="46">
        <v>32.917000000000002</v>
      </c>
      <c r="M12" s="46">
        <v>26.748000000000001</v>
      </c>
      <c r="N12" s="46">
        <v>24.978999999999999</v>
      </c>
      <c r="O12" s="46">
        <v>23.405999999999999</v>
      </c>
      <c r="P12" s="46">
        <v>24.960999999999999</v>
      </c>
      <c r="Q12" s="46">
        <v>25.631</v>
      </c>
      <c r="R12" s="46">
        <v>35.817999999999998</v>
      </c>
      <c r="S12" s="46">
        <v>34.72</v>
      </c>
      <c r="T12" s="46">
        <v>27.065000000000001</v>
      </c>
      <c r="U12" s="46">
        <v>25.064</v>
      </c>
      <c r="V12" s="46">
        <v>29.579000000000001</v>
      </c>
      <c r="W12" s="46">
        <v>32.530999999999999</v>
      </c>
      <c r="X12" s="46">
        <v>32.389000000000003</v>
      </c>
      <c r="Y12" s="46">
        <v>33.616999999999997</v>
      </c>
      <c r="Z12" s="46">
        <v>24.117000000000001</v>
      </c>
      <c r="AA12" s="46">
        <v>25.870999999999999</v>
      </c>
      <c r="AB12" s="46">
        <v>39.729999999999997</v>
      </c>
      <c r="AC12" s="46">
        <v>30.135000000000002</v>
      </c>
      <c r="AD12" s="46">
        <v>43.433999999999997</v>
      </c>
      <c r="AE12" s="46">
        <v>33.540999999999997</v>
      </c>
      <c r="AF12" s="46">
        <v>26.056000000000001</v>
      </c>
      <c r="AG12" s="46">
        <v>29.591999999999999</v>
      </c>
      <c r="AH12" s="43">
        <v>25.779</v>
      </c>
    </row>
    <row r="13" spans="1:39" ht="14.5" x14ac:dyDescent="0.35">
      <c r="A13" s="60">
        <v>46419</v>
      </c>
      <c r="B13" s="8">
        <v>50</v>
      </c>
      <c r="C13" s="8">
        <v>42</v>
      </c>
      <c r="D13" s="44">
        <v>43</v>
      </c>
      <c r="E13" s="16">
        <v>36.893000000000001</v>
      </c>
      <c r="F13" s="16">
        <v>26.164000000000001</v>
      </c>
      <c r="G13" s="16">
        <v>30.398</v>
      </c>
      <c r="H13" s="46">
        <v>45.609000000000002</v>
      </c>
      <c r="I13" s="46">
        <v>51.418999999999997</v>
      </c>
      <c r="J13" s="46">
        <v>42.895000000000003</v>
      </c>
      <c r="K13" s="46">
        <v>28.381</v>
      </c>
      <c r="L13" s="46">
        <v>33.502000000000002</v>
      </c>
      <c r="M13" s="46">
        <v>34.656999999999996</v>
      </c>
      <c r="N13" s="46">
        <v>26.547000000000001</v>
      </c>
      <c r="O13" s="46">
        <v>24.873000000000001</v>
      </c>
      <c r="P13" s="46">
        <v>37.606999999999999</v>
      </c>
      <c r="Q13" s="46">
        <v>28.300999999999998</v>
      </c>
      <c r="R13" s="46">
        <v>36.177999999999997</v>
      </c>
      <c r="S13" s="46">
        <v>33.665999999999997</v>
      </c>
      <c r="T13" s="46">
        <v>32.856999999999999</v>
      </c>
      <c r="U13" s="46">
        <v>25.504999999999999</v>
      </c>
      <c r="V13" s="46">
        <v>33.606000000000002</v>
      </c>
      <c r="W13" s="46">
        <v>29.366</v>
      </c>
      <c r="X13" s="46">
        <v>33.021999999999998</v>
      </c>
      <c r="Y13" s="46">
        <v>34.552999999999997</v>
      </c>
      <c r="Z13" s="46">
        <v>26.192</v>
      </c>
      <c r="AA13" s="46">
        <v>37.56</v>
      </c>
      <c r="AB13" s="46">
        <v>50.168999999999997</v>
      </c>
      <c r="AC13" s="46">
        <v>45.222000000000001</v>
      </c>
      <c r="AD13" s="46">
        <v>83.444999999999993</v>
      </c>
      <c r="AE13" s="46">
        <v>38.079000000000001</v>
      </c>
      <c r="AF13" s="46">
        <v>29.707999999999998</v>
      </c>
      <c r="AG13" s="46">
        <v>28.943000000000001</v>
      </c>
      <c r="AH13" s="43">
        <v>33.555999999999997</v>
      </c>
    </row>
    <row r="14" spans="1:39" ht="14.5" x14ac:dyDescent="0.35">
      <c r="A14" s="60">
        <v>46447</v>
      </c>
      <c r="B14" s="8">
        <v>120</v>
      </c>
      <c r="C14" s="8">
        <v>68</v>
      </c>
      <c r="D14" s="44">
        <v>85</v>
      </c>
      <c r="E14" s="16">
        <v>112.352</v>
      </c>
      <c r="F14" s="16">
        <v>90.052000000000007</v>
      </c>
      <c r="G14" s="16">
        <v>90.855000000000004</v>
      </c>
      <c r="H14" s="46">
        <v>104.661</v>
      </c>
      <c r="I14" s="46">
        <v>86.707999999999998</v>
      </c>
      <c r="J14" s="46">
        <v>99.468999999999994</v>
      </c>
      <c r="K14" s="46">
        <v>73.769000000000005</v>
      </c>
      <c r="L14" s="46">
        <v>72.563999999999993</v>
      </c>
      <c r="M14" s="46">
        <v>58.215000000000003</v>
      </c>
      <c r="N14" s="46">
        <v>61.862000000000002</v>
      </c>
      <c r="O14" s="46">
        <v>49.143999999999998</v>
      </c>
      <c r="P14" s="46">
        <v>63.198999999999998</v>
      </c>
      <c r="Q14" s="46">
        <v>92.527000000000001</v>
      </c>
      <c r="R14" s="46">
        <v>83.04</v>
      </c>
      <c r="S14" s="46">
        <v>59.639000000000003</v>
      </c>
      <c r="T14" s="46">
        <v>87.834999999999994</v>
      </c>
      <c r="U14" s="46">
        <v>47.18</v>
      </c>
      <c r="V14" s="46">
        <v>73.361000000000004</v>
      </c>
      <c r="W14" s="46">
        <v>53.034999999999997</v>
      </c>
      <c r="X14" s="46">
        <v>61.622</v>
      </c>
      <c r="Y14" s="46">
        <v>87.582999999999998</v>
      </c>
      <c r="Z14" s="46">
        <v>58.542000000000002</v>
      </c>
      <c r="AA14" s="46">
        <v>68.272000000000006</v>
      </c>
      <c r="AB14" s="46">
        <v>91.006</v>
      </c>
      <c r="AC14" s="46">
        <v>88.414000000000001</v>
      </c>
      <c r="AD14" s="46">
        <v>326.35899999999998</v>
      </c>
      <c r="AE14" s="46">
        <v>60.780999999999999</v>
      </c>
      <c r="AF14" s="46">
        <v>64.534999999999997</v>
      </c>
      <c r="AG14" s="46">
        <v>86.671999999999997</v>
      </c>
      <c r="AH14" s="43">
        <v>53.564999999999998</v>
      </c>
    </row>
    <row r="15" spans="1:39" ht="14.5" x14ac:dyDescent="0.35">
      <c r="A15" s="60">
        <v>46478</v>
      </c>
      <c r="B15" s="8">
        <v>146</v>
      </c>
      <c r="C15" s="8">
        <v>91</v>
      </c>
      <c r="D15" s="44">
        <v>111</v>
      </c>
      <c r="E15" s="16">
        <v>109.72</v>
      </c>
      <c r="F15" s="16">
        <v>154.935</v>
      </c>
      <c r="G15" s="16">
        <v>112.224</v>
      </c>
      <c r="H15" s="46">
        <v>88.046000000000006</v>
      </c>
      <c r="I15" s="46">
        <v>139.048</v>
      </c>
      <c r="J15" s="46">
        <v>123.416</v>
      </c>
      <c r="K15" s="46">
        <v>136.01900000000001</v>
      </c>
      <c r="L15" s="46">
        <v>92.852000000000004</v>
      </c>
      <c r="M15" s="46">
        <v>93.715000000000003</v>
      </c>
      <c r="N15" s="46">
        <v>95.82</v>
      </c>
      <c r="O15" s="46">
        <v>79.373999999999995</v>
      </c>
      <c r="P15" s="46">
        <v>87.947000000000003</v>
      </c>
      <c r="Q15" s="46">
        <v>140.673</v>
      </c>
      <c r="R15" s="46">
        <v>119.423</v>
      </c>
      <c r="S15" s="46">
        <v>121.453</v>
      </c>
      <c r="T15" s="46">
        <v>88.006</v>
      </c>
      <c r="U15" s="46">
        <v>52.389000000000003</v>
      </c>
      <c r="V15" s="46">
        <v>113.011</v>
      </c>
      <c r="W15" s="46">
        <v>73.840999999999994</v>
      </c>
      <c r="X15" s="46">
        <v>193.578</v>
      </c>
      <c r="Y15" s="46">
        <v>147.46799999999999</v>
      </c>
      <c r="Z15" s="46">
        <v>63.143999999999998</v>
      </c>
      <c r="AA15" s="46">
        <v>88.802000000000007</v>
      </c>
      <c r="AB15" s="46">
        <v>90.757000000000005</v>
      </c>
      <c r="AC15" s="46">
        <v>139.845</v>
      </c>
      <c r="AD15" s="46">
        <v>519.51499999999999</v>
      </c>
      <c r="AE15" s="46">
        <v>85.84</v>
      </c>
      <c r="AF15" s="46">
        <v>253.732</v>
      </c>
      <c r="AG15" s="46">
        <v>115.452</v>
      </c>
      <c r="AH15" s="43">
        <v>75.477999999999994</v>
      </c>
    </row>
    <row r="16" spans="1:39" ht="14.5" x14ac:dyDescent="0.35">
      <c r="A16" s="60">
        <v>46508</v>
      </c>
      <c r="B16" s="8">
        <v>318</v>
      </c>
      <c r="C16" s="8">
        <v>165</v>
      </c>
      <c r="D16" s="44">
        <v>239</v>
      </c>
      <c r="E16" s="16">
        <v>163.09299999999999</v>
      </c>
      <c r="F16" s="16">
        <v>306.98200000000003</v>
      </c>
      <c r="G16" s="16">
        <v>179.86099999999999</v>
      </c>
      <c r="H16" s="46">
        <v>140.25</v>
      </c>
      <c r="I16" s="46">
        <v>193.10499999999999</v>
      </c>
      <c r="J16" s="46">
        <v>404.83</v>
      </c>
      <c r="K16" s="46">
        <v>198.39500000000001</v>
      </c>
      <c r="L16" s="46">
        <v>293.61900000000003</v>
      </c>
      <c r="M16" s="46">
        <v>149.22999999999999</v>
      </c>
      <c r="N16" s="46">
        <v>150.65100000000001</v>
      </c>
      <c r="O16" s="46">
        <v>53.008000000000003</v>
      </c>
      <c r="P16" s="46">
        <v>70.78</v>
      </c>
      <c r="Q16" s="46">
        <v>109.783</v>
      </c>
      <c r="R16" s="46">
        <v>247.268</v>
      </c>
      <c r="S16" s="46">
        <v>234.465</v>
      </c>
      <c r="T16" s="46">
        <v>171.839</v>
      </c>
      <c r="U16" s="46">
        <v>132.387</v>
      </c>
      <c r="V16" s="46">
        <v>158.18799999999999</v>
      </c>
      <c r="W16" s="46">
        <v>50.889000000000003</v>
      </c>
      <c r="X16" s="46">
        <v>322.80200000000002</v>
      </c>
      <c r="Y16" s="46">
        <v>159.923</v>
      </c>
      <c r="Z16" s="46">
        <v>77.757999999999996</v>
      </c>
      <c r="AA16" s="46">
        <v>188.15199999999999</v>
      </c>
      <c r="AB16" s="46">
        <v>182.12899999999999</v>
      </c>
      <c r="AC16" s="46">
        <v>382.23700000000002</v>
      </c>
      <c r="AD16" s="46">
        <v>516.476</v>
      </c>
      <c r="AE16" s="46">
        <v>222.40199999999999</v>
      </c>
      <c r="AF16" s="46">
        <v>157.29599999999999</v>
      </c>
      <c r="AG16" s="46">
        <v>140.29599999999999</v>
      </c>
      <c r="AH16" s="43">
        <v>100.70399999999999</v>
      </c>
    </row>
    <row r="17" spans="1:34" ht="14.5" x14ac:dyDescent="0.35">
      <c r="A17" s="60">
        <v>46539</v>
      </c>
      <c r="B17" s="8">
        <v>525</v>
      </c>
      <c r="C17" s="8">
        <v>249</v>
      </c>
      <c r="D17" s="44">
        <v>389</v>
      </c>
      <c r="E17" s="16">
        <v>65.375</v>
      </c>
      <c r="F17" s="16">
        <v>458.47199999999998</v>
      </c>
      <c r="G17" s="16">
        <v>160.446</v>
      </c>
      <c r="H17" s="46">
        <v>530.64200000000005</v>
      </c>
      <c r="I17" s="46">
        <v>632.51599999999996</v>
      </c>
      <c r="J17" s="46">
        <v>773</v>
      </c>
      <c r="K17" s="46">
        <v>369.27100000000002</v>
      </c>
      <c r="L17" s="46">
        <v>663.98400000000004</v>
      </c>
      <c r="M17" s="46">
        <v>204.512</v>
      </c>
      <c r="N17" s="46">
        <v>141.37100000000001</v>
      </c>
      <c r="O17" s="46">
        <v>182.78100000000001</v>
      </c>
      <c r="P17" s="46">
        <v>244.48699999999999</v>
      </c>
      <c r="Q17" s="46">
        <v>229.73699999999999</v>
      </c>
      <c r="R17" s="46">
        <v>432.48099999999999</v>
      </c>
      <c r="S17" s="46">
        <v>291.149</v>
      </c>
      <c r="T17" s="46">
        <v>66.200999999999993</v>
      </c>
      <c r="U17" s="46">
        <v>315.37299999999999</v>
      </c>
      <c r="V17" s="46">
        <v>476.90199999999999</v>
      </c>
      <c r="W17" s="46">
        <v>221.87700000000001</v>
      </c>
      <c r="X17" s="46">
        <v>604.16800000000001</v>
      </c>
      <c r="Y17" s="46">
        <v>187.851</v>
      </c>
      <c r="Z17" s="46">
        <v>93.344999999999999</v>
      </c>
      <c r="AA17" s="46">
        <v>473.36500000000001</v>
      </c>
      <c r="AB17" s="46">
        <v>312.42599999999999</v>
      </c>
      <c r="AC17" s="46">
        <v>399.09800000000001</v>
      </c>
      <c r="AD17" s="46">
        <v>837.09699999999998</v>
      </c>
      <c r="AE17" s="46">
        <v>419.70499999999998</v>
      </c>
      <c r="AF17" s="46">
        <v>316.52100000000002</v>
      </c>
      <c r="AG17" s="46">
        <v>347.78100000000001</v>
      </c>
      <c r="AH17" s="43">
        <v>382.87799999999999</v>
      </c>
    </row>
    <row r="18" spans="1:34" ht="14.5" x14ac:dyDescent="0.35">
      <c r="A18" s="60">
        <v>46569</v>
      </c>
      <c r="B18" s="8">
        <v>270</v>
      </c>
      <c r="C18" s="8">
        <v>92</v>
      </c>
      <c r="D18" s="44">
        <v>161</v>
      </c>
      <c r="E18" s="16">
        <v>35.228999999999999</v>
      </c>
      <c r="F18" s="16">
        <v>257.786</v>
      </c>
      <c r="G18" s="16">
        <v>28.408999999999999</v>
      </c>
      <c r="H18" s="46">
        <v>551.60299999999995</v>
      </c>
      <c r="I18" s="46">
        <v>298.13400000000001</v>
      </c>
      <c r="J18" s="46">
        <v>331.017</v>
      </c>
      <c r="K18" s="46">
        <v>409.31200000000001</v>
      </c>
      <c r="L18" s="46">
        <v>382.49799999999999</v>
      </c>
      <c r="M18" s="46">
        <v>60.71</v>
      </c>
      <c r="N18" s="46">
        <v>34.85</v>
      </c>
      <c r="O18" s="46">
        <v>83.462000000000003</v>
      </c>
      <c r="P18" s="46">
        <v>97.132000000000005</v>
      </c>
      <c r="Q18" s="46">
        <v>168.53899999999999</v>
      </c>
      <c r="R18" s="46">
        <v>293.363</v>
      </c>
      <c r="S18" s="46">
        <v>78.852000000000004</v>
      </c>
      <c r="T18" s="46">
        <v>7.4059999999999997</v>
      </c>
      <c r="U18" s="46">
        <v>222.37799999999999</v>
      </c>
      <c r="V18" s="46">
        <v>376.77800000000002</v>
      </c>
      <c r="W18" s="46">
        <v>191.93899999999999</v>
      </c>
      <c r="X18" s="46">
        <v>797.01300000000003</v>
      </c>
      <c r="Y18" s="46">
        <v>67.927000000000007</v>
      </c>
      <c r="Z18" s="46">
        <v>34.386000000000003</v>
      </c>
      <c r="AA18" s="46">
        <v>297.52300000000002</v>
      </c>
      <c r="AB18" s="46">
        <v>148.898</v>
      </c>
      <c r="AC18" s="46">
        <v>121.694</v>
      </c>
      <c r="AD18" s="46">
        <v>401.19099999999997</v>
      </c>
      <c r="AE18" s="46">
        <v>192.56200000000001</v>
      </c>
      <c r="AF18" s="46">
        <v>232.79400000000001</v>
      </c>
      <c r="AG18" s="46">
        <v>174.20099999999999</v>
      </c>
      <c r="AH18" s="43">
        <v>176.51900000000001</v>
      </c>
    </row>
    <row r="19" spans="1:34" ht="14.5" x14ac:dyDescent="0.35">
      <c r="A19" s="60">
        <v>46600</v>
      </c>
      <c r="B19" s="8">
        <v>92</v>
      </c>
      <c r="C19" s="8">
        <v>45</v>
      </c>
      <c r="D19" s="44">
        <v>66</v>
      </c>
      <c r="E19" s="16">
        <v>23.568999999999999</v>
      </c>
      <c r="F19" s="16">
        <v>195.64500000000001</v>
      </c>
      <c r="G19" s="16">
        <v>24.896999999999998</v>
      </c>
      <c r="H19" s="46">
        <v>177.37899999999999</v>
      </c>
      <c r="I19" s="46">
        <v>95.552000000000007</v>
      </c>
      <c r="J19" s="46">
        <v>165.727</v>
      </c>
      <c r="K19" s="46">
        <v>133.65</v>
      </c>
      <c r="L19" s="46">
        <v>130.44900000000001</v>
      </c>
      <c r="M19" s="46">
        <v>34.063000000000002</v>
      </c>
      <c r="N19" s="46">
        <v>22.239000000000001</v>
      </c>
      <c r="O19" s="46">
        <v>35.323</v>
      </c>
      <c r="P19" s="46">
        <v>39.826000000000001</v>
      </c>
      <c r="Q19" s="46">
        <v>67.545000000000002</v>
      </c>
      <c r="R19" s="46">
        <v>94.042000000000002</v>
      </c>
      <c r="S19" s="46">
        <v>45.552</v>
      </c>
      <c r="T19" s="46">
        <v>24.140999999999998</v>
      </c>
      <c r="U19" s="46">
        <v>68.254999999999995</v>
      </c>
      <c r="V19" s="46">
        <v>117.801</v>
      </c>
      <c r="W19" s="46">
        <v>63.576000000000001</v>
      </c>
      <c r="X19" s="46">
        <v>213.72300000000001</v>
      </c>
      <c r="Y19" s="46">
        <v>31.268999999999998</v>
      </c>
      <c r="Z19" s="46">
        <v>21.164000000000001</v>
      </c>
      <c r="AA19" s="46">
        <v>108.30800000000001</v>
      </c>
      <c r="AB19" s="46">
        <v>55.713000000000001</v>
      </c>
      <c r="AC19" s="46">
        <v>62.195</v>
      </c>
      <c r="AD19" s="46">
        <v>142.81399999999999</v>
      </c>
      <c r="AE19" s="46">
        <v>68.481999999999999</v>
      </c>
      <c r="AF19" s="46">
        <v>91.143000000000001</v>
      </c>
      <c r="AG19" s="46">
        <v>62.856000000000002</v>
      </c>
      <c r="AH19" s="43">
        <v>80.725999999999999</v>
      </c>
    </row>
    <row r="20" spans="1:34" ht="14.5" x14ac:dyDescent="0.35">
      <c r="A20" s="60">
        <v>46631</v>
      </c>
      <c r="B20" s="8">
        <v>56</v>
      </c>
      <c r="C20" s="8">
        <v>34</v>
      </c>
      <c r="D20" s="44">
        <v>43</v>
      </c>
      <c r="E20" s="16">
        <v>24.462</v>
      </c>
      <c r="F20" s="16">
        <v>77.647000000000006</v>
      </c>
      <c r="G20" s="16">
        <v>22.155000000000001</v>
      </c>
      <c r="H20" s="46">
        <v>73.231999999999999</v>
      </c>
      <c r="I20" s="46">
        <v>58.42</v>
      </c>
      <c r="J20" s="46">
        <v>104.99</v>
      </c>
      <c r="K20" s="46">
        <v>59.994999999999997</v>
      </c>
      <c r="L20" s="46">
        <v>90.391999999999996</v>
      </c>
      <c r="M20" s="46">
        <v>40.073</v>
      </c>
      <c r="N20" s="46">
        <v>19.501000000000001</v>
      </c>
      <c r="O20" s="46">
        <v>32.601999999999997</v>
      </c>
      <c r="P20" s="46">
        <v>36.82</v>
      </c>
      <c r="Q20" s="46">
        <v>54.768000000000001</v>
      </c>
      <c r="R20" s="46">
        <v>52.649000000000001</v>
      </c>
      <c r="S20" s="46">
        <v>36.404000000000003</v>
      </c>
      <c r="T20" s="46">
        <v>22.402999999999999</v>
      </c>
      <c r="U20" s="46">
        <v>54.222999999999999</v>
      </c>
      <c r="V20" s="46">
        <v>53.98</v>
      </c>
      <c r="W20" s="46">
        <v>39.959000000000003</v>
      </c>
      <c r="X20" s="46">
        <v>91.650999999999996</v>
      </c>
      <c r="Y20" s="46">
        <v>23.751000000000001</v>
      </c>
      <c r="Z20" s="46">
        <v>26.614000000000001</v>
      </c>
      <c r="AA20" s="46">
        <v>77.313999999999993</v>
      </c>
      <c r="AB20" s="46">
        <v>38.159999999999997</v>
      </c>
      <c r="AC20" s="46">
        <v>62.037999999999997</v>
      </c>
      <c r="AD20" s="46">
        <v>97.22</v>
      </c>
      <c r="AE20" s="46">
        <v>40.229999999999997</v>
      </c>
      <c r="AF20" s="46">
        <v>62.756</v>
      </c>
      <c r="AG20" s="46">
        <v>43.09</v>
      </c>
      <c r="AH20" s="43">
        <v>65.638999999999996</v>
      </c>
    </row>
    <row r="21" spans="1:34" ht="14.5" x14ac:dyDescent="0.35">
      <c r="A21" s="60">
        <v>46661</v>
      </c>
      <c r="B21" s="8">
        <v>62</v>
      </c>
      <c r="C21" s="8">
        <v>45</v>
      </c>
      <c r="D21" s="44">
        <v>52</v>
      </c>
      <c r="E21" s="16">
        <v>24.675999999999998</v>
      </c>
      <c r="F21" s="16">
        <v>65.394999999999996</v>
      </c>
      <c r="G21" s="16">
        <v>51.14</v>
      </c>
      <c r="H21" s="46">
        <v>64.650000000000006</v>
      </c>
      <c r="I21" s="46">
        <v>56.755000000000003</v>
      </c>
      <c r="J21" s="46">
        <v>95.290999999999997</v>
      </c>
      <c r="K21" s="46">
        <v>61.286000000000001</v>
      </c>
      <c r="L21" s="46">
        <v>61.186999999999998</v>
      </c>
      <c r="M21" s="46">
        <v>40.174999999999997</v>
      </c>
      <c r="N21" s="46">
        <v>24.137</v>
      </c>
      <c r="O21" s="46">
        <v>37.234999999999999</v>
      </c>
      <c r="P21" s="46">
        <v>30.247</v>
      </c>
      <c r="Q21" s="46">
        <v>56.652000000000001</v>
      </c>
      <c r="R21" s="46">
        <v>51.651000000000003</v>
      </c>
      <c r="S21" s="46">
        <v>57.45</v>
      </c>
      <c r="T21" s="46">
        <v>50.308999999999997</v>
      </c>
      <c r="U21" s="46">
        <v>45.545999999999999</v>
      </c>
      <c r="V21" s="46">
        <v>56.343000000000004</v>
      </c>
      <c r="W21" s="46">
        <v>34.481999999999999</v>
      </c>
      <c r="X21" s="46">
        <v>83.3</v>
      </c>
      <c r="Y21" s="46">
        <v>28.748000000000001</v>
      </c>
      <c r="Z21" s="46">
        <v>47.598999999999997</v>
      </c>
      <c r="AA21" s="46">
        <v>129.791</v>
      </c>
      <c r="AB21" s="46">
        <v>49.045999999999999</v>
      </c>
      <c r="AC21" s="46">
        <v>98.893000000000001</v>
      </c>
      <c r="AD21" s="46">
        <v>108.111</v>
      </c>
      <c r="AE21" s="46">
        <v>48.072000000000003</v>
      </c>
      <c r="AF21" s="46">
        <v>59.331000000000003</v>
      </c>
      <c r="AG21" s="46">
        <v>41.756</v>
      </c>
      <c r="AH21" s="43">
        <v>44.273000000000003</v>
      </c>
    </row>
    <row r="22" spans="1:34" ht="14.5" x14ac:dyDescent="0.35">
      <c r="A22" s="60">
        <v>46692</v>
      </c>
      <c r="B22" s="8">
        <v>55</v>
      </c>
      <c r="C22" s="8">
        <v>47</v>
      </c>
      <c r="D22" s="44">
        <v>50</v>
      </c>
      <c r="E22" s="16">
        <v>31.611000000000001</v>
      </c>
      <c r="F22" s="16">
        <v>59.454000000000001</v>
      </c>
      <c r="G22" s="16">
        <v>43.137</v>
      </c>
      <c r="H22" s="46">
        <v>62.389000000000003</v>
      </c>
      <c r="I22" s="46">
        <v>63.686999999999998</v>
      </c>
      <c r="J22" s="46">
        <v>70.587999999999994</v>
      </c>
      <c r="K22" s="46">
        <v>56.223999999999997</v>
      </c>
      <c r="L22" s="46">
        <v>58.573</v>
      </c>
      <c r="M22" s="46">
        <v>38.316000000000003</v>
      </c>
      <c r="N22" s="46">
        <v>36.965000000000003</v>
      </c>
      <c r="O22" s="46">
        <v>34.552</v>
      </c>
      <c r="P22" s="46">
        <v>35.725000000000001</v>
      </c>
      <c r="Q22" s="46">
        <v>74.816999999999993</v>
      </c>
      <c r="R22" s="46">
        <v>51.98</v>
      </c>
      <c r="S22" s="46">
        <v>49.145000000000003</v>
      </c>
      <c r="T22" s="46">
        <v>42.064</v>
      </c>
      <c r="U22" s="46">
        <v>50.814999999999998</v>
      </c>
      <c r="V22" s="46">
        <v>58.231000000000002</v>
      </c>
      <c r="W22" s="46">
        <v>41.594999999999999</v>
      </c>
      <c r="X22" s="46">
        <v>74.414000000000001</v>
      </c>
      <c r="Y22" s="46">
        <v>40.49</v>
      </c>
      <c r="Z22" s="46">
        <v>36.35</v>
      </c>
      <c r="AA22" s="46">
        <v>72.091999999999999</v>
      </c>
      <c r="AB22" s="46">
        <v>45.713999999999999</v>
      </c>
      <c r="AC22" s="46">
        <v>96.775000000000006</v>
      </c>
      <c r="AD22" s="46">
        <v>89.048000000000002</v>
      </c>
      <c r="AE22" s="46">
        <v>51.170999999999999</v>
      </c>
      <c r="AF22" s="46">
        <v>53.418999999999997</v>
      </c>
      <c r="AG22" s="46">
        <v>50.088999999999999</v>
      </c>
      <c r="AH22" s="43">
        <v>54.780999999999999</v>
      </c>
    </row>
    <row r="23" spans="1:34" ht="14.5" x14ac:dyDescent="0.35">
      <c r="A23" s="60">
        <v>46722</v>
      </c>
      <c r="B23" s="8">
        <v>34</v>
      </c>
      <c r="C23" s="8">
        <v>34</v>
      </c>
      <c r="D23" s="44">
        <v>34</v>
      </c>
      <c r="E23" s="16">
        <v>27.221</v>
      </c>
      <c r="F23" s="16">
        <v>50.405000000000001</v>
      </c>
      <c r="G23" s="16">
        <v>32.909999999999997</v>
      </c>
      <c r="H23" s="46">
        <v>61.966999999999999</v>
      </c>
      <c r="I23" s="46">
        <v>59.988</v>
      </c>
      <c r="J23" s="46">
        <v>58.470999999999997</v>
      </c>
      <c r="K23" s="46">
        <v>50.359000000000002</v>
      </c>
      <c r="L23" s="46">
        <v>52.529000000000003</v>
      </c>
      <c r="M23" s="46">
        <v>30.617999999999999</v>
      </c>
      <c r="N23" s="46">
        <v>29.488</v>
      </c>
      <c r="O23" s="46">
        <v>28.359000000000002</v>
      </c>
      <c r="P23" s="46">
        <v>30.797000000000001</v>
      </c>
      <c r="Q23" s="46">
        <v>44.707000000000001</v>
      </c>
      <c r="R23" s="46">
        <v>46.768000000000001</v>
      </c>
      <c r="S23" s="46">
        <v>41.777999999999999</v>
      </c>
      <c r="T23" s="46">
        <v>29.696000000000002</v>
      </c>
      <c r="U23" s="46">
        <v>41.973999999999997</v>
      </c>
      <c r="V23" s="46">
        <v>47.820999999999998</v>
      </c>
      <c r="W23" s="46">
        <v>36.234999999999999</v>
      </c>
      <c r="X23" s="46">
        <v>63.850999999999999</v>
      </c>
      <c r="Y23" s="46">
        <v>33.884999999999998</v>
      </c>
      <c r="Z23" s="46">
        <v>27.701000000000001</v>
      </c>
      <c r="AA23" s="46">
        <v>56</v>
      </c>
      <c r="AB23" s="46">
        <v>38.838000000000001</v>
      </c>
      <c r="AC23" s="46">
        <v>61.634999999999998</v>
      </c>
      <c r="AD23" s="46">
        <v>80.912999999999997</v>
      </c>
      <c r="AE23" s="46">
        <v>40.731999999999999</v>
      </c>
      <c r="AF23" s="46">
        <v>46.305999999999997</v>
      </c>
      <c r="AG23" s="46">
        <v>43.298000000000002</v>
      </c>
      <c r="AH23" s="43">
        <v>45.69</v>
      </c>
    </row>
    <row r="24" spans="1:34" ht="14.5" x14ac:dyDescent="0.35">
      <c r="A24" s="60">
        <v>46753</v>
      </c>
      <c r="B24" s="8">
        <v>42</v>
      </c>
      <c r="C24" s="8">
        <v>42</v>
      </c>
      <c r="D24" s="44">
        <v>42</v>
      </c>
      <c r="E24" s="16">
        <v>24.908000000000001</v>
      </c>
      <c r="F24" s="16">
        <v>45.652000000000001</v>
      </c>
      <c r="G24" s="16">
        <v>30.7</v>
      </c>
      <c r="H24" s="46">
        <v>52.323999999999998</v>
      </c>
      <c r="I24" s="46">
        <v>74.665000000000006</v>
      </c>
      <c r="J24" s="46">
        <v>51.628</v>
      </c>
      <c r="K24" s="46">
        <v>44.429000000000002</v>
      </c>
      <c r="L24" s="46">
        <v>47.575000000000003</v>
      </c>
      <c r="M24" s="46">
        <v>27.145</v>
      </c>
      <c r="N24" s="46">
        <v>25.050999999999998</v>
      </c>
      <c r="O24" s="46">
        <v>25.474</v>
      </c>
      <c r="P24" s="46">
        <v>28.035</v>
      </c>
      <c r="Q24" s="46">
        <v>39.567999999999998</v>
      </c>
      <c r="R24" s="46">
        <v>47.622999999999998</v>
      </c>
      <c r="S24" s="46">
        <v>39.137</v>
      </c>
      <c r="T24" s="46">
        <v>24.803999999999998</v>
      </c>
      <c r="U24" s="46">
        <v>39.036999999999999</v>
      </c>
      <c r="V24" s="46">
        <v>42.045999999999999</v>
      </c>
      <c r="W24" s="46">
        <v>33.515999999999998</v>
      </c>
      <c r="X24" s="46">
        <v>59.404000000000003</v>
      </c>
      <c r="Y24" s="46">
        <v>28.888000000000002</v>
      </c>
      <c r="Z24" s="46">
        <v>25.079000000000001</v>
      </c>
      <c r="AA24" s="46">
        <v>52.219000000000001</v>
      </c>
      <c r="AB24" s="46">
        <v>32.503</v>
      </c>
      <c r="AC24" s="46">
        <v>52.006999999999998</v>
      </c>
      <c r="AD24" s="46">
        <v>70.897000000000006</v>
      </c>
      <c r="AE24" s="46">
        <v>34.213999999999999</v>
      </c>
      <c r="AF24" s="46">
        <v>41.493000000000002</v>
      </c>
      <c r="AG24" s="46">
        <v>37.296999999999997</v>
      </c>
      <c r="AH24" s="43">
        <v>39.253</v>
      </c>
    </row>
    <row r="25" spans="1:34" ht="14.5" x14ac:dyDescent="0.35">
      <c r="A25" s="60">
        <v>46784</v>
      </c>
      <c r="B25" s="8">
        <v>43</v>
      </c>
      <c r="C25" s="8">
        <v>43</v>
      </c>
      <c r="D25" s="44">
        <v>43</v>
      </c>
      <c r="E25" s="16">
        <v>28.469000000000001</v>
      </c>
      <c r="F25" s="16">
        <v>45.725000000000001</v>
      </c>
      <c r="G25" s="16">
        <v>51.892000000000003</v>
      </c>
      <c r="H25" s="46">
        <v>66.578000000000003</v>
      </c>
      <c r="I25" s="46">
        <v>59.500999999999998</v>
      </c>
      <c r="J25" s="46">
        <v>50.253999999999998</v>
      </c>
      <c r="K25" s="46">
        <v>45.337000000000003</v>
      </c>
      <c r="L25" s="46">
        <v>54.493000000000002</v>
      </c>
      <c r="M25" s="46">
        <v>29.690999999999999</v>
      </c>
      <c r="N25" s="46">
        <v>27.654</v>
      </c>
      <c r="O25" s="46">
        <v>39.402999999999999</v>
      </c>
      <c r="P25" s="46">
        <v>31.619</v>
      </c>
      <c r="Q25" s="46">
        <v>40.898000000000003</v>
      </c>
      <c r="R25" s="46">
        <v>46.679000000000002</v>
      </c>
      <c r="S25" s="46">
        <v>44.277000000000001</v>
      </c>
      <c r="T25" s="46">
        <v>26.456</v>
      </c>
      <c r="U25" s="46">
        <v>41.527000000000001</v>
      </c>
      <c r="V25" s="46">
        <v>41.564</v>
      </c>
      <c r="W25" s="46">
        <v>35.273000000000003</v>
      </c>
      <c r="X25" s="46">
        <v>58.896999999999998</v>
      </c>
      <c r="Y25" s="46">
        <v>31.425999999999998</v>
      </c>
      <c r="Z25" s="46">
        <v>38.97</v>
      </c>
      <c r="AA25" s="46">
        <v>64.995999999999995</v>
      </c>
      <c r="AB25" s="46">
        <v>49.646000000000001</v>
      </c>
      <c r="AC25" s="46">
        <v>97.570999999999998</v>
      </c>
      <c r="AD25" s="46">
        <v>71.763999999999996</v>
      </c>
      <c r="AE25" s="46">
        <v>37.993000000000002</v>
      </c>
      <c r="AF25" s="46">
        <v>42.404000000000003</v>
      </c>
      <c r="AG25" s="46">
        <v>43.146999999999998</v>
      </c>
      <c r="AH25" s="43">
        <v>42.365000000000002</v>
      </c>
    </row>
    <row r="26" spans="1:34" ht="14.5" x14ac:dyDescent="0.35">
      <c r="A26" s="60">
        <v>46813</v>
      </c>
      <c r="B26" s="8">
        <v>85</v>
      </c>
      <c r="C26" s="8">
        <v>85</v>
      </c>
      <c r="D26" s="44">
        <v>85</v>
      </c>
      <c r="E26" s="16">
        <v>98.92</v>
      </c>
      <c r="F26" s="16">
        <v>107.426</v>
      </c>
      <c r="G26" s="16">
        <v>107.613</v>
      </c>
      <c r="H26" s="46">
        <v>99.322999999999993</v>
      </c>
      <c r="I26" s="46">
        <v>115.045</v>
      </c>
      <c r="J26" s="46">
        <v>100.572</v>
      </c>
      <c r="K26" s="46">
        <v>84.034000000000006</v>
      </c>
      <c r="L26" s="46">
        <v>77.590999999999994</v>
      </c>
      <c r="M26" s="46">
        <v>64.992999999999995</v>
      </c>
      <c r="N26" s="46">
        <v>51.506</v>
      </c>
      <c r="O26" s="46">
        <v>64.373999999999995</v>
      </c>
      <c r="P26" s="46">
        <v>97.817999999999998</v>
      </c>
      <c r="Q26" s="46">
        <v>88.358999999999995</v>
      </c>
      <c r="R26" s="46">
        <v>72.823999999999998</v>
      </c>
      <c r="S26" s="46">
        <v>99.807000000000002</v>
      </c>
      <c r="T26" s="46">
        <v>47.74</v>
      </c>
      <c r="U26" s="46">
        <v>79.010000000000005</v>
      </c>
      <c r="V26" s="46">
        <v>65.846000000000004</v>
      </c>
      <c r="W26" s="46">
        <v>62.81</v>
      </c>
      <c r="X26" s="46">
        <v>114.499</v>
      </c>
      <c r="Y26" s="46">
        <v>63.469000000000001</v>
      </c>
      <c r="Z26" s="46">
        <v>67.585999999999999</v>
      </c>
      <c r="AA26" s="46">
        <v>107.855</v>
      </c>
      <c r="AB26" s="46">
        <v>90.119</v>
      </c>
      <c r="AC26" s="46">
        <v>358.29599999999999</v>
      </c>
      <c r="AD26" s="46">
        <v>94.001000000000005</v>
      </c>
      <c r="AE26" s="46">
        <v>74.287999999999997</v>
      </c>
      <c r="AF26" s="46">
        <v>98.956000000000003</v>
      </c>
      <c r="AG26" s="46">
        <v>61.198999999999998</v>
      </c>
      <c r="AH26" s="43">
        <v>118.899</v>
      </c>
    </row>
    <row r="27" spans="1:34" ht="14.5" x14ac:dyDescent="0.35">
      <c r="A27" s="60">
        <v>46844</v>
      </c>
      <c r="B27" s="8">
        <v>111</v>
      </c>
      <c r="C27" s="8">
        <v>111</v>
      </c>
      <c r="D27" s="44">
        <v>111</v>
      </c>
      <c r="E27" s="16">
        <v>154.976</v>
      </c>
      <c r="F27" s="16">
        <v>135.739</v>
      </c>
      <c r="G27" s="16">
        <v>92.337999999999994</v>
      </c>
      <c r="H27" s="46">
        <v>153.69399999999999</v>
      </c>
      <c r="I27" s="46">
        <v>141.55099999999999</v>
      </c>
      <c r="J27" s="46">
        <v>162.256</v>
      </c>
      <c r="K27" s="46">
        <v>116.261</v>
      </c>
      <c r="L27" s="46">
        <v>112.801</v>
      </c>
      <c r="M27" s="46">
        <v>101.209</v>
      </c>
      <c r="N27" s="46">
        <v>82.067999999999998</v>
      </c>
      <c r="O27" s="46">
        <v>88.826999999999998</v>
      </c>
      <c r="P27" s="46">
        <v>147.334</v>
      </c>
      <c r="Q27" s="46">
        <v>125.739</v>
      </c>
      <c r="R27" s="46">
        <v>135.97999999999999</v>
      </c>
      <c r="S27" s="46">
        <v>97.376999999999995</v>
      </c>
      <c r="T27" s="46">
        <v>51.241999999999997</v>
      </c>
      <c r="U27" s="46">
        <v>124.136</v>
      </c>
      <c r="V27" s="46">
        <v>85.369</v>
      </c>
      <c r="W27" s="46">
        <v>197.77600000000001</v>
      </c>
      <c r="X27" s="46">
        <v>191.32599999999999</v>
      </c>
      <c r="Y27" s="46">
        <v>68.263000000000005</v>
      </c>
      <c r="Z27" s="46">
        <v>90.540999999999997</v>
      </c>
      <c r="AA27" s="46">
        <v>106.017</v>
      </c>
      <c r="AB27" s="46">
        <v>141.37100000000001</v>
      </c>
      <c r="AC27" s="46">
        <v>530.76099999999997</v>
      </c>
      <c r="AD27" s="46">
        <v>120.61499999999999</v>
      </c>
      <c r="AE27" s="46">
        <v>268.86799999999999</v>
      </c>
      <c r="AF27" s="46">
        <v>126.155</v>
      </c>
      <c r="AG27" s="46">
        <v>84.608000000000004</v>
      </c>
      <c r="AH27" s="43">
        <v>115.42</v>
      </c>
    </row>
    <row r="28" spans="1:34" ht="14.5" x14ac:dyDescent="0.35">
      <c r="A28" s="60">
        <v>46874</v>
      </c>
      <c r="B28" s="8">
        <v>239</v>
      </c>
      <c r="C28" s="8">
        <v>239</v>
      </c>
      <c r="D28" s="44">
        <v>239</v>
      </c>
      <c r="E28" s="16">
        <v>328.42200000000003</v>
      </c>
      <c r="F28" s="16">
        <v>242.10499999999999</v>
      </c>
      <c r="G28" s="16">
        <v>156.53</v>
      </c>
      <c r="H28" s="46">
        <v>241.822</v>
      </c>
      <c r="I28" s="46">
        <v>477.71899999999999</v>
      </c>
      <c r="J28" s="46">
        <v>260.92200000000003</v>
      </c>
      <c r="K28" s="46">
        <v>351.779</v>
      </c>
      <c r="L28" s="46">
        <v>196.74100000000001</v>
      </c>
      <c r="M28" s="46">
        <v>166.58199999999999</v>
      </c>
      <c r="N28" s="46">
        <v>57.784999999999997</v>
      </c>
      <c r="O28" s="46">
        <v>84.385999999999996</v>
      </c>
      <c r="P28" s="46">
        <v>120.82899999999999</v>
      </c>
      <c r="Q28" s="46">
        <v>272.58699999999999</v>
      </c>
      <c r="R28" s="46">
        <v>304.30799999999999</v>
      </c>
      <c r="S28" s="46">
        <v>203.10400000000001</v>
      </c>
      <c r="T28" s="46">
        <v>129.64099999999999</v>
      </c>
      <c r="U28" s="46">
        <v>202.5</v>
      </c>
      <c r="V28" s="46">
        <v>64.073999999999998</v>
      </c>
      <c r="W28" s="46">
        <v>346.42</v>
      </c>
      <c r="X28" s="46">
        <v>231.11099999999999</v>
      </c>
      <c r="Y28" s="46">
        <v>89.31</v>
      </c>
      <c r="Z28" s="46">
        <v>211.012</v>
      </c>
      <c r="AA28" s="46">
        <v>243.09299999999999</v>
      </c>
      <c r="AB28" s="46">
        <v>388.73500000000001</v>
      </c>
      <c r="AC28" s="46">
        <v>581.24199999999996</v>
      </c>
      <c r="AD28" s="46">
        <v>338.697</v>
      </c>
      <c r="AE28" s="46">
        <v>172.90700000000001</v>
      </c>
      <c r="AF28" s="46">
        <v>164.048</v>
      </c>
      <c r="AG28" s="46">
        <v>119.548</v>
      </c>
      <c r="AH28" s="43">
        <v>184.18899999999999</v>
      </c>
    </row>
    <row r="29" spans="1:34" ht="14.5" x14ac:dyDescent="0.35">
      <c r="A29" s="60">
        <v>46905</v>
      </c>
      <c r="B29" s="8">
        <v>389</v>
      </c>
      <c r="C29" s="8">
        <v>389</v>
      </c>
      <c r="D29" s="44">
        <v>389</v>
      </c>
      <c r="E29" s="16">
        <v>458.61399999999998</v>
      </c>
      <c r="F29" s="16">
        <v>184.62100000000001</v>
      </c>
      <c r="G29" s="16">
        <v>572.32000000000005</v>
      </c>
      <c r="H29" s="46">
        <v>683.63699999999994</v>
      </c>
      <c r="I29" s="46">
        <v>843.96500000000003</v>
      </c>
      <c r="J29" s="46">
        <v>459.38299999999998</v>
      </c>
      <c r="K29" s="46">
        <v>732.16600000000005</v>
      </c>
      <c r="L29" s="46">
        <v>239.833</v>
      </c>
      <c r="M29" s="46">
        <v>144.547</v>
      </c>
      <c r="N29" s="46">
        <v>191.48500000000001</v>
      </c>
      <c r="O29" s="46">
        <v>248.876</v>
      </c>
      <c r="P29" s="46">
        <v>246.56700000000001</v>
      </c>
      <c r="Q29" s="46">
        <v>469.02600000000001</v>
      </c>
      <c r="R29" s="46">
        <v>318.40199999999999</v>
      </c>
      <c r="S29" s="46">
        <v>76.849999999999994</v>
      </c>
      <c r="T29" s="46">
        <v>318.3</v>
      </c>
      <c r="U29" s="46">
        <v>537.23099999999999</v>
      </c>
      <c r="V29" s="46">
        <v>292.37200000000001</v>
      </c>
      <c r="W29" s="46">
        <v>669.40599999999995</v>
      </c>
      <c r="X29" s="46">
        <v>218.304</v>
      </c>
      <c r="Y29" s="46">
        <v>100.785</v>
      </c>
      <c r="Z29" s="46">
        <v>481.20100000000002</v>
      </c>
      <c r="AA29" s="46">
        <v>355.28</v>
      </c>
      <c r="AB29" s="46">
        <v>405.08</v>
      </c>
      <c r="AC29" s="46">
        <v>874.76300000000003</v>
      </c>
      <c r="AD29" s="46">
        <v>492.76900000000001</v>
      </c>
      <c r="AE29" s="46">
        <v>348.16</v>
      </c>
      <c r="AF29" s="46">
        <v>391.69099999999997</v>
      </c>
      <c r="AG29" s="46">
        <v>417.45699999999999</v>
      </c>
      <c r="AH29" s="43">
        <v>69.784000000000006</v>
      </c>
    </row>
    <row r="30" spans="1:34" ht="14.5" x14ac:dyDescent="0.35">
      <c r="A30" s="60">
        <v>46935</v>
      </c>
      <c r="B30" s="8">
        <v>161</v>
      </c>
      <c r="C30" s="8">
        <v>161</v>
      </c>
      <c r="D30" s="44">
        <v>161</v>
      </c>
      <c r="E30" s="16">
        <v>258.19400000000002</v>
      </c>
      <c r="F30" s="16">
        <v>36.503999999999998</v>
      </c>
      <c r="G30" s="16">
        <v>553.721</v>
      </c>
      <c r="H30" s="46">
        <v>309.99299999999999</v>
      </c>
      <c r="I30" s="46">
        <v>330.83199999999999</v>
      </c>
      <c r="J30" s="46">
        <v>430.846</v>
      </c>
      <c r="K30" s="46">
        <v>379.84899999999999</v>
      </c>
      <c r="L30" s="46">
        <v>73.073999999999998</v>
      </c>
      <c r="M30" s="46">
        <v>35.756999999999998</v>
      </c>
      <c r="N30" s="46">
        <v>81.804000000000002</v>
      </c>
      <c r="O30" s="46">
        <v>97.376000000000005</v>
      </c>
      <c r="P30" s="46">
        <v>178.83799999999999</v>
      </c>
      <c r="Q30" s="46">
        <v>284.62799999999999</v>
      </c>
      <c r="R30" s="46">
        <v>81.712999999999994</v>
      </c>
      <c r="S30" s="46">
        <v>12.282999999999999</v>
      </c>
      <c r="T30" s="46">
        <v>223.554</v>
      </c>
      <c r="U30" s="46">
        <v>379.00099999999998</v>
      </c>
      <c r="V30" s="46">
        <v>203.73</v>
      </c>
      <c r="W30" s="46">
        <v>792.83900000000006</v>
      </c>
      <c r="X30" s="46">
        <v>81.831999999999994</v>
      </c>
      <c r="Y30" s="46">
        <v>37.220999999999997</v>
      </c>
      <c r="Z30" s="46">
        <v>292.25900000000001</v>
      </c>
      <c r="AA30" s="46">
        <v>154.62899999999999</v>
      </c>
      <c r="AB30" s="46">
        <v>125.37</v>
      </c>
      <c r="AC30" s="46">
        <v>395.596</v>
      </c>
      <c r="AD30" s="46">
        <v>205.45599999999999</v>
      </c>
      <c r="AE30" s="46">
        <v>239.84299999999999</v>
      </c>
      <c r="AF30" s="46">
        <v>184.80099999999999</v>
      </c>
      <c r="AG30" s="46">
        <v>179.351</v>
      </c>
      <c r="AH30" s="43">
        <v>36.811</v>
      </c>
    </row>
    <row r="31" spans="1:34" ht="14.5" x14ac:dyDescent="0.35">
      <c r="A31" s="60">
        <v>46966</v>
      </c>
      <c r="B31" s="8">
        <v>66</v>
      </c>
      <c r="C31" s="8">
        <v>66</v>
      </c>
      <c r="D31" s="44">
        <v>66</v>
      </c>
      <c r="E31" s="16">
        <v>190.82</v>
      </c>
      <c r="F31" s="16">
        <v>32.835999999999999</v>
      </c>
      <c r="G31" s="16">
        <v>173.375</v>
      </c>
      <c r="H31" s="46">
        <v>100.086</v>
      </c>
      <c r="I31" s="46">
        <v>167.35599999999999</v>
      </c>
      <c r="J31" s="46">
        <v>137.005</v>
      </c>
      <c r="K31" s="46">
        <v>131.113</v>
      </c>
      <c r="L31" s="46">
        <v>41.874000000000002</v>
      </c>
      <c r="M31" s="46">
        <v>23.798999999999999</v>
      </c>
      <c r="N31" s="46">
        <v>34.85</v>
      </c>
      <c r="O31" s="46">
        <v>40.536000000000001</v>
      </c>
      <c r="P31" s="46">
        <v>71.438999999999993</v>
      </c>
      <c r="Q31" s="46">
        <v>94.192999999999998</v>
      </c>
      <c r="R31" s="46">
        <v>49.451000000000001</v>
      </c>
      <c r="S31" s="46">
        <v>29.62</v>
      </c>
      <c r="T31" s="46">
        <v>68.427999999999997</v>
      </c>
      <c r="U31" s="46">
        <v>115.72</v>
      </c>
      <c r="V31" s="46">
        <v>67.7</v>
      </c>
      <c r="W31" s="46">
        <v>207.267</v>
      </c>
      <c r="X31" s="46">
        <v>43.109000000000002</v>
      </c>
      <c r="Y31" s="46">
        <v>22.94</v>
      </c>
      <c r="Z31" s="46">
        <v>109.127</v>
      </c>
      <c r="AA31" s="46">
        <v>59.439</v>
      </c>
      <c r="AB31" s="46">
        <v>63.353999999999999</v>
      </c>
      <c r="AC31" s="46">
        <v>142.929</v>
      </c>
      <c r="AD31" s="46">
        <v>79.798000000000002</v>
      </c>
      <c r="AE31" s="46">
        <v>92.73</v>
      </c>
      <c r="AF31" s="46">
        <v>68.39</v>
      </c>
      <c r="AG31" s="46">
        <v>83.718000000000004</v>
      </c>
      <c r="AH31" s="43">
        <v>25.201000000000001</v>
      </c>
    </row>
    <row r="32" spans="1:34" ht="14.5" x14ac:dyDescent="0.35">
      <c r="A32" s="60">
        <v>46997</v>
      </c>
      <c r="B32" s="8">
        <v>43</v>
      </c>
      <c r="C32" s="8">
        <v>43</v>
      </c>
      <c r="D32" s="44">
        <v>43</v>
      </c>
      <c r="E32" s="16">
        <v>76.909000000000006</v>
      </c>
      <c r="F32" s="16">
        <v>28.393000000000001</v>
      </c>
      <c r="G32" s="16">
        <v>72.665000000000006</v>
      </c>
      <c r="H32" s="46">
        <v>61.375999999999998</v>
      </c>
      <c r="I32" s="46">
        <v>108.27200000000001</v>
      </c>
      <c r="J32" s="46">
        <v>65.281999999999996</v>
      </c>
      <c r="K32" s="46">
        <v>93.391000000000005</v>
      </c>
      <c r="L32" s="46">
        <v>47.997999999999998</v>
      </c>
      <c r="M32" s="46">
        <v>20.556999999999999</v>
      </c>
      <c r="N32" s="46">
        <v>33.741</v>
      </c>
      <c r="O32" s="46">
        <v>37.695</v>
      </c>
      <c r="P32" s="46">
        <v>56.805999999999997</v>
      </c>
      <c r="Q32" s="46">
        <v>53.345999999999997</v>
      </c>
      <c r="R32" s="46">
        <v>40.091999999999999</v>
      </c>
      <c r="S32" s="46">
        <v>27.241</v>
      </c>
      <c r="T32" s="46">
        <v>54.174999999999997</v>
      </c>
      <c r="U32" s="46">
        <v>55.279000000000003</v>
      </c>
      <c r="V32" s="46">
        <v>42.76</v>
      </c>
      <c r="W32" s="46">
        <v>90.340999999999994</v>
      </c>
      <c r="X32" s="46">
        <v>32.680999999999997</v>
      </c>
      <c r="Y32" s="46">
        <v>29.199000000000002</v>
      </c>
      <c r="Z32" s="46">
        <v>77.551000000000002</v>
      </c>
      <c r="AA32" s="46">
        <v>42.087000000000003</v>
      </c>
      <c r="AB32" s="46">
        <v>62.603999999999999</v>
      </c>
      <c r="AC32" s="46">
        <v>100.417</v>
      </c>
      <c r="AD32" s="46">
        <v>49.981000000000002</v>
      </c>
      <c r="AE32" s="46">
        <v>65.715000000000003</v>
      </c>
      <c r="AF32" s="46">
        <v>47.534999999999997</v>
      </c>
      <c r="AG32" s="46">
        <v>67.816999999999993</v>
      </c>
      <c r="AH32" s="43">
        <v>26.385999999999999</v>
      </c>
    </row>
    <row r="33" spans="1:34" ht="14.5" x14ac:dyDescent="0.35">
      <c r="A33" s="60">
        <v>47027</v>
      </c>
      <c r="B33" s="12">
        <v>62</v>
      </c>
      <c r="C33" s="12">
        <v>45</v>
      </c>
      <c r="D33" s="44">
        <v>52</v>
      </c>
      <c r="E33" s="16">
        <v>65.972999999999999</v>
      </c>
      <c r="F33" s="16">
        <v>57.231999999999999</v>
      </c>
      <c r="G33" s="16">
        <v>65.245000000000005</v>
      </c>
      <c r="H33" s="46">
        <v>59.683</v>
      </c>
      <c r="I33" s="46">
        <v>95.602000000000004</v>
      </c>
      <c r="J33" s="46">
        <v>66.697000000000003</v>
      </c>
      <c r="K33" s="46">
        <v>63.249000000000002</v>
      </c>
      <c r="L33" s="46">
        <v>49.408000000000001</v>
      </c>
      <c r="M33" s="46">
        <v>25.358000000000001</v>
      </c>
      <c r="N33" s="46">
        <v>38.545000000000002</v>
      </c>
      <c r="O33" s="46">
        <v>30.841999999999999</v>
      </c>
      <c r="P33" s="46">
        <v>58.54</v>
      </c>
      <c r="Q33" s="46">
        <v>52.884</v>
      </c>
      <c r="R33" s="46">
        <v>61.396000000000001</v>
      </c>
      <c r="S33" s="46">
        <v>54.600999999999999</v>
      </c>
      <c r="T33" s="46">
        <v>45.598999999999997</v>
      </c>
      <c r="U33" s="46">
        <v>58.356000000000002</v>
      </c>
      <c r="V33" s="46">
        <v>37.713999999999999</v>
      </c>
      <c r="W33" s="46">
        <v>84.293000000000006</v>
      </c>
      <c r="X33" s="46">
        <v>37.46</v>
      </c>
      <c r="Y33" s="46">
        <v>49.106000000000002</v>
      </c>
      <c r="Z33" s="46">
        <v>128.72200000000001</v>
      </c>
      <c r="AA33" s="46">
        <v>52.326999999999998</v>
      </c>
      <c r="AB33" s="46">
        <v>99.59</v>
      </c>
      <c r="AC33" s="46">
        <v>109.651</v>
      </c>
      <c r="AD33" s="46">
        <v>58.77</v>
      </c>
      <c r="AE33" s="46">
        <v>61.387</v>
      </c>
      <c r="AF33" s="46">
        <v>45.923999999999999</v>
      </c>
      <c r="AG33" s="46">
        <v>47</v>
      </c>
      <c r="AH33" s="43">
        <v>26.25</v>
      </c>
    </row>
    <row r="34" spans="1:34" ht="14.5" x14ac:dyDescent="0.35">
      <c r="A34" s="60">
        <v>47058</v>
      </c>
      <c r="B34" s="8">
        <v>55</v>
      </c>
      <c r="C34" s="8">
        <v>47</v>
      </c>
      <c r="D34" s="44">
        <v>50</v>
      </c>
      <c r="E34" s="16">
        <v>59.97</v>
      </c>
      <c r="F34" s="16">
        <v>47.15</v>
      </c>
      <c r="G34" s="16">
        <v>63.290999999999997</v>
      </c>
      <c r="H34" s="46">
        <v>66.343000000000004</v>
      </c>
      <c r="I34" s="46">
        <v>72.158000000000001</v>
      </c>
      <c r="J34" s="46">
        <v>60.497</v>
      </c>
      <c r="K34" s="46">
        <v>60.9</v>
      </c>
      <c r="L34" s="46">
        <v>44.308999999999997</v>
      </c>
      <c r="M34" s="46">
        <v>38.155999999999999</v>
      </c>
      <c r="N34" s="46">
        <v>35.33</v>
      </c>
      <c r="O34" s="46">
        <v>36.177999999999997</v>
      </c>
      <c r="P34" s="46">
        <v>77.278000000000006</v>
      </c>
      <c r="Q34" s="46">
        <v>52.947000000000003</v>
      </c>
      <c r="R34" s="46">
        <v>51.91</v>
      </c>
      <c r="S34" s="46">
        <v>44.473999999999997</v>
      </c>
      <c r="T34" s="46">
        <v>50.854999999999997</v>
      </c>
      <c r="U34" s="46">
        <v>59.463000000000001</v>
      </c>
      <c r="V34" s="46">
        <v>44.35</v>
      </c>
      <c r="W34" s="46">
        <v>74.418999999999997</v>
      </c>
      <c r="X34" s="46">
        <v>50.204999999999998</v>
      </c>
      <c r="Y34" s="46">
        <v>37.566000000000003</v>
      </c>
      <c r="Z34" s="46">
        <v>71.254000000000005</v>
      </c>
      <c r="AA34" s="46">
        <v>48.423000000000002</v>
      </c>
      <c r="AB34" s="46">
        <v>97.418999999999997</v>
      </c>
      <c r="AC34" s="46">
        <v>90.728999999999999</v>
      </c>
      <c r="AD34" s="46">
        <v>59.569000000000003</v>
      </c>
      <c r="AE34" s="46">
        <v>55.088000000000001</v>
      </c>
      <c r="AF34" s="46">
        <v>53.817</v>
      </c>
      <c r="AG34" s="46">
        <v>57.298999999999999</v>
      </c>
      <c r="AH34" s="43">
        <v>33.027000000000001</v>
      </c>
    </row>
    <row r="35" spans="1:34" ht="14.5" x14ac:dyDescent="0.35">
      <c r="A35" s="60">
        <v>47088</v>
      </c>
      <c r="B35" s="8">
        <v>34</v>
      </c>
      <c r="C35" s="8">
        <v>34</v>
      </c>
      <c r="D35" s="44">
        <v>34</v>
      </c>
      <c r="E35" s="16">
        <v>51.07</v>
      </c>
      <c r="F35" s="16">
        <v>36.832999999999998</v>
      </c>
      <c r="G35" s="16">
        <v>62.392000000000003</v>
      </c>
      <c r="H35" s="46">
        <v>62.265000000000001</v>
      </c>
      <c r="I35" s="46">
        <v>59.951000000000001</v>
      </c>
      <c r="J35" s="46">
        <v>54.36</v>
      </c>
      <c r="K35" s="46">
        <v>54.606000000000002</v>
      </c>
      <c r="L35" s="46">
        <v>35.892000000000003</v>
      </c>
      <c r="M35" s="46">
        <v>30.119</v>
      </c>
      <c r="N35" s="46">
        <v>29.141999999999999</v>
      </c>
      <c r="O35" s="46">
        <v>31.123000000000001</v>
      </c>
      <c r="P35" s="46">
        <v>45.94</v>
      </c>
      <c r="Q35" s="46">
        <v>47.683999999999997</v>
      </c>
      <c r="R35" s="46">
        <v>44.4</v>
      </c>
      <c r="S35" s="46">
        <v>32.058</v>
      </c>
      <c r="T35" s="46">
        <v>41.838000000000001</v>
      </c>
      <c r="U35" s="46">
        <v>48.936999999999998</v>
      </c>
      <c r="V35" s="46">
        <v>38.557000000000002</v>
      </c>
      <c r="W35" s="46">
        <v>64.162000000000006</v>
      </c>
      <c r="X35" s="46">
        <v>41.052</v>
      </c>
      <c r="Y35" s="46">
        <v>29.007000000000001</v>
      </c>
      <c r="Z35" s="46">
        <v>55.91</v>
      </c>
      <c r="AA35" s="46">
        <v>41.759</v>
      </c>
      <c r="AB35" s="46">
        <v>61.920999999999999</v>
      </c>
      <c r="AC35" s="46">
        <v>82.013999999999996</v>
      </c>
      <c r="AD35" s="46">
        <v>49.758000000000003</v>
      </c>
      <c r="AE35" s="46">
        <v>47.886000000000003</v>
      </c>
      <c r="AF35" s="46">
        <v>46.593000000000004</v>
      </c>
      <c r="AG35" s="46">
        <v>47.5</v>
      </c>
      <c r="AH35" s="43">
        <v>28.416</v>
      </c>
    </row>
    <row r="36" spans="1:34" ht="14.5" x14ac:dyDescent="0.35">
      <c r="A36" s="60">
        <v>47119</v>
      </c>
      <c r="B36" s="13">
        <v>42</v>
      </c>
      <c r="C36" s="13">
        <v>42</v>
      </c>
      <c r="D36" s="44">
        <v>42</v>
      </c>
      <c r="E36" s="46">
        <v>46.351999999999997</v>
      </c>
      <c r="F36" s="46">
        <v>34.308</v>
      </c>
      <c r="G36" s="46">
        <v>52.664000000000001</v>
      </c>
      <c r="H36" s="46">
        <v>76.781000000000006</v>
      </c>
      <c r="I36" s="46">
        <v>53.069000000000003</v>
      </c>
      <c r="J36" s="46">
        <v>48.006999999999998</v>
      </c>
      <c r="K36" s="46">
        <v>49.530999999999999</v>
      </c>
      <c r="L36" s="46">
        <v>31.952999999999999</v>
      </c>
      <c r="M36" s="46">
        <v>25.731999999999999</v>
      </c>
      <c r="N36" s="46">
        <v>26.407</v>
      </c>
      <c r="O36" s="46">
        <v>28.39</v>
      </c>
      <c r="P36" s="46">
        <v>40.704999999999998</v>
      </c>
      <c r="Q36" s="46">
        <v>48.222999999999999</v>
      </c>
      <c r="R36" s="46">
        <v>41.384</v>
      </c>
      <c r="S36" s="46">
        <v>27.06</v>
      </c>
      <c r="T36" s="46">
        <v>38.962000000000003</v>
      </c>
      <c r="U36" s="46">
        <v>43.151000000000003</v>
      </c>
      <c r="V36" s="46">
        <v>35.713999999999999</v>
      </c>
      <c r="W36" s="46">
        <v>59.78</v>
      </c>
      <c r="X36" s="46">
        <v>34.456000000000003</v>
      </c>
      <c r="Y36" s="46">
        <v>26.323</v>
      </c>
      <c r="Z36" s="46">
        <v>52.42</v>
      </c>
      <c r="AA36" s="46">
        <v>35.686</v>
      </c>
      <c r="AB36" s="46">
        <v>52.286999999999999</v>
      </c>
      <c r="AC36" s="46">
        <v>72.296999999999997</v>
      </c>
      <c r="AD36" s="46">
        <v>42.908999999999999</v>
      </c>
      <c r="AE36" s="43">
        <v>42.965000000000003</v>
      </c>
      <c r="AF36" s="46">
        <v>41.084000000000003</v>
      </c>
      <c r="AG36" s="46">
        <v>41.811</v>
      </c>
      <c r="AH36" s="46">
        <v>26.016999999999999</v>
      </c>
    </row>
    <row r="37" spans="1:34" ht="14.5" x14ac:dyDescent="0.35">
      <c r="A37" s="60">
        <v>47150</v>
      </c>
      <c r="B37" s="13">
        <v>43</v>
      </c>
      <c r="C37" s="13">
        <v>43</v>
      </c>
      <c r="D37" s="44">
        <v>43</v>
      </c>
      <c r="E37" s="46">
        <v>44.462000000000003</v>
      </c>
      <c r="F37" s="46">
        <v>53.344000000000001</v>
      </c>
      <c r="G37" s="46">
        <v>64.804000000000002</v>
      </c>
      <c r="H37" s="46">
        <v>59.113</v>
      </c>
      <c r="I37" s="46">
        <v>49.505000000000003</v>
      </c>
      <c r="J37" s="46">
        <v>48.252000000000002</v>
      </c>
      <c r="K37" s="46">
        <v>54.295999999999999</v>
      </c>
      <c r="L37" s="46">
        <v>32.292000000000002</v>
      </c>
      <c r="M37" s="46">
        <v>27.047000000000001</v>
      </c>
      <c r="N37" s="46">
        <v>38.670999999999999</v>
      </c>
      <c r="O37" s="46">
        <v>30.603999999999999</v>
      </c>
      <c r="P37" s="46">
        <v>40.161000000000001</v>
      </c>
      <c r="Q37" s="46">
        <v>45.521000000000001</v>
      </c>
      <c r="R37" s="46">
        <v>45.064</v>
      </c>
      <c r="S37" s="46">
        <v>27.18</v>
      </c>
      <c r="T37" s="46">
        <v>39.19</v>
      </c>
      <c r="U37" s="46">
        <v>40.823999999999998</v>
      </c>
      <c r="V37" s="46">
        <v>36.747</v>
      </c>
      <c r="W37" s="46">
        <v>56.845999999999997</v>
      </c>
      <c r="X37" s="46">
        <v>34.701999999999998</v>
      </c>
      <c r="Y37" s="46">
        <v>38.746000000000002</v>
      </c>
      <c r="Z37" s="46">
        <v>62.814</v>
      </c>
      <c r="AA37" s="46">
        <v>50.045999999999999</v>
      </c>
      <c r="AB37" s="46">
        <v>93.320999999999998</v>
      </c>
      <c r="AC37" s="46">
        <v>70.588999999999999</v>
      </c>
      <c r="AD37" s="46">
        <v>42.567999999999998</v>
      </c>
      <c r="AE37" s="43">
        <v>42.043999999999997</v>
      </c>
      <c r="AF37" s="46">
        <v>43.869</v>
      </c>
      <c r="AG37" s="46">
        <v>42.36</v>
      </c>
      <c r="AH37" s="46">
        <v>28.181000000000001</v>
      </c>
    </row>
    <row r="38" spans="1:34" ht="14.5" x14ac:dyDescent="0.35">
      <c r="A38" s="60">
        <v>47178</v>
      </c>
      <c r="B38" s="13">
        <v>85</v>
      </c>
      <c r="C38" s="13">
        <v>85</v>
      </c>
      <c r="D38" s="44">
        <v>85</v>
      </c>
      <c r="E38" s="46">
        <v>108.18899999999999</v>
      </c>
      <c r="F38" s="46">
        <v>111.27200000000001</v>
      </c>
      <c r="G38" s="46">
        <v>99.954999999999998</v>
      </c>
      <c r="H38" s="46">
        <v>116.13500000000001</v>
      </c>
      <c r="I38" s="46">
        <v>101.831</v>
      </c>
      <c r="J38" s="46">
        <v>88.572999999999993</v>
      </c>
      <c r="K38" s="46">
        <v>79.989999999999995</v>
      </c>
      <c r="L38" s="46">
        <v>68.126999999999995</v>
      </c>
      <c r="M38" s="46">
        <v>52.165999999999997</v>
      </c>
      <c r="N38" s="46">
        <v>65.244</v>
      </c>
      <c r="O38" s="46">
        <v>98.113</v>
      </c>
      <c r="P38" s="46">
        <v>87.528000000000006</v>
      </c>
      <c r="Q38" s="46">
        <v>73.757999999999996</v>
      </c>
      <c r="R38" s="46">
        <v>103.715</v>
      </c>
      <c r="S38" s="46">
        <v>49.588999999999999</v>
      </c>
      <c r="T38" s="46">
        <v>78.953000000000003</v>
      </c>
      <c r="U38" s="46">
        <v>66.927000000000007</v>
      </c>
      <c r="V38" s="46">
        <v>64.835999999999999</v>
      </c>
      <c r="W38" s="46">
        <v>114.943</v>
      </c>
      <c r="X38" s="46">
        <v>67.756</v>
      </c>
      <c r="Y38" s="46">
        <v>68.902000000000001</v>
      </c>
      <c r="Z38" s="46">
        <v>108.026</v>
      </c>
      <c r="AA38" s="46">
        <v>92.430999999999997</v>
      </c>
      <c r="AB38" s="46">
        <v>341.58800000000002</v>
      </c>
      <c r="AC38" s="46">
        <v>95.718000000000004</v>
      </c>
      <c r="AD38" s="46">
        <v>80.927999999999997</v>
      </c>
      <c r="AE38" s="43">
        <v>100.60899999999999</v>
      </c>
      <c r="AF38" s="46">
        <v>63.878</v>
      </c>
      <c r="AG38" s="46">
        <v>120.92</v>
      </c>
      <c r="AH38" s="46">
        <v>99.772000000000006</v>
      </c>
    </row>
    <row r="39" spans="1:34" ht="14.5" x14ac:dyDescent="0.35">
      <c r="A39" s="60">
        <v>47209</v>
      </c>
      <c r="B39" s="13">
        <v>111</v>
      </c>
      <c r="C39" s="13">
        <v>111</v>
      </c>
      <c r="D39" s="44">
        <v>111</v>
      </c>
      <c r="E39" s="46">
        <v>137.62899999999999</v>
      </c>
      <c r="F39" s="46">
        <v>96.555999999999997</v>
      </c>
      <c r="G39" s="46">
        <v>158.125</v>
      </c>
      <c r="H39" s="46">
        <v>140.10300000000001</v>
      </c>
      <c r="I39" s="46">
        <v>164.75899999999999</v>
      </c>
      <c r="J39" s="46">
        <v>121.05500000000001</v>
      </c>
      <c r="K39" s="46">
        <v>116.54900000000001</v>
      </c>
      <c r="L39" s="46">
        <v>103.375</v>
      </c>
      <c r="M39" s="46">
        <v>83.822000000000003</v>
      </c>
      <c r="N39" s="46">
        <v>90.962999999999994</v>
      </c>
      <c r="O39" s="46">
        <v>148.81899999999999</v>
      </c>
      <c r="P39" s="46">
        <v>124.973</v>
      </c>
      <c r="Q39" s="46">
        <v>138.18600000000001</v>
      </c>
      <c r="R39" s="46">
        <v>101.142</v>
      </c>
      <c r="S39" s="46">
        <v>53.887</v>
      </c>
      <c r="T39" s="46">
        <v>120.61799999999999</v>
      </c>
      <c r="U39" s="46">
        <v>88.287000000000006</v>
      </c>
      <c r="V39" s="46">
        <v>200.608</v>
      </c>
      <c r="W39" s="46">
        <v>192.767</v>
      </c>
      <c r="X39" s="46">
        <v>72.212000000000003</v>
      </c>
      <c r="Y39" s="46">
        <v>92.834999999999994</v>
      </c>
      <c r="Z39" s="46">
        <v>107.7</v>
      </c>
      <c r="AA39" s="46">
        <v>145.37</v>
      </c>
      <c r="AB39" s="46">
        <v>535.971</v>
      </c>
      <c r="AC39" s="46">
        <v>123.35899999999999</v>
      </c>
      <c r="AD39" s="46">
        <v>280.34199999999998</v>
      </c>
      <c r="AE39" s="43">
        <v>128.69</v>
      </c>
      <c r="AF39" s="46">
        <v>86.546000000000006</v>
      </c>
      <c r="AG39" s="46">
        <v>118.99299999999999</v>
      </c>
      <c r="AH39" s="46">
        <v>156.91800000000001</v>
      </c>
    </row>
    <row r="40" spans="1:34" ht="14.5" x14ac:dyDescent="0.35">
      <c r="A40" s="60">
        <v>47239</v>
      </c>
      <c r="B40" s="13">
        <v>239</v>
      </c>
      <c r="C40" s="13">
        <v>239</v>
      </c>
      <c r="D40" s="44">
        <v>239</v>
      </c>
      <c r="E40" s="46">
        <v>237.655</v>
      </c>
      <c r="F40" s="46">
        <v>161.61500000000001</v>
      </c>
      <c r="G40" s="46">
        <v>250.13200000000001</v>
      </c>
      <c r="H40" s="46">
        <v>472.11</v>
      </c>
      <c r="I40" s="46">
        <v>266.12900000000002</v>
      </c>
      <c r="J40" s="46">
        <v>358.74799999999999</v>
      </c>
      <c r="K40" s="46">
        <v>200.76</v>
      </c>
      <c r="L40" s="46">
        <v>168.36600000000001</v>
      </c>
      <c r="M40" s="46">
        <v>59.72</v>
      </c>
      <c r="N40" s="46">
        <v>86.244</v>
      </c>
      <c r="O40" s="46">
        <v>122.607</v>
      </c>
      <c r="P40" s="46">
        <v>263.7</v>
      </c>
      <c r="Q40" s="46">
        <v>306.84500000000003</v>
      </c>
      <c r="R40" s="46">
        <v>211.822</v>
      </c>
      <c r="S40" s="46">
        <v>133.53800000000001</v>
      </c>
      <c r="T40" s="46">
        <v>192.13800000000001</v>
      </c>
      <c r="U40" s="46">
        <v>65.637</v>
      </c>
      <c r="V40" s="46">
        <v>351.30700000000002</v>
      </c>
      <c r="W40" s="46">
        <v>231.78899999999999</v>
      </c>
      <c r="X40" s="46">
        <v>93.474999999999994</v>
      </c>
      <c r="Y40" s="46">
        <v>213.47300000000001</v>
      </c>
      <c r="Z40" s="46">
        <v>243.30199999999999</v>
      </c>
      <c r="AA40" s="46">
        <v>400.36500000000001</v>
      </c>
      <c r="AB40" s="46">
        <v>568.88699999999994</v>
      </c>
      <c r="AC40" s="46">
        <v>342.09899999999999</v>
      </c>
      <c r="AD40" s="46">
        <v>182.75</v>
      </c>
      <c r="AE40" s="43">
        <v>168.79599999999999</v>
      </c>
      <c r="AF40" s="46">
        <v>117.666</v>
      </c>
      <c r="AG40" s="46">
        <v>189.37700000000001</v>
      </c>
      <c r="AH40" s="46">
        <v>332.30599999999998</v>
      </c>
    </row>
    <row r="41" spans="1:34" ht="14.5" x14ac:dyDescent="0.35">
      <c r="A41" s="60">
        <v>47270</v>
      </c>
      <c r="B41" s="13">
        <v>389</v>
      </c>
      <c r="C41" s="13">
        <v>389</v>
      </c>
      <c r="D41" s="44">
        <v>389</v>
      </c>
      <c r="E41" s="46">
        <v>183.10300000000001</v>
      </c>
      <c r="F41" s="46">
        <v>602.70100000000002</v>
      </c>
      <c r="G41" s="46">
        <v>689.827</v>
      </c>
      <c r="H41" s="46">
        <v>854.25400000000002</v>
      </c>
      <c r="I41" s="46">
        <v>461.46899999999999</v>
      </c>
      <c r="J41" s="46">
        <v>738.51900000000001</v>
      </c>
      <c r="K41" s="46">
        <v>239.54300000000001</v>
      </c>
      <c r="L41" s="46">
        <v>152.45400000000001</v>
      </c>
      <c r="M41" s="46">
        <v>190.95699999999999</v>
      </c>
      <c r="N41" s="46">
        <v>248.434</v>
      </c>
      <c r="O41" s="46">
        <v>246.08500000000001</v>
      </c>
      <c r="P41" s="46">
        <v>467.37799999999999</v>
      </c>
      <c r="Q41" s="46">
        <v>317.279</v>
      </c>
      <c r="R41" s="46">
        <v>77.247</v>
      </c>
      <c r="S41" s="46">
        <v>325.49099999999999</v>
      </c>
      <c r="T41" s="46">
        <v>523.65700000000004</v>
      </c>
      <c r="U41" s="46">
        <v>295.64600000000002</v>
      </c>
      <c r="V41" s="46">
        <v>679.35799999999995</v>
      </c>
      <c r="W41" s="46">
        <v>217.048</v>
      </c>
      <c r="X41" s="46">
        <v>104.82</v>
      </c>
      <c r="Y41" s="46">
        <v>482.339</v>
      </c>
      <c r="Z41" s="46">
        <v>353.33</v>
      </c>
      <c r="AA41" s="46">
        <v>424.18299999999999</v>
      </c>
      <c r="AB41" s="46">
        <v>870.28899999999999</v>
      </c>
      <c r="AC41" s="46">
        <v>491.85199999999998</v>
      </c>
      <c r="AD41" s="46">
        <v>354.59199999999998</v>
      </c>
      <c r="AE41" s="43">
        <v>396.25400000000002</v>
      </c>
      <c r="AF41" s="46">
        <v>414.23500000000001</v>
      </c>
      <c r="AG41" s="46">
        <v>69.995999999999995</v>
      </c>
      <c r="AH41" s="46">
        <v>461.23899999999998</v>
      </c>
    </row>
    <row r="42" spans="1:34" ht="14.5" x14ac:dyDescent="0.35">
      <c r="A42" s="60">
        <v>47300</v>
      </c>
      <c r="B42" s="13">
        <v>161</v>
      </c>
      <c r="C42" s="13">
        <v>161</v>
      </c>
      <c r="D42" s="44">
        <v>161</v>
      </c>
      <c r="E42" s="46">
        <v>34.668999999999997</v>
      </c>
      <c r="F42" s="46">
        <v>557.24199999999996</v>
      </c>
      <c r="G42" s="46">
        <v>307.69200000000001</v>
      </c>
      <c r="H42" s="46">
        <v>341.45100000000002</v>
      </c>
      <c r="I42" s="46">
        <v>428.928</v>
      </c>
      <c r="J42" s="46">
        <v>383.661</v>
      </c>
      <c r="K42" s="46">
        <v>71.701999999999998</v>
      </c>
      <c r="L42" s="46">
        <v>39.052999999999997</v>
      </c>
      <c r="M42" s="46">
        <v>79.896000000000001</v>
      </c>
      <c r="N42" s="46">
        <v>96.284999999999997</v>
      </c>
      <c r="O42" s="46">
        <v>177.125</v>
      </c>
      <c r="P42" s="46">
        <v>299.43400000000003</v>
      </c>
      <c r="Q42" s="46">
        <v>79.956000000000003</v>
      </c>
      <c r="R42" s="46">
        <v>11.077999999999999</v>
      </c>
      <c r="S42" s="46">
        <v>222.11</v>
      </c>
      <c r="T42" s="46">
        <v>381.39499999999998</v>
      </c>
      <c r="U42" s="46">
        <v>202.155</v>
      </c>
      <c r="V42" s="46">
        <v>792.26400000000001</v>
      </c>
      <c r="W42" s="46">
        <v>79.623000000000005</v>
      </c>
      <c r="X42" s="46">
        <v>39.008000000000003</v>
      </c>
      <c r="Y42" s="46">
        <v>290.59800000000001</v>
      </c>
      <c r="Z42" s="46">
        <v>152.35400000000001</v>
      </c>
      <c r="AA42" s="46">
        <v>124.41500000000001</v>
      </c>
      <c r="AB42" s="46">
        <v>406.29899999999998</v>
      </c>
      <c r="AC42" s="46">
        <v>203.714</v>
      </c>
      <c r="AD42" s="46">
        <v>248.21100000000001</v>
      </c>
      <c r="AE42" s="43">
        <v>183.285</v>
      </c>
      <c r="AF42" s="46">
        <v>185.57599999999999</v>
      </c>
      <c r="AG42" s="46">
        <v>35.670999999999999</v>
      </c>
      <c r="AH42" s="46">
        <v>256.79000000000002</v>
      </c>
    </row>
    <row r="43" spans="1:34" ht="14.5" x14ac:dyDescent="0.35">
      <c r="A43" s="60">
        <v>47331</v>
      </c>
      <c r="B43" s="13">
        <v>66</v>
      </c>
      <c r="C43" s="13">
        <v>66</v>
      </c>
      <c r="D43" s="44">
        <v>66</v>
      </c>
      <c r="E43" s="46">
        <v>32.637</v>
      </c>
      <c r="F43" s="46">
        <v>173.61099999999999</v>
      </c>
      <c r="G43" s="46">
        <v>99.793999999999997</v>
      </c>
      <c r="H43" s="46">
        <v>169.994</v>
      </c>
      <c r="I43" s="46">
        <v>136.983</v>
      </c>
      <c r="J43" s="46">
        <v>131.67400000000001</v>
      </c>
      <c r="K43" s="46">
        <v>41.927</v>
      </c>
      <c r="L43" s="46">
        <v>25.428000000000001</v>
      </c>
      <c r="M43" s="46">
        <v>34.491999999999997</v>
      </c>
      <c r="N43" s="46">
        <v>40.354999999999997</v>
      </c>
      <c r="O43" s="46">
        <v>71.067999999999998</v>
      </c>
      <c r="P43" s="46">
        <v>96.028000000000006</v>
      </c>
      <c r="Q43" s="46">
        <v>49.253</v>
      </c>
      <c r="R43" s="46">
        <v>29.943999999999999</v>
      </c>
      <c r="S43" s="46">
        <v>68.472999999999999</v>
      </c>
      <c r="T43" s="46">
        <v>120.44199999999999</v>
      </c>
      <c r="U43" s="46">
        <v>67.524000000000001</v>
      </c>
      <c r="V43" s="46">
        <v>206.923</v>
      </c>
      <c r="W43" s="46">
        <v>42.706000000000003</v>
      </c>
      <c r="X43" s="46">
        <v>25.969000000000001</v>
      </c>
      <c r="Y43" s="46">
        <v>109.08</v>
      </c>
      <c r="Z43" s="46">
        <v>58.996000000000002</v>
      </c>
      <c r="AA43" s="46">
        <v>63.572000000000003</v>
      </c>
      <c r="AB43" s="46">
        <v>145.94800000000001</v>
      </c>
      <c r="AC43" s="46">
        <v>79.905000000000001</v>
      </c>
      <c r="AD43" s="46">
        <v>94.906000000000006</v>
      </c>
      <c r="AE43" s="43">
        <v>68.241</v>
      </c>
      <c r="AF43" s="46">
        <v>86.15</v>
      </c>
      <c r="AG43" s="46">
        <v>25.396999999999998</v>
      </c>
      <c r="AH43" s="46">
        <v>190.69900000000001</v>
      </c>
    </row>
    <row r="44" spans="1:34" ht="14.5" x14ac:dyDescent="0.35">
      <c r="A44" s="60">
        <v>47362</v>
      </c>
      <c r="B44" s="13">
        <v>43</v>
      </c>
      <c r="C44" s="13">
        <v>43</v>
      </c>
      <c r="D44" s="44">
        <v>43</v>
      </c>
      <c r="E44" s="46">
        <v>28.736999999999998</v>
      </c>
      <c r="F44" s="46">
        <v>73.552000000000007</v>
      </c>
      <c r="G44" s="46">
        <v>61.579000000000001</v>
      </c>
      <c r="H44" s="46">
        <v>108.20399999999999</v>
      </c>
      <c r="I44" s="46">
        <v>65.656999999999996</v>
      </c>
      <c r="J44" s="46">
        <v>94.275000000000006</v>
      </c>
      <c r="K44" s="46">
        <v>48.680999999999997</v>
      </c>
      <c r="L44" s="46">
        <v>22.042999999999999</v>
      </c>
      <c r="M44" s="46">
        <v>33.847999999999999</v>
      </c>
      <c r="N44" s="46">
        <v>37.720999999999997</v>
      </c>
      <c r="O44" s="46">
        <v>56.874000000000002</v>
      </c>
      <c r="P44" s="46">
        <v>54.063000000000002</v>
      </c>
      <c r="Q44" s="46">
        <v>40.369999999999997</v>
      </c>
      <c r="R44" s="46">
        <v>28.545000000000002</v>
      </c>
      <c r="S44" s="46">
        <v>54.682000000000002</v>
      </c>
      <c r="T44" s="46">
        <v>55.774999999999999</v>
      </c>
      <c r="U44" s="46">
        <v>43.076999999999998</v>
      </c>
      <c r="V44" s="46">
        <v>90.707999999999998</v>
      </c>
      <c r="W44" s="46">
        <v>32.799999999999997</v>
      </c>
      <c r="X44" s="46">
        <v>30.298999999999999</v>
      </c>
      <c r="Y44" s="46">
        <v>77.978999999999999</v>
      </c>
      <c r="Z44" s="46">
        <v>42.095999999999997</v>
      </c>
      <c r="AA44" s="46">
        <v>63.250999999999998</v>
      </c>
      <c r="AB44" s="46">
        <v>99.679000000000002</v>
      </c>
      <c r="AC44" s="46">
        <v>50.651000000000003</v>
      </c>
      <c r="AD44" s="46">
        <v>68.123000000000005</v>
      </c>
      <c r="AE44" s="43">
        <v>47.889000000000003</v>
      </c>
      <c r="AF44" s="46">
        <v>70.114999999999995</v>
      </c>
      <c r="AG44" s="46">
        <v>27.402000000000001</v>
      </c>
      <c r="AH44" s="46">
        <v>77.122</v>
      </c>
    </row>
    <row r="45" spans="1:34" ht="14.5" x14ac:dyDescent="0.35">
      <c r="A45" s="60">
        <v>47392</v>
      </c>
      <c r="B45" s="13">
        <v>62</v>
      </c>
      <c r="C45" s="13">
        <v>45</v>
      </c>
      <c r="D45" s="44">
        <v>52</v>
      </c>
      <c r="E45" s="46">
        <v>57.386000000000003</v>
      </c>
      <c r="F45" s="46">
        <v>65.941999999999993</v>
      </c>
      <c r="G45" s="46">
        <v>59.777000000000001</v>
      </c>
      <c r="H45" s="46">
        <v>98.244</v>
      </c>
      <c r="I45" s="46">
        <v>66.909000000000006</v>
      </c>
      <c r="J45" s="46">
        <v>63.929000000000002</v>
      </c>
      <c r="K45" s="46">
        <v>50.106999999999999</v>
      </c>
      <c r="L45" s="46">
        <v>26.472000000000001</v>
      </c>
      <c r="M45" s="46">
        <v>38.643999999999998</v>
      </c>
      <c r="N45" s="46">
        <v>30.856999999999999</v>
      </c>
      <c r="O45" s="46">
        <v>58.491</v>
      </c>
      <c r="P45" s="46">
        <v>52.987000000000002</v>
      </c>
      <c r="Q45" s="46">
        <v>61.555999999999997</v>
      </c>
      <c r="R45" s="46">
        <v>55.378</v>
      </c>
      <c r="S45" s="46">
        <v>45.837000000000003</v>
      </c>
      <c r="T45" s="46">
        <v>57.994</v>
      </c>
      <c r="U45" s="46">
        <v>37.78</v>
      </c>
      <c r="V45" s="46">
        <v>84.537000000000006</v>
      </c>
      <c r="W45" s="46">
        <v>37.405000000000001</v>
      </c>
      <c r="X45" s="46">
        <v>51.792999999999999</v>
      </c>
      <c r="Y45" s="46">
        <v>128.965</v>
      </c>
      <c r="Z45" s="46">
        <v>52.177</v>
      </c>
      <c r="AA45" s="46">
        <v>100.12</v>
      </c>
      <c r="AB45" s="46">
        <v>110.61</v>
      </c>
      <c r="AC45" s="46">
        <v>59.264000000000003</v>
      </c>
      <c r="AD45" s="46">
        <v>63.573999999999998</v>
      </c>
      <c r="AE45" s="43">
        <v>46.121000000000002</v>
      </c>
      <c r="AF45" s="46">
        <v>47.835999999999999</v>
      </c>
      <c r="AG45" s="46">
        <v>26.67</v>
      </c>
      <c r="AH45" s="46">
        <v>66.057000000000002</v>
      </c>
    </row>
    <row r="46" spans="1:34" ht="14.5" x14ac:dyDescent="0.35">
      <c r="A46" s="60">
        <v>47423</v>
      </c>
      <c r="B46" s="13">
        <v>55</v>
      </c>
      <c r="C46" s="13">
        <v>47</v>
      </c>
      <c r="D46" s="44">
        <v>50</v>
      </c>
      <c r="E46" s="46">
        <v>47.341000000000001</v>
      </c>
      <c r="F46" s="46">
        <v>63.871000000000002</v>
      </c>
      <c r="G46" s="46">
        <v>66.38</v>
      </c>
      <c r="H46" s="46">
        <v>72.962000000000003</v>
      </c>
      <c r="I46" s="46">
        <v>60.698</v>
      </c>
      <c r="J46" s="46">
        <v>61.408000000000001</v>
      </c>
      <c r="K46" s="46">
        <v>45.018000000000001</v>
      </c>
      <c r="L46" s="46">
        <v>39.270000000000003</v>
      </c>
      <c r="M46" s="46">
        <v>35.393000000000001</v>
      </c>
      <c r="N46" s="46">
        <v>36.334000000000003</v>
      </c>
      <c r="O46" s="46">
        <v>77.093000000000004</v>
      </c>
      <c r="P46" s="46">
        <v>53.12</v>
      </c>
      <c r="Q46" s="46">
        <v>52.030999999999999</v>
      </c>
      <c r="R46" s="46">
        <v>45.104999999999997</v>
      </c>
      <c r="S46" s="46">
        <v>51.087000000000003</v>
      </c>
      <c r="T46" s="46">
        <v>59.652999999999999</v>
      </c>
      <c r="U46" s="46">
        <v>44.472999999999999</v>
      </c>
      <c r="V46" s="46">
        <v>74.555999999999997</v>
      </c>
      <c r="W46" s="46">
        <v>50.177</v>
      </c>
      <c r="X46" s="46">
        <v>39.853000000000002</v>
      </c>
      <c r="Y46" s="46">
        <v>71.423000000000002</v>
      </c>
      <c r="Z46" s="46">
        <v>48.319000000000003</v>
      </c>
      <c r="AA46" s="46">
        <v>97.817999999999998</v>
      </c>
      <c r="AB46" s="46">
        <v>91.034000000000006</v>
      </c>
      <c r="AC46" s="46">
        <v>60.072000000000003</v>
      </c>
      <c r="AD46" s="46">
        <v>56.878999999999998</v>
      </c>
      <c r="AE46" s="43">
        <v>53.987000000000002</v>
      </c>
      <c r="AF46" s="46">
        <v>58.064</v>
      </c>
      <c r="AG46" s="46">
        <v>33.546999999999997</v>
      </c>
      <c r="AH46" s="46">
        <v>60.04</v>
      </c>
    </row>
    <row r="47" spans="1:34" ht="14.5" x14ac:dyDescent="0.35">
      <c r="A47" s="60">
        <v>47453</v>
      </c>
      <c r="B47" s="13">
        <v>34</v>
      </c>
      <c r="C47" s="13">
        <v>34</v>
      </c>
      <c r="D47" s="44">
        <v>34</v>
      </c>
      <c r="E47" s="46">
        <v>37.15</v>
      </c>
      <c r="F47" s="46">
        <v>62.698</v>
      </c>
      <c r="G47" s="46">
        <v>62.451000000000001</v>
      </c>
      <c r="H47" s="46">
        <v>60.612000000000002</v>
      </c>
      <c r="I47" s="46">
        <v>54.668999999999997</v>
      </c>
      <c r="J47" s="46">
        <v>55.274999999999999</v>
      </c>
      <c r="K47" s="46">
        <v>36.558999999999997</v>
      </c>
      <c r="L47" s="46">
        <v>31.584</v>
      </c>
      <c r="M47" s="46">
        <v>29.314</v>
      </c>
      <c r="N47" s="46">
        <v>31.361000000000001</v>
      </c>
      <c r="O47" s="46">
        <v>46.002000000000002</v>
      </c>
      <c r="P47" s="46">
        <v>47.828000000000003</v>
      </c>
      <c r="Q47" s="46">
        <v>44.655000000000001</v>
      </c>
      <c r="R47" s="46">
        <v>32.808</v>
      </c>
      <c r="S47" s="46">
        <v>42.220999999999997</v>
      </c>
      <c r="T47" s="46">
        <v>49.091999999999999</v>
      </c>
      <c r="U47" s="46">
        <v>38.835000000000001</v>
      </c>
      <c r="V47" s="46">
        <v>64.103999999999999</v>
      </c>
      <c r="W47" s="46">
        <v>40.997</v>
      </c>
      <c r="X47" s="46">
        <v>30.885000000000002</v>
      </c>
      <c r="Y47" s="46">
        <v>56.186</v>
      </c>
      <c r="Z47" s="46">
        <v>41.816000000000003</v>
      </c>
      <c r="AA47" s="46">
        <v>62.395000000000003</v>
      </c>
      <c r="AB47" s="46">
        <v>82.756</v>
      </c>
      <c r="AC47" s="46">
        <v>50.347000000000001</v>
      </c>
      <c r="AD47" s="46">
        <v>49.709000000000003</v>
      </c>
      <c r="AE47" s="43">
        <v>46.890999999999998</v>
      </c>
      <c r="AF47" s="46">
        <v>48.665999999999997</v>
      </c>
      <c r="AG47" s="46">
        <v>29.033999999999999</v>
      </c>
      <c r="AH47" s="46">
        <v>51.256</v>
      </c>
    </row>
    <row r="48" spans="1:34" ht="14.5" x14ac:dyDescent="0.35">
      <c r="A48" s="60">
        <v>47484</v>
      </c>
      <c r="B48" s="13">
        <v>42</v>
      </c>
      <c r="C48" s="13">
        <v>42</v>
      </c>
      <c r="D48" s="45">
        <v>42</v>
      </c>
      <c r="E48" s="46">
        <v>34.573</v>
      </c>
      <c r="F48" s="46">
        <v>53.262</v>
      </c>
      <c r="G48" s="46">
        <v>76.94</v>
      </c>
      <c r="H48" s="46">
        <v>53.55</v>
      </c>
      <c r="I48" s="46">
        <v>48.253</v>
      </c>
      <c r="J48" s="46">
        <v>50.11</v>
      </c>
      <c r="K48" s="46">
        <v>32.533999999999999</v>
      </c>
      <c r="L48" s="46">
        <v>26.933</v>
      </c>
      <c r="M48" s="46">
        <v>26.533999999999999</v>
      </c>
      <c r="N48" s="46">
        <v>28.58</v>
      </c>
      <c r="O48" s="46">
        <v>40.732999999999997</v>
      </c>
      <c r="P48" s="46">
        <v>48.594999999999999</v>
      </c>
      <c r="Q48" s="46">
        <v>41.587000000000003</v>
      </c>
      <c r="R48" s="46">
        <v>27.713000000000001</v>
      </c>
      <c r="S48" s="46">
        <v>39.279000000000003</v>
      </c>
      <c r="T48" s="46">
        <v>43.189</v>
      </c>
      <c r="U48" s="46">
        <v>35.936999999999998</v>
      </c>
      <c r="V48" s="46">
        <v>60.021000000000001</v>
      </c>
      <c r="W48" s="46">
        <v>34.554000000000002</v>
      </c>
      <c r="X48" s="46">
        <v>27.977</v>
      </c>
      <c r="Y48" s="46">
        <v>52.646000000000001</v>
      </c>
      <c r="Z48" s="46">
        <v>35.564</v>
      </c>
      <c r="AA48" s="46">
        <v>52.674999999999997</v>
      </c>
      <c r="AB48" s="46">
        <v>72.602000000000004</v>
      </c>
      <c r="AC48" s="46">
        <v>43.271000000000001</v>
      </c>
      <c r="AD48" s="46">
        <v>44.593000000000004</v>
      </c>
      <c r="AE48" s="43">
        <v>41.322000000000003</v>
      </c>
      <c r="AF48" s="46">
        <v>42.631</v>
      </c>
      <c r="AG48" s="46">
        <v>26.550999999999998</v>
      </c>
      <c r="AH48" s="46">
        <v>46.493000000000002</v>
      </c>
    </row>
    <row r="49" spans="1:1005" ht="14.5" x14ac:dyDescent="0.35">
      <c r="A49" s="60">
        <v>47515</v>
      </c>
      <c r="B49" s="13">
        <v>43</v>
      </c>
      <c r="C49" s="13">
        <v>43</v>
      </c>
      <c r="D49" s="45">
        <v>43</v>
      </c>
      <c r="E49" s="46">
        <v>53.593000000000004</v>
      </c>
      <c r="F49" s="46">
        <v>65.358999999999995</v>
      </c>
      <c r="G49" s="46">
        <v>59.234000000000002</v>
      </c>
      <c r="H49" s="46">
        <v>49.911999999999999</v>
      </c>
      <c r="I49" s="46">
        <v>47.828000000000003</v>
      </c>
      <c r="J49" s="46">
        <v>54.783999999999999</v>
      </c>
      <c r="K49" s="46">
        <v>32.779000000000003</v>
      </c>
      <c r="L49" s="46">
        <v>27.875</v>
      </c>
      <c r="M49" s="46">
        <v>38.777000000000001</v>
      </c>
      <c r="N49" s="46">
        <v>30.766999999999999</v>
      </c>
      <c r="O49" s="46">
        <v>40.183</v>
      </c>
      <c r="P49" s="46">
        <v>45.462000000000003</v>
      </c>
      <c r="Q49" s="46">
        <v>45.241999999999997</v>
      </c>
      <c r="R49" s="46">
        <v>27.722999999999999</v>
      </c>
      <c r="S49" s="46">
        <v>39.734000000000002</v>
      </c>
      <c r="T49" s="46">
        <v>40.866</v>
      </c>
      <c r="U49" s="46">
        <v>36.905999999999999</v>
      </c>
      <c r="V49" s="46">
        <v>57.043999999999997</v>
      </c>
      <c r="W49" s="46">
        <v>34.787999999999997</v>
      </c>
      <c r="X49" s="46">
        <v>39.438000000000002</v>
      </c>
      <c r="Y49" s="46">
        <v>63.011000000000003</v>
      </c>
      <c r="Z49" s="46">
        <v>50.067</v>
      </c>
      <c r="AA49" s="46">
        <v>93.656000000000006</v>
      </c>
      <c r="AB49" s="46">
        <v>70.792000000000002</v>
      </c>
      <c r="AC49" s="46">
        <v>42.994999999999997</v>
      </c>
      <c r="AD49" s="46">
        <v>43.392000000000003</v>
      </c>
      <c r="AE49" s="43">
        <v>44.098999999999997</v>
      </c>
      <c r="AF49" s="46">
        <v>42.618000000000002</v>
      </c>
      <c r="AG49" s="46">
        <v>28.623999999999999</v>
      </c>
      <c r="AH49" s="46">
        <v>44.58</v>
      </c>
    </row>
    <row r="50" spans="1:1005" ht="14.5" x14ac:dyDescent="0.35">
      <c r="A50" s="60">
        <v>47543</v>
      </c>
      <c r="B50" s="13">
        <v>85</v>
      </c>
      <c r="C50" s="13">
        <v>85</v>
      </c>
      <c r="D50" s="45">
        <v>85</v>
      </c>
      <c r="E50" s="46">
        <v>111.556</v>
      </c>
      <c r="F50" s="46">
        <v>100.55800000000001</v>
      </c>
      <c r="G50" s="46">
        <v>116.19199999999999</v>
      </c>
      <c r="H50" s="46">
        <v>98.55</v>
      </c>
      <c r="I50" s="46">
        <v>88.811000000000007</v>
      </c>
      <c r="J50" s="46">
        <v>80.596999999999994</v>
      </c>
      <c r="K50" s="46">
        <v>68.715999999999994</v>
      </c>
      <c r="L50" s="46">
        <v>52.55</v>
      </c>
      <c r="M50" s="46">
        <v>65.36</v>
      </c>
      <c r="N50" s="46">
        <v>98.423000000000002</v>
      </c>
      <c r="O50" s="46">
        <v>87.548000000000002</v>
      </c>
      <c r="P50" s="46">
        <v>73.001000000000005</v>
      </c>
      <c r="Q50" s="46">
        <v>103.855</v>
      </c>
      <c r="R50" s="46">
        <v>50.170999999999999</v>
      </c>
      <c r="S50" s="46">
        <v>79.286000000000001</v>
      </c>
      <c r="T50" s="46">
        <v>66.212000000000003</v>
      </c>
      <c r="U50" s="46">
        <v>65.048000000000002</v>
      </c>
      <c r="V50" s="46">
        <v>115.21599999999999</v>
      </c>
      <c r="W50" s="46">
        <v>67.867999999999995</v>
      </c>
      <c r="X50" s="46">
        <v>70.408000000000001</v>
      </c>
      <c r="Y50" s="46">
        <v>108.26600000000001</v>
      </c>
      <c r="Z50" s="46">
        <v>92.462000000000003</v>
      </c>
      <c r="AA50" s="46">
        <v>342.11599999999999</v>
      </c>
      <c r="AB50" s="46">
        <v>95.037999999999997</v>
      </c>
      <c r="AC50" s="46">
        <v>81.400000000000006</v>
      </c>
      <c r="AD50" s="46">
        <v>102.705</v>
      </c>
      <c r="AE50" s="43">
        <v>64.09</v>
      </c>
      <c r="AF50" s="46">
        <v>120.565</v>
      </c>
      <c r="AG50" s="46">
        <v>100.306</v>
      </c>
      <c r="AH50" s="46">
        <v>108.32299999999999</v>
      </c>
    </row>
    <row r="51" spans="1:1005" ht="14.5" x14ac:dyDescent="0.35">
      <c r="A51" s="60">
        <v>47574</v>
      </c>
      <c r="B51" s="13">
        <v>111</v>
      </c>
      <c r="C51" s="13">
        <v>111</v>
      </c>
      <c r="D51" s="45">
        <v>111</v>
      </c>
      <c r="E51" s="46">
        <v>96.777000000000001</v>
      </c>
      <c r="F51" s="46">
        <v>158.875</v>
      </c>
      <c r="G51" s="46">
        <v>140.23699999999999</v>
      </c>
      <c r="H51" s="46">
        <v>162.72800000000001</v>
      </c>
      <c r="I51" s="46">
        <v>121.304</v>
      </c>
      <c r="J51" s="46">
        <v>117.325</v>
      </c>
      <c r="K51" s="46">
        <v>104.10599999999999</v>
      </c>
      <c r="L51" s="46">
        <v>83.716999999999999</v>
      </c>
      <c r="M51" s="46">
        <v>91.11</v>
      </c>
      <c r="N51" s="46">
        <v>149.03800000000001</v>
      </c>
      <c r="O51" s="46">
        <v>124.986</v>
      </c>
      <c r="P51" s="46">
        <v>134.86699999999999</v>
      </c>
      <c r="Q51" s="46">
        <v>101.34099999999999</v>
      </c>
      <c r="R51" s="46">
        <v>54.484999999999999</v>
      </c>
      <c r="S51" s="46">
        <v>120.99</v>
      </c>
      <c r="T51" s="46">
        <v>85.411000000000001</v>
      </c>
      <c r="U51" s="46">
        <v>200.86699999999999</v>
      </c>
      <c r="V51" s="46">
        <v>193.09800000000001</v>
      </c>
      <c r="W51" s="46">
        <v>72.331000000000003</v>
      </c>
      <c r="X51" s="46">
        <v>91.683000000000007</v>
      </c>
      <c r="Y51" s="46">
        <v>107.23699999999999</v>
      </c>
      <c r="Z51" s="46">
        <v>145.44300000000001</v>
      </c>
      <c r="AA51" s="46">
        <v>537.05600000000004</v>
      </c>
      <c r="AB51" s="46">
        <v>120.187</v>
      </c>
      <c r="AC51" s="46">
        <v>281.21800000000002</v>
      </c>
      <c r="AD51" s="46">
        <v>130.49100000000001</v>
      </c>
      <c r="AE51" s="43">
        <v>86.787999999999997</v>
      </c>
      <c r="AF51" s="46">
        <v>117.53700000000001</v>
      </c>
      <c r="AG51" s="46">
        <v>157.53</v>
      </c>
      <c r="AH51" s="46">
        <v>137.233</v>
      </c>
    </row>
    <row r="52" spans="1:1005" ht="14.5" x14ac:dyDescent="0.35">
      <c r="A52" s="60">
        <v>47604</v>
      </c>
      <c r="B52" s="13">
        <v>239</v>
      </c>
      <c r="C52" s="13">
        <v>239</v>
      </c>
      <c r="D52" s="45">
        <v>239</v>
      </c>
      <c r="E52" s="46">
        <v>161.80099999999999</v>
      </c>
      <c r="F52" s="46">
        <v>251.25800000000001</v>
      </c>
      <c r="G52" s="46">
        <v>471.32499999999999</v>
      </c>
      <c r="H52" s="46">
        <v>255.95599999999999</v>
      </c>
      <c r="I52" s="46">
        <v>358.98200000000003</v>
      </c>
      <c r="J52" s="46">
        <v>200.501</v>
      </c>
      <c r="K52" s="46">
        <v>169.23599999999999</v>
      </c>
      <c r="L52" s="46">
        <v>56.970999999999997</v>
      </c>
      <c r="M52" s="46">
        <v>86.394000000000005</v>
      </c>
      <c r="N52" s="46">
        <v>122.818</v>
      </c>
      <c r="O52" s="46">
        <v>267.22199999999998</v>
      </c>
      <c r="P52" s="46">
        <v>292.92599999999999</v>
      </c>
      <c r="Q52" s="46">
        <v>211.59700000000001</v>
      </c>
      <c r="R52" s="46">
        <v>134.25</v>
      </c>
      <c r="S52" s="46">
        <v>192.19800000000001</v>
      </c>
      <c r="T52" s="46">
        <v>62.677999999999997</v>
      </c>
      <c r="U52" s="46">
        <v>351.73599999999999</v>
      </c>
      <c r="V52" s="46">
        <v>232.07599999999999</v>
      </c>
      <c r="W52" s="46">
        <v>93.6</v>
      </c>
      <c r="X52" s="46">
        <v>198.33600000000001</v>
      </c>
      <c r="Y52" s="46">
        <v>243.50800000000001</v>
      </c>
      <c r="Z52" s="46">
        <v>394.26299999999998</v>
      </c>
      <c r="AA52" s="46">
        <v>573.84199999999998</v>
      </c>
      <c r="AB52" s="46">
        <v>324.88299999999998</v>
      </c>
      <c r="AC52" s="46">
        <v>183.32499999999999</v>
      </c>
      <c r="AD52" s="46">
        <v>171.084</v>
      </c>
      <c r="AE52" s="43">
        <v>117.962</v>
      </c>
      <c r="AF52" s="46">
        <v>192.21899999999999</v>
      </c>
      <c r="AG52" s="46">
        <v>333.20400000000001</v>
      </c>
      <c r="AH52" s="46">
        <v>237.75399999999999</v>
      </c>
    </row>
    <row r="53" spans="1:1005" ht="14.5" x14ac:dyDescent="0.35">
      <c r="A53" s="60">
        <v>47635</v>
      </c>
      <c r="B53" s="13">
        <v>389</v>
      </c>
      <c r="C53" s="13">
        <v>389</v>
      </c>
      <c r="D53" s="45">
        <v>389</v>
      </c>
      <c r="E53" s="46">
        <v>602.15200000000004</v>
      </c>
      <c r="F53" s="46">
        <v>690.51</v>
      </c>
      <c r="G53" s="46">
        <v>854.37800000000004</v>
      </c>
      <c r="H53" s="46">
        <v>467.58</v>
      </c>
      <c r="I53" s="46">
        <v>753.17600000000004</v>
      </c>
      <c r="J53" s="46">
        <v>239.88300000000001</v>
      </c>
      <c r="K53" s="46">
        <v>152.86199999999999</v>
      </c>
      <c r="L53" s="46">
        <v>189.32900000000001</v>
      </c>
      <c r="M53" s="46">
        <v>248.56399999999999</v>
      </c>
      <c r="N53" s="46">
        <v>246.15</v>
      </c>
      <c r="O53" s="46">
        <v>468.37799999999999</v>
      </c>
      <c r="P53" s="46">
        <v>327.51499999999999</v>
      </c>
      <c r="Q53" s="46">
        <v>77.262</v>
      </c>
      <c r="R53" s="46">
        <v>325.78199999999998</v>
      </c>
      <c r="S53" s="46">
        <v>526.976</v>
      </c>
      <c r="T53" s="46">
        <v>276.911</v>
      </c>
      <c r="U53" s="46">
        <v>683.83799999999997</v>
      </c>
      <c r="V53" s="46">
        <v>217.21600000000001</v>
      </c>
      <c r="W53" s="46">
        <v>104.842</v>
      </c>
      <c r="X53" s="46">
        <v>490.053</v>
      </c>
      <c r="Y53" s="46">
        <v>353.87400000000002</v>
      </c>
      <c r="Z53" s="46">
        <v>414.702</v>
      </c>
      <c r="AA53" s="46">
        <v>870.83</v>
      </c>
      <c r="AB53" s="46">
        <v>500.52800000000002</v>
      </c>
      <c r="AC53" s="46">
        <v>355.04899999999998</v>
      </c>
      <c r="AD53" s="46">
        <v>397.87299999999999</v>
      </c>
      <c r="AE53" s="43">
        <v>414.63600000000002</v>
      </c>
      <c r="AF53" s="46">
        <v>73.924000000000007</v>
      </c>
      <c r="AG53" s="46">
        <v>461.72</v>
      </c>
      <c r="AH53" s="46">
        <v>183.208</v>
      </c>
    </row>
    <row r="54" spans="1:1005" ht="14.5" x14ac:dyDescent="0.35">
      <c r="A54" s="60">
        <v>47665</v>
      </c>
      <c r="B54" s="13">
        <v>161</v>
      </c>
      <c r="C54" s="13">
        <v>161</v>
      </c>
      <c r="D54" s="45">
        <v>161</v>
      </c>
      <c r="E54" s="46">
        <v>557.30600000000004</v>
      </c>
      <c r="F54" s="46">
        <v>308</v>
      </c>
      <c r="G54" s="46">
        <v>341.53199999999998</v>
      </c>
      <c r="H54" s="46">
        <v>436.47800000000001</v>
      </c>
      <c r="I54" s="46">
        <v>383.83199999999999</v>
      </c>
      <c r="J54" s="46">
        <v>71.944000000000003</v>
      </c>
      <c r="K54" s="46">
        <v>39.277999999999999</v>
      </c>
      <c r="L54" s="46">
        <v>85.555999999999997</v>
      </c>
      <c r="M54" s="46">
        <v>96.320999999999998</v>
      </c>
      <c r="N54" s="46">
        <v>177.16900000000001</v>
      </c>
      <c r="O54" s="46">
        <v>299.447</v>
      </c>
      <c r="P54" s="46">
        <v>84.727000000000004</v>
      </c>
      <c r="Q54" s="46">
        <v>11.122999999999999</v>
      </c>
      <c r="R54" s="46">
        <v>222.50800000000001</v>
      </c>
      <c r="S54" s="46">
        <v>390.07299999999998</v>
      </c>
      <c r="T54" s="46">
        <v>213.90299999999999</v>
      </c>
      <c r="U54" s="46">
        <v>792.39300000000003</v>
      </c>
      <c r="V54" s="46">
        <v>79.700999999999993</v>
      </c>
      <c r="W54" s="46">
        <v>39</v>
      </c>
      <c r="X54" s="46">
        <v>299.60700000000003</v>
      </c>
      <c r="Y54" s="46">
        <v>152.50399999999999</v>
      </c>
      <c r="Z54" s="46">
        <v>124.184</v>
      </c>
      <c r="AA54" s="46">
        <v>406.43299999999999</v>
      </c>
      <c r="AB54" s="46">
        <v>211.78</v>
      </c>
      <c r="AC54" s="46">
        <v>247.53399999999999</v>
      </c>
      <c r="AD54" s="46">
        <v>184.11799999999999</v>
      </c>
      <c r="AE54" s="43">
        <v>185.70599999999999</v>
      </c>
      <c r="AF54" s="46">
        <v>38.582000000000001</v>
      </c>
      <c r="AG54" s="46">
        <v>257.15699999999998</v>
      </c>
      <c r="AH54" s="46">
        <v>34.689</v>
      </c>
    </row>
    <row r="55" spans="1:1005" ht="14.5" x14ac:dyDescent="0.35">
      <c r="A55" s="60">
        <v>47696</v>
      </c>
      <c r="B55" s="13">
        <v>66</v>
      </c>
      <c r="C55" s="13">
        <v>66</v>
      </c>
      <c r="D55" s="45">
        <v>66</v>
      </c>
      <c r="E55" s="46">
        <v>173.76400000000001</v>
      </c>
      <c r="F55" s="46">
        <v>100.06</v>
      </c>
      <c r="G55" s="46">
        <v>170.06800000000001</v>
      </c>
      <c r="H55" s="46">
        <v>142.72200000000001</v>
      </c>
      <c r="I55" s="46">
        <v>131.76499999999999</v>
      </c>
      <c r="J55" s="46">
        <v>42.158999999999999</v>
      </c>
      <c r="K55" s="46">
        <v>25.687000000000001</v>
      </c>
      <c r="L55" s="46">
        <v>36.561</v>
      </c>
      <c r="M55" s="46">
        <v>40.398000000000003</v>
      </c>
      <c r="N55" s="46">
        <v>71.111000000000004</v>
      </c>
      <c r="O55" s="46">
        <v>96.031999999999996</v>
      </c>
      <c r="P55" s="46">
        <v>49.786999999999999</v>
      </c>
      <c r="Q55" s="46">
        <v>30.007000000000001</v>
      </c>
      <c r="R55" s="46">
        <v>68.742999999999995</v>
      </c>
      <c r="S55" s="46">
        <v>120.535</v>
      </c>
      <c r="T55" s="46">
        <v>68.89</v>
      </c>
      <c r="U55" s="46">
        <v>206.983</v>
      </c>
      <c r="V55" s="46">
        <v>42.802</v>
      </c>
      <c r="W55" s="46">
        <v>25.966000000000001</v>
      </c>
      <c r="X55" s="46">
        <v>110.31399999999999</v>
      </c>
      <c r="Y55" s="46">
        <v>59.078000000000003</v>
      </c>
      <c r="Z55" s="46">
        <v>63.573</v>
      </c>
      <c r="AA55" s="46">
        <v>146.02099999999999</v>
      </c>
      <c r="AB55" s="46">
        <v>81.679000000000002</v>
      </c>
      <c r="AC55" s="46">
        <v>95.152000000000001</v>
      </c>
      <c r="AD55" s="46">
        <v>68.965999999999994</v>
      </c>
      <c r="AE55" s="43">
        <v>86.244</v>
      </c>
      <c r="AF55" s="46">
        <v>26.128</v>
      </c>
      <c r="AG55" s="46">
        <v>190.90899999999999</v>
      </c>
      <c r="AH55" s="46">
        <v>32.673999999999999</v>
      </c>
    </row>
    <row r="56" spans="1:1005" ht="14.5" x14ac:dyDescent="0.35">
      <c r="A56" s="60">
        <v>47727</v>
      </c>
      <c r="B56" s="13">
        <v>43</v>
      </c>
      <c r="C56" s="13">
        <v>43</v>
      </c>
      <c r="D56" s="45">
        <v>43</v>
      </c>
      <c r="E56" s="46">
        <v>73.668999999999997</v>
      </c>
      <c r="F56" s="46">
        <v>61.808</v>
      </c>
      <c r="G56" s="46">
        <v>108.26900000000001</v>
      </c>
      <c r="H56" s="46">
        <v>66.403000000000006</v>
      </c>
      <c r="I56" s="46">
        <v>94.355999999999995</v>
      </c>
      <c r="J56" s="46">
        <v>48.905000000000001</v>
      </c>
      <c r="K56" s="46">
        <v>22.254000000000001</v>
      </c>
      <c r="L56" s="46">
        <v>34.215000000000003</v>
      </c>
      <c r="M56" s="46">
        <v>37.752000000000002</v>
      </c>
      <c r="N56" s="46">
        <v>56.920999999999999</v>
      </c>
      <c r="O56" s="46">
        <v>54.064</v>
      </c>
      <c r="P56" s="46">
        <v>40.195999999999998</v>
      </c>
      <c r="Q56" s="46">
        <v>28.629000000000001</v>
      </c>
      <c r="R56" s="46">
        <v>54.944000000000003</v>
      </c>
      <c r="S56" s="46">
        <v>55.850999999999999</v>
      </c>
      <c r="T56" s="46">
        <v>43.856999999999999</v>
      </c>
      <c r="U56" s="46">
        <v>90.754999999999995</v>
      </c>
      <c r="V56" s="46">
        <v>32.890999999999998</v>
      </c>
      <c r="W56" s="46">
        <v>30.334</v>
      </c>
      <c r="X56" s="46">
        <v>78.912999999999997</v>
      </c>
      <c r="Y56" s="46">
        <v>42.162999999999997</v>
      </c>
      <c r="Z56" s="46">
        <v>63.253</v>
      </c>
      <c r="AA56" s="46">
        <v>99.736000000000004</v>
      </c>
      <c r="AB56" s="46">
        <v>51.116</v>
      </c>
      <c r="AC56" s="46">
        <v>68.361999999999995</v>
      </c>
      <c r="AD56" s="46">
        <v>48.557000000000002</v>
      </c>
      <c r="AE56" s="43">
        <v>70.194000000000003</v>
      </c>
      <c r="AF56" s="46">
        <v>27.483000000000001</v>
      </c>
      <c r="AG56" s="46">
        <v>77.295000000000002</v>
      </c>
      <c r="AH56" s="46">
        <v>28.774999999999999</v>
      </c>
    </row>
    <row r="57" spans="1:1005" ht="14.5" x14ac:dyDescent="0.35">
      <c r="A57" s="60">
        <v>47757</v>
      </c>
      <c r="B57" s="13">
        <v>62</v>
      </c>
      <c r="C57" s="13">
        <v>45</v>
      </c>
      <c r="D57" s="45">
        <v>52</v>
      </c>
      <c r="E57" s="46">
        <v>66.052999999999997</v>
      </c>
      <c r="F57" s="46">
        <v>59.984000000000002</v>
      </c>
      <c r="G57" s="46">
        <v>98.31</v>
      </c>
      <c r="H57" s="46">
        <v>67.102999999999994</v>
      </c>
      <c r="I57" s="46">
        <v>63.999000000000002</v>
      </c>
      <c r="J57" s="46">
        <v>50.345999999999997</v>
      </c>
      <c r="K57" s="46">
        <v>26.669</v>
      </c>
      <c r="L57" s="46">
        <v>39.014000000000003</v>
      </c>
      <c r="M57" s="46">
        <v>30.89</v>
      </c>
      <c r="N57" s="46">
        <v>58.584000000000003</v>
      </c>
      <c r="O57" s="46">
        <v>52.988</v>
      </c>
      <c r="P57" s="46">
        <v>61.807000000000002</v>
      </c>
      <c r="Q57" s="46">
        <v>55.488</v>
      </c>
      <c r="R57" s="46">
        <v>46.055999999999997</v>
      </c>
      <c r="S57" s="46">
        <v>58.067999999999998</v>
      </c>
      <c r="T57" s="46">
        <v>37.783999999999999</v>
      </c>
      <c r="U57" s="46">
        <v>84.585999999999999</v>
      </c>
      <c r="V57" s="46">
        <v>37.491999999999997</v>
      </c>
      <c r="W57" s="46">
        <v>51.851999999999997</v>
      </c>
      <c r="X57" s="46">
        <v>131.36000000000001</v>
      </c>
      <c r="Y57" s="46">
        <v>52.241</v>
      </c>
      <c r="Z57" s="46">
        <v>100.121</v>
      </c>
      <c r="AA57" s="46">
        <v>110.666</v>
      </c>
      <c r="AB57" s="46">
        <v>59.000999999999998</v>
      </c>
      <c r="AC57" s="46">
        <v>63.79</v>
      </c>
      <c r="AD57" s="46">
        <v>46.741999999999997</v>
      </c>
      <c r="AE57" s="43">
        <v>47.905000000000001</v>
      </c>
      <c r="AF57" s="46">
        <v>26.818999999999999</v>
      </c>
      <c r="AG57" s="46">
        <v>66.227000000000004</v>
      </c>
      <c r="AH57" s="46">
        <v>57.442999999999998</v>
      </c>
    </row>
    <row r="58" spans="1:1005" ht="14.5" x14ac:dyDescent="0.35">
      <c r="A58" s="60">
        <v>47788</v>
      </c>
      <c r="B58" s="13">
        <v>55</v>
      </c>
      <c r="C58" s="13">
        <v>47</v>
      </c>
      <c r="D58" s="45">
        <v>50</v>
      </c>
      <c r="E58" s="46">
        <v>63.970999999999997</v>
      </c>
      <c r="F58" s="46">
        <v>66.587000000000003</v>
      </c>
      <c r="G58" s="46">
        <v>73.019000000000005</v>
      </c>
      <c r="H58" s="46">
        <v>61.128999999999998</v>
      </c>
      <c r="I58" s="46">
        <v>61.472000000000001</v>
      </c>
      <c r="J58" s="46">
        <v>45.378</v>
      </c>
      <c r="K58" s="46">
        <v>39.465000000000003</v>
      </c>
      <c r="L58" s="46">
        <v>36.058999999999997</v>
      </c>
      <c r="M58" s="46">
        <v>36.363999999999997</v>
      </c>
      <c r="N58" s="46">
        <v>77.061999999999998</v>
      </c>
      <c r="O58" s="46">
        <v>53.121000000000002</v>
      </c>
      <c r="P58" s="46">
        <v>52.575000000000003</v>
      </c>
      <c r="Q58" s="46">
        <v>45.179000000000002</v>
      </c>
      <c r="R58" s="46">
        <v>51.284999999999997</v>
      </c>
      <c r="S58" s="46">
        <v>59.718000000000004</v>
      </c>
      <c r="T58" s="46">
        <v>44.503</v>
      </c>
      <c r="U58" s="46">
        <v>74.594999999999999</v>
      </c>
      <c r="V58" s="46">
        <v>50.256999999999998</v>
      </c>
      <c r="W58" s="46">
        <v>39.901000000000003</v>
      </c>
      <c r="X58" s="46">
        <v>73.150000000000006</v>
      </c>
      <c r="Y58" s="46">
        <v>48.375</v>
      </c>
      <c r="Z58" s="46">
        <v>97.819000000000003</v>
      </c>
      <c r="AA58" s="46">
        <v>91.078000000000003</v>
      </c>
      <c r="AB58" s="46">
        <v>60.570999999999998</v>
      </c>
      <c r="AC58" s="46">
        <v>57.067</v>
      </c>
      <c r="AD58" s="46">
        <v>54.542000000000002</v>
      </c>
      <c r="AE58" s="43">
        <v>58.125999999999998</v>
      </c>
      <c r="AF58" s="46">
        <v>33.811999999999998</v>
      </c>
      <c r="AG58" s="46">
        <v>60.189</v>
      </c>
      <c r="AH58" s="46">
        <v>47.387</v>
      </c>
    </row>
    <row r="59" spans="1:1005" ht="14.5" x14ac:dyDescent="0.35">
      <c r="A59" s="60">
        <v>47818</v>
      </c>
      <c r="B59" s="13">
        <v>34</v>
      </c>
      <c r="C59" s="13">
        <v>34</v>
      </c>
      <c r="D59" s="45">
        <v>34</v>
      </c>
      <c r="E59" s="46">
        <v>62.792000000000002</v>
      </c>
      <c r="F59" s="46">
        <v>62.643000000000001</v>
      </c>
      <c r="G59" s="46">
        <v>60.664999999999999</v>
      </c>
      <c r="H59" s="46">
        <v>54.896000000000001</v>
      </c>
      <c r="I59" s="46">
        <v>55.335000000000001</v>
      </c>
      <c r="J59" s="46">
        <v>36.762</v>
      </c>
      <c r="K59" s="46">
        <v>31.773</v>
      </c>
      <c r="L59" s="46">
        <v>29.773</v>
      </c>
      <c r="M59" s="46">
        <v>31.388999999999999</v>
      </c>
      <c r="N59" s="46">
        <v>46.07</v>
      </c>
      <c r="O59" s="46">
        <v>47.829000000000001</v>
      </c>
      <c r="P59" s="46">
        <v>44.854999999999997</v>
      </c>
      <c r="Q59" s="46">
        <v>32.875999999999998</v>
      </c>
      <c r="R59" s="46">
        <v>42.405000000000001</v>
      </c>
      <c r="S59" s="46">
        <v>49.151000000000003</v>
      </c>
      <c r="T59" s="46">
        <v>38.893000000000001</v>
      </c>
      <c r="U59" s="46">
        <v>64.141000000000005</v>
      </c>
      <c r="V59" s="46">
        <v>41.103000000000002</v>
      </c>
      <c r="W59" s="46">
        <v>30.931000000000001</v>
      </c>
      <c r="X59" s="46">
        <v>56.976999999999997</v>
      </c>
      <c r="Y59" s="46">
        <v>41.871000000000002</v>
      </c>
      <c r="Z59" s="46">
        <v>62.398000000000003</v>
      </c>
      <c r="AA59" s="46">
        <v>82.798000000000002</v>
      </c>
      <c r="AB59" s="46">
        <v>50.506</v>
      </c>
      <c r="AC59" s="46">
        <v>49.889000000000003</v>
      </c>
      <c r="AD59" s="46">
        <v>47.414000000000001</v>
      </c>
      <c r="AE59" s="43">
        <v>48.725000000000001</v>
      </c>
      <c r="AF59" s="46">
        <v>29.29</v>
      </c>
      <c r="AG59" s="46">
        <v>51.395000000000003</v>
      </c>
      <c r="AH59" s="46">
        <v>37.191000000000003</v>
      </c>
    </row>
    <row r="60" spans="1:1005" ht="14.5" x14ac:dyDescent="0.35">
      <c r="A60" s="60">
        <v>47849</v>
      </c>
      <c r="B60" s="13">
        <v>42</v>
      </c>
      <c r="C60" s="13">
        <v>42</v>
      </c>
      <c r="D60" s="45">
        <v>42</v>
      </c>
      <c r="E60" s="46">
        <v>53.348999999999997</v>
      </c>
      <c r="F60" s="46">
        <v>77.129000000000005</v>
      </c>
      <c r="G60" s="46">
        <v>53.598999999999997</v>
      </c>
      <c r="H60" s="46">
        <v>48.438000000000002</v>
      </c>
      <c r="I60" s="46">
        <v>50.164999999999999</v>
      </c>
      <c r="J60" s="46">
        <v>32.72</v>
      </c>
      <c r="K60" s="46">
        <v>27.106999999999999</v>
      </c>
      <c r="L60" s="46">
        <v>26.786999999999999</v>
      </c>
      <c r="M60" s="46">
        <v>28.606000000000002</v>
      </c>
      <c r="N60" s="46">
        <v>40.795999999999999</v>
      </c>
      <c r="O60" s="46">
        <v>48.594999999999999</v>
      </c>
      <c r="P60" s="46">
        <v>41.918999999999997</v>
      </c>
      <c r="Q60" s="46">
        <v>27.774999999999999</v>
      </c>
      <c r="R60" s="46">
        <v>39.448999999999998</v>
      </c>
      <c r="S60" s="46">
        <v>43.243000000000002</v>
      </c>
      <c r="T60" s="46">
        <v>35.917000000000002</v>
      </c>
      <c r="U60" s="46">
        <v>60.055999999999997</v>
      </c>
      <c r="V60" s="46">
        <v>34.624000000000002</v>
      </c>
      <c r="W60" s="46">
        <v>28.021000000000001</v>
      </c>
      <c r="X60" s="46">
        <v>53.131</v>
      </c>
      <c r="Y60" s="46">
        <v>35.591000000000001</v>
      </c>
      <c r="Z60" s="46">
        <v>52.677999999999997</v>
      </c>
      <c r="AA60" s="46">
        <v>72.638999999999996</v>
      </c>
      <c r="AB60" s="46">
        <v>43.529000000000003</v>
      </c>
      <c r="AC60" s="46">
        <v>44.76</v>
      </c>
      <c r="AD60" s="46">
        <v>41.798999999999999</v>
      </c>
      <c r="AE60" s="43">
        <v>42.683999999999997</v>
      </c>
      <c r="AF60" s="46">
        <v>26.795999999999999</v>
      </c>
      <c r="AG60" s="46">
        <v>46.621000000000002</v>
      </c>
      <c r="AH60" s="46">
        <v>34.610999999999997</v>
      </c>
    </row>
    <row r="61" spans="1:1005" ht="14.5" x14ac:dyDescent="0.35">
      <c r="A61" s="60">
        <v>47880</v>
      </c>
      <c r="B61" s="13">
        <v>43</v>
      </c>
      <c r="C61" s="13">
        <v>43</v>
      </c>
      <c r="D61" s="45">
        <v>43</v>
      </c>
      <c r="E61" s="46">
        <v>65.441000000000003</v>
      </c>
      <c r="F61" s="46">
        <v>59.381</v>
      </c>
      <c r="G61" s="46">
        <v>49.953000000000003</v>
      </c>
      <c r="H61" s="46">
        <v>48.301000000000002</v>
      </c>
      <c r="I61" s="46">
        <v>54.832000000000001</v>
      </c>
      <c r="J61" s="46">
        <v>32.933999999999997</v>
      </c>
      <c r="K61" s="46">
        <v>28.021000000000001</v>
      </c>
      <c r="L61" s="46">
        <v>39.130000000000003</v>
      </c>
      <c r="M61" s="46">
        <v>30.789000000000001</v>
      </c>
      <c r="N61" s="46">
        <v>40.235999999999997</v>
      </c>
      <c r="O61" s="46">
        <v>45.462000000000003</v>
      </c>
      <c r="P61" s="46">
        <v>45.235999999999997</v>
      </c>
      <c r="Q61" s="46">
        <v>27.774999999999999</v>
      </c>
      <c r="R61" s="46">
        <v>40.005000000000003</v>
      </c>
      <c r="S61" s="46">
        <v>40.911000000000001</v>
      </c>
      <c r="T61" s="46">
        <v>37.006999999999998</v>
      </c>
      <c r="U61" s="46">
        <v>57.073</v>
      </c>
      <c r="V61" s="46">
        <v>34.847000000000001</v>
      </c>
      <c r="W61" s="46">
        <v>39.478000000000002</v>
      </c>
      <c r="X61" s="46">
        <v>63.533000000000001</v>
      </c>
      <c r="Y61" s="46">
        <v>50.113999999999997</v>
      </c>
      <c r="Z61" s="46">
        <v>93.659000000000006</v>
      </c>
      <c r="AA61" s="46">
        <v>70.823999999999998</v>
      </c>
      <c r="AB61" s="46">
        <v>42.905000000000001</v>
      </c>
      <c r="AC61" s="46">
        <v>43.533000000000001</v>
      </c>
      <c r="AD61" s="46">
        <v>44.63</v>
      </c>
      <c r="AE61" s="43">
        <v>42.689</v>
      </c>
      <c r="AF61" s="46">
        <v>28.82</v>
      </c>
      <c r="AG61" s="46">
        <v>44.686999999999998</v>
      </c>
      <c r="AH61" s="46">
        <v>53.628999999999998</v>
      </c>
    </row>
    <row r="62" spans="1:1005" ht="14.5" x14ac:dyDescent="0.35">
      <c r="A62" s="60">
        <v>47908</v>
      </c>
      <c r="B62" s="13">
        <v>85</v>
      </c>
      <c r="C62" s="13">
        <v>85</v>
      </c>
      <c r="D62" s="45">
        <v>85</v>
      </c>
      <c r="E62" s="46">
        <v>100.646</v>
      </c>
      <c r="F62" s="46">
        <v>116.46299999999999</v>
      </c>
      <c r="G62" s="46">
        <v>98.597999999999999</v>
      </c>
      <c r="H62" s="46">
        <v>87.852999999999994</v>
      </c>
      <c r="I62" s="46">
        <v>80.647000000000006</v>
      </c>
      <c r="J62" s="46">
        <v>68.894999999999996</v>
      </c>
      <c r="K62" s="46">
        <v>52.709000000000003</v>
      </c>
      <c r="L62" s="46">
        <v>64.902000000000001</v>
      </c>
      <c r="M62" s="46">
        <v>98.453000000000003</v>
      </c>
      <c r="N62" s="46">
        <v>87.611999999999995</v>
      </c>
      <c r="O62" s="46">
        <v>72.986999999999995</v>
      </c>
      <c r="P62" s="46">
        <v>102.002</v>
      </c>
      <c r="Q62" s="46">
        <v>50.228000000000002</v>
      </c>
      <c r="R62" s="46">
        <v>79.474999999999994</v>
      </c>
      <c r="S62" s="46">
        <v>66.260999999999996</v>
      </c>
      <c r="T62" s="46">
        <v>64.585999999999999</v>
      </c>
      <c r="U62" s="46">
        <v>115.256</v>
      </c>
      <c r="V62" s="46">
        <v>67.938999999999993</v>
      </c>
      <c r="W62" s="46">
        <v>70.454999999999998</v>
      </c>
      <c r="X62" s="46">
        <v>106.69799999999999</v>
      </c>
      <c r="Y62" s="46">
        <v>92.52</v>
      </c>
      <c r="Z62" s="46">
        <v>342.11599999999999</v>
      </c>
      <c r="AA62" s="46">
        <v>95.072000000000003</v>
      </c>
      <c r="AB62" s="46">
        <v>78.349999999999994</v>
      </c>
      <c r="AC62" s="46">
        <v>102.871</v>
      </c>
      <c r="AD62" s="46">
        <v>64.524000000000001</v>
      </c>
      <c r="AE62" s="43">
        <v>120.626</v>
      </c>
      <c r="AF62" s="46">
        <v>93.793000000000006</v>
      </c>
      <c r="AG62" s="46">
        <v>108.45699999999999</v>
      </c>
      <c r="AH62" s="46">
        <v>111.596</v>
      </c>
    </row>
    <row r="63" spans="1:1005" ht="14.5" x14ac:dyDescent="0.35">
      <c r="A63" s="60">
        <v>47939</v>
      </c>
      <c r="B63" s="13">
        <v>111</v>
      </c>
      <c r="C63" s="13">
        <v>111</v>
      </c>
      <c r="D63" s="45">
        <v>111</v>
      </c>
      <c r="E63" s="46">
        <v>158.95099999999999</v>
      </c>
      <c r="F63" s="46">
        <v>140.446</v>
      </c>
      <c r="G63" s="46">
        <v>162.785</v>
      </c>
      <c r="H63" s="46">
        <v>109.172</v>
      </c>
      <c r="I63" s="46">
        <v>117.363</v>
      </c>
      <c r="J63" s="46">
        <v>104.315</v>
      </c>
      <c r="K63" s="46">
        <v>83.897999999999996</v>
      </c>
      <c r="L63" s="46">
        <v>90.097999999999999</v>
      </c>
      <c r="M63" s="46">
        <v>149.07</v>
      </c>
      <c r="N63" s="46">
        <v>125.04900000000001</v>
      </c>
      <c r="O63" s="46">
        <v>134.864</v>
      </c>
      <c r="P63" s="46">
        <v>100.605</v>
      </c>
      <c r="Q63" s="46">
        <v>54.54</v>
      </c>
      <c r="R63" s="46">
        <v>121.223</v>
      </c>
      <c r="S63" s="46">
        <v>85.558000000000007</v>
      </c>
      <c r="T63" s="46">
        <v>197.65899999999999</v>
      </c>
      <c r="U63" s="46">
        <v>193.14500000000001</v>
      </c>
      <c r="V63" s="46">
        <v>72.403000000000006</v>
      </c>
      <c r="W63" s="46">
        <v>91.727000000000004</v>
      </c>
      <c r="X63" s="46">
        <v>108.21299999999999</v>
      </c>
      <c r="Y63" s="46">
        <v>145.50800000000001</v>
      </c>
      <c r="Z63" s="46">
        <v>537.04999999999995</v>
      </c>
      <c r="AA63" s="46">
        <v>120.23099999999999</v>
      </c>
      <c r="AB63" s="46">
        <v>273.54199999999997</v>
      </c>
      <c r="AC63" s="46">
        <v>130.70699999999999</v>
      </c>
      <c r="AD63" s="46">
        <v>87.253</v>
      </c>
      <c r="AE63" s="43">
        <v>117.598</v>
      </c>
      <c r="AF63" s="46">
        <v>159.566</v>
      </c>
      <c r="AG63" s="46">
        <v>137.36600000000001</v>
      </c>
      <c r="AH63" s="46">
        <v>96.813999999999993</v>
      </c>
    </row>
    <row r="64" spans="1:1005" ht="14.5" x14ac:dyDescent="0.35">
      <c r="A64" s="60">
        <v>47969</v>
      </c>
      <c r="B64" s="13">
        <v>239</v>
      </c>
      <c r="C64" s="13">
        <v>239</v>
      </c>
      <c r="D64" s="45">
        <v>239</v>
      </c>
      <c r="E64" s="46">
        <v>251.25800000000001</v>
      </c>
      <c r="F64" s="46">
        <v>471.32499999999999</v>
      </c>
      <c r="G64" s="46">
        <v>255.95599999999999</v>
      </c>
      <c r="H64" s="46">
        <v>358.98200000000003</v>
      </c>
      <c r="I64" s="46">
        <v>200.501</v>
      </c>
      <c r="J64" s="46">
        <v>169.23599999999999</v>
      </c>
      <c r="K64" s="46">
        <v>56.970999999999997</v>
      </c>
      <c r="L64" s="46">
        <v>86.394000000000005</v>
      </c>
      <c r="M64" s="46">
        <v>122.818</v>
      </c>
      <c r="N64" s="46">
        <v>267.22199999999998</v>
      </c>
      <c r="O64" s="46">
        <v>292.92599999999999</v>
      </c>
      <c r="P64" s="46">
        <v>211.59700000000001</v>
      </c>
      <c r="Q64" s="46">
        <v>134.25</v>
      </c>
      <c r="R64" s="46">
        <v>192.19800000000001</v>
      </c>
      <c r="S64" s="46">
        <v>62.677999999999997</v>
      </c>
      <c r="T64" s="46">
        <v>351.73599999999999</v>
      </c>
      <c r="U64" s="46">
        <v>232.07599999999999</v>
      </c>
      <c r="V64" s="46">
        <v>93.6</v>
      </c>
      <c r="W64" s="46">
        <v>198.33600000000001</v>
      </c>
      <c r="X64" s="46">
        <v>243.50800000000001</v>
      </c>
      <c r="Y64" s="46">
        <v>394.26299999999998</v>
      </c>
      <c r="Z64" s="46">
        <v>573.84199999999998</v>
      </c>
      <c r="AA64" s="46">
        <v>324.88299999999998</v>
      </c>
      <c r="AB64" s="46">
        <v>183.32499999999999</v>
      </c>
      <c r="AC64" s="46">
        <v>171.084</v>
      </c>
      <c r="AD64" s="46">
        <v>117.962</v>
      </c>
      <c r="AE64" s="43">
        <v>192.21899999999999</v>
      </c>
      <c r="AF64" s="46">
        <v>333.20400000000001</v>
      </c>
      <c r="AG64" s="46">
        <v>237.75399999999999</v>
      </c>
      <c r="AH64" s="46">
        <v>237.75399999999999</v>
      </c>
      <c r="ALQ64" s="4" t="e">
        <v>#N/A</v>
      </c>
    </row>
    <row r="65" spans="1:1005" ht="14.5" x14ac:dyDescent="0.35">
      <c r="A65" s="60">
        <v>48000</v>
      </c>
      <c r="B65" s="13">
        <v>389</v>
      </c>
      <c r="C65" s="13">
        <v>389</v>
      </c>
      <c r="D65" s="45">
        <v>389</v>
      </c>
      <c r="E65" s="46">
        <v>690.51</v>
      </c>
      <c r="F65" s="46">
        <v>854.37800000000004</v>
      </c>
      <c r="G65" s="46">
        <v>467.58</v>
      </c>
      <c r="H65" s="46">
        <v>753.17600000000004</v>
      </c>
      <c r="I65" s="46">
        <v>239.88300000000001</v>
      </c>
      <c r="J65" s="46">
        <v>152.86199999999999</v>
      </c>
      <c r="K65" s="46">
        <v>189.32900000000001</v>
      </c>
      <c r="L65" s="46">
        <v>248.56399999999999</v>
      </c>
      <c r="M65" s="46">
        <v>246.15</v>
      </c>
      <c r="N65" s="46">
        <v>468.37799999999999</v>
      </c>
      <c r="O65" s="46">
        <v>327.51499999999999</v>
      </c>
      <c r="P65" s="46">
        <v>77.262</v>
      </c>
      <c r="Q65" s="46">
        <v>325.78199999999998</v>
      </c>
      <c r="R65" s="46">
        <v>526.976</v>
      </c>
      <c r="S65" s="46">
        <v>276.911</v>
      </c>
      <c r="T65" s="46">
        <v>683.83799999999997</v>
      </c>
      <c r="U65" s="46">
        <v>217.21600000000001</v>
      </c>
      <c r="V65" s="46">
        <v>104.842</v>
      </c>
      <c r="W65" s="46">
        <v>490.053</v>
      </c>
      <c r="X65" s="46">
        <v>353.87400000000002</v>
      </c>
      <c r="Y65" s="46">
        <v>414.702</v>
      </c>
      <c r="Z65" s="46">
        <v>870.83</v>
      </c>
      <c r="AA65" s="46">
        <v>500.52800000000002</v>
      </c>
      <c r="AB65" s="46">
        <v>355.04899999999998</v>
      </c>
      <c r="AC65" s="46">
        <v>397.87299999999999</v>
      </c>
      <c r="AD65" s="46">
        <v>414.63600000000002</v>
      </c>
      <c r="AE65" s="43">
        <v>73.924000000000007</v>
      </c>
      <c r="AF65" s="46">
        <v>461.72</v>
      </c>
      <c r="AG65" s="46">
        <v>183.208</v>
      </c>
      <c r="AH65" s="46">
        <v>183.208</v>
      </c>
      <c r="ALQ65" s="4" t="e">
        <v>#N/A</v>
      </c>
    </row>
    <row r="66" spans="1:1005" ht="14.5" x14ac:dyDescent="0.35">
      <c r="A66" s="60">
        <v>48030</v>
      </c>
      <c r="B66" s="13">
        <v>161</v>
      </c>
      <c r="C66" s="13">
        <v>161</v>
      </c>
      <c r="D66" s="45">
        <v>161</v>
      </c>
      <c r="E66" s="46">
        <v>308</v>
      </c>
      <c r="F66" s="46">
        <v>341.53199999999998</v>
      </c>
      <c r="G66" s="46">
        <v>436.47800000000001</v>
      </c>
      <c r="H66" s="46">
        <v>383.83199999999999</v>
      </c>
      <c r="I66" s="46">
        <v>71.944000000000003</v>
      </c>
      <c r="J66" s="46">
        <v>39.277999999999999</v>
      </c>
      <c r="K66" s="46">
        <v>85.555999999999997</v>
      </c>
      <c r="L66" s="46">
        <v>96.320999999999998</v>
      </c>
      <c r="M66" s="46">
        <v>177.16900000000001</v>
      </c>
      <c r="N66" s="46">
        <v>299.447</v>
      </c>
      <c r="O66" s="46">
        <v>84.727000000000004</v>
      </c>
      <c r="P66" s="46">
        <v>11.122999999999999</v>
      </c>
      <c r="Q66" s="46">
        <v>222.50800000000001</v>
      </c>
      <c r="R66" s="46">
        <v>390.07299999999998</v>
      </c>
      <c r="S66" s="46">
        <v>213.90299999999999</v>
      </c>
      <c r="T66" s="46">
        <v>792.39300000000003</v>
      </c>
      <c r="U66" s="46">
        <v>79.700999999999993</v>
      </c>
      <c r="V66" s="46">
        <v>39</v>
      </c>
      <c r="W66" s="46">
        <v>299.60700000000003</v>
      </c>
      <c r="X66" s="46">
        <v>152.50399999999999</v>
      </c>
      <c r="Y66" s="46">
        <v>124.184</v>
      </c>
      <c r="Z66" s="46">
        <v>406.43299999999999</v>
      </c>
      <c r="AA66" s="46">
        <v>211.78</v>
      </c>
      <c r="AB66" s="46">
        <v>247.53399999999999</v>
      </c>
      <c r="AC66" s="46">
        <v>184.11799999999999</v>
      </c>
      <c r="AD66" s="46">
        <v>185.70599999999999</v>
      </c>
      <c r="AE66" s="43">
        <v>38.582000000000001</v>
      </c>
      <c r="AF66" s="46">
        <v>257.15699999999998</v>
      </c>
      <c r="AG66" s="46">
        <v>34.689</v>
      </c>
      <c r="AH66" s="46">
        <v>34.689</v>
      </c>
      <c r="ALQ66" s="4" t="e">
        <v>#N/A</v>
      </c>
    </row>
    <row r="67" spans="1:1005" ht="14.5" x14ac:dyDescent="0.35">
      <c r="A67" s="60">
        <v>48061</v>
      </c>
      <c r="B67" s="13">
        <v>66</v>
      </c>
      <c r="C67" s="13">
        <v>66</v>
      </c>
      <c r="D67" s="45">
        <v>66</v>
      </c>
      <c r="E67" s="46">
        <v>100.06</v>
      </c>
      <c r="F67" s="46">
        <v>170.06800000000001</v>
      </c>
      <c r="G67" s="46">
        <v>142.72200000000001</v>
      </c>
      <c r="H67" s="46">
        <v>131.76499999999999</v>
      </c>
      <c r="I67" s="46">
        <v>42.158999999999999</v>
      </c>
      <c r="J67" s="46">
        <v>25.687000000000001</v>
      </c>
      <c r="K67" s="46">
        <v>36.561</v>
      </c>
      <c r="L67" s="46">
        <v>40.398000000000003</v>
      </c>
      <c r="M67" s="46">
        <v>71.111000000000004</v>
      </c>
      <c r="N67" s="46">
        <v>96.031999999999996</v>
      </c>
      <c r="O67" s="46">
        <v>49.786999999999999</v>
      </c>
      <c r="P67" s="46">
        <v>30.007000000000001</v>
      </c>
      <c r="Q67" s="46">
        <v>68.742999999999995</v>
      </c>
      <c r="R67" s="46">
        <v>120.535</v>
      </c>
      <c r="S67" s="46">
        <v>68.89</v>
      </c>
      <c r="T67" s="46">
        <v>206.983</v>
      </c>
      <c r="U67" s="46">
        <v>42.802</v>
      </c>
      <c r="V67" s="46">
        <v>25.966000000000001</v>
      </c>
      <c r="W67" s="46">
        <v>110.31399999999999</v>
      </c>
      <c r="X67" s="46">
        <v>59.078000000000003</v>
      </c>
      <c r="Y67" s="46">
        <v>63.573</v>
      </c>
      <c r="Z67" s="46">
        <v>146.02099999999999</v>
      </c>
      <c r="AA67" s="46">
        <v>81.679000000000002</v>
      </c>
      <c r="AB67" s="46">
        <v>95.152000000000001</v>
      </c>
      <c r="AC67" s="46">
        <v>68.965999999999994</v>
      </c>
      <c r="AD67" s="46">
        <v>86.244</v>
      </c>
      <c r="AE67" s="43">
        <v>26.128</v>
      </c>
      <c r="AF67" s="46">
        <v>190.90899999999999</v>
      </c>
      <c r="AG67" s="46">
        <v>32.673999999999999</v>
      </c>
      <c r="AH67" s="46">
        <v>32.673999999999999</v>
      </c>
      <c r="ALQ67" s="4" t="e">
        <v>#N/A</v>
      </c>
    </row>
    <row r="68" spans="1:1005" ht="14.5" x14ac:dyDescent="0.35">
      <c r="A68" s="60">
        <v>48092</v>
      </c>
      <c r="B68" s="13">
        <v>43</v>
      </c>
      <c r="C68" s="13">
        <v>43</v>
      </c>
      <c r="D68" s="45">
        <v>43</v>
      </c>
      <c r="E68" s="46">
        <v>61.808</v>
      </c>
      <c r="F68" s="46">
        <v>108.26900000000001</v>
      </c>
      <c r="G68" s="46">
        <v>66.403000000000006</v>
      </c>
      <c r="H68" s="46">
        <v>94.355999999999995</v>
      </c>
      <c r="I68" s="46">
        <v>48.905000000000001</v>
      </c>
      <c r="J68" s="46">
        <v>22.254000000000001</v>
      </c>
      <c r="K68" s="46">
        <v>34.215000000000003</v>
      </c>
      <c r="L68" s="46">
        <v>37.752000000000002</v>
      </c>
      <c r="M68" s="46">
        <v>56.920999999999999</v>
      </c>
      <c r="N68" s="46">
        <v>54.064</v>
      </c>
      <c r="O68" s="46">
        <v>40.195999999999998</v>
      </c>
      <c r="P68" s="46">
        <v>28.629000000000001</v>
      </c>
      <c r="Q68" s="46">
        <v>54.944000000000003</v>
      </c>
      <c r="R68" s="46">
        <v>55.850999999999999</v>
      </c>
      <c r="S68" s="46">
        <v>43.856999999999999</v>
      </c>
      <c r="T68" s="46">
        <v>90.754999999999995</v>
      </c>
      <c r="U68" s="46">
        <v>32.890999999999998</v>
      </c>
      <c r="V68" s="46">
        <v>30.334</v>
      </c>
      <c r="W68" s="46">
        <v>78.912999999999997</v>
      </c>
      <c r="X68" s="46">
        <v>42.162999999999997</v>
      </c>
      <c r="Y68" s="46">
        <v>63.253</v>
      </c>
      <c r="Z68" s="46">
        <v>99.736000000000004</v>
      </c>
      <c r="AA68" s="46">
        <v>51.116</v>
      </c>
      <c r="AB68" s="46">
        <v>68.361999999999995</v>
      </c>
      <c r="AC68" s="46">
        <v>48.557000000000002</v>
      </c>
      <c r="AD68" s="46">
        <v>70.194000000000003</v>
      </c>
      <c r="AE68" s="43">
        <v>27.483000000000001</v>
      </c>
      <c r="AF68" s="46">
        <v>77.295000000000002</v>
      </c>
      <c r="AG68" s="46">
        <v>28.774999999999999</v>
      </c>
      <c r="AH68" s="46">
        <v>28.774999999999999</v>
      </c>
      <c r="ALQ68" s="4" t="e">
        <v>#N/A</v>
      </c>
    </row>
    <row r="69" spans="1:1005" ht="14.5" x14ac:dyDescent="0.35">
      <c r="A69" s="60"/>
      <c r="B69" s="13"/>
      <c r="C69" s="13"/>
      <c r="D69" s="45"/>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3"/>
      <c r="AF69" s="46"/>
      <c r="AG69" s="46"/>
      <c r="AH69" s="46"/>
      <c r="ALQ69" s="4" t="e">
        <v>#N/A</v>
      </c>
    </row>
    <row r="70" spans="1:1005" ht="14.5" x14ac:dyDescent="0.35">
      <c r="A70" s="60"/>
      <c r="B70" s="13"/>
      <c r="C70" s="13"/>
      <c r="D70" s="45"/>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3"/>
      <c r="AF70" s="46"/>
      <c r="AG70" s="46"/>
      <c r="AH70" s="46"/>
      <c r="ALQ70" s="4" t="e">
        <v>#N/A</v>
      </c>
    </row>
    <row r="71" spans="1:1005" ht="14.5" x14ac:dyDescent="0.35">
      <c r="A71" s="60"/>
      <c r="B71" s="13"/>
      <c r="C71" s="13"/>
      <c r="D71" s="45"/>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3"/>
      <c r="AF71" s="46"/>
      <c r="AG71" s="46"/>
      <c r="AH71" s="46"/>
      <c r="ALQ71" s="4" t="e">
        <v>#N/A</v>
      </c>
    </row>
    <row r="72" spans="1:1005" ht="14.5" x14ac:dyDescent="0.35">
      <c r="A72" s="60"/>
      <c r="B72" s="13"/>
      <c r="C72" s="13"/>
      <c r="D72" s="14"/>
      <c r="ALQ72" s="4" t="e">
        <v>#N/A</v>
      </c>
    </row>
    <row r="73" spans="1:1005" ht="14.5" x14ac:dyDescent="0.35">
      <c r="A73" s="60"/>
      <c r="B73" s="13"/>
      <c r="C73" s="13"/>
      <c r="D73" s="14"/>
    </row>
    <row r="74" spans="1:1005" ht="14.5" x14ac:dyDescent="0.35">
      <c r="A74" s="60"/>
      <c r="B74" s="13"/>
      <c r="C74" s="13"/>
      <c r="D74" s="14"/>
    </row>
    <row r="75" spans="1:1005" ht="14.5" x14ac:dyDescent="0.35">
      <c r="A75" s="60"/>
      <c r="B75" s="13"/>
      <c r="C75" s="13"/>
      <c r="D75" s="14"/>
    </row>
    <row r="76" spans="1:1005" ht="14.5" x14ac:dyDescent="0.35">
      <c r="A76" s="60"/>
      <c r="B76" s="13"/>
      <c r="C76" s="13"/>
      <c r="D76" s="14"/>
    </row>
    <row r="77" spans="1:1005" ht="14.5" x14ac:dyDescent="0.35">
      <c r="A77" s="60"/>
      <c r="B77" s="13"/>
      <c r="C77" s="13"/>
      <c r="D77" s="14"/>
    </row>
    <row r="78" spans="1:1005" ht="14.5" x14ac:dyDescent="0.35">
      <c r="A78" s="60"/>
      <c r="B78" s="13"/>
      <c r="C78" s="13"/>
      <c r="D78" s="14"/>
    </row>
    <row r="79" spans="1:1005" ht="14.5" x14ac:dyDescent="0.35">
      <c r="A79" s="60"/>
      <c r="B79" s="13"/>
      <c r="C79" s="13"/>
      <c r="D79" s="14"/>
    </row>
    <row r="80" spans="1:1005" ht="14.5" x14ac:dyDescent="0.35">
      <c r="A80" s="60"/>
      <c r="B80" s="13"/>
      <c r="C80" s="13"/>
      <c r="D80" s="14"/>
    </row>
    <row r="81" spans="1:4" ht="12.75" customHeight="1" x14ac:dyDescent="0.35">
      <c r="A81" s="60"/>
      <c r="B81" s="13"/>
      <c r="C81" s="13"/>
      <c r="D81" s="14"/>
    </row>
    <row r="82" spans="1:4" ht="12.75" customHeight="1" x14ac:dyDescent="0.35">
      <c r="A82" s="60"/>
      <c r="B82" s="13"/>
      <c r="C82" s="13"/>
      <c r="D82" s="14"/>
    </row>
    <row r="83" spans="1:4" ht="12.75" customHeight="1" x14ac:dyDescent="0.35">
      <c r="A83" s="60"/>
      <c r="B83" s="13"/>
      <c r="C83" s="13"/>
      <c r="D83" s="14"/>
    </row>
    <row r="84" spans="1:4" ht="12.75" customHeight="1" x14ac:dyDescent="0.35">
      <c r="A84" s="60"/>
      <c r="B84" s="13"/>
      <c r="C84" s="13"/>
      <c r="D84" s="14"/>
    </row>
  </sheetData>
  <mergeCells count="1">
    <mergeCell ref="B1:A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DF51A-5248-41EA-8803-555A78D5268A}">
  <sheetPr codeName="Sheet10">
    <tabColor rgb="FFFCCDE5"/>
  </sheetPr>
  <dimension ref="A1:ALQ84"/>
  <sheetViews>
    <sheetView topLeftCell="A43" workbookViewId="0">
      <selection activeCell="D4" sqref="D4"/>
    </sheetView>
  </sheetViews>
  <sheetFormatPr defaultColWidth="18.6328125" defaultRowHeight="12.75" customHeight="1" x14ac:dyDescent="0.35"/>
  <cols>
    <col min="1" max="4" width="7.54296875" style="3" customWidth="1"/>
    <col min="5" max="30" width="8" style="4" customWidth="1"/>
    <col min="31" max="31" width="8.36328125" style="4" customWidth="1"/>
    <col min="32" max="54" width="8.6328125" style="4" customWidth="1"/>
    <col min="55" max="16384" width="18.6328125" style="4"/>
  </cols>
  <sheetData>
    <row r="1" spans="1:39" ht="14.5" x14ac:dyDescent="0.35">
      <c r="A1" s="61" t="s">
        <v>36</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3"/>
      <c r="AJ1" s="3"/>
      <c r="AK1" s="3"/>
      <c r="AL1" s="3"/>
      <c r="AM1" s="3"/>
    </row>
    <row r="2" spans="1:39" s="3" customFormat="1" ht="14.5" x14ac:dyDescent="0.35">
      <c r="A2" s="61"/>
      <c r="B2" s="63" t="s">
        <v>0</v>
      </c>
      <c r="C2" s="63" t="s">
        <v>1</v>
      </c>
      <c r="D2" s="63" t="s">
        <v>2</v>
      </c>
      <c r="E2" s="63">
        <v>1991</v>
      </c>
      <c r="F2" s="63">
        <v>1992</v>
      </c>
      <c r="G2" s="63">
        <v>1993</v>
      </c>
      <c r="H2" s="63">
        <v>1994</v>
      </c>
      <c r="I2" s="63">
        <v>1995</v>
      </c>
      <c r="J2" s="63">
        <v>1996</v>
      </c>
      <c r="K2" s="63">
        <v>1997</v>
      </c>
      <c r="L2" s="63">
        <v>1998</v>
      </c>
      <c r="M2" s="63">
        <v>1999</v>
      </c>
      <c r="N2" s="63">
        <v>2000</v>
      </c>
      <c r="O2" s="63">
        <v>2001</v>
      </c>
      <c r="P2" s="63">
        <v>2002</v>
      </c>
      <c r="Q2" s="63">
        <v>2003</v>
      </c>
      <c r="R2" s="63">
        <v>2004</v>
      </c>
      <c r="S2" s="63">
        <v>2005</v>
      </c>
      <c r="T2" s="63">
        <v>2006</v>
      </c>
      <c r="U2" s="63">
        <v>2007</v>
      </c>
      <c r="V2" s="63">
        <v>2008</v>
      </c>
      <c r="W2" s="63">
        <v>2009</v>
      </c>
      <c r="X2" s="63">
        <v>2010</v>
      </c>
      <c r="Y2" s="63">
        <v>2011</v>
      </c>
      <c r="Z2" s="63">
        <v>2012</v>
      </c>
      <c r="AA2" s="63">
        <v>2013</v>
      </c>
      <c r="AB2" s="63">
        <v>2014</v>
      </c>
      <c r="AC2" s="63">
        <v>2015</v>
      </c>
      <c r="AD2" s="63">
        <v>2016</v>
      </c>
      <c r="AE2" s="63">
        <v>2017</v>
      </c>
      <c r="AF2" s="63">
        <v>2018</v>
      </c>
      <c r="AG2" s="63">
        <v>2019</v>
      </c>
      <c r="AH2" s="63">
        <v>2020</v>
      </c>
    </row>
    <row r="3" spans="1:39" s="3" customFormat="1" ht="14.5" x14ac:dyDescent="0.35">
      <c r="A3" s="64"/>
      <c r="B3" s="65" t="s">
        <v>3</v>
      </c>
      <c r="C3" s="65" t="s">
        <v>4</v>
      </c>
      <c r="D3" s="65" t="s">
        <v>5</v>
      </c>
      <c r="E3" s="65" t="s">
        <v>6</v>
      </c>
      <c r="F3" s="65" t="s">
        <v>7</v>
      </c>
      <c r="G3" s="65" t="s">
        <v>8</v>
      </c>
      <c r="H3" s="65" t="s">
        <v>9</v>
      </c>
      <c r="I3" s="65" t="s">
        <v>10</v>
      </c>
      <c r="J3" s="65" t="s">
        <v>11</v>
      </c>
      <c r="K3" s="65" t="s">
        <v>12</v>
      </c>
      <c r="L3" s="65" t="s">
        <v>13</v>
      </c>
      <c r="M3" s="65" t="s">
        <v>14</v>
      </c>
      <c r="N3" s="65" t="s">
        <v>15</v>
      </c>
      <c r="O3" s="65" t="s">
        <v>16</v>
      </c>
      <c r="P3" s="65" t="s">
        <v>17</v>
      </c>
      <c r="Q3" s="65" t="s">
        <v>18</v>
      </c>
      <c r="R3" s="65" t="s">
        <v>19</v>
      </c>
      <c r="S3" s="65" t="s">
        <v>20</v>
      </c>
      <c r="T3" s="65" t="s">
        <v>21</v>
      </c>
      <c r="U3" s="65" t="s">
        <v>22</v>
      </c>
      <c r="V3" s="65" t="s">
        <v>23</v>
      </c>
      <c r="W3" s="65" t="s">
        <v>24</v>
      </c>
      <c r="X3" s="65" t="s">
        <v>25</v>
      </c>
      <c r="Y3" s="65" t="s">
        <v>26</v>
      </c>
      <c r="Z3" s="65" t="s">
        <v>27</v>
      </c>
      <c r="AA3" s="65" t="s">
        <v>28</v>
      </c>
      <c r="AB3" s="65" t="s">
        <v>29</v>
      </c>
      <c r="AC3" s="65" t="s">
        <v>30</v>
      </c>
      <c r="AD3" s="65" t="s">
        <v>31</v>
      </c>
      <c r="AE3" s="65" t="s">
        <v>32</v>
      </c>
      <c r="AF3" s="65" t="s">
        <v>33</v>
      </c>
      <c r="AG3" s="65" t="s">
        <v>34</v>
      </c>
      <c r="AH3" s="65" t="s">
        <v>35</v>
      </c>
    </row>
    <row r="4" spans="1:39" ht="14.5" x14ac:dyDescent="0.35">
      <c r="A4" s="66">
        <v>46143</v>
      </c>
      <c r="B4" s="30">
        <v>113</v>
      </c>
      <c r="C4" s="31">
        <v>39</v>
      </c>
      <c r="D4" s="42">
        <v>68</v>
      </c>
      <c r="E4" s="16">
        <v>56.234999999999999</v>
      </c>
      <c r="F4" s="16">
        <v>85.29</v>
      </c>
      <c r="G4" s="16">
        <v>76.563999999999993</v>
      </c>
      <c r="H4" s="46">
        <v>67.471999999999994</v>
      </c>
      <c r="I4" s="46">
        <v>81.171999999999997</v>
      </c>
      <c r="J4" s="46">
        <v>60.265000000000001</v>
      </c>
      <c r="K4" s="46">
        <v>66.555000000000007</v>
      </c>
      <c r="L4" s="46">
        <v>52.167000000000002</v>
      </c>
      <c r="M4" s="46">
        <v>81.525999999999996</v>
      </c>
      <c r="N4" s="46">
        <v>79.472999999999999</v>
      </c>
      <c r="O4" s="46">
        <v>89.5</v>
      </c>
      <c r="P4" s="46">
        <v>52.209000000000003</v>
      </c>
      <c r="Q4" s="46">
        <v>80.769000000000005</v>
      </c>
      <c r="R4" s="46">
        <v>65.149000000000001</v>
      </c>
      <c r="S4" s="46">
        <v>82.162999999999997</v>
      </c>
      <c r="T4" s="46">
        <v>64.893000000000001</v>
      </c>
      <c r="U4" s="46">
        <v>73.774000000000001</v>
      </c>
      <c r="V4" s="46">
        <v>68.528999999999996</v>
      </c>
      <c r="W4" s="46">
        <v>78.153999999999996</v>
      </c>
      <c r="X4" s="46">
        <v>58.862000000000002</v>
      </c>
      <c r="Y4" s="46">
        <v>59.064</v>
      </c>
      <c r="Z4" s="46">
        <v>65.241</v>
      </c>
      <c r="AA4" s="46">
        <v>71.320999999999998</v>
      </c>
      <c r="AB4" s="46">
        <v>77.754999999999995</v>
      </c>
      <c r="AC4" s="46">
        <v>65.004999999999995</v>
      </c>
      <c r="AD4" s="46">
        <v>69.405000000000001</v>
      </c>
      <c r="AE4" s="46">
        <v>63.618000000000002</v>
      </c>
      <c r="AF4" s="46">
        <v>69.805999999999997</v>
      </c>
      <c r="AG4" s="46">
        <v>48.481999999999999</v>
      </c>
      <c r="AH4" s="46">
        <v>66.432000000000002</v>
      </c>
    </row>
    <row r="5" spans="1:39" ht="14.5" x14ac:dyDescent="0.35">
      <c r="A5" s="66">
        <v>46174</v>
      </c>
      <c r="B5" s="33">
        <v>82</v>
      </c>
      <c r="C5" s="8">
        <v>28</v>
      </c>
      <c r="D5" s="44">
        <v>49</v>
      </c>
      <c r="E5" s="16">
        <v>52.366999999999997</v>
      </c>
      <c r="F5" s="16">
        <v>70.968999999999994</v>
      </c>
      <c r="G5" s="16">
        <v>57.052999999999997</v>
      </c>
      <c r="H5" s="46">
        <v>37.533999999999999</v>
      </c>
      <c r="I5" s="46">
        <v>155.46199999999999</v>
      </c>
      <c r="J5" s="46">
        <v>27.925000000000001</v>
      </c>
      <c r="K5" s="46">
        <v>72.495999999999995</v>
      </c>
      <c r="L5" s="46">
        <v>34.597000000000001</v>
      </c>
      <c r="M5" s="46">
        <v>75.34</v>
      </c>
      <c r="N5" s="46">
        <v>39.204999999999998</v>
      </c>
      <c r="O5" s="46">
        <v>46.94</v>
      </c>
      <c r="P5" s="46">
        <v>27.783000000000001</v>
      </c>
      <c r="Q5" s="46">
        <v>55.491999999999997</v>
      </c>
      <c r="R5" s="46">
        <v>30.515999999999998</v>
      </c>
      <c r="S5" s="46">
        <v>43.658999999999999</v>
      </c>
      <c r="T5" s="46">
        <v>31.411000000000001</v>
      </c>
      <c r="U5" s="46">
        <v>43.905000000000001</v>
      </c>
      <c r="V5" s="46">
        <v>61.720999999999997</v>
      </c>
      <c r="W5" s="46">
        <v>43.279000000000003</v>
      </c>
      <c r="X5" s="46">
        <v>51.06</v>
      </c>
      <c r="Y5" s="46">
        <v>70.423000000000002</v>
      </c>
      <c r="Z5" s="46">
        <v>25.763000000000002</v>
      </c>
      <c r="AA5" s="46">
        <v>45.408999999999999</v>
      </c>
      <c r="AB5" s="46">
        <v>58.811</v>
      </c>
      <c r="AC5" s="46">
        <v>145.55699999999999</v>
      </c>
      <c r="AD5" s="46">
        <v>59.473999999999997</v>
      </c>
      <c r="AE5" s="46">
        <v>58.476999999999997</v>
      </c>
      <c r="AF5" s="46">
        <v>27.771999999999998</v>
      </c>
      <c r="AG5" s="46">
        <v>91.658000000000001</v>
      </c>
      <c r="AH5" s="46">
        <v>38</v>
      </c>
    </row>
    <row r="6" spans="1:39" ht="14.5" x14ac:dyDescent="0.35">
      <c r="A6" s="66">
        <v>46204</v>
      </c>
      <c r="B6" s="33">
        <v>42</v>
      </c>
      <c r="C6" s="8">
        <v>14</v>
      </c>
      <c r="D6" s="44">
        <v>25</v>
      </c>
      <c r="E6" s="16">
        <v>28.420999999999999</v>
      </c>
      <c r="F6" s="16">
        <v>36.841999999999999</v>
      </c>
      <c r="G6" s="16">
        <v>27.181999999999999</v>
      </c>
      <c r="H6" s="46">
        <v>20.748000000000001</v>
      </c>
      <c r="I6" s="46">
        <v>82.762</v>
      </c>
      <c r="J6" s="46">
        <v>18.707000000000001</v>
      </c>
      <c r="K6" s="46">
        <v>32.127000000000002</v>
      </c>
      <c r="L6" s="46">
        <v>20.084</v>
      </c>
      <c r="M6" s="46">
        <v>38.918999999999997</v>
      </c>
      <c r="N6" s="46">
        <v>22.672000000000001</v>
      </c>
      <c r="O6" s="46">
        <v>24.611000000000001</v>
      </c>
      <c r="P6" s="46">
        <v>18.861999999999998</v>
      </c>
      <c r="Q6" s="46">
        <v>23.753</v>
      </c>
      <c r="R6" s="46">
        <v>20.388999999999999</v>
      </c>
      <c r="S6" s="46">
        <v>23.547000000000001</v>
      </c>
      <c r="T6" s="46">
        <v>23.739000000000001</v>
      </c>
      <c r="U6" s="46">
        <v>25.388999999999999</v>
      </c>
      <c r="V6" s="46">
        <v>27.937000000000001</v>
      </c>
      <c r="W6" s="46">
        <v>24.263000000000002</v>
      </c>
      <c r="X6" s="46">
        <v>24.279</v>
      </c>
      <c r="Y6" s="46">
        <v>30.555</v>
      </c>
      <c r="Z6" s="46">
        <v>18.760000000000002</v>
      </c>
      <c r="AA6" s="46">
        <v>27.658000000000001</v>
      </c>
      <c r="AB6" s="46">
        <v>26.872</v>
      </c>
      <c r="AC6" s="46">
        <v>57.9</v>
      </c>
      <c r="AD6" s="46">
        <v>28.177</v>
      </c>
      <c r="AE6" s="46">
        <v>29.571999999999999</v>
      </c>
      <c r="AF6" s="46">
        <v>18.792999999999999</v>
      </c>
      <c r="AG6" s="46">
        <v>38.194000000000003</v>
      </c>
      <c r="AH6" s="46">
        <v>22.545000000000002</v>
      </c>
    </row>
    <row r="7" spans="1:39" ht="14.5" x14ac:dyDescent="0.35">
      <c r="A7" s="66">
        <v>46235</v>
      </c>
      <c r="B7" s="33">
        <v>38</v>
      </c>
      <c r="C7" s="8">
        <v>23</v>
      </c>
      <c r="D7" s="44">
        <v>28</v>
      </c>
      <c r="E7" s="16">
        <v>26.756</v>
      </c>
      <c r="F7" s="16">
        <v>40.545000000000002</v>
      </c>
      <c r="G7" s="16">
        <v>24.952000000000002</v>
      </c>
      <c r="H7" s="46">
        <v>22.117999999999999</v>
      </c>
      <c r="I7" s="46">
        <v>40.639000000000003</v>
      </c>
      <c r="J7" s="46">
        <v>19.036999999999999</v>
      </c>
      <c r="K7" s="46">
        <v>31.507000000000001</v>
      </c>
      <c r="L7" s="46">
        <v>21.795000000000002</v>
      </c>
      <c r="M7" s="46">
        <v>35.502000000000002</v>
      </c>
      <c r="N7" s="46">
        <v>28.5</v>
      </c>
      <c r="O7" s="46">
        <v>32.844999999999999</v>
      </c>
      <c r="P7" s="46">
        <v>19.920999999999999</v>
      </c>
      <c r="Q7" s="46">
        <v>27.084</v>
      </c>
      <c r="R7" s="46">
        <v>21.888999999999999</v>
      </c>
      <c r="S7" s="46">
        <v>27.756</v>
      </c>
      <c r="T7" s="46">
        <v>29.01</v>
      </c>
      <c r="U7" s="46">
        <v>29.306999999999999</v>
      </c>
      <c r="V7" s="46">
        <v>26.63</v>
      </c>
      <c r="W7" s="46">
        <v>23.125</v>
      </c>
      <c r="X7" s="46">
        <v>28.568999999999999</v>
      </c>
      <c r="Y7" s="46">
        <v>24.81</v>
      </c>
      <c r="Z7" s="46">
        <v>21.991</v>
      </c>
      <c r="AA7" s="46">
        <v>29.672999999999998</v>
      </c>
      <c r="AB7" s="46">
        <v>28.373999999999999</v>
      </c>
      <c r="AC7" s="46">
        <v>35.396000000000001</v>
      </c>
      <c r="AD7" s="46">
        <v>28.776</v>
      </c>
      <c r="AE7" s="46">
        <v>28.244</v>
      </c>
      <c r="AF7" s="46">
        <v>19.628</v>
      </c>
      <c r="AG7" s="46">
        <v>29.294</v>
      </c>
      <c r="AH7" s="46">
        <v>22.344000000000001</v>
      </c>
    </row>
    <row r="8" spans="1:39" ht="14.5" x14ac:dyDescent="0.35">
      <c r="A8" s="66">
        <v>46266</v>
      </c>
      <c r="B8" s="33">
        <v>33</v>
      </c>
      <c r="C8" s="8">
        <v>23</v>
      </c>
      <c r="D8" s="44">
        <v>22</v>
      </c>
      <c r="E8" s="16">
        <v>20.242999999999999</v>
      </c>
      <c r="F8" s="16">
        <v>32.427999999999997</v>
      </c>
      <c r="G8" s="16">
        <v>23.89</v>
      </c>
      <c r="H8" s="46">
        <v>21.827000000000002</v>
      </c>
      <c r="I8" s="46">
        <v>30.768999999999998</v>
      </c>
      <c r="J8" s="46">
        <v>18.166</v>
      </c>
      <c r="K8" s="46">
        <v>27.808</v>
      </c>
      <c r="L8" s="46">
        <v>17.699000000000002</v>
      </c>
      <c r="M8" s="46">
        <v>26.059000000000001</v>
      </c>
      <c r="N8" s="46">
        <v>23.289000000000001</v>
      </c>
      <c r="O8" s="46">
        <v>21.591000000000001</v>
      </c>
      <c r="P8" s="46">
        <v>19.933</v>
      </c>
      <c r="Q8" s="46">
        <v>45.58</v>
      </c>
      <c r="R8" s="46">
        <v>23.167000000000002</v>
      </c>
      <c r="S8" s="46">
        <v>21.739000000000001</v>
      </c>
      <c r="T8" s="46">
        <v>24.233000000000001</v>
      </c>
      <c r="U8" s="46">
        <v>29.951000000000001</v>
      </c>
      <c r="V8" s="46">
        <v>20.303999999999998</v>
      </c>
      <c r="W8" s="46">
        <v>19.231000000000002</v>
      </c>
      <c r="X8" s="46">
        <v>19.306000000000001</v>
      </c>
      <c r="Y8" s="46">
        <v>19.507999999999999</v>
      </c>
      <c r="Z8" s="46">
        <v>19.355</v>
      </c>
      <c r="AA8" s="46">
        <v>45.527999999999999</v>
      </c>
      <c r="AB8" s="46">
        <v>33.027000000000001</v>
      </c>
      <c r="AC8" s="46">
        <v>28.757999999999999</v>
      </c>
      <c r="AD8" s="46">
        <v>22.172999999999998</v>
      </c>
      <c r="AE8" s="46">
        <v>20.204999999999998</v>
      </c>
      <c r="AF8" s="46">
        <v>17.13</v>
      </c>
      <c r="AG8" s="46">
        <v>20.52</v>
      </c>
      <c r="AH8" s="46">
        <v>24.963999999999999</v>
      </c>
    </row>
    <row r="9" spans="1:39" ht="14.5" x14ac:dyDescent="0.35">
      <c r="A9" s="66">
        <v>46296</v>
      </c>
      <c r="B9" s="33">
        <v>42</v>
      </c>
      <c r="C9" s="8">
        <v>33</v>
      </c>
      <c r="D9" s="44">
        <v>27</v>
      </c>
      <c r="E9" s="16">
        <v>19.393000000000001</v>
      </c>
      <c r="F9" s="16">
        <v>24.524000000000001</v>
      </c>
      <c r="G9" s="16">
        <v>24.998999999999999</v>
      </c>
      <c r="H9" s="46">
        <v>28.917000000000002</v>
      </c>
      <c r="I9" s="46">
        <v>36.042999999999999</v>
      </c>
      <c r="J9" s="46">
        <v>27.948</v>
      </c>
      <c r="K9" s="46">
        <v>33.951000000000001</v>
      </c>
      <c r="L9" s="46">
        <v>28.084</v>
      </c>
      <c r="M9" s="46">
        <v>24.088999999999999</v>
      </c>
      <c r="N9" s="46">
        <v>22.561</v>
      </c>
      <c r="O9" s="46">
        <v>21.945</v>
      </c>
      <c r="P9" s="46">
        <v>29.222000000000001</v>
      </c>
      <c r="Q9" s="46">
        <v>28.241</v>
      </c>
      <c r="R9" s="46">
        <v>23.946000000000002</v>
      </c>
      <c r="S9" s="46">
        <v>35.320999999999998</v>
      </c>
      <c r="T9" s="46">
        <v>47.101999999999997</v>
      </c>
      <c r="U9" s="46">
        <v>32.454000000000001</v>
      </c>
      <c r="V9" s="46">
        <v>21.922000000000001</v>
      </c>
      <c r="W9" s="46">
        <v>23.393999999999998</v>
      </c>
      <c r="X9" s="46">
        <v>21.98</v>
      </c>
      <c r="Y9" s="46">
        <v>23.186</v>
      </c>
      <c r="Z9" s="46">
        <v>19.265999999999998</v>
      </c>
      <c r="AA9" s="46">
        <v>43.923000000000002</v>
      </c>
      <c r="AB9" s="46">
        <v>42.23</v>
      </c>
      <c r="AC9" s="46">
        <v>26.143999999999998</v>
      </c>
      <c r="AD9" s="46">
        <v>21.285</v>
      </c>
      <c r="AE9" s="46">
        <v>24.134</v>
      </c>
      <c r="AF9" s="46">
        <v>20.006</v>
      </c>
      <c r="AG9" s="46">
        <v>21.058</v>
      </c>
      <c r="AH9" s="46">
        <v>26.401</v>
      </c>
    </row>
    <row r="10" spans="1:39" ht="14.5" x14ac:dyDescent="0.35">
      <c r="A10" s="66">
        <v>46327</v>
      </c>
      <c r="B10" s="33">
        <v>33</v>
      </c>
      <c r="C10" s="8">
        <v>31</v>
      </c>
      <c r="D10" s="44">
        <v>28</v>
      </c>
      <c r="E10" s="16">
        <v>19.052</v>
      </c>
      <c r="F10" s="16">
        <v>20.358000000000001</v>
      </c>
      <c r="G10" s="16">
        <v>20.817</v>
      </c>
      <c r="H10" s="46">
        <v>22.992000000000001</v>
      </c>
      <c r="I10" s="46">
        <v>27.2</v>
      </c>
      <c r="J10" s="46">
        <v>24.52</v>
      </c>
      <c r="K10" s="46">
        <v>26.015999999999998</v>
      </c>
      <c r="L10" s="46">
        <v>25.003</v>
      </c>
      <c r="M10" s="46">
        <v>19.885000000000002</v>
      </c>
      <c r="N10" s="46">
        <v>19.655999999999999</v>
      </c>
      <c r="O10" s="46">
        <v>22.420999999999999</v>
      </c>
      <c r="P10" s="46">
        <v>19.167000000000002</v>
      </c>
      <c r="Q10" s="46">
        <v>20.571999999999999</v>
      </c>
      <c r="R10" s="46">
        <v>22.518000000000001</v>
      </c>
      <c r="S10" s="46">
        <v>28.125</v>
      </c>
      <c r="T10" s="46">
        <v>34.197000000000003</v>
      </c>
      <c r="U10" s="46">
        <v>27.393999999999998</v>
      </c>
      <c r="V10" s="46">
        <v>19.215</v>
      </c>
      <c r="W10" s="46">
        <v>22.109000000000002</v>
      </c>
      <c r="X10" s="46">
        <v>23.016999999999999</v>
      </c>
      <c r="Y10" s="46">
        <v>19.602</v>
      </c>
      <c r="Z10" s="46">
        <v>16.068000000000001</v>
      </c>
      <c r="AA10" s="46">
        <v>28.678999999999998</v>
      </c>
      <c r="AB10" s="46">
        <v>25.978999999999999</v>
      </c>
      <c r="AC10" s="46">
        <v>24.245000000000001</v>
      </c>
      <c r="AD10" s="46">
        <v>17.827000000000002</v>
      </c>
      <c r="AE10" s="46">
        <v>20.59</v>
      </c>
      <c r="AF10" s="46">
        <v>19.02</v>
      </c>
      <c r="AG10" s="46">
        <v>18.765000000000001</v>
      </c>
      <c r="AH10" s="46">
        <v>29.7</v>
      </c>
    </row>
    <row r="11" spans="1:39" ht="14.5" x14ac:dyDescent="0.35">
      <c r="A11" s="66">
        <v>46357</v>
      </c>
      <c r="B11" s="33">
        <v>28</v>
      </c>
      <c r="C11" s="8">
        <v>27</v>
      </c>
      <c r="D11" s="44">
        <v>27</v>
      </c>
      <c r="E11" s="16">
        <v>17.587</v>
      </c>
      <c r="F11" s="16">
        <v>18.364999999999998</v>
      </c>
      <c r="G11" s="16">
        <v>17.09</v>
      </c>
      <c r="H11" s="46">
        <v>18.12</v>
      </c>
      <c r="I11" s="46">
        <v>25.795000000000002</v>
      </c>
      <c r="J11" s="46">
        <v>19.699000000000002</v>
      </c>
      <c r="K11" s="46">
        <v>20.149999999999999</v>
      </c>
      <c r="L11" s="46">
        <v>22.927</v>
      </c>
      <c r="M11" s="46">
        <v>17.521999999999998</v>
      </c>
      <c r="N11" s="46">
        <v>17.094000000000001</v>
      </c>
      <c r="O11" s="46">
        <v>17.901</v>
      </c>
      <c r="P11" s="46">
        <v>16.658000000000001</v>
      </c>
      <c r="Q11" s="46">
        <v>18.79</v>
      </c>
      <c r="R11" s="46">
        <v>17.75</v>
      </c>
      <c r="S11" s="46">
        <v>20.227</v>
      </c>
      <c r="T11" s="46">
        <v>23.004999999999999</v>
      </c>
      <c r="U11" s="46">
        <v>19.273</v>
      </c>
      <c r="V11" s="46">
        <v>16.942</v>
      </c>
      <c r="W11" s="46">
        <v>17.536000000000001</v>
      </c>
      <c r="X11" s="46">
        <v>19.468</v>
      </c>
      <c r="Y11" s="46">
        <v>17.055</v>
      </c>
      <c r="Z11" s="46">
        <v>14.561</v>
      </c>
      <c r="AA11" s="46">
        <v>21.635999999999999</v>
      </c>
      <c r="AB11" s="46">
        <v>21.152999999999999</v>
      </c>
      <c r="AC11" s="46">
        <v>21.417000000000002</v>
      </c>
      <c r="AD11" s="46">
        <v>16.71</v>
      </c>
      <c r="AE11" s="46">
        <v>19.64</v>
      </c>
      <c r="AF11" s="46">
        <v>15.2</v>
      </c>
      <c r="AG11" s="46">
        <v>17.545999999999999</v>
      </c>
      <c r="AH11" s="46">
        <v>23.146999999999998</v>
      </c>
    </row>
    <row r="12" spans="1:39" ht="14.5" x14ac:dyDescent="0.35">
      <c r="A12" s="66">
        <v>46388</v>
      </c>
      <c r="B12" s="33">
        <v>26</v>
      </c>
      <c r="C12" s="8">
        <v>26</v>
      </c>
      <c r="D12" s="44">
        <v>26</v>
      </c>
      <c r="E12" s="16">
        <v>15.877000000000001</v>
      </c>
      <c r="F12" s="16">
        <v>17.350999999999999</v>
      </c>
      <c r="G12" s="16">
        <v>15.823</v>
      </c>
      <c r="H12" s="46">
        <v>16.613</v>
      </c>
      <c r="I12" s="46">
        <v>21.808</v>
      </c>
      <c r="J12" s="46">
        <v>16.545999999999999</v>
      </c>
      <c r="K12" s="46">
        <v>18.335000000000001</v>
      </c>
      <c r="L12" s="46">
        <v>19.754999999999999</v>
      </c>
      <c r="M12" s="46">
        <v>18.283000000000001</v>
      </c>
      <c r="N12" s="46">
        <v>16.006</v>
      </c>
      <c r="O12" s="46">
        <v>15.653</v>
      </c>
      <c r="P12" s="46">
        <v>15.988</v>
      </c>
      <c r="Q12" s="46">
        <v>17.056000000000001</v>
      </c>
      <c r="R12" s="46">
        <v>17.806999999999999</v>
      </c>
      <c r="S12" s="46">
        <v>17.579999999999998</v>
      </c>
      <c r="T12" s="46">
        <v>19.468</v>
      </c>
      <c r="U12" s="46">
        <v>16.067</v>
      </c>
      <c r="V12" s="46">
        <v>15.688000000000001</v>
      </c>
      <c r="W12" s="46">
        <v>15.663</v>
      </c>
      <c r="X12" s="46">
        <v>18.14</v>
      </c>
      <c r="Y12" s="46">
        <v>16.823</v>
      </c>
      <c r="Z12" s="46">
        <v>13.615</v>
      </c>
      <c r="AA12" s="46">
        <v>18.93</v>
      </c>
      <c r="AB12" s="46">
        <v>18.692</v>
      </c>
      <c r="AC12" s="46">
        <v>19.873999999999999</v>
      </c>
      <c r="AD12" s="46">
        <v>15.772</v>
      </c>
      <c r="AE12" s="46">
        <v>17.084</v>
      </c>
      <c r="AF12" s="46">
        <v>14.095000000000001</v>
      </c>
      <c r="AG12" s="46">
        <v>16.297999999999998</v>
      </c>
      <c r="AH12" s="46">
        <v>18.329000000000001</v>
      </c>
    </row>
    <row r="13" spans="1:39" ht="14.5" x14ac:dyDescent="0.35">
      <c r="A13" s="66">
        <v>46419</v>
      </c>
      <c r="B13" s="33">
        <v>25</v>
      </c>
      <c r="C13" s="8">
        <v>25</v>
      </c>
      <c r="D13" s="44">
        <v>25</v>
      </c>
      <c r="E13" s="16">
        <v>15.178000000000001</v>
      </c>
      <c r="F13" s="16">
        <v>16.263999999999999</v>
      </c>
      <c r="G13" s="16">
        <v>13.589</v>
      </c>
      <c r="H13" s="46">
        <v>19.826000000000001</v>
      </c>
      <c r="I13" s="46">
        <v>22.474</v>
      </c>
      <c r="J13" s="46">
        <v>13.582000000000001</v>
      </c>
      <c r="K13" s="46">
        <v>16.260000000000002</v>
      </c>
      <c r="L13" s="46">
        <v>19.728999999999999</v>
      </c>
      <c r="M13" s="46">
        <v>19.63</v>
      </c>
      <c r="N13" s="46">
        <v>15.919</v>
      </c>
      <c r="O13" s="46">
        <v>13.358000000000001</v>
      </c>
      <c r="P13" s="46">
        <v>18.719000000000001</v>
      </c>
      <c r="Q13" s="46">
        <v>14.79</v>
      </c>
      <c r="R13" s="46">
        <v>16.074999999999999</v>
      </c>
      <c r="S13" s="46">
        <v>14.465999999999999</v>
      </c>
      <c r="T13" s="46">
        <v>18.792999999999999</v>
      </c>
      <c r="U13" s="46">
        <v>13.138</v>
      </c>
      <c r="V13" s="46">
        <v>14.366</v>
      </c>
      <c r="W13" s="46">
        <v>13.09</v>
      </c>
      <c r="X13" s="46">
        <v>15.179</v>
      </c>
      <c r="Y13" s="46">
        <v>14.211</v>
      </c>
      <c r="Z13" s="46">
        <v>12.069000000000001</v>
      </c>
      <c r="AA13" s="46">
        <v>19.202000000000002</v>
      </c>
      <c r="AB13" s="46">
        <v>24.215</v>
      </c>
      <c r="AC13" s="46">
        <v>18.890999999999998</v>
      </c>
      <c r="AD13" s="46">
        <v>21.702999999999999</v>
      </c>
      <c r="AE13" s="46">
        <v>19.646000000000001</v>
      </c>
      <c r="AF13" s="46">
        <v>12.423999999999999</v>
      </c>
      <c r="AG13" s="46">
        <v>14.917</v>
      </c>
      <c r="AH13" s="46">
        <v>17.898</v>
      </c>
    </row>
    <row r="14" spans="1:39" ht="14.5" x14ac:dyDescent="0.35">
      <c r="A14" s="66">
        <v>46447</v>
      </c>
      <c r="B14" s="33">
        <v>43</v>
      </c>
      <c r="C14" s="8">
        <v>37</v>
      </c>
      <c r="D14" s="44">
        <v>40</v>
      </c>
      <c r="E14" s="16">
        <v>28.334</v>
      </c>
      <c r="F14" s="16">
        <v>31.460999999999999</v>
      </c>
      <c r="G14" s="16">
        <v>31.393000000000001</v>
      </c>
      <c r="H14" s="46">
        <v>42.564999999999998</v>
      </c>
      <c r="I14" s="46">
        <v>33.031999999999996</v>
      </c>
      <c r="J14" s="46">
        <v>34.71</v>
      </c>
      <c r="K14" s="46">
        <v>32.061</v>
      </c>
      <c r="L14" s="46">
        <v>30.652000000000001</v>
      </c>
      <c r="M14" s="46">
        <v>25.681999999999999</v>
      </c>
      <c r="N14" s="46">
        <v>26.702999999999999</v>
      </c>
      <c r="O14" s="46">
        <v>18.567</v>
      </c>
      <c r="P14" s="46">
        <v>30.138000000000002</v>
      </c>
      <c r="Q14" s="46">
        <v>44.98</v>
      </c>
      <c r="R14" s="46">
        <v>22.298999999999999</v>
      </c>
      <c r="S14" s="46">
        <v>23.818000000000001</v>
      </c>
      <c r="T14" s="46">
        <v>47.956000000000003</v>
      </c>
      <c r="U14" s="46">
        <v>14.723000000000001</v>
      </c>
      <c r="V14" s="46">
        <v>32.817999999999998</v>
      </c>
      <c r="W14" s="46">
        <v>16.974</v>
      </c>
      <c r="X14" s="46">
        <v>28.062000000000001</v>
      </c>
      <c r="Y14" s="46">
        <v>30.562999999999999</v>
      </c>
      <c r="Z14" s="46">
        <v>19.841000000000001</v>
      </c>
      <c r="AA14" s="46">
        <v>26.896000000000001</v>
      </c>
      <c r="AB14" s="46">
        <v>43.125</v>
      </c>
      <c r="AC14" s="46">
        <v>35.377000000000002</v>
      </c>
      <c r="AD14" s="46">
        <v>55.078000000000003</v>
      </c>
      <c r="AE14" s="46">
        <v>22.036000000000001</v>
      </c>
      <c r="AF14" s="46">
        <v>19.204000000000001</v>
      </c>
      <c r="AG14" s="46">
        <v>27.504000000000001</v>
      </c>
      <c r="AH14" s="46">
        <v>25.036000000000001</v>
      </c>
    </row>
    <row r="15" spans="1:39" ht="14.5" x14ac:dyDescent="0.35">
      <c r="A15" s="66">
        <v>46478</v>
      </c>
      <c r="B15" s="33">
        <v>105</v>
      </c>
      <c r="C15" s="8">
        <v>72</v>
      </c>
      <c r="D15" s="44">
        <v>89</v>
      </c>
      <c r="E15" s="16">
        <v>66.350999999999999</v>
      </c>
      <c r="F15" s="16">
        <v>70.302999999999997</v>
      </c>
      <c r="G15" s="16">
        <v>59.793999999999997</v>
      </c>
      <c r="H15" s="46">
        <v>52.807000000000002</v>
      </c>
      <c r="I15" s="46">
        <v>83.634</v>
      </c>
      <c r="J15" s="46">
        <v>71.828000000000003</v>
      </c>
      <c r="K15" s="46">
        <v>52.008000000000003</v>
      </c>
      <c r="L15" s="46">
        <v>47.444000000000003</v>
      </c>
      <c r="M15" s="46">
        <v>76.597999999999999</v>
      </c>
      <c r="N15" s="46">
        <v>59.765999999999998</v>
      </c>
      <c r="O15" s="46">
        <v>51.84</v>
      </c>
      <c r="P15" s="46">
        <v>55.405000000000001</v>
      </c>
      <c r="Q15" s="46">
        <v>97.724999999999994</v>
      </c>
      <c r="R15" s="46">
        <v>61.088000000000001</v>
      </c>
      <c r="S15" s="46">
        <v>80.596000000000004</v>
      </c>
      <c r="T15" s="46">
        <v>86.022000000000006</v>
      </c>
      <c r="U15" s="46">
        <v>49.28</v>
      </c>
      <c r="V15" s="46">
        <v>51.805</v>
      </c>
      <c r="W15" s="46">
        <v>47.920999999999999</v>
      </c>
      <c r="X15" s="46">
        <v>64.373000000000005</v>
      </c>
      <c r="Y15" s="46">
        <v>69.445999999999998</v>
      </c>
      <c r="Z15" s="46">
        <v>40.128</v>
      </c>
      <c r="AA15" s="46">
        <v>65.906999999999996</v>
      </c>
      <c r="AB15" s="46">
        <v>67.739999999999995</v>
      </c>
      <c r="AC15" s="46">
        <v>61.771999999999998</v>
      </c>
      <c r="AD15" s="46">
        <v>106.111</v>
      </c>
      <c r="AE15" s="46">
        <v>39.820999999999998</v>
      </c>
      <c r="AF15" s="46">
        <v>77.588999999999999</v>
      </c>
      <c r="AG15" s="46">
        <v>43.756999999999998</v>
      </c>
      <c r="AH15" s="46">
        <v>48.726999999999997</v>
      </c>
    </row>
    <row r="16" spans="1:39" ht="14.5" x14ac:dyDescent="0.35">
      <c r="A16" s="66">
        <v>46508</v>
      </c>
      <c r="B16" s="33">
        <v>274</v>
      </c>
      <c r="C16" s="8">
        <v>176</v>
      </c>
      <c r="D16" s="44">
        <v>226</v>
      </c>
      <c r="E16" s="16">
        <v>193.935</v>
      </c>
      <c r="F16" s="16">
        <v>270.47899999999998</v>
      </c>
      <c r="G16" s="16">
        <v>179.80500000000001</v>
      </c>
      <c r="H16" s="46">
        <v>232.55</v>
      </c>
      <c r="I16" s="46">
        <v>320.92</v>
      </c>
      <c r="J16" s="46">
        <v>292.64600000000002</v>
      </c>
      <c r="K16" s="46">
        <v>170.214</v>
      </c>
      <c r="L16" s="46">
        <v>192.37200000000001</v>
      </c>
      <c r="M16" s="46">
        <v>225.27199999999999</v>
      </c>
      <c r="N16" s="46">
        <v>243.309</v>
      </c>
      <c r="O16" s="46">
        <v>87.9</v>
      </c>
      <c r="P16" s="46">
        <v>162.42400000000001</v>
      </c>
      <c r="Q16" s="46">
        <v>222.84700000000001</v>
      </c>
      <c r="R16" s="46">
        <v>252.88399999999999</v>
      </c>
      <c r="S16" s="46">
        <v>219.114</v>
      </c>
      <c r="T16" s="46">
        <v>224.733</v>
      </c>
      <c r="U16" s="46">
        <v>251.38300000000001</v>
      </c>
      <c r="V16" s="46">
        <v>259.70999999999998</v>
      </c>
      <c r="W16" s="46">
        <v>105.8</v>
      </c>
      <c r="X16" s="46">
        <v>146.965</v>
      </c>
      <c r="Y16" s="46">
        <v>127.381</v>
      </c>
      <c r="Z16" s="46">
        <v>104.154</v>
      </c>
      <c r="AA16" s="46">
        <v>236.124</v>
      </c>
      <c r="AB16" s="46">
        <v>146.828</v>
      </c>
      <c r="AC16" s="46">
        <v>164.405</v>
      </c>
      <c r="AD16" s="46">
        <v>235.756</v>
      </c>
      <c r="AE16" s="46">
        <v>141.13800000000001</v>
      </c>
      <c r="AF16" s="46">
        <v>201.376</v>
      </c>
      <c r="AG16" s="46">
        <v>160.62</v>
      </c>
      <c r="AH16" s="46">
        <v>127.923</v>
      </c>
    </row>
    <row r="17" spans="1:34" ht="14.5" x14ac:dyDescent="0.35">
      <c r="A17" s="66">
        <v>46539</v>
      </c>
      <c r="B17" s="33">
        <v>358</v>
      </c>
      <c r="C17" s="8">
        <v>173</v>
      </c>
      <c r="D17" s="44">
        <v>265</v>
      </c>
      <c r="E17" s="16">
        <v>160.244</v>
      </c>
      <c r="F17" s="16">
        <v>413.59899999999999</v>
      </c>
      <c r="G17" s="16">
        <v>204.886</v>
      </c>
      <c r="H17" s="46">
        <v>563.85699999999997</v>
      </c>
      <c r="I17" s="46">
        <v>299.61099999999999</v>
      </c>
      <c r="J17" s="46">
        <v>476.22800000000001</v>
      </c>
      <c r="K17" s="46">
        <v>203.21899999999999</v>
      </c>
      <c r="L17" s="46">
        <v>314.351</v>
      </c>
      <c r="M17" s="46">
        <v>145.845</v>
      </c>
      <c r="N17" s="46">
        <v>191.881</v>
      </c>
      <c r="O17" s="46">
        <v>56.633000000000003</v>
      </c>
      <c r="P17" s="46">
        <v>219.63900000000001</v>
      </c>
      <c r="Q17" s="46">
        <v>138.625</v>
      </c>
      <c r="R17" s="46">
        <v>285.00799999999998</v>
      </c>
      <c r="S17" s="46">
        <v>182.012</v>
      </c>
      <c r="T17" s="46">
        <v>173.08099999999999</v>
      </c>
      <c r="U17" s="46">
        <v>480.29199999999997</v>
      </c>
      <c r="V17" s="46">
        <v>247.84899999999999</v>
      </c>
      <c r="W17" s="46">
        <v>257.08699999999999</v>
      </c>
      <c r="X17" s="46">
        <v>416.36599999999999</v>
      </c>
      <c r="Y17" s="46">
        <v>48.618000000000002</v>
      </c>
      <c r="Z17" s="46">
        <v>152.18</v>
      </c>
      <c r="AA17" s="46">
        <v>339.08</v>
      </c>
      <c r="AB17" s="46">
        <v>344.68900000000002</v>
      </c>
      <c r="AC17" s="46">
        <v>292.18900000000002</v>
      </c>
      <c r="AD17" s="46">
        <v>387.714</v>
      </c>
      <c r="AE17" s="46">
        <v>70.173000000000002</v>
      </c>
      <c r="AF17" s="46">
        <v>407.089</v>
      </c>
      <c r="AG17" s="46">
        <v>181.79300000000001</v>
      </c>
      <c r="AH17" s="46">
        <v>266.37900000000002</v>
      </c>
    </row>
    <row r="18" spans="1:34" ht="14.5" x14ac:dyDescent="0.35">
      <c r="A18" s="66">
        <v>46569</v>
      </c>
      <c r="B18" s="33">
        <v>147</v>
      </c>
      <c r="C18" s="8">
        <v>54</v>
      </c>
      <c r="D18" s="44">
        <v>90</v>
      </c>
      <c r="E18" s="16">
        <v>64.52</v>
      </c>
      <c r="F18" s="16">
        <v>188</v>
      </c>
      <c r="G18" s="16">
        <v>61.933999999999997</v>
      </c>
      <c r="H18" s="46">
        <v>443.947</v>
      </c>
      <c r="I18" s="46">
        <v>106.205</v>
      </c>
      <c r="J18" s="46">
        <v>169.822</v>
      </c>
      <c r="K18" s="46">
        <v>98.424999999999997</v>
      </c>
      <c r="L18" s="46">
        <v>217.88800000000001</v>
      </c>
      <c r="M18" s="46">
        <v>48.530999999999999</v>
      </c>
      <c r="N18" s="46">
        <v>58.95</v>
      </c>
      <c r="O18" s="46">
        <v>23.681999999999999</v>
      </c>
      <c r="P18" s="46">
        <v>59.064</v>
      </c>
      <c r="Q18" s="46">
        <v>53.374000000000002</v>
      </c>
      <c r="R18" s="46">
        <v>113.959</v>
      </c>
      <c r="S18" s="46">
        <v>69.337000000000003</v>
      </c>
      <c r="T18" s="46">
        <v>65.486999999999995</v>
      </c>
      <c r="U18" s="46">
        <v>212.142</v>
      </c>
      <c r="V18" s="46">
        <v>129.93700000000001</v>
      </c>
      <c r="W18" s="46">
        <v>69.679000000000002</v>
      </c>
      <c r="X18" s="46">
        <v>232.11099999999999</v>
      </c>
      <c r="Y18" s="46">
        <v>24.228999999999999</v>
      </c>
      <c r="Z18" s="46">
        <v>56.304000000000002</v>
      </c>
      <c r="AA18" s="46">
        <v>103.86</v>
      </c>
      <c r="AB18" s="46">
        <v>119.197</v>
      </c>
      <c r="AC18" s="46">
        <v>93.775999999999996</v>
      </c>
      <c r="AD18" s="46">
        <v>131.21899999999999</v>
      </c>
      <c r="AE18" s="46">
        <v>28.762</v>
      </c>
      <c r="AF18" s="46">
        <v>269.46199999999999</v>
      </c>
      <c r="AG18" s="46">
        <v>56.515000000000001</v>
      </c>
      <c r="AH18" s="46">
        <v>117.495</v>
      </c>
    </row>
    <row r="19" spans="1:34" ht="14.5" x14ac:dyDescent="0.35">
      <c r="A19" s="66">
        <v>46600</v>
      </c>
      <c r="B19" s="33">
        <v>71</v>
      </c>
      <c r="C19" s="8">
        <v>43</v>
      </c>
      <c r="D19" s="44">
        <v>56</v>
      </c>
      <c r="E19" s="16">
        <v>53.503</v>
      </c>
      <c r="F19" s="16">
        <v>70.376999999999995</v>
      </c>
      <c r="G19" s="16">
        <v>39.869</v>
      </c>
      <c r="H19" s="46">
        <v>128.97399999999999</v>
      </c>
      <c r="I19" s="46">
        <v>51.383000000000003</v>
      </c>
      <c r="J19" s="46">
        <v>81.84</v>
      </c>
      <c r="K19" s="46">
        <v>48.585999999999999</v>
      </c>
      <c r="L19" s="46">
        <v>90.51</v>
      </c>
      <c r="M19" s="46">
        <v>43.182000000000002</v>
      </c>
      <c r="N19" s="46">
        <v>52.546999999999997</v>
      </c>
      <c r="O19" s="46">
        <v>20.109000000000002</v>
      </c>
      <c r="P19" s="46">
        <v>43.802999999999997</v>
      </c>
      <c r="Q19" s="46">
        <v>37.726999999999997</v>
      </c>
      <c r="R19" s="46">
        <v>58.784999999999997</v>
      </c>
      <c r="S19" s="46">
        <v>49.582999999999998</v>
      </c>
      <c r="T19" s="46">
        <v>47.89</v>
      </c>
      <c r="U19" s="46">
        <v>79.61</v>
      </c>
      <c r="V19" s="46">
        <v>52.353999999999999</v>
      </c>
      <c r="W19" s="46">
        <v>48.417999999999999</v>
      </c>
      <c r="X19" s="46">
        <v>71.942999999999998</v>
      </c>
      <c r="Y19" s="46">
        <v>25.501000000000001</v>
      </c>
      <c r="Z19" s="46">
        <v>40.575000000000003</v>
      </c>
      <c r="AA19" s="46">
        <v>58.798999999999999</v>
      </c>
      <c r="AB19" s="46">
        <v>53.305</v>
      </c>
      <c r="AC19" s="46">
        <v>53.918999999999997</v>
      </c>
      <c r="AD19" s="46">
        <v>64.156999999999996</v>
      </c>
      <c r="AE19" s="46">
        <v>24.344000000000001</v>
      </c>
      <c r="AF19" s="46">
        <v>85.593999999999994</v>
      </c>
      <c r="AG19" s="46">
        <v>37.14</v>
      </c>
      <c r="AH19" s="46">
        <v>54.902000000000001</v>
      </c>
    </row>
    <row r="20" spans="1:34" ht="14.5" x14ac:dyDescent="0.35">
      <c r="A20" s="66">
        <v>46631</v>
      </c>
      <c r="B20" s="33">
        <v>43</v>
      </c>
      <c r="C20" s="8">
        <v>30</v>
      </c>
      <c r="D20" s="44">
        <v>36</v>
      </c>
      <c r="E20" s="16">
        <v>38.533999999999999</v>
      </c>
      <c r="F20" s="16">
        <v>50.054000000000002</v>
      </c>
      <c r="G20" s="16">
        <v>32.04</v>
      </c>
      <c r="H20" s="46">
        <v>64.382000000000005</v>
      </c>
      <c r="I20" s="46">
        <v>37.222999999999999</v>
      </c>
      <c r="J20" s="46">
        <v>55.98</v>
      </c>
      <c r="K20" s="46">
        <v>30.574000000000002</v>
      </c>
      <c r="L20" s="46">
        <v>47.863999999999997</v>
      </c>
      <c r="M20" s="46">
        <v>32.045999999999999</v>
      </c>
      <c r="N20" s="46">
        <v>30.829000000000001</v>
      </c>
      <c r="O20" s="46">
        <v>19.699000000000002</v>
      </c>
      <c r="P20" s="46">
        <v>58.267000000000003</v>
      </c>
      <c r="Q20" s="46">
        <v>34.680999999999997</v>
      </c>
      <c r="R20" s="46">
        <v>37.686</v>
      </c>
      <c r="S20" s="46">
        <v>36.283000000000001</v>
      </c>
      <c r="T20" s="46">
        <v>41.442</v>
      </c>
      <c r="U20" s="46">
        <v>45.491999999999997</v>
      </c>
      <c r="V20" s="46">
        <v>34.398000000000003</v>
      </c>
      <c r="W20" s="46">
        <v>27.634</v>
      </c>
      <c r="X20" s="46">
        <v>40.942</v>
      </c>
      <c r="Y20" s="46">
        <v>20.596</v>
      </c>
      <c r="Z20" s="46">
        <v>54.16</v>
      </c>
      <c r="AA20" s="46">
        <v>52.688000000000002</v>
      </c>
      <c r="AB20" s="46">
        <v>38.018999999999998</v>
      </c>
      <c r="AC20" s="46">
        <v>35.420999999999999</v>
      </c>
      <c r="AD20" s="46">
        <v>39.093000000000004</v>
      </c>
      <c r="AE20" s="46">
        <v>19.315000000000001</v>
      </c>
      <c r="AF20" s="46">
        <v>45.067</v>
      </c>
      <c r="AG20" s="46">
        <v>34.475000000000001</v>
      </c>
      <c r="AH20" s="46">
        <v>33.655000000000001</v>
      </c>
    </row>
    <row r="21" spans="1:34" ht="14.5" x14ac:dyDescent="0.35">
      <c r="A21" s="66">
        <v>46661</v>
      </c>
      <c r="B21" s="33">
        <v>42</v>
      </c>
      <c r="C21" s="8">
        <v>33</v>
      </c>
      <c r="D21" s="44">
        <v>37</v>
      </c>
      <c r="E21" s="16">
        <v>28.344000000000001</v>
      </c>
      <c r="F21" s="16">
        <v>45.63</v>
      </c>
      <c r="G21" s="16">
        <v>39.006</v>
      </c>
      <c r="H21" s="46">
        <v>61.093000000000004</v>
      </c>
      <c r="I21" s="46">
        <v>46.372999999999998</v>
      </c>
      <c r="J21" s="46">
        <v>58.901000000000003</v>
      </c>
      <c r="K21" s="46">
        <v>40.920999999999999</v>
      </c>
      <c r="L21" s="46">
        <v>37.962000000000003</v>
      </c>
      <c r="M21" s="46">
        <v>29.044</v>
      </c>
      <c r="N21" s="46">
        <v>29.295999999999999</v>
      </c>
      <c r="O21" s="46">
        <v>28.93</v>
      </c>
      <c r="P21" s="46">
        <v>35.512</v>
      </c>
      <c r="Q21" s="46">
        <v>32.523000000000003</v>
      </c>
      <c r="R21" s="46">
        <v>51.158000000000001</v>
      </c>
      <c r="S21" s="46">
        <v>62.366999999999997</v>
      </c>
      <c r="T21" s="46">
        <v>43.113</v>
      </c>
      <c r="U21" s="46">
        <v>41.593000000000004</v>
      </c>
      <c r="V21" s="46">
        <v>36.542999999999999</v>
      </c>
      <c r="W21" s="46">
        <v>28.911999999999999</v>
      </c>
      <c r="X21" s="46">
        <v>40.209000000000003</v>
      </c>
      <c r="Y21" s="46">
        <v>19.945</v>
      </c>
      <c r="Z21" s="46">
        <v>50.234000000000002</v>
      </c>
      <c r="AA21" s="46">
        <v>62.115000000000002</v>
      </c>
      <c r="AB21" s="46">
        <v>32.798999999999999</v>
      </c>
      <c r="AC21" s="46">
        <v>30.99</v>
      </c>
      <c r="AD21" s="46">
        <v>40.423999999999999</v>
      </c>
      <c r="AE21" s="46">
        <v>21.983000000000001</v>
      </c>
      <c r="AF21" s="46">
        <v>38.804000000000002</v>
      </c>
      <c r="AG21" s="46">
        <v>34.131</v>
      </c>
      <c r="AH21" s="46">
        <v>28.62</v>
      </c>
    </row>
    <row r="22" spans="1:34" ht="14.5" x14ac:dyDescent="0.35">
      <c r="A22" s="66">
        <v>46692</v>
      </c>
      <c r="B22" s="33">
        <v>34</v>
      </c>
      <c r="C22" s="8">
        <v>30</v>
      </c>
      <c r="D22" s="44">
        <v>32</v>
      </c>
      <c r="E22" s="16">
        <v>23.972999999999999</v>
      </c>
      <c r="F22" s="16">
        <v>37.024999999999999</v>
      </c>
      <c r="G22" s="16">
        <v>30.411000000000001</v>
      </c>
      <c r="H22" s="46">
        <v>45.093000000000004</v>
      </c>
      <c r="I22" s="46">
        <v>38.905999999999999</v>
      </c>
      <c r="J22" s="46">
        <v>44.268000000000001</v>
      </c>
      <c r="K22" s="46">
        <v>34.457999999999998</v>
      </c>
      <c r="L22" s="46">
        <v>30.199000000000002</v>
      </c>
      <c r="M22" s="46">
        <v>25.748000000000001</v>
      </c>
      <c r="N22" s="46">
        <v>28.782</v>
      </c>
      <c r="O22" s="46">
        <v>18.61</v>
      </c>
      <c r="P22" s="46">
        <v>26.260999999999999</v>
      </c>
      <c r="Q22" s="46">
        <v>30.295000000000002</v>
      </c>
      <c r="R22" s="46">
        <v>39.128</v>
      </c>
      <c r="S22" s="46">
        <v>44.042000000000002</v>
      </c>
      <c r="T22" s="46">
        <v>35.404000000000003</v>
      </c>
      <c r="U22" s="46">
        <v>35.636000000000003</v>
      </c>
      <c r="V22" s="46">
        <v>32.844999999999999</v>
      </c>
      <c r="W22" s="46">
        <v>29.265000000000001</v>
      </c>
      <c r="X22" s="46">
        <v>33.095999999999997</v>
      </c>
      <c r="Y22" s="46">
        <v>16.571999999999999</v>
      </c>
      <c r="Z22" s="46">
        <v>32.71</v>
      </c>
      <c r="AA22" s="46">
        <v>38.640999999999998</v>
      </c>
      <c r="AB22" s="46">
        <v>29.702000000000002</v>
      </c>
      <c r="AC22" s="46">
        <v>26.608000000000001</v>
      </c>
      <c r="AD22" s="46">
        <v>34.35</v>
      </c>
      <c r="AE22" s="46">
        <v>20.652000000000001</v>
      </c>
      <c r="AF22" s="46">
        <v>33.558</v>
      </c>
      <c r="AG22" s="46">
        <v>36.210999999999999</v>
      </c>
      <c r="AH22" s="46">
        <v>27.161999999999999</v>
      </c>
    </row>
    <row r="23" spans="1:34" ht="14.5" x14ac:dyDescent="0.35">
      <c r="A23" s="66">
        <v>46722</v>
      </c>
      <c r="B23" s="33">
        <v>27</v>
      </c>
      <c r="C23" s="8">
        <v>27</v>
      </c>
      <c r="D23" s="44">
        <v>27</v>
      </c>
      <c r="E23" s="16">
        <v>21.5</v>
      </c>
      <c r="F23" s="16">
        <v>31.364999999999998</v>
      </c>
      <c r="G23" s="16">
        <v>24.456</v>
      </c>
      <c r="H23" s="46">
        <v>41.244</v>
      </c>
      <c r="I23" s="46">
        <v>32.142000000000003</v>
      </c>
      <c r="J23" s="46">
        <v>34.451999999999998</v>
      </c>
      <c r="K23" s="46">
        <v>31.167999999999999</v>
      </c>
      <c r="L23" s="46">
        <v>26.643999999999998</v>
      </c>
      <c r="M23" s="46">
        <v>22.353999999999999</v>
      </c>
      <c r="N23" s="46">
        <v>23.285</v>
      </c>
      <c r="O23" s="46">
        <v>16.045000000000002</v>
      </c>
      <c r="P23" s="46">
        <v>23.812999999999999</v>
      </c>
      <c r="Q23" s="46">
        <v>24.262</v>
      </c>
      <c r="R23" s="46">
        <v>28.92</v>
      </c>
      <c r="S23" s="46">
        <v>30.143000000000001</v>
      </c>
      <c r="T23" s="46">
        <v>24.991</v>
      </c>
      <c r="U23" s="46">
        <v>31.524000000000001</v>
      </c>
      <c r="V23" s="46">
        <v>26.477</v>
      </c>
      <c r="W23" s="46">
        <v>24.512</v>
      </c>
      <c r="X23" s="46">
        <v>28.913</v>
      </c>
      <c r="Y23" s="46">
        <v>14.994</v>
      </c>
      <c r="Z23" s="46">
        <v>24.564</v>
      </c>
      <c r="AA23" s="46">
        <v>31.164000000000001</v>
      </c>
      <c r="AB23" s="46">
        <v>26.257000000000001</v>
      </c>
      <c r="AC23" s="46">
        <v>24.457999999999998</v>
      </c>
      <c r="AD23" s="46">
        <v>31.751999999999999</v>
      </c>
      <c r="AE23" s="46">
        <v>16.550999999999998</v>
      </c>
      <c r="AF23" s="46">
        <v>30.827000000000002</v>
      </c>
      <c r="AG23" s="46">
        <v>28.436</v>
      </c>
      <c r="AH23" s="46">
        <v>24.603000000000002</v>
      </c>
    </row>
    <row r="24" spans="1:34" ht="14.5" x14ac:dyDescent="0.35">
      <c r="A24" s="66">
        <v>46753</v>
      </c>
      <c r="B24" s="33">
        <v>26</v>
      </c>
      <c r="C24" s="8">
        <v>26</v>
      </c>
      <c r="D24" s="44">
        <v>26</v>
      </c>
      <c r="E24" s="16">
        <v>20.135000000000002</v>
      </c>
      <c r="F24" s="16">
        <v>28.584</v>
      </c>
      <c r="G24" s="16">
        <v>22.18</v>
      </c>
      <c r="H24" s="46">
        <v>34.954000000000001</v>
      </c>
      <c r="I24" s="46">
        <v>27.439</v>
      </c>
      <c r="J24" s="46">
        <v>30.591000000000001</v>
      </c>
      <c r="K24" s="46">
        <v>26.709</v>
      </c>
      <c r="L24" s="46">
        <v>26.445</v>
      </c>
      <c r="M24" s="46">
        <v>20.693000000000001</v>
      </c>
      <c r="N24" s="46">
        <v>20.364000000000001</v>
      </c>
      <c r="O24" s="46">
        <v>15.385999999999999</v>
      </c>
      <c r="P24" s="46">
        <v>21.492999999999999</v>
      </c>
      <c r="Q24" s="46">
        <v>23.582000000000001</v>
      </c>
      <c r="R24" s="46">
        <v>25.093</v>
      </c>
      <c r="S24" s="46">
        <v>25.356000000000002</v>
      </c>
      <c r="T24" s="46">
        <v>20.805</v>
      </c>
      <c r="U24" s="46">
        <v>28.748000000000001</v>
      </c>
      <c r="V24" s="46">
        <v>23.483000000000001</v>
      </c>
      <c r="W24" s="46">
        <v>22.556999999999999</v>
      </c>
      <c r="X24" s="46">
        <v>27.446999999999999</v>
      </c>
      <c r="Y24" s="46">
        <v>13.978</v>
      </c>
      <c r="Z24" s="46">
        <v>21.486999999999998</v>
      </c>
      <c r="AA24" s="46">
        <v>27.260999999999999</v>
      </c>
      <c r="AB24" s="46">
        <v>24.155000000000001</v>
      </c>
      <c r="AC24" s="46">
        <v>22.696999999999999</v>
      </c>
      <c r="AD24" s="46">
        <v>27.684000000000001</v>
      </c>
      <c r="AE24" s="46">
        <v>15.253</v>
      </c>
      <c r="AF24" s="46">
        <v>28.146000000000001</v>
      </c>
      <c r="AG24" s="46">
        <v>22.861000000000001</v>
      </c>
      <c r="AH24" s="46">
        <v>22.210999999999999</v>
      </c>
    </row>
    <row r="25" spans="1:34" ht="14.5" x14ac:dyDescent="0.35">
      <c r="A25" s="66">
        <v>46784</v>
      </c>
      <c r="B25" s="33">
        <v>25</v>
      </c>
      <c r="C25" s="8">
        <v>25</v>
      </c>
      <c r="D25" s="44">
        <v>25</v>
      </c>
      <c r="E25" s="16">
        <v>19.190000000000001</v>
      </c>
      <c r="F25" s="16">
        <v>24.904</v>
      </c>
      <c r="G25" s="16">
        <v>25.547000000000001</v>
      </c>
      <c r="H25" s="46">
        <v>34.863999999999997</v>
      </c>
      <c r="I25" s="46">
        <v>23.167999999999999</v>
      </c>
      <c r="J25" s="46">
        <v>27.059000000000001</v>
      </c>
      <c r="K25" s="46">
        <v>26.332999999999998</v>
      </c>
      <c r="L25" s="46">
        <v>27.367999999999999</v>
      </c>
      <c r="M25" s="46">
        <v>20.478000000000002</v>
      </c>
      <c r="N25" s="46">
        <v>17.802</v>
      </c>
      <c r="O25" s="46">
        <v>18.734999999999999</v>
      </c>
      <c r="P25" s="46">
        <v>19.137</v>
      </c>
      <c r="Q25" s="46">
        <v>21.518999999999998</v>
      </c>
      <c r="R25" s="46">
        <v>21.236999999999998</v>
      </c>
      <c r="S25" s="46">
        <v>24.396999999999998</v>
      </c>
      <c r="T25" s="46">
        <v>17.507000000000001</v>
      </c>
      <c r="U25" s="46">
        <v>26.318999999999999</v>
      </c>
      <c r="V25" s="46">
        <v>20.084</v>
      </c>
      <c r="W25" s="46">
        <v>19.420999999999999</v>
      </c>
      <c r="X25" s="46">
        <v>23.638999999999999</v>
      </c>
      <c r="Y25" s="46">
        <v>12.763999999999999</v>
      </c>
      <c r="Z25" s="46">
        <v>22.315000000000001</v>
      </c>
      <c r="AA25" s="46">
        <v>32.789000000000001</v>
      </c>
      <c r="AB25" s="46">
        <v>23.356000000000002</v>
      </c>
      <c r="AC25" s="46">
        <v>28.696000000000002</v>
      </c>
      <c r="AD25" s="46">
        <v>29.454999999999998</v>
      </c>
      <c r="AE25" s="46">
        <v>13.801</v>
      </c>
      <c r="AF25" s="46">
        <v>25.498000000000001</v>
      </c>
      <c r="AG25" s="46">
        <v>22.405999999999999</v>
      </c>
      <c r="AH25" s="46">
        <v>21.196000000000002</v>
      </c>
    </row>
    <row r="26" spans="1:34" ht="14.5" x14ac:dyDescent="0.35">
      <c r="A26" s="66">
        <v>46813</v>
      </c>
      <c r="B26" s="33">
        <v>40</v>
      </c>
      <c r="C26" s="8">
        <v>40</v>
      </c>
      <c r="D26" s="44">
        <v>40</v>
      </c>
      <c r="E26" s="16">
        <v>35.225999999999999</v>
      </c>
      <c r="F26" s="16">
        <v>43.877000000000002</v>
      </c>
      <c r="G26" s="16">
        <v>47.613</v>
      </c>
      <c r="H26" s="46">
        <v>44.273000000000003</v>
      </c>
      <c r="I26" s="46">
        <v>47.173000000000002</v>
      </c>
      <c r="J26" s="46">
        <v>44.737000000000002</v>
      </c>
      <c r="K26" s="46">
        <v>38.237000000000002</v>
      </c>
      <c r="L26" s="46">
        <v>32.893999999999998</v>
      </c>
      <c r="M26" s="46">
        <v>31.231999999999999</v>
      </c>
      <c r="N26" s="46">
        <v>22.934999999999999</v>
      </c>
      <c r="O26" s="46">
        <v>29.806000000000001</v>
      </c>
      <c r="P26" s="46">
        <v>49.62</v>
      </c>
      <c r="Q26" s="46">
        <v>27.234999999999999</v>
      </c>
      <c r="R26" s="46">
        <v>30.449000000000002</v>
      </c>
      <c r="S26" s="46">
        <v>57.646000000000001</v>
      </c>
      <c r="T26" s="46">
        <v>18.734000000000002</v>
      </c>
      <c r="U26" s="46">
        <v>45.905000000000001</v>
      </c>
      <c r="V26" s="46">
        <v>23.876000000000001</v>
      </c>
      <c r="W26" s="46">
        <v>32.045000000000002</v>
      </c>
      <c r="X26" s="46">
        <v>41.581000000000003</v>
      </c>
      <c r="Y26" s="46">
        <v>20.681000000000001</v>
      </c>
      <c r="Z26" s="46">
        <v>29.039000000000001</v>
      </c>
      <c r="AA26" s="46">
        <v>55.621000000000002</v>
      </c>
      <c r="AB26" s="46">
        <v>39.57</v>
      </c>
      <c r="AC26" s="46">
        <v>65.069000000000003</v>
      </c>
      <c r="AD26" s="46">
        <v>31.242999999999999</v>
      </c>
      <c r="AE26" s="46">
        <v>20.658999999999999</v>
      </c>
      <c r="AF26" s="46">
        <v>38.256999999999998</v>
      </c>
      <c r="AG26" s="46">
        <v>28.998999999999999</v>
      </c>
      <c r="AH26" s="46">
        <v>35.270000000000003</v>
      </c>
    </row>
    <row r="27" spans="1:34" ht="14.5" x14ac:dyDescent="0.35">
      <c r="A27" s="66">
        <v>46844</v>
      </c>
      <c r="B27" s="33">
        <v>89</v>
      </c>
      <c r="C27" s="8">
        <v>89</v>
      </c>
      <c r="D27" s="44">
        <v>89</v>
      </c>
      <c r="E27" s="16">
        <v>75.591999999999999</v>
      </c>
      <c r="F27" s="16">
        <v>80.650000000000006</v>
      </c>
      <c r="G27" s="16">
        <v>62.64</v>
      </c>
      <c r="H27" s="46">
        <v>104.203</v>
      </c>
      <c r="I27" s="46">
        <v>89.537999999999997</v>
      </c>
      <c r="J27" s="46">
        <v>68.885999999999996</v>
      </c>
      <c r="K27" s="46">
        <v>59.112000000000002</v>
      </c>
      <c r="L27" s="46">
        <v>93.162000000000006</v>
      </c>
      <c r="M27" s="46">
        <v>69.837999999999994</v>
      </c>
      <c r="N27" s="46">
        <v>59.277999999999999</v>
      </c>
      <c r="O27" s="46">
        <v>55.551000000000002</v>
      </c>
      <c r="P27" s="46">
        <v>107.32299999999999</v>
      </c>
      <c r="Q27" s="46">
        <v>70.721999999999994</v>
      </c>
      <c r="R27" s="46">
        <v>99.593999999999994</v>
      </c>
      <c r="S27" s="46">
        <v>105.392</v>
      </c>
      <c r="T27" s="46">
        <v>54.003</v>
      </c>
      <c r="U27" s="46">
        <v>72.480999999999995</v>
      </c>
      <c r="V27" s="46">
        <v>58.703000000000003</v>
      </c>
      <c r="W27" s="46">
        <v>70.010999999999996</v>
      </c>
      <c r="X27" s="46">
        <v>91.64</v>
      </c>
      <c r="Y27" s="46">
        <v>41.052999999999997</v>
      </c>
      <c r="Z27" s="46">
        <v>71.900000000000006</v>
      </c>
      <c r="AA27" s="46">
        <v>85.103999999999999</v>
      </c>
      <c r="AB27" s="46">
        <v>66.47</v>
      </c>
      <c r="AC27" s="46">
        <v>119.04600000000001</v>
      </c>
      <c r="AD27" s="46">
        <v>53.253999999999998</v>
      </c>
      <c r="AE27" s="46">
        <v>83.396000000000001</v>
      </c>
      <c r="AF27" s="46">
        <v>56.515000000000001</v>
      </c>
      <c r="AG27" s="46">
        <v>53.231999999999999</v>
      </c>
      <c r="AH27" s="46">
        <v>81.158000000000001</v>
      </c>
    </row>
    <row r="28" spans="1:34" ht="14.5" x14ac:dyDescent="0.35">
      <c r="A28" s="66">
        <v>46874</v>
      </c>
      <c r="B28" s="33">
        <v>226</v>
      </c>
      <c r="C28" s="8">
        <v>226</v>
      </c>
      <c r="D28" s="44">
        <v>226</v>
      </c>
      <c r="E28" s="16">
        <v>299.88600000000002</v>
      </c>
      <c r="F28" s="16">
        <v>231.47300000000001</v>
      </c>
      <c r="G28" s="16">
        <v>263.416</v>
      </c>
      <c r="H28" s="46">
        <v>381.96</v>
      </c>
      <c r="I28" s="46">
        <v>354.07900000000001</v>
      </c>
      <c r="J28" s="46">
        <v>217.38200000000001</v>
      </c>
      <c r="K28" s="46">
        <v>233.36500000000001</v>
      </c>
      <c r="L28" s="46">
        <v>261.375</v>
      </c>
      <c r="M28" s="46">
        <v>268.15899999999999</v>
      </c>
      <c r="N28" s="46">
        <v>100.36499999999999</v>
      </c>
      <c r="O28" s="46">
        <v>175.43799999999999</v>
      </c>
      <c r="P28" s="46">
        <v>240.04300000000001</v>
      </c>
      <c r="Q28" s="46">
        <v>285.41800000000001</v>
      </c>
      <c r="R28" s="46">
        <v>252.71700000000001</v>
      </c>
      <c r="S28" s="46">
        <v>243.477</v>
      </c>
      <c r="T28" s="46">
        <v>266.642</v>
      </c>
      <c r="U28" s="46">
        <v>326.80399999999997</v>
      </c>
      <c r="V28" s="46">
        <v>135.624</v>
      </c>
      <c r="W28" s="46">
        <v>171.30199999999999</v>
      </c>
      <c r="X28" s="46">
        <v>154.292</v>
      </c>
      <c r="Y28" s="46">
        <v>108.408</v>
      </c>
      <c r="Z28" s="46">
        <v>261.24900000000002</v>
      </c>
      <c r="AA28" s="46">
        <v>177.44900000000001</v>
      </c>
      <c r="AB28" s="46">
        <v>176.71799999999999</v>
      </c>
      <c r="AC28" s="46">
        <v>273.50900000000001</v>
      </c>
      <c r="AD28" s="46">
        <v>172.53</v>
      </c>
      <c r="AE28" s="46">
        <v>202.29</v>
      </c>
      <c r="AF28" s="46">
        <v>196.233</v>
      </c>
      <c r="AG28" s="46">
        <v>149.11199999999999</v>
      </c>
      <c r="AH28" s="46">
        <v>222.845</v>
      </c>
    </row>
    <row r="29" spans="1:34" ht="14.5" x14ac:dyDescent="0.35">
      <c r="A29" s="66">
        <v>46905</v>
      </c>
      <c r="B29" s="33">
        <v>265</v>
      </c>
      <c r="C29" s="8">
        <v>265</v>
      </c>
      <c r="D29" s="44">
        <v>265</v>
      </c>
      <c r="E29" s="16">
        <v>421.76100000000002</v>
      </c>
      <c r="F29" s="16">
        <v>220.875</v>
      </c>
      <c r="G29" s="16">
        <v>601.70399999999995</v>
      </c>
      <c r="H29" s="46">
        <v>321.68799999999999</v>
      </c>
      <c r="I29" s="46">
        <v>507.87400000000002</v>
      </c>
      <c r="J29" s="46">
        <v>219.334</v>
      </c>
      <c r="K29" s="46">
        <v>345.61</v>
      </c>
      <c r="L29" s="46">
        <v>160.00399999999999</v>
      </c>
      <c r="M29" s="46">
        <v>193.99299999999999</v>
      </c>
      <c r="N29" s="46">
        <v>57.951000000000001</v>
      </c>
      <c r="O29" s="46">
        <v>210.65199999999999</v>
      </c>
      <c r="P29" s="46">
        <v>146.875</v>
      </c>
      <c r="Q29" s="46">
        <v>293.39699999999999</v>
      </c>
      <c r="R29" s="46">
        <v>189.52500000000001</v>
      </c>
      <c r="S29" s="46">
        <v>177.77500000000001</v>
      </c>
      <c r="T29" s="46">
        <v>501.91800000000001</v>
      </c>
      <c r="U29" s="46">
        <v>270.62799999999999</v>
      </c>
      <c r="V29" s="46">
        <v>274.17599999999999</v>
      </c>
      <c r="W29" s="46">
        <v>446.64400000000001</v>
      </c>
      <c r="X29" s="46">
        <v>58.360999999999997</v>
      </c>
      <c r="Y29" s="46">
        <v>153.721</v>
      </c>
      <c r="Z29" s="46">
        <v>340.41899999999998</v>
      </c>
      <c r="AA29" s="46">
        <v>367.62599999999998</v>
      </c>
      <c r="AB29" s="46">
        <v>303.82799999999997</v>
      </c>
      <c r="AC29" s="46">
        <v>405.11500000000001</v>
      </c>
      <c r="AD29" s="46">
        <v>76.403999999999996</v>
      </c>
      <c r="AE29" s="46">
        <v>427.41399999999999</v>
      </c>
      <c r="AF29" s="46">
        <v>200.255</v>
      </c>
      <c r="AG29" s="46">
        <v>280.642</v>
      </c>
      <c r="AH29" s="46">
        <v>166.797</v>
      </c>
    </row>
    <row r="30" spans="1:34" ht="14.5" x14ac:dyDescent="0.35">
      <c r="A30" s="66">
        <v>46935</v>
      </c>
      <c r="B30" s="33">
        <v>90</v>
      </c>
      <c r="C30" s="8">
        <v>90</v>
      </c>
      <c r="D30" s="44">
        <v>90</v>
      </c>
      <c r="E30" s="16">
        <v>182.91800000000001</v>
      </c>
      <c r="F30" s="16">
        <v>67.007000000000005</v>
      </c>
      <c r="G30" s="16">
        <v>437.57799999999997</v>
      </c>
      <c r="H30" s="46">
        <v>113.441</v>
      </c>
      <c r="I30" s="46">
        <v>170.28800000000001</v>
      </c>
      <c r="J30" s="46">
        <v>103.023</v>
      </c>
      <c r="K30" s="46">
        <v>218.97200000000001</v>
      </c>
      <c r="L30" s="46">
        <v>53.069000000000003</v>
      </c>
      <c r="M30" s="46">
        <v>60.298999999999999</v>
      </c>
      <c r="N30" s="46">
        <v>25.632999999999999</v>
      </c>
      <c r="O30" s="46">
        <v>58.091000000000001</v>
      </c>
      <c r="P30" s="46">
        <v>56.581000000000003</v>
      </c>
      <c r="Q30" s="46">
        <v>112.676</v>
      </c>
      <c r="R30" s="46">
        <v>73.096000000000004</v>
      </c>
      <c r="S30" s="46">
        <v>67.096000000000004</v>
      </c>
      <c r="T30" s="46">
        <v>216.471</v>
      </c>
      <c r="U30" s="46">
        <v>133.512</v>
      </c>
      <c r="V30" s="46">
        <v>72.113</v>
      </c>
      <c r="W30" s="46">
        <v>226.35900000000001</v>
      </c>
      <c r="X30" s="46">
        <v>30.178999999999998</v>
      </c>
      <c r="Y30" s="46">
        <v>56.064</v>
      </c>
      <c r="Z30" s="46">
        <v>102.98699999999999</v>
      </c>
      <c r="AA30" s="46">
        <v>120.102</v>
      </c>
      <c r="AB30" s="46">
        <v>96.367999999999995</v>
      </c>
      <c r="AC30" s="46">
        <v>131.684</v>
      </c>
      <c r="AD30" s="46">
        <v>33.761000000000003</v>
      </c>
      <c r="AE30" s="46">
        <v>258.827</v>
      </c>
      <c r="AF30" s="46">
        <v>62.616999999999997</v>
      </c>
      <c r="AG30" s="46">
        <v>117.03700000000001</v>
      </c>
      <c r="AH30" s="46">
        <v>67.132999999999996</v>
      </c>
    </row>
    <row r="31" spans="1:34" ht="14.5" x14ac:dyDescent="0.35">
      <c r="A31" s="66">
        <v>46966</v>
      </c>
      <c r="B31" s="33">
        <v>56</v>
      </c>
      <c r="C31" s="8">
        <v>56</v>
      </c>
      <c r="D31" s="44">
        <v>56</v>
      </c>
      <c r="E31" s="16">
        <v>70.53</v>
      </c>
      <c r="F31" s="16">
        <v>44.360999999999997</v>
      </c>
      <c r="G31" s="16">
        <v>126.312</v>
      </c>
      <c r="H31" s="46">
        <v>55.996000000000002</v>
      </c>
      <c r="I31" s="46">
        <v>83.462999999999994</v>
      </c>
      <c r="J31" s="46">
        <v>52.344999999999999</v>
      </c>
      <c r="K31" s="46">
        <v>90.355000000000004</v>
      </c>
      <c r="L31" s="46">
        <v>46.542999999999999</v>
      </c>
      <c r="M31" s="46">
        <v>53.908999999999999</v>
      </c>
      <c r="N31" s="46">
        <v>22.402000000000001</v>
      </c>
      <c r="O31" s="46">
        <v>43.085000000000001</v>
      </c>
      <c r="P31" s="46">
        <v>39.363</v>
      </c>
      <c r="Q31" s="46">
        <v>59.947000000000003</v>
      </c>
      <c r="R31" s="46">
        <v>51.606999999999999</v>
      </c>
      <c r="S31" s="46">
        <v>49.064</v>
      </c>
      <c r="T31" s="46">
        <v>80.912000000000006</v>
      </c>
      <c r="U31" s="46">
        <v>55.939</v>
      </c>
      <c r="V31" s="46">
        <v>51.009</v>
      </c>
      <c r="W31" s="46">
        <v>71.620999999999995</v>
      </c>
      <c r="X31" s="46">
        <v>30.303999999999998</v>
      </c>
      <c r="Y31" s="46">
        <v>39.808</v>
      </c>
      <c r="Z31" s="46">
        <v>58.939</v>
      </c>
      <c r="AA31" s="46">
        <v>55.433</v>
      </c>
      <c r="AB31" s="46">
        <v>55.124000000000002</v>
      </c>
      <c r="AC31" s="46">
        <v>65.066999999999993</v>
      </c>
      <c r="AD31" s="46">
        <v>27.863</v>
      </c>
      <c r="AE31" s="46">
        <v>83.772000000000006</v>
      </c>
      <c r="AF31" s="46">
        <v>41.613</v>
      </c>
      <c r="AG31" s="46">
        <v>55.670999999999999</v>
      </c>
      <c r="AH31" s="46">
        <v>56.003999999999998</v>
      </c>
    </row>
    <row r="32" spans="1:34" ht="14.5" x14ac:dyDescent="0.35">
      <c r="A32" s="66">
        <v>46997</v>
      </c>
      <c r="B32" s="33">
        <v>36</v>
      </c>
      <c r="C32" s="8">
        <v>36</v>
      </c>
      <c r="D32" s="44">
        <v>36</v>
      </c>
      <c r="E32" s="16">
        <v>50.277000000000001</v>
      </c>
      <c r="F32" s="16">
        <v>36.177999999999997</v>
      </c>
      <c r="G32" s="16">
        <v>66.271000000000001</v>
      </c>
      <c r="H32" s="46">
        <v>41.143000000000001</v>
      </c>
      <c r="I32" s="46">
        <v>58.43</v>
      </c>
      <c r="J32" s="46">
        <v>34.143999999999998</v>
      </c>
      <c r="K32" s="46">
        <v>49.113999999999997</v>
      </c>
      <c r="L32" s="46">
        <v>34.609000000000002</v>
      </c>
      <c r="M32" s="46">
        <v>31.67</v>
      </c>
      <c r="N32" s="46">
        <v>21.917000000000002</v>
      </c>
      <c r="O32" s="46">
        <v>57.887999999999998</v>
      </c>
      <c r="P32" s="46">
        <v>36.08</v>
      </c>
      <c r="Q32" s="46">
        <v>39.450000000000003</v>
      </c>
      <c r="R32" s="46">
        <v>38.667000000000002</v>
      </c>
      <c r="S32" s="46">
        <v>43.079000000000001</v>
      </c>
      <c r="T32" s="46">
        <v>46.405999999999999</v>
      </c>
      <c r="U32" s="46">
        <v>38.140999999999998</v>
      </c>
      <c r="V32" s="46">
        <v>29.585000000000001</v>
      </c>
      <c r="W32" s="46">
        <v>41.45</v>
      </c>
      <c r="X32" s="46">
        <v>24.753</v>
      </c>
      <c r="Y32" s="46">
        <v>54.996000000000002</v>
      </c>
      <c r="Z32" s="46">
        <v>54.6</v>
      </c>
      <c r="AA32" s="46">
        <v>40.109000000000002</v>
      </c>
      <c r="AB32" s="46">
        <v>36.338000000000001</v>
      </c>
      <c r="AC32" s="46">
        <v>40.689</v>
      </c>
      <c r="AD32" s="46">
        <v>22.866</v>
      </c>
      <c r="AE32" s="46">
        <v>44.598999999999997</v>
      </c>
      <c r="AF32" s="46">
        <v>38.463000000000001</v>
      </c>
      <c r="AG32" s="46">
        <v>34.613999999999997</v>
      </c>
      <c r="AH32" s="46">
        <v>39.494999999999997</v>
      </c>
    </row>
    <row r="33" spans="1:34" ht="14.5" x14ac:dyDescent="0.35">
      <c r="A33" s="66">
        <v>47027</v>
      </c>
      <c r="B33" s="67">
        <v>42</v>
      </c>
      <c r="C33" s="68">
        <v>33</v>
      </c>
      <c r="D33" s="44">
        <v>37</v>
      </c>
      <c r="E33" s="16">
        <v>46.261000000000003</v>
      </c>
      <c r="F33" s="16">
        <v>43.399000000000001</v>
      </c>
      <c r="G33" s="16">
        <v>60.009</v>
      </c>
      <c r="H33" s="46">
        <v>50.295000000000002</v>
      </c>
      <c r="I33" s="46">
        <v>60.908999999999999</v>
      </c>
      <c r="J33" s="46">
        <v>45.156999999999996</v>
      </c>
      <c r="K33" s="46">
        <v>39.340000000000003</v>
      </c>
      <c r="L33" s="46">
        <v>31.393999999999998</v>
      </c>
      <c r="M33" s="46">
        <v>30.457000000000001</v>
      </c>
      <c r="N33" s="46">
        <v>30.370999999999999</v>
      </c>
      <c r="O33" s="46">
        <v>34.667000000000002</v>
      </c>
      <c r="P33" s="46">
        <v>33.776000000000003</v>
      </c>
      <c r="Q33" s="46">
        <v>51.869</v>
      </c>
      <c r="R33" s="46">
        <v>64.406999999999996</v>
      </c>
      <c r="S33" s="46">
        <v>44.13</v>
      </c>
      <c r="T33" s="46">
        <v>42.454999999999998</v>
      </c>
      <c r="U33" s="46">
        <v>39.951999999999998</v>
      </c>
      <c r="V33" s="46">
        <v>31.021000000000001</v>
      </c>
      <c r="W33" s="46">
        <v>41.021000000000001</v>
      </c>
      <c r="X33" s="46">
        <v>23.74</v>
      </c>
      <c r="Y33" s="46">
        <v>48.798999999999999</v>
      </c>
      <c r="Z33" s="46">
        <v>61.048999999999999</v>
      </c>
      <c r="AA33" s="46">
        <v>34.930999999999997</v>
      </c>
      <c r="AB33" s="46">
        <v>31.895</v>
      </c>
      <c r="AC33" s="46">
        <v>41.747</v>
      </c>
      <c r="AD33" s="46">
        <v>25.603999999999999</v>
      </c>
      <c r="AE33" s="46">
        <v>38.726999999999997</v>
      </c>
      <c r="AF33" s="46">
        <v>37.841999999999999</v>
      </c>
      <c r="AG33" s="46">
        <v>29.547000000000001</v>
      </c>
      <c r="AH33" s="46">
        <v>29.581</v>
      </c>
    </row>
    <row r="34" spans="1:34" ht="14.5" x14ac:dyDescent="0.35">
      <c r="A34" s="66">
        <v>47058</v>
      </c>
      <c r="B34" s="33">
        <v>34</v>
      </c>
      <c r="C34" s="8">
        <v>30</v>
      </c>
      <c r="D34" s="44">
        <v>32</v>
      </c>
      <c r="E34" s="16">
        <v>37.210999999999999</v>
      </c>
      <c r="F34" s="16">
        <v>33.414000000000001</v>
      </c>
      <c r="G34" s="16">
        <v>45.610999999999997</v>
      </c>
      <c r="H34" s="46">
        <v>42.345999999999997</v>
      </c>
      <c r="I34" s="46">
        <v>45.805</v>
      </c>
      <c r="J34" s="46">
        <v>37.341999999999999</v>
      </c>
      <c r="K34" s="46">
        <v>31.456</v>
      </c>
      <c r="L34" s="46">
        <v>27.68</v>
      </c>
      <c r="M34" s="46">
        <v>29.398</v>
      </c>
      <c r="N34" s="46">
        <v>19.771999999999998</v>
      </c>
      <c r="O34" s="46">
        <v>25.797999999999998</v>
      </c>
      <c r="P34" s="46">
        <v>31.324000000000002</v>
      </c>
      <c r="Q34" s="46">
        <v>39.534999999999997</v>
      </c>
      <c r="R34" s="46">
        <v>44.779000000000003</v>
      </c>
      <c r="S34" s="46">
        <v>35.503999999999998</v>
      </c>
      <c r="T34" s="46">
        <v>36.296999999999997</v>
      </c>
      <c r="U34" s="46">
        <v>35.802</v>
      </c>
      <c r="V34" s="46">
        <v>30.888000000000002</v>
      </c>
      <c r="W34" s="46">
        <v>33.512999999999998</v>
      </c>
      <c r="X34" s="46">
        <v>19.792999999999999</v>
      </c>
      <c r="Y34" s="46">
        <v>31.95</v>
      </c>
      <c r="Z34" s="46">
        <v>38.340000000000003</v>
      </c>
      <c r="AA34" s="46">
        <v>31.318000000000001</v>
      </c>
      <c r="AB34" s="46">
        <v>27.302</v>
      </c>
      <c r="AC34" s="46">
        <v>35.633000000000003</v>
      </c>
      <c r="AD34" s="46">
        <v>23.574999999999999</v>
      </c>
      <c r="AE34" s="46">
        <v>33.304000000000002</v>
      </c>
      <c r="AF34" s="46">
        <v>39.51</v>
      </c>
      <c r="AG34" s="46">
        <v>27.978999999999999</v>
      </c>
      <c r="AH34" s="46">
        <v>25.152000000000001</v>
      </c>
    </row>
    <row r="35" spans="1:34" ht="14.5" x14ac:dyDescent="0.35">
      <c r="A35" s="66">
        <v>47088</v>
      </c>
      <c r="B35" s="33">
        <v>27</v>
      </c>
      <c r="C35" s="8">
        <v>27</v>
      </c>
      <c r="D35" s="44">
        <v>27</v>
      </c>
      <c r="E35" s="16">
        <v>31.718</v>
      </c>
      <c r="F35" s="16">
        <v>27.413</v>
      </c>
      <c r="G35" s="16">
        <v>41.735999999999997</v>
      </c>
      <c r="H35" s="46">
        <v>35.183</v>
      </c>
      <c r="I35" s="46">
        <v>36.121000000000002</v>
      </c>
      <c r="J35" s="46">
        <v>33.744</v>
      </c>
      <c r="K35" s="46">
        <v>27.898</v>
      </c>
      <c r="L35" s="46">
        <v>24.16</v>
      </c>
      <c r="M35" s="46">
        <v>23.972999999999999</v>
      </c>
      <c r="N35" s="46">
        <v>17.193000000000001</v>
      </c>
      <c r="O35" s="46">
        <v>23.405000000000001</v>
      </c>
      <c r="P35" s="46">
        <v>25.175999999999998</v>
      </c>
      <c r="Q35" s="46">
        <v>29.567</v>
      </c>
      <c r="R35" s="46">
        <v>31.138000000000002</v>
      </c>
      <c r="S35" s="46">
        <v>25.61</v>
      </c>
      <c r="T35" s="46">
        <v>32.164999999999999</v>
      </c>
      <c r="U35" s="46">
        <v>29.161000000000001</v>
      </c>
      <c r="V35" s="46">
        <v>26.085000000000001</v>
      </c>
      <c r="W35" s="46">
        <v>29.378</v>
      </c>
      <c r="X35" s="46">
        <v>18.018000000000001</v>
      </c>
      <c r="Y35" s="46">
        <v>24.143999999999998</v>
      </c>
      <c r="Z35" s="46">
        <v>31.31</v>
      </c>
      <c r="AA35" s="46">
        <v>27.791</v>
      </c>
      <c r="AB35" s="46">
        <v>25.13</v>
      </c>
      <c r="AC35" s="46">
        <v>32.686</v>
      </c>
      <c r="AD35" s="46">
        <v>19.283000000000001</v>
      </c>
      <c r="AE35" s="46">
        <v>30.629000000000001</v>
      </c>
      <c r="AF35" s="46">
        <v>31.332000000000001</v>
      </c>
      <c r="AG35" s="46">
        <v>25.242000000000001</v>
      </c>
      <c r="AH35" s="46">
        <v>22.565000000000001</v>
      </c>
    </row>
    <row r="36" spans="1:34" ht="14.5" x14ac:dyDescent="0.35">
      <c r="A36" s="66">
        <v>47119</v>
      </c>
      <c r="B36" s="33">
        <v>26</v>
      </c>
      <c r="C36" s="8">
        <v>26</v>
      </c>
      <c r="D36" s="45">
        <v>26</v>
      </c>
      <c r="E36" s="46">
        <v>28.92</v>
      </c>
      <c r="F36" s="46">
        <v>24.91</v>
      </c>
      <c r="G36" s="46">
        <v>35.496000000000002</v>
      </c>
      <c r="H36" s="46">
        <v>30.106999999999999</v>
      </c>
      <c r="I36" s="46">
        <v>32.241999999999997</v>
      </c>
      <c r="J36" s="46">
        <v>29.178000000000001</v>
      </c>
      <c r="K36" s="46">
        <v>27.795999999999999</v>
      </c>
      <c r="L36" s="46">
        <v>22.331</v>
      </c>
      <c r="M36" s="46">
        <v>21.055</v>
      </c>
      <c r="N36" s="46">
        <v>16.657</v>
      </c>
      <c r="O36" s="46">
        <v>21.143999999999998</v>
      </c>
      <c r="P36" s="46">
        <v>24.402000000000001</v>
      </c>
      <c r="Q36" s="46">
        <v>25.8</v>
      </c>
      <c r="R36" s="46">
        <v>26.433</v>
      </c>
      <c r="S36" s="46">
        <v>21.516999999999999</v>
      </c>
      <c r="T36" s="46">
        <v>29.332999999999998</v>
      </c>
      <c r="U36" s="46">
        <v>25.986999999999998</v>
      </c>
      <c r="V36" s="46">
        <v>23.893999999999998</v>
      </c>
      <c r="W36" s="46">
        <v>27.896000000000001</v>
      </c>
      <c r="X36" s="46">
        <v>16.734000000000002</v>
      </c>
      <c r="Y36" s="46">
        <v>21.087</v>
      </c>
      <c r="Z36" s="46">
        <v>27.550999999999998</v>
      </c>
      <c r="AA36" s="46">
        <v>25.561</v>
      </c>
      <c r="AB36" s="46">
        <v>23.306999999999999</v>
      </c>
      <c r="AC36" s="46">
        <v>28.709</v>
      </c>
      <c r="AD36" s="46">
        <v>17.722999999999999</v>
      </c>
      <c r="AE36" s="46">
        <v>27.986999999999998</v>
      </c>
      <c r="AF36" s="46">
        <v>25.382999999999999</v>
      </c>
      <c r="AG36" s="46">
        <v>22.92</v>
      </c>
      <c r="AH36" s="46">
        <v>21.12</v>
      </c>
    </row>
    <row r="37" spans="1:34" ht="14.5" x14ac:dyDescent="0.35">
      <c r="A37" s="66">
        <v>47150</v>
      </c>
      <c r="B37" s="15">
        <v>25</v>
      </c>
      <c r="C37" s="13">
        <v>25</v>
      </c>
      <c r="D37" s="45">
        <v>25</v>
      </c>
      <c r="E37" s="46">
        <v>24.37</v>
      </c>
      <c r="F37" s="46">
        <v>27.190999999999999</v>
      </c>
      <c r="G37" s="46">
        <v>34.281999999999996</v>
      </c>
      <c r="H37" s="46">
        <v>24.585999999999999</v>
      </c>
      <c r="I37" s="46">
        <v>27.559000000000001</v>
      </c>
      <c r="J37" s="46">
        <v>27.585000000000001</v>
      </c>
      <c r="K37" s="46">
        <v>27.445</v>
      </c>
      <c r="L37" s="46">
        <v>21.088999999999999</v>
      </c>
      <c r="M37" s="46">
        <v>17.783999999999999</v>
      </c>
      <c r="N37" s="46">
        <v>18.975999999999999</v>
      </c>
      <c r="O37" s="46">
        <v>18.231000000000002</v>
      </c>
      <c r="P37" s="46">
        <v>21.431000000000001</v>
      </c>
      <c r="Q37" s="46">
        <v>21.154</v>
      </c>
      <c r="R37" s="46">
        <v>24.614999999999998</v>
      </c>
      <c r="S37" s="46">
        <v>17.527000000000001</v>
      </c>
      <c r="T37" s="46">
        <v>25.69</v>
      </c>
      <c r="U37" s="46">
        <v>21.521999999999998</v>
      </c>
      <c r="V37" s="46">
        <v>19.966999999999999</v>
      </c>
      <c r="W37" s="46">
        <v>23.213999999999999</v>
      </c>
      <c r="X37" s="46">
        <v>14.625999999999999</v>
      </c>
      <c r="Y37" s="46">
        <v>21.391999999999999</v>
      </c>
      <c r="Z37" s="46">
        <v>32.052999999999997</v>
      </c>
      <c r="AA37" s="46">
        <v>23.821999999999999</v>
      </c>
      <c r="AB37" s="46">
        <v>28.103000000000002</v>
      </c>
      <c r="AC37" s="46">
        <v>29.47</v>
      </c>
      <c r="AD37" s="46">
        <v>15.401999999999999</v>
      </c>
      <c r="AE37" s="46">
        <v>24.539000000000001</v>
      </c>
      <c r="AF37" s="46">
        <v>23.702999999999999</v>
      </c>
      <c r="AG37" s="46">
        <v>21.053999999999998</v>
      </c>
      <c r="AH37" s="46">
        <v>19.38</v>
      </c>
    </row>
    <row r="38" spans="1:34" ht="14.5" x14ac:dyDescent="0.35">
      <c r="A38" s="66">
        <v>47178</v>
      </c>
      <c r="B38" s="15">
        <v>40</v>
      </c>
      <c r="C38" s="13">
        <v>40</v>
      </c>
      <c r="D38" s="45">
        <v>40</v>
      </c>
      <c r="E38" s="46">
        <v>44.255000000000003</v>
      </c>
      <c r="F38" s="46">
        <v>50.606000000000002</v>
      </c>
      <c r="G38" s="46">
        <v>44.819000000000003</v>
      </c>
      <c r="H38" s="46">
        <v>48.774000000000001</v>
      </c>
      <c r="I38" s="46">
        <v>46.508000000000003</v>
      </c>
      <c r="J38" s="46">
        <v>40.904000000000003</v>
      </c>
      <c r="K38" s="46">
        <v>34.090000000000003</v>
      </c>
      <c r="L38" s="46">
        <v>32.262</v>
      </c>
      <c r="M38" s="46">
        <v>23.631</v>
      </c>
      <c r="N38" s="46">
        <v>30.811</v>
      </c>
      <c r="O38" s="46">
        <v>49.051000000000002</v>
      </c>
      <c r="P38" s="46">
        <v>27.814</v>
      </c>
      <c r="Q38" s="46">
        <v>31.184999999999999</v>
      </c>
      <c r="R38" s="46">
        <v>59.088999999999999</v>
      </c>
      <c r="S38" s="46">
        <v>19.401</v>
      </c>
      <c r="T38" s="46">
        <v>46.243000000000002</v>
      </c>
      <c r="U38" s="46">
        <v>26.233000000000001</v>
      </c>
      <c r="V38" s="46">
        <v>33.421999999999997</v>
      </c>
      <c r="W38" s="46">
        <v>42.100999999999999</v>
      </c>
      <c r="X38" s="46">
        <v>22.492000000000001</v>
      </c>
      <c r="Y38" s="46">
        <v>28.83</v>
      </c>
      <c r="Z38" s="46">
        <v>55.79</v>
      </c>
      <c r="AA38" s="46">
        <v>40.99</v>
      </c>
      <c r="AB38" s="46">
        <v>63.805</v>
      </c>
      <c r="AC38" s="46">
        <v>32.262999999999998</v>
      </c>
      <c r="AD38" s="46">
        <v>22.882000000000001</v>
      </c>
      <c r="AE38" s="46">
        <v>38.216000000000001</v>
      </c>
      <c r="AF38" s="46">
        <v>31.004999999999999</v>
      </c>
      <c r="AG38" s="46">
        <v>35.945</v>
      </c>
      <c r="AH38" s="46">
        <v>36.113999999999997</v>
      </c>
    </row>
    <row r="39" spans="1:34" ht="14.5" x14ac:dyDescent="0.35">
      <c r="A39" s="66">
        <v>47209</v>
      </c>
      <c r="B39" s="15">
        <v>89</v>
      </c>
      <c r="C39" s="13">
        <v>89</v>
      </c>
      <c r="D39" s="45">
        <v>89</v>
      </c>
      <c r="E39" s="46">
        <v>81.17</v>
      </c>
      <c r="F39" s="46">
        <v>66.091999999999999</v>
      </c>
      <c r="G39" s="46">
        <v>104.90900000000001</v>
      </c>
      <c r="H39" s="46">
        <v>90.597999999999999</v>
      </c>
      <c r="I39" s="46">
        <v>71.081000000000003</v>
      </c>
      <c r="J39" s="46">
        <v>62.204999999999998</v>
      </c>
      <c r="K39" s="46">
        <v>94.66</v>
      </c>
      <c r="L39" s="46">
        <v>68.728999999999999</v>
      </c>
      <c r="M39" s="46">
        <v>60.174999999999997</v>
      </c>
      <c r="N39" s="46">
        <v>57.069000000000003</v>
      </c>
      <c r="O39" s="46">
        <v>106.20099999999999</v>
      </c>
      <c r="P39" s="46">
        <v>69.653000000000006</v>
      </c>
      <c r="Q39" s="46">
        <v>100.512</v>
      </c>
      <c r="R39" s="46">
        <v>107.06</v>
      </c>
      <c r="S39" s="46">
        <v>54.941000000000003</v>
      </c>
      <c r="T39" s="46">
        <v>69.813000000000002</v>
      </c>
      <c r="U39" s="46">
        <v>62.222999999999999</v>
      </c>
      <c r="V39" s="46">
        <v>72.125</v>
      </c>
      <c r="W39" s="46">
        <v>92.337999999999994</v>
      </c>
      <c r="X39" s="46">
        <v>42.713999999999999</v>
      </c>
      <c r="Y39" s="46">
        <v>71.468999999999994</v>
      </c>
      <c r="Z39" s="46">
        <v>84.995000000000005</v>
      </c>
      <c r="AA39" s="46">
        <v>68.75</v>
      </c>
      <c r="AB39" s="46">
        <v>120.797</v>
      </c>
      <c r="AC39" s="46">
        <v>54.652000000000001</v>
      </c>
      <c r="AD39" s="46">
        <v>87.325999999999993</v>
      </c>
      <c r="AE39" s="46">
        <v>56.665999999999997</v>
      </c>
      <c r="AF39" s="46">
        <v>56.167000000000002</v>
      </c>
      <c r="AG39" s="46">
        <v>82.317999999999998</v>
      </c>
      <c r="AH39" s="46">
        <v>77.102999999999994</v>
      </c>
    </row>
    <row r="40" spans="1:34" ht="14.5" x14ac:dyDescent="0.35">
      <c r="A40" s="66">
        <v>47239</v>
      </c>
      <c r="B40" s="15">
        <v>226</v>
      </c>
      <c r="C40" s="13">
        <v>226</v>
      </c>
      <c r="D40" s="45">
        <v>226</v>
      </c>
      <c r="E40" s="46">
        <v>231.404</v>
      </c>
      <c r="F40" s="46">
        <v>270.51499999999999</v>
      </c>
      <c r="G40" s="46">
        <v>381.39100000000002</v>
      </c>
      <c r="H40" s="46">
        <v>350.43700000000001</v>
      </c>
      <c r="I40" s="46">
        <v>218.898</v>
      </c>
      <c r="J40" s="46">
        <v>239.01400000000001</v>
      </c>
      <c r="K40" s="46">
        <v>262.35000000000002</v>
      </c>
      <c r="L40" s="46">
        <v>266.416</v>
      </c>
      <c r="M40" s="46">
        <v>100.73399999999999</v>
      </c>
      <c r="N40" s="46">
        <v>177.51400000000001</v>
      </c>
      <c r="O40" s="46">
        <v>239.191</v>
      </c>
      <c r="P40" s="46">
        <v>277.52499999999998</v>
      </c>
      <c r="Q40" s="46">
        <v>253.41300000000001</v>
      </c>
      <c r="R40" s="46">
        <v>245.72499999999999</v>
      </c>
      <c r="S40" s="46">
        <v>268.52800000000002</v>
      </c>
      <c r="T40" s="46">
        <v>320.61</v>
      </c>
      <c r="U40" s="46">
        <v>138.37799999999999</v>
      </c>
      <c r="V40" s="46">
        <v>174.03299999999999</v>
      </c>
      <c r="W40" s="46">
        <v>154.654</v>
      </c>
      <c r="X40" s="46">
        <v>109.977</v>
      </c>
      <c r="Y40" s="46">
        <v>260.35599999999999</v>
      </c>
      <c r="Z40" s="46">
        <v>177.51400000000001</v>
      </c>
      <c r="AA40" s="46">
        <v>178.70400000000001</v>
      </c>
      <c r="AB40" s="46">
        <v>264.73099999999999</v>
      </c>
      <c r="AC40" s="46">
        <v>172.999</v>
      </c>
      <c r="AD40" s="46">
        <v>208.239</v>
      </c>
      <c r="AE40" s="46">
        <v>195.77199999999999</v>
      </c>
      <c r="AF40" s="46">
        <v>146.02799999999999</v>
      </c>
      <c r="AG40" s="46">
        <v>223.80699999999999</v>
      </c>
      <c r="AH40" s="46">
        <v>302.97800000000001</v>
      </c>
    </row>
    <row r="41" spans="1:34" ht="14.5" x14ac:dyDescent="0.35">
      <c r="A41" s="66">
        <v>47270</v>
      </c>
      <c r="B41" s="15">
        <v>265</v>
      </c>
      <c r="C41" s="13">
        <v>265</v>
      </c>
      <c r="D41" s="45">
        <v>265</v>
      </c>
      <c r="E41" s="46">
        <v>220.26400000000001</v>
      </c>
      <c r="F41" s="46">
        <v>606.99800000000005</v>
      </c>
      <c r="G41" s="46">
        <v>321.09399999999999</v>
      </c>
      <c r="H41" s="46">
        <v>511.17200000000003</v>
      </c>
      <c r="I41" s="46">
        <v>219.578</v>
      </c>
      <c r="J41" s="46">
        <v>348.52499999999998</v>
      </c>
      <c r="K41" s="46">
        <v>160.33799999999999</v>
      </c>
      <c r="L41" s="46">
        <v>200.416</v>
      </c>
      <c r="M41" s="46">
        <v>58.125</v>
      </c>
      <c r="N41" s="46">
        <v>211.6</v>
      </c>
      <c r="O41" s="46">
        <v>146.22499999999999</v>
      </c>
      <c r="P41" s="46">
        <v>297.89499999999998</v>
      </c>
      <c r="Q41" s="46">
        <v>189.393</v>
      </c>
      <c r="R41" s="46">
        <v>177.64099999999999</v>
      </c>
      <c r="S41" s="46">
        <v>503.35399999999998</v>
      </c>
      <c r="T41" s="46">
        <v>272.255</v>
      </c>
      <c r="U41" s="46">
        <v>275.68200000000002</v>
      </c>
      <c r="V41" s="46">
        <v>448.63600000000002</v>
      </c>
      <c r="W41" s="46">
        <v>58.295999999999999</v>
      </c>
      <c r="X41" s="46">
        <v>157.815</v>
      </c>
      <c r="Y41" s="46">
        <v>339.38099999999997</v>
      </c>
      <c r="Z41" s="46">
        <v>367.27800000000002</v>
      </c>
      <c r="AA41" s="46">
        <v>304.58199999999999</v>
      </c>
      <c r="AB41" s="46">
        <v>407.27100000000002</v>
      </c>
      <c r="AC41" s="46">
        <v>76.650000000000006</v>
      </c>
      <c r="AD41" s="46">
        <v>432.53800000000001</v>
      </c>
      <c r="AE41" s="46">
        <v>199.53399999999999</v>
      </c>
      <c r="AF41" s="46">
        <v>282.77</v>
      </c>
      <c r="AG41" s="46">
        <v>167</v>
      </c>
      <c r="AH41" s="46">
        <v>423.04</v>
      </c>
    </row>
    <row r="42" spans="1:34" ht="14.5" x14ac:dyDescent="0.35">
      <c r="A42" s="66">
        <v>47300</v>
      </c>
      <c r="B42" s="15">
        <v>90</v>
      </c>
      <c r="C42" s="13">
        <v>90</v>
      </c>
      <c r="D42" s="45">
        <v>90</v>
      </c>
      <c r="E42" s="46">
        <v>66.644000000000005</v>
      </c>
      <c r="F42" s="46">
        <v>438.52300000000002</v>
      </c>
      <c r="G42" s="46">
        <v>113.02800000000001</v>
      </c>
      <c r="H42" s="46">
        <v>176.97200000000001</v>
      </c>
      <c r="I42" s="46">
        <v>103.036</v>
      </c>
      <c r="J42" s="46">
        <v>220.024</v>
      </c>
      <c r="K42" s="46">
        <v>53.192999999999998</v>
      </c>
      <c r="L42" s="46">
        <v>61.600999999999999</v>
      </c>
      <c r="M42" s="46">
        <v>25.677</v>
      </c>
      <c r="N42" s="46">
        <v>58.110999999999997</v>
      </c>
      <c r="O42" s="46">
        <v>55.981000000000002</v>
      </c>
      <c r="P42" s="46">
        <v>117.20699999999999</v>
      </c>
      <c r="Q42" s="46">
        <v>72.802999999999997</v>
      </c>
      <c r="R42" s="46">
        <v>66.87</v>
      </c>
      <c r="S42" s="46">
        <v>216.416</v>
      </c>
      <c r="T42" s="46">
        <v>137.95500000000001</v>
      </c>
      <c r="U42" s="46">
        <v>72.766000000000005</v>
      </c>
      <c r="V42" s="46">
        <v>226.499</v>
      </c>
      <c r="W42" s="46">
        <v>29.971</v>
      </c>
      <c r="X42" s="46">
        <v>57.978000000000002</v>
      </c>
      <c r="Y42" s="46">
        <v>102.178</v>
      </c>
      <c r="Z42" s="46">
        <v>119.71299999999999</v>
      </c>
      <c r="AA42" s="46">
        <v>96.546999999999997</v>
      </c>
      <c r="AB42" s="46">
        <v>135.29300000000001</v>
      </c>
      <c r="AC42" s="46">
        <v>33.799999999999997</v>
      </c>
      <c r="AD42" s="46">
        <v>259.68900000000002</v>
      </c>
      <c r="AE42" s="46">
        <v>62.18</v>
      </c>
      <c r="AF42" s="46">
        <v>121.84</v>
      </c>
      <c r="AG42" s="46">
        <v>67.043999999999997</v>
      </c>
      <c r="AH42" s="46">
        <v>182.91399999999999</v>
      </c>
    </row>
    <row r="43" spans="1:34" ht="14.5" x14ac:dyDescent="0.35">
      <c r="A43" s="66">
        <v>47331</v>
      </c>
      <c r="B43" s="15">
        <v>56</v>
      </c>
      <c r="C43" s="13">
        <v>56</v>
      </c>
      <c r="D43" s="45">
        <v>56</v>
      </c>
      <c r="E43" s="46">
        <v>44.453000000000003</v>
      </c>
      <c r="F43" s="46">
        <v>126.98</v>
      </c>
      <c r="G43" s="46">
        <v>56.137999999999998</v>
      </c>
      <c r="H43" s="46">
        <v>86.102999999999994</v>
      </c>
      <c r="I43" s="46">
        <v>52.987000000000002</v>
      </c>
      <c r="J43" s="46">
        <v>91.292000000000002</v>
      </c>
      <c r="K43" s="46">
        <v>47.029000000000003</v>
      </c>
      <c r="L43" s="46">
        <v>54.683</v>
      </c>
      <c r="M43" s="46">
        <v>22.617999999999999</v>
      </c>
      <c r="N43" s="46">
        <v>43.412999999999997</v>
      </c>
      <c r="O43" s="46">
        <v>39.177</v>
      </c>
      <c r="P43" s="46">
        <v>60.749000000000002</v>
      </c>
      <c r="Q43" s="46">
        <v>51.828000000000003</v>
      </c>
      <c r="R43" s="46">
        <v>49.383000000000003</v>
      </c>
      <c r="S43" s="46">
        <v>81.149000000000001</v>
      </c>
      <c r="T43" s="46">
        <v>57.04</v>
      </c>
      <c r="U43" s="46">
        <v>52.116999999999997</v>
      </c>
      <c r="V43" s="46">
        <v>72.013000000000005</v>
      </c>
      <c r="W43" s="46">
        <v>30.457999999999998</v>
      </c>
      <c r="X43" s="46">
        <v>41.697000000000003</v>
      </c>
      <c r="Y43" s="46">
        <v>58.750999999999998</v>
      </c>
      <c r="Z43" s="46">
        <v>55.514000000000003</v>
      </c>
      <c r="AA43" s="46">
        <v>55.613999999999997</v>
      </c>
      <c r="AB43" s="46">
        <v>66.546000000000006</v>
      </c>
      <c r="AC43" s="46">
        <v>28.271999999999998</v>
      </c>
      <c r="AD43" s="46">
        <v>84.471999999999994</v>
      </c>
      <c r="AE43" s="46">
        <v>41.526000000000003</v>
      </c>
      <c r="AF43" s="46">
        <v>57.436</v>
      </c>
      <c r="AG43" s="46">
        <v>56.314</v>
      </c>
      <c r="AH43" s="46">
        <v>70.825999999999993</v>
      </c>
    </row>
    <row r="44" spans="1:34" ht="14.5" x14ac:dyDescent="0.35">
      <c r="A44" s="66">
        <v>47362</v>
      </c>
      <c r="B44" s="15">
        <v>36</v>
      </c>
      <c r="C44" s="13">
        <v>36</v>
      </c>
      <c r="D44" s="45">
        <v>36</v>
      </c>
      <c r="E44" s="46">
        <v>36.204999999999998</v>
      </c>
      <c r="F44" s="46">
        <v>66.789000000000001</v>
      </c>
      <c r="G44" s="46">
        <v>41.238</v>
      </c>
      <c r="H44" s="46">
        <v>59.323999999999998</v>
      </c>
      <c r="I44" s="46">
        <v>34.692999999999998</v>
      </c>
      <c r="J44" s="46">
        <v>49.802999999999997</v>
      </c>
      <c r="K44" s="46">
        <v>34.988999999999997</v>
      </c>
      <c r="L44" s="46">
        <v>32.433999999999997</v>
      </c>
      <c r="M44" s="46">
        <v>22.134</v>
      </c>
      <c r="N44" s="46">
        <v>58.216000000000001</v>
      </c>
      <c r="O44" s="46">
        <v>35.872</v>
      </c>
      <c r="P44" s="46">
        <v>39.143999999999998</v>
      </c>
      <c r="Q44" s="46">
        <v>38.841999999999999</v>
      </c>
      <c r="R44" s="46">
        <v>43.34</v>
      </c>
      <c r="S44" s="46">
        <v>46.534999999999997</v>
      </c>
      <c r="T44" s="46">
        <v>38.299999999999997</v>
      </c>
      <c r="U44" s="46">
        <v>30.46</v>
      </c>
      <c r="V44" s="46">
        <v>41.737000000000002</v>
      </c>
      <c r="W44" s="46">
        <v>24.83</v>
      </c>
      <c r="X44" s="46">
        <v>55.271999999999998</v>
      </c>
      <c r="Y44" s="46">
        <v>54.387999999999998</v>
      </c>
      <c r="Z44" s="46">
        <v>40.125</v>
      </c>
      <c r="AA44" s="46">
        <v>36.726999999999997</v>
      </c>
      <c r="AB44" s="46">
        <v>40.845999999999997</v>
      </c>
      <c r="AC44" s="46">
        <v>23.164000000000001</v>
      </c>
      <c r="AD44" s="46">
        <v>45.125</v>
      </c>
      <c r="AE44" s="46">
        <v>38.353999999999999</v>
      </c>
      <c r="AF44" s="46">
        <v>35.536000000000001</v>
      </c>
      <c r="AG44" s="46">
        <v>39.646000000000001</v>
      </c>
      <c r="AH44" s="46">
        <v>50.454000000000001</v>
      </c>
    </row>
    <row r="45" spans="1:34" ht="14.5" x14ac:dyDescent="0.35">
      <c r="A45" s="66">
        <v>47392</v>
      </c>
      <c r="B45" s="15">
        <v>42</v>
      </c>
      <c r="C45" s="13">
        <v>33</v>
      </c>
      <c r="D45" s="45">
        <v>37</v>
      </c>
      <c r="E45" s="46">
        <v>43.399000000000001</v>
      </c>
      <c r="F45" s="46">
        <v>60.448</v>
      </c>
      <c r="G45" s="46">
        <v>50.36</v>
      </c>
      <c r="H45" s="46">
        <v>62.034999999999997</v>
      </c>
      <c r="I45" s="46">
        <v>45.691000000000003</v>
      </c>
      <c r="J45" s="46">
        <v>39.951999999999998</v>
      </c>
      <c r="K45" s="46">
        <v>31.7</v>
      </c>
      <c r="L45" s="46">
        <v>30.771000000000001</v>
      </c>
      <c r="M45" s="46">
        <v>30.57</v>
      </c>
      <c r="N45" s="46">
        <v>34.838000000000001</v>
      </c>
      <c r="O45" s="46">
        <v>33.545000000000002</v>
      </c>
      <c r="P45" s="46">
        <v>52.655999999999999</v>
      </c>
      <c r="Q45" s="46">
        <v>64.555000000000007</v>
      </c>
      <c r="R45" s="46">
        <v>44.298999999999999</v>
      </c>
      <c r="S45" s="46">
        <v>42.552</v>
      </c>
      <c r="T45" s="46">
        <v>40.200000000000003</v>
      </c>
      <c r="U45" s="46">
        <v>31.847999999999999</v>
      </c>
      <c r="V45" s="46">
        <v>41.264000000000003</v>
      </c>
      <c r="W45" s="46">
        <v>23.837</v>
      </c>
      <c r="X45" s="46">
        <v>51.152000000000001</v>
      </c>
      <c r="Y45" s="46">
        <v>60.805999999999997</v>
      </c>
      <c r="Z45" s="46">
        <v>34.912999999999997</v>
      </c>
      <c r="AA45" s="46">
        <v>32.198</v>
      </c>
      <c r="AB45" s="46">
        <v>42.067999999999998</v>
      </c>
      <c r="AC45" s="46">
        <v>25.919</v>
      </c>
      <c r="AD45" s="46">
        <v>39.222999999999999</v>
      </c>
      <c r="AE45" s="46">
        <v>37.655000000000001</v>
      </c>
      <c r="AF45" s="46">
        <v>30.321000000000002</v>
      </c>
      <c r="AG45" s="46">
        <v>29.702000000000002</v>
      </c>
      <c r="AH45" s="46">
        <v>46.386000000000003</v>
      </c>
    </row>
    <row r="46" spans="1:34" ht="14.5" x14ac:dyDescent="0.35">
      <c r="A46" s="66">
        <v>47423</v>
      </c>
      <c r="B46" s="15">
        <v>34</v>
      </c>
      <c r="C46" s="13">
        <v>30</v>
      </c>
      <c r="D46" s="45">
        <v>32</v>
      </c>
      <c r="E46" s="46">
        <v>33.497</v>
      </c>
      <c r="F46" s="46">
        <v>46.097000000000001</v>
      </c>
      <c r="G46" s="46">
        <v>42.487000000000002</v>
      </c>
      <c r="H46" s="46">
        <v>46.93</v>
      </c>
      <c r="I46" s="46">
        <v>37.918999999999997</v>
      </c>
      <c r="J46" s="46">
        <v>32.073999999999998</v>
      </c>
      <c r="K46" s="46">
        <v>28.059000000000001</v>
      </c>
      <c r="L46" s="46">
        <v>30.094999999999999</v>
      </c>
      <c r="M46" s="46">
        <v>20.006</v>
      </c>
      <c r="N46" s="46">
        <v>26.027000000000001</v>
      </c>
      <c r="O46" s="46">
        <v>31.192</v>
      </c>
      <c r="P46" s="46">
        <v>40.350999999999999</v>
      </c>
      <c r="Q46" s="46">
        <v>44.98</v>
      </c>
      <c r="R46" s="46">
        <v>35.762999999999998</v>
      </c>
      <c r="S46" s="46">
        <v>36.469000000000001</v>
      </c>
      <c r="T46" s="46">
        <v>36.122999999999998</v>
      </c>
      <c r="U46" s="46">
        <v>31.724</v>
      </c>
      <c r="V46" s="46">
        <v>33.81</v>
      </c>
      <c r="W46" s="46">
        <v>19.920999999999999</v>
      </c>
      <c r="X46" s="46">
        <v>33.396999999999998</v>
      </c>
      <c r="Y46" s="46">
        <v>38.238</v>
      </c>
      <c r="Z46" s="46">
        <v>31.39</v>
      </c>
      <c r="AA46" s="46">
        <v>27.669</v>
      </c>
      <c r="AB46" s="46">
        <v>35.774000000000001</v>
      </c>
      <c r="AC46" s="46">
        <v>23.907</v>
      </c>
      <c r="AD46" s="46">
        <v>33.780999999999999</v>
      </c>
      <c r="AE46" s="46">
        <v>39.468000000000004</v>
      </c>
      <c r="AF46" s="46">
        <v>28.698</v>
      </c>
      <c r="AG46" s="46">
        <v>25.306999999999999</v>
      </c>
      <c r="AH46" s="46">
        <v>37.396999999999998</v>
      </c>
    </row>
    <row r="47" spans="1:34" ht="14.5" x14ac:dyDescent="0.35">
      <c r="A47" s="66">
        <v>47453</v>
      </c>
      <c r="B47" s="15">
        <v>27</v>
      </c>
      <c r="C47" s="13">
        <v>27</v>
      </c>
      <c r="D47" s="45">
        <v>27</v>
      </c>
      <c r="E47" s="46">
        <v>27.466999999999999</v>
      </c>
      <c r="F47" s="46">
        <v>42.180999999999997</v>
      </c>
      <c r="G47" s="46">
        <v>35.295999999999999</v>
      </c>
      <c r="H47" s="46">
        <v>36.927999999999997</v>
      </c>
      <c r="I47" s="46">
        <v>34.264000000000003</v>
      </c>
      <c r="J47" s="46">
        <v>28.47</v>
      </c>
      <c r="K47" s="46">
        <v>24.495000000000001</v>
      </c>
      <c r="L47" s="46">
        <v>24.484999999999999</v>
      </c>
      <c r="M47" s="46">
        <v>17.396000000000001</v>
      </c>
      <c r="N47" s="46">
        <v>23.596</v>
      </c>
      <c r="O47" s="46">
        <v>25.041</v>
      </c>
      <c r="P47" s="46">
        <v>29.983000000000001</v>
      </c>
      <c r="Q47" s="46">
        <v>31.308</v>
      </c>
      <c r="R47" s="46">
        <v>25.835999999999999</v>
      </c>
      <c r="S47" s="46">
        <v>32.305999999999997</v>
      </c>
      <c r="T47" s="46">
        <v>29.459</v>
      </c>
      <c r="U47" s="46">
        <v>26.856999999999999</v>
      </c>
      <c r="V47" s="46">
        <v>29.638000000000002</v>
      </c>
      <c r="W47" s="46">
        <v>18.128</v>
      </c>
      <c r="X47" s="46">
        <v>25.154</v>
      </c>
      <c r="Y47" s="46">
        <v>31.187000000000001</v>
      </c>
      <c r="Z47" s="46">
        <v>27.838000000000001</v>
      </c>
      <c r="AA47" s="46">
        <v>25.456</v>
      </c>
      <c r="AB47" s="46">
        <v>33.073</v>
      </c>
      <c r="AC47" s="46">
        <v>19.577999999999999</v>
      </c>
      <c r="AD47" s="46">
        <v>31.082000000000001</v>
      </c>
      <c r="AE47" s="46">
        <v>31.27</v>
      </c>
      <c r="AF47" s="46">
        <v>26.038</v>
      </c>
      <c r="AG47" s="46">
        <v>22.702999999999999</v>
      </c>
      <c r="AH47" s="46">
        <v>31.872</v>
      </c>
    </row>
    <row r="48" spans="1:34" ht="14.5" x14ac:dyDescent="0.35">
      <c r="A48" s="66">
        <v>47484</v>
      </c>
      <c r="B48" s="15">
        <v>26</v>
      </c>
      <c r="C48" s="13">
        <v>26</v>
      </c>
      <c r="D48" s="45">
        <v>26</v>
      </c>
      <c r="E48" s="46">
        <v>24.96</v>
      </c>
      <c r="F48" s="46">
        <v>35.89</v>
      </c>
      <c r="G48" s="46">
        <v>30.204999999999998</v>
      </c>
      <c r="H48" s="46">
        <v>32.86</v>
      </c>
      <c r="I48" s="46">
        <v>29.64</v>
      </c>
      <c r="J48" s="46">
        <v>28.335999999999999</v>
      </c>
      <c r="K48" s="46">
        <v>22.641999999999999</v>
      </c>
      <c r="L48" s="46">
        <v>21.443999999999999</v>
      </c>
      <c r="M48" s="46">
        <v>16.843</v>
      </c>
      <c r="N48" s="46">
        <v>21.318999999999999</v>
      </c>
      <c r="O48" s="46">
        <v>24.276</v>
      </c>
      <c r="P48" s="46">
        <v>26.05</v>
      </c>
      <c r="Q48" s="46">
        <v>26.591999999999999</v>
      </c>
      <c r="R48" s="46">
        <v>21.725999999999999</v>
      </c>
      <c r="S48" s="46">
        <v>29.465</v>
      </c>
      <c r="T48" s="46">
        <v>26.193999999999999</v>
      </c>
      <c r="U48" s="46">
        <v>24.6</v>
      </c>
      <c r="V48" s="46">
        <v>28.14</v>
      </c>
      <c r="W48" s="46">
        <v>16.834</v>
      </c>
      <c r="X48" s="46">
        <v>21.965</v>
      </c>
      <c r="Y48" s="46">
        <v>27.437000000000001</v>
      </c>
      <c r="Z48" s="46">
        <v>25.605</v>
      </c>
      <c r="AA48" s="46">
        <v>23.603999999999999</v>
      </c>
      <c r="AB48" s="46">
        <v>28.863</v>
      </c>
      <c r="AC48" s="46">
        <v>17.995000000000001</v>
      </c>
      <c r="AD48" s="46">
        <v>28.404</v>
      </c>
      <c r="AE48" s="46">
        <v>25.327999999999999</v>
      </c>
      <c r="AF48" s="46">
        <v>23.515999999999998</v>
      </c>
      <c r="AG48" s="46">
        <v>21.247</v>
      </c>
      <c r="AH48" s="46">
        <v>29.061</v>
      </c>
    </row>
    <row r="49" spans="1:1005" ht="14.5" x14ac:dyDescent="0.35">
      <c r="A49" s="66">
        <v>47515</v>
      </c>
      <c r="B49" s="15">
        <v>25</v>
      </c>
      <c r="C49" s="13">
        <v>25</v>
      </c>
      <c r="D49" s="45">
        <v>25</v>
      </c>
      <c r="E49" s="46">
        <v>27.233000000000001</v>
      </c>
      <c r="F49" s="46">
        <v>34.627000000000002</v>
      </c>
      <c r="G49" s="46">
        <v>24.666</v>
      </c>
      <c r="H49" s="46">
        <v>27.995000000000001</v>
      </c>
      <c r="I49" s="46">
        <v>27.986999999999998</v>
      </c>
      <c r="J49" s="46">
        <v>27.914000000000001</v>
      </c>
      <c r="K49" s="46">
        <v>21.363</v>
      </c>
      <c r="L49" s="46">
        <v>18.068000000000001</v>
      </c>
      <c r="M49" s="46">
        <v>19.135999999999999</v>
      </c>
      <c r="N49" s="46">
        <v>18.376999999999999</v>
      </c>
      <c r="O49" s="46">
        <v>21.324000000000002</v>
      </c>
      <c r="P49" s="46">
        <v>21.303000000000001</v>
      </c>
      <c r="Q49" s="46">
        <v>24.756</v>
      </c>
      <c r="R49" s="46">
        <v>17.702000000000002</v>
      </c>
      <c r="S49" s="46">
        <v>25.800999999999998</v>
      </c>
      <c r="T49" s="46">
        <v>21.664000000000001</v>
      </c>
      <c r="U49" s="46">
        <v>20.550999999999998</v>
      </c>
      <c r="V49" s="46">
        <v>23.417000000000002</v>
      </c>
      <c r="W49" s="46">
        <v>14.71</v>
      </c>
      <c r="X49" s="46">
        <v>21.782</v>
      </c>
      <c r="Y49" s="46">
        <v>31.946999999999999</v>
      </c>
      <c r="Z49" s="46">
        <v>23.86</v>
      </c>
      <c r="AA49" s="46">
        <v>28.37</v>
      </c>
      <c r="AB49" s="46">
        <v>29.523</v>
      </c>
      <c r="AC49" s="46">
        <v>15.631</v>
      </c>
      <c r="AD49" s="46">
        <v>24.893000000000001</v>
      </c>
      <c r="AE49" s="46">
        <v>23.655000000000001</v>
      </c>
      <c r="AF49" s="46">
        <v>21.477</v>
      </c>
      <c r="AG49" s="46">
        <v>19.486000000000001</v>
      </c>
      <c r="AH49" s="46">
        <v>24.486999999999998</v>
      </c>
    </row>
    <row r="50" spans="1:1005" ht="14.5" x14ac:dyDescent="0.35">
      <c r="A50" s="66">
        <v>47543</v>
      </c>
      <c r="B50" s="15">
        <v>40</v>
      </c>
      <c r="C50" s="13">
        <v>40</v>
      </c>
      <c r="D50" s="45">
        <v>40</v>
      </c>
      <c r="E50" s="46">
        <v>50.66</v>
      </c>
      <c r="F50" s="46">
        <v>45.225999999999999</v>
      </c>
      <c r="G50" s="46">
        <v>48.877000000000002</v>
      </c>
      <c r="H50" s="46">
        <v>46.158000000000001</v>
      </c>
      <c r="I50" s="46">
        <v>41.387</v>
      </c>
      <c r="J50" s="46">
        <v>34.615000000000002</v>
      </c>
      <c r="K50" s="46">
        <v>32.582000000000001</v>
      </c>
      <c r="L50" s="46">
        <v>23.428999999999998</v>
      </c>
      <c r="M50" s="46">
        <v>30.989000000000001</v>
      </c>
      <c r="N50" s="46">
        <v>49.265999999999998</v>
      </c>
      <c r="O50" s="46">
        <v>27.695</v>
      </c>
      <c r="P50" s="46">
        <v>30.971</v>
      </c>
      <c r="Q50" s="46">
        <v>59.292999999999999</v>
      </c>
      <c r="R50" s="46">
        <v>19.582000000000001</v>
      </c>
      <c r="S50" s="46">
        <v>46.378</v>
      </c>
      <c r="T50" s="46">
        <v>25.77</v>
      </c>
      <c r="U50" s="46">
        <v>34.159999999999997</v>
      </c>
      <c r="V50" s="46">
        <v>42.371000000000002</v>
      </c>
      <c r="W50" s="46">
        <v>22.576000000000001</v>
      </c>
      <c r="X50" s="46">
        <v>29.558</v>
      </c>
      <c r="Y50" s="46">
        <v>55.640999999999998</v>
      </c>
      <c r="Z50" s="46">
        <v>41.039000000000001</v>
      </c>
      <c r="AA50" s="46">
        <v>64.224999999999994</v>
      </c>
      <c r="AB50" s="46">
        <v>32.179000000000002</v>
      </c>
      <c r="AC50" s="46">
        <v>23.137</v>
      </c>
      <c r="AD50" s="46">
        <v>38.658000000000001</v>
      </c>
      <c r="AE50" s="46">
        <v>30.952999999999999</v>
      </c>
      <c r="AF50" s="46">
        <v>35.896000000000001</v>
      </c>
      <c r="AG50" s="46">
        <v>36.231999999999999</v>
      </c>
      <c r="AH50" s="46">
        <v>44.390999999999998</v>
      </c>
    </row>
    <row r="51" spans="1:1005" ht="14.5" x14ac:dyDescent="0.35">
      <c r="A51" s="66">
        <v>47574</v>
      </c>
      <c r="B51" s="15">
        <v>89</v>
      </c>
      <c r="C51" s="13">
        <v>89</v>
      </c>
      <c r="D51" s="45">
        <v>89</v>
      </c>
      <c r="E51" s="46">
        <v>66.156999999999996</v>
      </c>
      <c r="F51" s="46">
        <v>105.538</v>
      </c>
      <c r="G51" s="46">
        <v>90.721000000000004</v>
      </c>
      <c r="H51" s="46">
        <v>69.536000000000001</v>
      </c>
      <c r="I51" s="46">
        <v>62.718000000000004</v>
      </c>
      <c r="J51" s="46">
        <v>95.495000000000005</v>
      </c>
      <c r="K51" s="46">
        <v>69.146000000000001</v>
      </c>
      <c r="L51" s="46">
        <v>59.335000000000001</v>
      </c>
      <c r="M51" s="46">
        <v>57.317</v>
      </c>
      <c r="N51" s="46">
        <v>106.49</v>
      </c>
      <c r="O51" s="46">
        <v>69.484999999999999</v>
      </c>
      <c r="P51" s="46">
        <v>98.513999999999996</v>
      </c>
      <c r="Q51" s="46">
        <v>107.25700000000001</v>
      </c>
      <c r="R51" s="46">
        <v>55.188000000000002</v>
      </c>
      <c r="S51" s="46">
        <v>69.981999999999999</v>
      </c>
      <c r="T51" s="46">
        <v>61.116</v>
      </c>
      <c r="U51" s="46">
        <v>73.176000000000002</v>
      </c>
      <c r="V51" s="46">
        <v>92.643000000000001</v>
      </c>
      <c r="W51" s="46">
        <v>42.805</v>
      </c>
      <c r="X51" s="46">
        <v>71.090999999999994</v>
      </c>
      <c r="Y51" s="46">
        <v>84.843000000000004</v>
      </c>
      <c r="Z51" s="46">
        <v>68.805000000000007</v>
      </c>
      <c r="AA51" s="46">
        <v>121.319</v>
      </c>
      <c r="AB51" s="46">
        <v>52.613999999999997</v>
      </c>
      <c r="AC51" s="46">
        <v>87.731999999999999</v>
      </c>
      <c r="AD51" s="46">
        <v>57.204999999999998</v>
      </c>
      <c r="AE51" s="46">
        <v>56.088999999999999</v>
      </c>
      <c r="AF51" s="46">
        <v>78.546999999999997</v>
      </c>
      <c r="AG51" s="46">
        <v>77.283000000000001</v>
      </c>
      <c r="AH51" s="46">
        <v>81.370999999999995</v>
      </c>
    </row>
    <row r="52" spans="1:1005" ht="14.5" x14ac:dyDescent="0.35">
      <c r="A52" s="66">
        <v>47604</v>
      </c>
      <c r="B52" s="15">
        <v>226</v>
      </c>
      <c r="C52" s="13">
        <v>226</v>
      </c>
      <c r="D52" s="45">
        <v>226</v>
      </c>
      <c r="E52" s="46">
        <v>270.613</v>
      </c>
      <c r="F52" s="46">
        <v>382.048</v>
      </c>
      <c r="G52" s="46">
        <v>350.54700000000003</v>
      </c>
      <c r="H52" s="46">
        <v>212.16800000000001</v>
      </c>
      <c r="I52" s="46">
        <v>239.74299999999999</v>
      </c>
      <c r="J52" s="46">
        <v>263.024</v>
      </c>
      <c r="K52" s="46">
        <v>266.89</v>
      </c>
      <c r="L52" s="46">
        <v>98.649000000000001</v>
      </c>
      <c r="M52" s="46">
        <v>177.816</v>
      </c>
      <c r="N52" s="46">
        <v>239.59800000000001</v>
      </c>
      <c r="O52" s="46">
        <v>277.315</v>
      </c>
      <c r="P52" s="46">
        <v>249.73099999999999</v>
      </c>
      <c r="Q52" s="46">
        <v>245.893</v>
      </c>
      <c r="R52" s="46">
        <v>269.33999999999997</v>
      </c>
      <c r="S52" s="46">
        <v>320.887</v>
      </c>
      <c r="T52" s="46">
        <v>130.839</v>
      </c>
      <c r="U52" s="46">
        <v>175.24600000000001</v>
      </c>
      <c r="V52" s="46">
        <v>154.887</v>
      </c>
      <c r="W52" s="46">
        <v>110.11</v>
      </c>
      <c r="X52" s="46">
        <v>249.17699999999999</v>
      </c>
      <c r="Y52" s="46">
        <v>177.34</v>
      </c>
      <c r="Z52" s="46">
        <v>178.762</v>
      </c>
      <c r="AA52" s="46">
        <v>265.31</v>
      </c>
      <c r="AB52" s="46">
        <v>171.29900000000001</v>
      </c>
      <c r="AC52" s="46">
        <v>208.833</v>
      </c>
      <c r="AD52" s="46">
        <v>196.37700000000001</v>
      </c>
      <c r="AE52" s="46">
        <v>145.93299999999999</v>
      </c>
      <c r="AF52" s="46">
        <v>221.774</v>
      </c>
      <c r="AG52" s="46">
        <v>303.37200000000001</v>
      </c>
      <c r="AH52" s="46">
        <v>231.64599999999999</v>
      </c>
    </row>
    <row r="53" spans="1:1005" ht="14.5" x14ac:dyDescent="0.35">
      <c r="A53" s="66">
        <v>47635</v>
      </c>
      <c r="B53" s="15">
        <v>265</v>
      </c>
      <c r="C53" s="13">
        <v>265</v>
      </c>
      <c r="D53" s="45">
        <v>265</v>
      </c>
      <c r="E53" s="46">
        <v>607.05399999999997</v>
      </c>
      <c r="F53" s="46">
        <v>321.35500000000002</v>
      </c>
      <c r="G53" s="46">
        <v>511.21199999999999</v>
      </c>
      <c r="H53" s="46">
        <v>224.631</v>
      </c>
      <c r="I53" s="46">
        <v>348.81599999999997</v>
      </c>
      <c r="J53" s="46">
        <v>160.678</v>
      </c>
      <c r="K53" s="46">
        <v>200.63499999999999</v>
      </c>
      <c r="L53" s="46">
        <v>61.258000000000003</v>
      </c>
      <c r="M53" s="46">
        <v>211.80199999999999</v>
      </c>
      <c r="N53" s="46">
        <v>146.369</v>
      </c>
      <c r="O53" s="46">
        <v>297.80700000000002</v>
      </c>
      <c r="P53" s="46">
        <v>193.214</v>
      </c>
      <c r="Q53" s="46">
        <v>177.738</v>
      </c>
      <c r="R53" s="46">
        <v>503.851</v>
      </c>
      <c r="S53" s="46">
        <v>272.36</v>
      </c>
      <c r="T53" s="46">
        <v>281.13799999999998</v>
      </c>
      <c r="U53" s="46">
        <v>449.416</v>
      </c>
      <c r="V53" s="46">
        <v>58.41</v>
      </c>
      <c r="W53" s="46">
        <v>157.91</v>
      </c>
      <c r="X53" s="46">
        <v>348.69200000000001</v>
      </c>
      <c r="Y53" s="46">
        <v>367.20499999999998</v>
      </c>
      <c r="Z53" s="46">
        <v>304.625</v>
      </c>
      <c r="AA53" s="46">
        <v>407.577</v>
      </c>
      <c r="AB53" s="46">
        <v>79.149000000000001</v>
      </c>
      <c r="AC53" s="46">
        <v>432.87400000000002</v>
      </c>
      <c r="AD53" s="46">
        <v>199.84800000000001</v>
      </c>
      <c r="AE53" s="46">
        <v>282.72000000000003</v>
      </c>
      <c r="AF53" s="46">
        <v>171.02600000000001</v>
      </c>
      <c r="AG53" s="46">
        <v>423.25900000000001</v>
      </c>
      <c r="AH53" s="46">
        <v>220.369</v>
      </c>
    </row>
    <row r="54" spans="1:1005" ht="14.5" x14ac:dyDescent="0.35">
      <c r="A54" s="66">
        <v>47665</v>
      </c>
      <c r="B54" s="15">
        <v>90</v>
      </c>
      <c r="C54" s="13">
        <v>90</v>
      </c>
      <c r="D54" s="45">
        <v>90</v>
      </c>
      <c r="E54" s="46">
        <v>438.54199999999997</v>
      </c>
      <c r="F54" s="46">
        <v>113.217</v>
      </c>
      <c r="G54" s="46">
        <v>177.01</v>
      </c>
      <c r="H54" s="46">
        <v>106.751</v>
      </c>
      <c r="I54" s="46">
        <v>220.25299999999999</v>
      </c>
      <c r="J54" s="46">
        <v>53.45</v>
      </c>
      <c r="K54" s="46">
        <v>61.765999999999998</v>
      </c>
      <c r="L54" s="46">
        <v>26.187999999999999</v>
      </c>
      <c r="M54" s="46">
        <v>58.19</v>
      </c>
      <c r="N54" s="46">
        <v>56.058</v>
      </c>
      <c r="O54" s="46">
        <v>117.145</v>
      </c>
      <c r="P54" s="46">
        <v>73.543000000000006</v>
      </c>
      <c r="Q54" s="46">
        <v>66.948999999999998</v>
      </c>
      <c r="R54" s="46">
        <v>216.55600000000001</v>
      </c>
      <c r="S54" s="46">
        <v>138.023</v>
      </c>
      <c r="T54" s="46">
        <v>75.253</v>
      </c>
      <c r="U54" s="46">
        <v>226.87299999999999</v>
      </c>
      <c r="V54" s="46">
        <v>30.096</v>
      </c>
      <c r="W54" s="46">
        <v>58.033000000000001</v>
      </c>
      <c r="X54" s="46">
        <v>105.60899999999999</v>
      </c>
      <c r="Y54" s="46">
        <v>119.652</v>
      </c>
      <c r="Z54" s="46">
        <v>96.573999999999998</v>
      </c>
      <c r="AA54" s="46">
        <v>135.446</v>
      </c>
      <c r="AB54" s="46">
        <v>34.503</v>
      </c>
      <c r="AC54" s="46">
        <v>259.834</v>
      </c>
      <c r="AD54" s="46">
        <v>62.381999999999998</v>
      </c>
      <c r="AE54" s="46">
        <v>121.80500000000001</v>
      </c>
      <c r="AF54" s="46">
        <v>68.174999999999997</v>
      </c>
      <c r="AG54" s="46">
        <v>182.98599999999999</v>
      </c>
      <c r="AH54" s="46">
        <v>66.704999999999998</v>
      </c>
    </row>
    <row r="55" spans="1:1005" ht="14.5" x14ac:dyDescent="0.35">
      <c r="A55" s="66">
        <v>47696</v>
      </c>
      <c r="B55" s="15">
        <v>56</v>
      </c>
      <c r="C55" s="13">
        <v>56</v>
      </c>
      <c r="D55" s="45">
        <v>56</v>
      </c>
      <c r="E55" s="46">
        <v>126.988</v>
      </c>
      <c r="F55" s="46">
        <v>56.304000000000002</v>
      </c>
      <c r="G55" s="46">
        <v>86.138999999999996</v>
      </c>
      <c r="H55" s="46">
        <v>54.167000000000002</v>
      </c>
      <c r="I55" s="46">
        <v>91.483999999999995</v>
      </c>
      <c r="J55" s="46">
        <v>47.290999999999997</v>
      </c>
      <c r="K55" s="46">
        <v>54.84</v>
      </c>
      <c r="L55" s="46">
        <v>22.841000000000001</v>
      </c>
      <c r="M55" s="46">
        <v>43.491999999999997</v>
      </c>
      <c r="N55" s="46">
        <v>39.238999999999997</v>
      </c>
      <c r="O55" s="46">
        <v>60.694000000000003</v>
      </c>
      <c r="P55" s="46">
        <v>52.470999999999997</v>
      </c>
      <c r="Q55" s="46">
        <v>49.457999999999998</v>
      </c>
      <c r="R55" s="46">
        <v>81.221999999999994</v>
      </c>
      <c r="S55" s="46">
        <v>57.095999999999997</v>
      </c>
      <c r="T55" s="46">
        <v>52.709000000000003</v>
      </c>
      <c r="U55" s="46">
        <v>72.302999999999997</v>
      </c>
      <c r="V55" s="46">
        <v>30.579000000000001</v>
      </c>
      <c r="W55" s="46">
        <v>41.741</v>
      </c>
      <c r="X55" s="46">
        <v>59.76</v>
      </c>
      <c r="Y55" s="46">
        <v>55.462000000000003</v>
      </c>
      <c r="Z55" s="46">
        <v>55.637</v>
      </c>
      <c r="AA55" s="46">
        <v>66.668000000000006</v>
      </c>
      <c r="AB55" s="46">
        <v>28.542999999999999</v>
      </c>
      <c r="AC55" s="46">
        <v>84.570999999999998</v>
      </c>
      <c r="AD55" s="46">
        <v>41.723999999999997</v>
      </c>
      <c r="AE55" s="46">
        <v>57.405000000000001</v>
      </c>
      <c r="AF55" s="46">
        <v>56.341999999999999</v>
      </c>
      <c r="AG55" s="46">
        <v>70.870999999999995</v>
      </c>
      <c r="AH55" s="46">
        <v>44.506999999999998</v>
      </c>
    </row>
    <row r="56" spans="1:1005" ht="14.5" x14ac:dyDescent="0.35">
      <c r="A56" s="66">
        <v>47727</v>
      </c>
      <c r="B56" s="15">
        <v>36</v>
      </c>
      <c r="C56" s="13">
        <v>36</v>
      </c>
      <c r="D56" s="45">
        <v>36</v>
      </c>
      <c r="E56" s="46">
        <v>66.795000000000002</v>
      </c>
      <c r="F56" s="46">
        <v>41.389000000000003</v>
      </c>
      <c r="G56" s="46">
        <v>59.356999999999999</v>
      </c>
      <c r="H56" s="46">
        <v>35.134999999999998</v>
      </c>
      <c r="I56" s="46">
        <v>49.97</v>
      </c>
      <c r="J56" s="46">
        <v>35.216999999999999</v>
      </c>
      <c r="K56" s="46">
        <v>32.57</v>
      </c>
      <c r="L56" s="46">
        <v>21.896999999999998</v>
      </c>
      <c r="M56" s="46">
        <v>58.302</v>
      </c>
      <c r="N56" s="46">
        <v>35.927999999999997</v>
      </c>
      <c r="O56" s="46">
        <v>39.095999999999997</v>
      </c>
      <c r="P56" s="46">
        <v>38.645000000000003</v>
      </c>
      <c r="Q56" s="46">
        <v>43.412999999999997</v>
      </c>
      <c r="R56" s="46">
        <v>46.594999999999999</v>
      </c>
      <c r="S56" s="46">
        <v>38.35</v>
      </c>
      <c r="T56" s="46">
        <v>30.812999999999999</v>
      </c>
      <c r="U56" s="46">
        <v>41.994</v>
      </c>
      <c r="V56" s="46">
        <v>24.939</v>
      </c>
      <c r="W56" s="46">
        <v>55.317</v>
      </c>
      <c r="X56" s="46">
        <v>53.51</v>
      </c>
      <c r="Y56" s="46">
        <v>40.076999999999998</v>
      </c>
      <c r="Z56" s="46">
        <v>36.747</v>
      </c>
      <c r="AA56" s="46">
        <v>40.948999999999998</v>
      </c>
      <c r="AB56" s="46">
        <v>23.254999999999999</v>
      </c>
      <c r="AC56" s="46">
        <v>45.209000000000003</v>
      </c>
      <c r="AD56" s="46">
        <v>38.54</v>
      </c>
      <c r="AE56" s="46">
        <v>35.511000000000003</v>
      </c>
      <c r="AF56" s="46">
        <v>40.67</v>
      </c>
      <c r="AG56" s="46">
        <v>50.491999999999997</v>
      </c>
      <c r="AH56" s="46">
        <v>36.253999999999998</v>
      </c>
    </row>
    <row r="57" spans="1:1005" ht="14.5" x14ac:dyDescent="0.35">
      <c r="A57" s="66">
        <v>47757</v>
      </c>
      <c r="B57" s="15">
        <v>42</v>
      </c>
      <c r="C57" s="13">
        <v>33</v>
      </c>
      <c r="D57" s="45">
        <v>37</v>
      </c>
      <c r="E57" s="46">
        <v>60.454000000000001</v>
      </c>
      <c r="F57" s="46">
        <v>50.509</v>
      </c>
      <c r="G57" s="46">
        <v>62.064999999999998</v>
      </c>
      <c r="H57" s="46">
        <v>45.658000000000001</v>
      </c>
      <c r="I57" s="46">
        <v>40.110999999999997</v>
      </c>
      <c r="J57" s="46">
        <v>31.911999999999999</v>
      </c>
      <c r="K57" s="46">
        <v>30.901</v>
      </c>
      <c r="L57" s="46">
        <v>31.263000000000002</v>
      </c>
      <c r="M57" s="46">
        <v>34.902999999999999</v>
      </c>
      <c r="N57" s="46">
        <v>33.598999999999997</v>
      </c>
      <c r="O57" s="46">
        <v>52.607999999999997</v>
      </c>
      <c r="P57" s="46">
        <v>65.042000000000002</v>
      </c>
      <c r="Q57" s="46">
        <v>44.363999999999997</v>
      </c>
      <c r="R57" s="46">
        <v>42.612000000000002</v>
      </c>
      <c r="S57" s="46">
        <v>40.247999999999998</v>
      </c>
      <c r="T57" s="46">
        <v>31.876999999999999</v>
      </c>
      <c r="U57" s="46">
        <v>41.51</v>
      </c>
      <c r="V57" s="46">
        <v>23.94</v>
      </c>
      <c r="W57" s="46">
        <v>51.192</v>
      </c>
      <c r="X57" s="46">
        <v>62.911999999999999</v>
      </c>
      <c r="Y57" s="46">
        <v>34.868000000000002</v>
      </c>
      <c r="Z57" s="46">
        <v>32.216999999999999</v>
      </c>
      <c r="AA57" s="46">
        <v>42.164999999999999</v>
      </c>
      <c r="AB57" s="46">
        <v>25.779</v>
      </c>
      <c r="AC57" s="46">
        <v>39.302999999999997</v>
      </c>
      <c r="AD57" s="46">
        <v>37.825000000000003</v>
      </c>
      <c r="AE57" s="46">
        <v>30.295999999999999</v>
      </c>
      <c r="AF57" s="46">
        <v>30</v>
      </c>
      <c r="AG57" s="46">
        <v>46.421999999999997</v>
      </c>
      <c r="AH57" s="46">
        <v>43.445999999999998</v>
      </c>
    </row>
    <row r="58" spans="1:1005" ht="14.5" x14ac:dyDescent="0.35">
      <c r="A58" s="66">
        <v>47788</v>
      </c>
      <c r="B58" s="15">
        <v>34</v>
      </c>
      <c r="C58" s="13">
        <v>30</v>
      </c>
      <c r="D58" s="45">
        <v>32</v>
      </c>
      <c r="E58" s="46">
        <v>46.101999999999997</v>
      </c>
      <c r="F58" s="46">
        <v>42.627000000000002</v>
      </c>
      <c r="G58" s="46">
        <v>46.956000000000003</v>
      </c>
      <c r="H58" s="46">
        <v>38.472999999999999</v>
      </c>
      <c r="I58" s="46">
        <v>32.215000000000003</v>
      </c>
      <c r="J58" s="46">
        <v>28.25</v>
      </c>
      <c r="K58" s="46">
        <v>30.212</v>
      </c>
      <c r="L58" s="46">
        <v>20.393000000000001</v>
      </c>
      <c r="M58" s="46">
        <v>26.081</v>
      </c>
      <c r="N58" s="46">
        <v>31.242999999999999</v>
      </c>
      <c r="O58" s="46">
        <v>40.308999999999997</v>
      </c>
      <c r="P58" s="46">
        <v>46.043999999999997</v>
      </c>
      <c r="Q58" s="46">
        <v>35.82</v>
      </c>
      <c r="R58" s="46">
        <v>36.521999999999998</v>
      </c>
      <c r="S58" s="46">
        <v>36.165999999999997</v>
      </c>
      <c r="T58" s="46">
        <v>32.082000000000001</v>
      </c>
      <c r="U58" s="46">
        <v>34.029000000000003</v>
      </c>
      <c r="V58" s="46">
        <v>20.013000000000002</v>
      </c>
      <c r="W58" s="46">
        <v>33.427999999999997</v>
      </c>
      <c r="X58" s="46">
        <v>39.195999999999998</v>
      </c>
      <c r="Y58" s="46">
        <v>31.349</v>
      </c>
      <c r="Z58" s="46">
        <v>27.686</v>
      </c>
      <c r="AA58" s="46">
        <v>35.862000000000002</v>
      </c>
      <c r="AB58" s="46">
        <v>24.192</v>
      </c>
      <c r="AC58" s="46">
        <v>33.853000000000002</v>
      </c>
      <c r="AD58" s="46">
        <v>39.633000000000003</v>
      </c>
      <c r="AE58" s="46">
        <v>28.675000000000001</v>
      </c>
      <c r="AF58" s="46">
        <v>25.58</v>
      </c>
      <c r="AG58" s="46">
        <v>37.427999999999997</v>
      </c>
      <c r="AH58" s="46">
        <v>33.537999999999997</v>
      </c>
    </row>
    <row r="59" spans="1:1005" ht="14.5" x14ac:dyDescent="0.35">
      <c r="A59" s="66">
        <v>47818</v>
      </c>
      <c r="B59" s="15">
        <v>27</v>
      </c>
      <c r="C59" s="13">
        <v>27</v>
      </c>
      <c r="D59" s="45">
        <v>27</v>
      </c>
      <c r="E59" s="46">
        <v>42.186999999999998</v>
      </c>
      <c r="F59" s="46">
        <v>35.420999999999999</v>
      </c>
      <c r="G59" s="46">
        <v>36.951999999999998</v>
      </c>
      <c r="H59" s="46">
        <v>34.89</v>
      </c>
      <c r="I59" s="46">
        <v>28.603999999999999</v>
      </c>
      <c r="J59" s="46">
        <v>24.675999999999998</v>
      </c>
      <c r="K59" s="46">
        <v>24.597000000000001</v>
      </c>
      <c r="L59" s="46">
        <v>17.678000000000001</v>
      </c>
      <c r="M59" s="46">
        <v>23.648</v>
      </c>
      <c r="N59" s="46">
        <v>25.085999999999999</v>
      </c>
      <c r="O59" s="46">
        <v>29.943999999999999</v>
      </c>
      <c r="P59" s="46">
        <v>31.79</v>
      </c>
      <c r="Q59" s="46">
        <v>25.89</v>
      </c>
      <c r="R59" s="46">
        <v>32.356999999999999</v>
      </c>
      <c r="S59" s="46">
        <v>29.5</v>
      </c>
      <c r="T59" s="46">
        <v>27.032</v>
      </c>
      <c r="U59" s="46">
        <v>29.849</v>
      </c>
      <c r="V59" s="46">
        <v>18.216000000000001</v>
      </c>
      <c r="W59" s="46">
        <v>25.181999999999999</v>
      </c>
      <c r="X59" s="46">
        <v>31.667000000000002</v>
      </c>
      <c r="Y59" s="46">
        <v>27.8</v>
      </c>
      <c r="Z59" s="46">
        <v>25.472999999999999</v>
      </c>
      <c r="AA59" s="46">
        <v>33.158000000000001</v>
      </c>
      <c r="AB59" s="46">
        <v>19.7</v>
      </c>
      <c r="AC59" s="46">
        <v>31.15</v>
      </c>
      <c r="AD59" s="46">
        <v>31.42</v>
      </c>
      <c r="AE59" s="46">
        <v>26.015999999999998</v>
      </c>
      <c r="AF59" s="46">
        <v>22.934000000000001</v>
      </c>
      <c r="AG59" s="46">
        <v>31.901</v>
      </c>
      <c r="AH59" s="46">
        <v>27.504999999999999</v>
      </c>
    </row>
    <row r="60" spans="1:1005" ht="14.5" x14ac:dyDescent="0.35">
      <c r="A60" s="66">
        <v>47849</v>
      </c>
      <c r="B60" s="15">
        <v>26</v>
      </c>
      <c r="C60" s="13">
        <v>26</v>
      </c>
      <c r="D60" s="45">
        <v>26</v>
      </c>
      <c r="E60" s="46">
        <v>35.895000000000003</v>
      </c>
      <c r="F60" s="46">
        <v>30.317</v>
      </c>
      <c r="G60" s="46">
        <v>32.883000000000003</v>
      </c>
      <c r="H60" s="46">
        <v>29.933</v>
      </c>
      <c r="I60" s="46">
        <v>28.463999999999999</v>
      </c>
      <c r="J60" s="46">
        <v>22.811</v>
      </c>
      <c r="K60" s="46">
        <v>21.548999999999999</v>
      </c>
      <c r="L60" s="46">
        <v>16.861999999999998</v>
      </c>
      <c r="M60" s="46">
        <v>21.366</v>
      </c>
      <c r="N60" s="46">
        <v>24.317</v>
      </c>
      <c r="O60" s="46">
        <v>26.013999999999999</v>
      </c>
      <c r="P60" s="46">
        <v>26.827000000000002</v>
      </c>
      <c r="Q60" s="46">
        <v>21.776</v>
      </c>
      <c r="R60" s="46">
        <v>29.512</v>
      </c>
      <c r="S60" s="46">
        <v>26.231999999999999</v>
      </c>
      <c r="T60" s="46">
        <v>24.835000000000001</v>
      </c>
      <c r="U60" s="46">
        <v>28.338999999999999</v>
      </c>
      <c r="V60" s="46">
        <v>16.916</v>
      </c>
      <c r="W60" s="46">
        <v>21.989000000000001</v>
      </c>
      <c r="X60" s="46">
        <v>27.713000000000001</v>
      </c>
      <c r="Y60" s="46">
        <v>25.568999999999999</v>
      </c>
      <c r="Z60" s="46">
        <v>23.62</v>
      </c>
      <c r="AA60" s="46">
        <v>28.939</v>
      </c>
      <c r="AB60" s="46">
        <v>18.11</v>
      </c>
      <c r="AC60" s="46">
        <v>28.466999999999999</v>
      </c>
      <c r="AD60" s="46">
        <v>25.462</v>
      </c>
      <c r="AE60" s="46">
        <v>23.495999999999999</v>
      </c>
      <c r="AF60" s="46">
        <v>21.443000000000001</v>
      </c>
      <c r="AG60" s="46">
        <v>29.088000000000001</v>
      </c>
      <c r="AH60" s="46">
        <v>24.994</v>
      </c>
    </row>
    <row r="61" spans="1:1005" ht="14.5" x14ac:dyDescent="0.35">
      <c r="A61" s="66">
        <v>47880</v>
      </c>
      <c r="B61" s="15">
        <v>25</v>
      </c>
      <c r="C61" s="13">
        <v>25</v>
      </c>
      <c r="D61" s="45">
        <v>25</v>
      </c>
      <c r="E61" s="46">
        <v>34.631</v>
      </c>
      <c r="F61" s="46">
        <v>24.759</v>
      </c>
      <c r="G61" s="46">
        <v>28.013999999999999</v>
      </c>
      <c r="H61" s="46">
        <v>28.172000000000001</v>
      </c>
      <c r="I61" s="46">
        <v>28.027999999999999</v>
      </c>
      <c r="J61" s="46">
        <v>21.507000000000001</v>
      </c>
      <c r="K61" s="46">
        <v>18.157</v>
      </c>
      <c r="L61" s="46">
        <v>19.379000000000001</v>
      </c>
      <c r="M61" s="46">
        <v>18.417000000000002</v>
      </c>
      <c r="N61" s="46">
        <v>21.358000000000001</v>
      </c>
      <c r="O61" s="46">
        <v>21.273</v>
      </c>
      <c r="P61" s="46">
        <v>24.817</v>
      </c>
      <c r="Q61" s="46">
        <v>17.744</v>
      </c>
      <c r="R61" s="46">
        <v>25.841999999999999</v>
      </c>
      <c r="S61" s="46">
        <v>21.696000000000002</v>
      </c>
      <c r="T61" s="46">
        <v>20.611000000000001</v>
      </c>
      <c r="U61" s="46">
        <v>23.584</v>
      </c>
      <c r="V61" s="46">
        <v>14.779</v>
      </c>
      <c r="W61" s="46">
        <v>21.802</v>
      </c>
      <c r="X61" s="46">
        <v>32.145000000000003</v>
      </c>
      <c r="Y61" s="46">
        <v>23.83</v>
      </c>
      <c r="Z61" s="46">
        <v>28.385999999999999</v>
      </c>
      <c r="AA61" s="46">
        <v>29.59</v>
      </c>
      <c r="AB61" s="46">
        <v>15.705</v>
      </c>
      <c r="AC61" s="46">
        <v>24.946000000000002</v>
      </c>
      <c r="AD61" s="46">
        <v>23.771999999999998</v>
      </c>
      <c r="AE61" s="46">
        <v>21.459</v>
      </c>
      <c r="AF61" s="46">
        <v>19.596</v>
      </c>
      <c r="AG61" s="46">
        <v>24.509</v>
      </c>
      <c r="AH61" s="46">
        <v>27.262</v>
      </c>
    </row>
    <row r="62" spans="1:1005" ht="14.5" x14ac:dyDescent="0.35">
      <c r="A62" s="66">
        <v>47908</v>
      </c>
      <c r="B62" s="15">
        <v>40</v>
      </c>
      <c r="C62" s="13">
        <v>40</v>
      </c>
      <c r="D62" s="45">
        <v>40</v>
      </c>
      <c r="E62" s="46">
        <v>45.228999999999999</v>
      </c>
      <c r="F62" s="46">
        <v>49.014000000000003</v>
      </c>
      <c r="G62" s="46">
        <v>46.179000000000002</v>
      </c>
      <c r="H62" s="46">
        <v>40.896999999999998</v>
      </c>
      <c r="I62" s="46">
        <v>34.74</v>
      </c>
      <c r="J62" s="46">
        <v>32.755000000000003</v>
      </c>
      <c r="K62" s="46">
        <v>23.530999999999999</v>
      </c>
      <c r="L62" s="46">
        <v>30.638999999999999</v>
      </c>
      <c r="M62" s="46">
        <v>49.329000000000001</v>
      </c>
      <c r="N62" s="46">
        <v>27.73</v>
      </c>
      <c r="O62" s="46">
        <v>30.934000000000001</v>
      </c>
      <c r="P62" s="46">
        <v>58.845999999999997</v>
      </c>
      <c r="Q62" s="46">
        <v>19.628</v>
      </c>
      <c r="R62" s="46">
        <v>46.429000000000002</v>
      </c>
      <c r="S62" s="46">
        <v>25.803000000000001</v>
      </c>
      <c r="T62" s="46">
        <v>33.789000000000001</v>
      </c>
      <c r="U62" s="46">
        <v>42.598999999999997</v>
      </c>
      <c r="V62" s="46">
        <v>22.655999999999999</v>
      </c>
      <c r="W62" s="46">
        <v>29.577999999999999</v>
      </c>
      <c r="X62" s="46">
        <v>54.018000000000001</v>
      </c>
      <c r="Y62" s="46">
        <v>41</v>
      </c>
      <c r="Z62" s="46">
        <v>64.25</v>
      </c>
      <c r="AA62" s="46">
        <v>32.25</v>
      </c>
      <c r="AB62" s="46">
        <v>22.596</v>
      </c>
      <c r="AC62" s="46">
        <v>38.720999999999997</v>
      </c>
      <c r="AD62" s="46">
        <v>31.084</v>
      </c>
      <c r="AE62" s="46">
        <v>35.874000000000002</v>
      </c>
      <c r="AF62" s="46">
        <v>34.920999999999999</v>
      </c>
      <c r="AG62" s="46">
        <v>44.418999999999997</v>
      </c>
      <c r="AH62" s="46">
        <v>50.692999999999998</v>
      </c>
    </row>
    <row r="63" spans="1:1005" ht="14.5" x14ac:dyDescent="0.35">
      <c r="A63" s="66">
        <v>47939</v>
      </c>
      <c r="B63" s="15">
        <v>89</v>
      </c>
      <c r="C63" s="13">
        <v>89</v>
      </c>
      <c r="D63" s="45">
        <v>89</v>
      </c>
      <c r="E63" s="46">
        <v>105.547</v>
      </c>
      <c r="F63" s="46">
        <v>90.891000000000005</v>
      </c>
      <c r="G63" s="46">
        <v>69.563999999999993</v>
      </c>
      <c r="H63" s="46">
        <v>59.857999999999997</v>
      </c>
      <c r="I63" s="46">
        <v>95.683000000000007</v>
      </c>
      <c r="J63" s="46">
        <v>69.379000000000005</v>
      </c>
      <c r="K63" s="46">
        <v>59.451000000000001</v>
      </c>
      <c r="L63" s="46">
        <v>55.906999999999996</v>
      </c>
      <c r="M63" s="46">
        <v>106.575</v>
      </c>
      <c r="N63" s="46">
        <v>69.543999999999997</v>
      </c>
      <c r="O63" s="46">
        <v>98.46</v>
      </c>
      <c r="P63" s="46">
        <v>102.15</v>
      </c>
      <c r="Q63" s="46">
        <v>55.274000000000001</v>
      </c>
      <c r="R63" s="46">
        <v>70.057000000000002</v>
      </c>
      <c r="S63" s="46">
        <v>61.165999999999997</v>
      </c>
      <c r="T63" s="46">
        <v>71.760000000000005</v>
      </c>
      <c r="U63" s="46">
        <v>92.853999999999999</v>
      </c>
      <c r="V63" s="46">
        <v>42.9</v>
      </c>
      <c r="W63" s="46">
        <v>71.123999999999995</v>
      </c>
      <c r="X63" s="46">
        <v>85.814999999999998</v>
      </c>
      <c r="Y63" s="46">
        <v>68.754000000000005</v>
      </c>
      <c r="Z63" s="46">
        <v>121.343</v>
      </c>
      <c r="AA63" s="46">
        <v>52.704999999999998</v>
      </c>
      <c r="AB63" s="46">
        <v>81.878</v>
      </c>
      <c r="AC63" s="46">
        <v>57.284999999999997</v>
      </c>
      <c r="AD63" s="46">
        <v>56.253999999999998</v>
      </c>
      <c r="AE63" s="46">
        <v>78.516000000000005</v>
      </c>
      <c r="AF63" s="46">
        <v>74.944999999999993</v>
      </c>
      <c r="AG63" s="46">
        <v>81.409000000000006</v>
      </c>
      <c r="AH63" s="46">
        <v>66.201999999999998</v>
      </c>
    </row>
    <row r="64" spans="1:1005" ht="14.5" x14ac:dyDescent="0.35">
      <c r="A64" s="66">
        <v>47969</v>
      </c>
      <c r="B64" s="15">
        <v>226</v>
      </c>
      <c r="C64" s="13">
        <v>226</v>
      </c>
      <c r="D64" s="45">
        <v>226</v>
      </c>
      <c r="E64" s="46">
        <v>382.048</v>
      </c>
      <c r="F64" s="46">
        <v>350.54700000000003</v>
      </c>
      <c r="G64" s="46">
        <v>212.16800000000001</v>
      </c>
      <c r="H64" s="46">
        <v>239.74299999999999</v>
      </c>
      <c r="I64" s="46">
        <v>263.024</v>
      </c>
      <c r="J64" s="46">
        <v>266.89</v>
      </c>
      <c r="K64" s="46">
        <v>98.649000000000001</v>
      </c>
      <c r="L64" s="46">
        <v>177.816</v>
      </c>
      <c r="M64" s="46">
        <v>239.59800000000001</v>
      </c>
      <c r="N64" s="46">
        <v>277.315</v>
      </c>
      <c r="O64" s="46">
        <v>249.73099999999999</v>
      </c>
      <c r="P64" s="46">
        <v>245.893</v>
      </c>
      <c r="Q64" s="46">
        <v>269.33999999999997</v>
      </c>
      <c r="R64" s="46">
        <v>320.887</v>
      </c>
      <c r="S64" s="46">
        <v>130.839</v>
      </c>
      <c r="T64" s="46">
        <v>175.24600000000001</v>
      </c>
      <c r="U64" s="46">
        <v>154.887</v>
      </c>
      <c r="V64" s="46">
        <v>110.11</v>
      </c>
      <c r="W64" s="46">
        <v>249.17699999999999</v>
      </c>
      <c r="X64" s="46">
        <v>177.34</v>
      </c>
      <c r="Y64" s="46">
        <v>178.762</v>
      </c>
      <c r="Z64" s="46">
        <v>265.31</v>
      </c>
      <c r="AA64" s="46">
        <v>171.29900000000001</v>
      </c>
      <c r="AB64" s="46">
        <v>208.833</v>
      </c>
      <c r="AC64" s="46">
        <v>196.37700000000001</v>
      </c>
      <c r="AD64" s="46">
        <v>145.93299999999999</v>
      </c>
      <c r="AE64" s="46">
        <v>221.774</v>
      </c>
      <c r="AF64" s="46">
        <v>303.37200000000001</v>
      </c>
      <c r="AG64" s="46">
        <v>231.64599999999999</v>
      </c>
      <c r="AH64" s="46">
        <v>231.64599999999999</v>
      </c>
      <c r="ALQ64" s="4" t="e">
        <v>#N/A</v>
      </c>
    </row>
    <row r="65" spans="1:1005" ht="14.5" x14ac:dyDescent="0.35">
      <c r="A65" s="66">
        <v>48000</v>
      </c>
      <c r="B65" s="15">
        <v>265</v>
      </c>
      <c r="C65" s="13">
        <v>265</v>
      </c>
      <c r="D65" s="45">
        <v>265</v>
      </c>
      <c r="E65" s="46">
        <v>321.35500000000002</v>
      </c>
      <c r="F65" s="46">
        <v>511.21199999999999</v>
      </c>
      <c r="G65" s="46">
        <v>224.631</v>
      </c>
      <c r="H65" s="46">
        <v>348.81599999999997</v>
      </c>
      <c r="I65" s="46">
        <v>160.678</v>
      </c>
      <c r="J65" s="46">
        <v>200.63499999999999</v>
      </c>
      <c r="K65" s="46">
        <v>61.258000000000003</v>
      </c>
      <c r="L65" s="46">
        <v>211.80199999999999</v>
      </c>
      <c r="M65" s="46">
        <v>146.369</v>
      </c>
      <c r="N65" s="46">
        <v>297.80700000000002</v>
      </c>
      <c r="O65" s="46">
        <v>193.214</v>
      </c>
      <c r="P65" s="46">
        <v>177.738</v>
      </c>
      <c r="Q65" s="46">
        <v>503.851</v>
      </c>
      <c r="R65" s="46">
        <v>272.36</v>
      </c>
      <c r="S65" s="46">
        <v>281.13799999999998</v>
      </c>
      <c r="T65" s="46">
        <v>449.416</v>
      </c>
      <c r="U65" s="46">
        <v>58.41</v>
      </c>
      <c r="V65" s="46">
        <v>157.91</v>
      </c>
      <c r="W65" s="46">
        <v>348.69200000000001</v>
      </c>
      <c r="X65" s="46">
        <v>367.20499999999998</v>
      </c>
      <c r="Y65" s="46">
        <v>304.625</v>
      </c>
      <c r="Z65" s="46">
        <v>407.577</v>
      </c>
      <c r="AA65" s="46">
        <v>79.149000000000001</v>
      </c>
      <c r="AB65" s="46">
        <v>432.87400000000002</v>
      </c>
      <c r="AC65" s="46">
        <v>199.84800000000001</v>
      </c>
      <c r="AD65" s="46">
        <v>282.72000000000003</v>
      </c>
      <c r="AE65" s="46">
        <v>171.02600000000001</v>
      </c>
      <c r="AF65" s="46">
        <v>423.25900000000001</v>
      </c>
      <c r="AG65" s="46">
        <v>220.369</v>
      </c>
      <c r="AH65" s="46">
        <v>220.369</v>
      </c>
      <c r="ALQ65" s="4" t="e">
        <v>#N/A</v>
      </c>
    </row>
    <row r="66" spans="1:1005" ht="14.5" x14ac:dyDescent="0.35">
      <c r="A66" s="66">
        <v>48030</v>
      </c>
      <c r="B66" s="15">
        <v>90</v>
      </c>
      <c r="C66" s="13">
        <v>90</v>
      </c>
      <c r="D66" s="45">
        <v>90</v>
      </c>
      <c r="E66" s="46">
        <v>113.217</v>
      </c>
      <c r="F66" s="46">
        <v>177.01</v>
      </c>
      <c r="G66" s="46">
        <v>106.751</v>
      </c>
      <c r="H66" s="46">
        <v>220.25299999999999</v>
      </c>
      <c r="I66" s="46">
        <v>53.45</v>
      </c>
      <c r="J66" s="46">
        <v>61.765999999999998</v>
      </c>
      <c r="K66" s="46">
        <v>26.187999999999999</v>
      </c>
      <c r="L66" s="46">
        <v>58.19</v>
      </c>
      <c r="M66" s="46">
        <v>56.058</v>
      </c>
      <c r="N66" s="46">
        <v>117.145</v>
      </c>
      <c r="O66" s="46">
        <v>73.543000000000006</v>
      </c>
      <c r="P66" s="46">
        <v>66.948999999999998</v>
      </c>
      <c r="Q66" s="46">
        <v>216.55600000000001</v>
      </c>
      <c r="R66" s="46">
        <v>138.023</v>
      </c>
      <c r="S66" s="46">
        <v>75.253</v>
      </c>
      <c r="T66" s="46">
        <v>226.87299999999999</v>
      </c>
      <c r="U66" s="46">
        <v>30.096</v>
      </c>
      <c r="V66" s="46">
        <v>58.033000000000001</v>
      </c>
      <c r="W66" s="46">
        <v>105.60899999999999</v>
      </c>
      <c r="X66" s="46">
        <v>119.652</v>
      </c>
      <c r="Y66" s="46">
        <v>96.573999999999998</v>
      </c>
      <c r="Z66" s="46">
        <v>135.446</v>
      </c>
      <c r="AA66" s="46">
        <v>34.503</v>
      </c>
      <c r="AB66" s="46">
        <v>259.834</v>
      </c>
      <c r="AC66" s="46">
        <v>62.381999999999998</v>
      </c>
      <c r="AD66" s="46">
        <v>121.80500000000001</v>
      </c>
      <c r="AE66" s="46">
        <v>68.174999999999997</v>
      </c>
      <c r="AF66" s="46">
        <v>182.98599999999999</v>
      </c>
      <c r="AG66" s="46">
        <v>66.704999999999998</v>
      </c>
      <c r="AH66" s="46">
        <v>66.704999999999998</v>
      </c>
      <c r="ALQ66" s="4" t="e">
        <v>#N/A</v>
      </c>
    </row>
    <row r="67" spans="1:1005" ht="14.5" x14ac:dyDescent="0.35">
      <c r="A67" s="66">
        <v>48061</v>
      </c>
      <c r="B67" s="15">
        <v>56</v>
      </c>
      <c r="C67" s="13">
        <v>56</v>
      </c>
      <c r="D67" s="45">
        <v>56</v>
      </c>
      <c r="E67" s="46">
        <v>56.304000000000002</v>
      </c>
      <c r="F67" s="46">
        <v>86.138999999999996</v>
      </c>
      <c r="G67" s="46">
        <v>54.167000000000002</v>
      </c>
      <c r="H67" s="46">
        <v>91.483999999999995</v>
      </c>
      <c r="I67" s="46">
        <v>47.290999999999997</v>
      </c>
      <c r="J67" s="46">
        <v>54.84</v>
      </c>
      <c r="K67" s="46">
        <v>22.841000000000001</v>
      </c>
      <c r="L67" s="46">
        <v>43.491999999999997</v>
      </c>
      <c r="M67" s="46">
        <v>39.238999999999997</v>
      </c>
      <c r="N67" s="46">
        <v>60.694000000000003</v>
      </c>
      <c r="O67" s="46">
        <v>52.470999999999997</v>
      </c>
      <c r="P67" s="46">
        <v>49.457999999999998</v>
      </c>
      <c r="Q67" s="46">
        <v>81.221999999999994</v>
      </c>
      <c r="R67" s="46">
        <v>57.095999999999997</v>
      </c>
      <c r="S67" s="46">
        <v>52.709000000000003</v>
      </c>
      <c r="T67" s="46">
        <v>72.302999999999997</v>
      </c>
      <c r="U67" s="46">
        <v>30.579000000000001</v>
      </c>
      <c r="V67" s="46">
        <v>41.741</v>
      </c>
      <c r="W67" s="46">
        <v>59.76</v>
      </c>
      <c r="X67" s="46">
        <v>55.462000000000003</v>
      </c>
      <c r="Y67" s="46">
        <v>55.637</v>
      </c>
      <c r="Z67" s="46">
        <v>66.668000000000006</v>
      </c>
      <c r="AA67" s="46">
        <v>28.542999999999999</v>
      </c>
      <c r="AB67" s="46">
        <v>84.570999999999998</v>
      </c>
      <c r="AC67" s="46">
        <v>41.723999999999997</v>
      </c>
      <c r="AD67" s="46">
        <v>57.405000000000001</v>
      </c>
      <c r="AE67" s="46">
        <v>56.341999999999999</v>
      </c>
      <c r="AF67" s="46">
        <v>70.870999999999995</v>
      </c>
      <c r="AG67" s="46">
        <v>44.506999999999998</v>
      </c>
      <c r="AH67" s="46">
        <v>44.506999999999998</v>
      </c>
      <c r="ALQ67" s="4" t="e">
        <v>#N/A</v>
      </c>
    </row>
    <row r="68" spans="1:1005" ht="14.5" x14ac:dyDescent="0.35">
      <c r="A68" s="66">
        <v>48092</v>
      </c>
      <c r="B68" s="15">
        <v>36</v>
      </c>
      <c r="C68" s="13">
        <v>36</v>
      </c>
      <c r="D68" s="45">
        <v>36</v>
      </c>
      <c r="E68" s="46">
        <v>41.389000000000003</v>
      </c>
      <c r="F68" s="46">
        <v>59.356999999999999</v>
      </c>
      <c r="G68" s="46">
        <v>35.134999999999998</v>
      </c>
      <c r="H68" s="46">
        <v>49.97</v>
      </c>
      <c r="I68" s="46">
        <v>35.216999999999999</v>
      </c>
      <c r="J68" s="46">
        <v>32.57</v>
      </c>
      <c r="K68" s="46">
        <v>21.896999999999998</v>
      </c>
      <c r="L68" s="46">
        <v>58.302</v>
      </c>
      <c r="M68" s="46">
        <v>35.927999999999997</v>
      </c>
      <c r="N68" s="46">
        <v>39.095999999999997</v>
      </c>
      <c r="O68" s="46">
        <v>38.645000000000003</v>
      </c>
      <c r="P68" s="46">
        <v>43.412999999999997</v>
      </c>
      <c r="Q68" s="46">
        <v>46.594999999999999</v>
      </c>
      <c r="R68" s="46">
        <v>38.35</v>
      </c>
      <c r="S68" s="46">
        <v>30.812999999999999</v>
      </c>
      <c r="T68" s="46">
        <v>41.994</v>
      </c>
      <c r="U68" s="46">
        <v>24.939</v>
      </c>
      <c r="V68" s="46">
        <v>55.317</v>
      </c>
      <c r="W68" s="46">
        <v>53.51</v>
      </c>
      <c r="X68" s="46">
        <v>40.076999999999998</v>
      </c>
      <c r="Y68" s="46">
        <v>36.747</v>
      </c>
      <c r="Z68" s="46">
        <v>40.948999999999998</v>
      </c>
      <c r="AA68" s="46">
        <v>23.254999999999999</v>
      </c>
      <c r="AB68" s="46">
        <v>45.209000000000003</v>
      </c>
      <c r="AC68" s="46">
        <v>38.54</v>
      </c>
      <c r="AD68" s="46">
        <v>35.511000000000003</v>
      </c>
      <c r="AE68" s="46">
        <v>40.67</v>
      </c>
      <c r="AF68" s="46">
        <v>50.491999999999997</v>
      </c>
      <c r="AG68" s="46">
        <v>36.253999999999998</v>
      </c>
      <c r="AH68" s="46">
        <v>36.253999999999998</v>
      </c>
      <c r="ALQ68" s="4" t="e">
        <v>#N/A</v>
      </c>
    </row>
    <row r="69" spans="1:1005" ht="14.5" x14ac:dyDescent="0.35">
      <c r="A69" s="66"/>
      <c r="B69" s="15"/>
      <c r="C69" s="13"/>
      <c r="D69" s="45"/>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LQ69" s="4" t="e">
        <v>#N/A</v>
      </c>
    </row>
    <row r="70" spans="1:1005" ht="14.5" x14ac:dyDescent="0.35">
      <c r="A70" s="66"/>
      <c r="B70" s="15"/>
      <c r="C70" s="13"/>
      <c r="D70" s="45"/>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LQ70" s="4" t="e">
        <v>#N/A</v>
      </c>
    </row>
    <row r="71" spans="1:1005" ht="14.5" x14ac:dyDescent="0.35">
      <c r="A71" s="66"/>
      <c r="B71" s="15"/>
      <c r="C71" s="13"/>
      <c r="D71" s="45"/>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LQ71" s="4" t="e">
        <v>#N/A</v>
      </c>
    </row>
    <row r="72" spans="1:1005" ht="14.5" x14ac:dyDescent="0.35">
      <c r="A72" s="66"/>
      <c r="B72" s="15"/>
      <c r="C72" s="13"/>
      <c r="D72" s="14"/>
      <c r="ALQ72" s="4" t="e">
        <v>#N/A</v>
      </c>
    </row>
    <row r="73" spans="1:1005" ht="14.5" x14ac:dyDescent="0.35">
      <c r="A73" s="66"/>
      <c r="B73" s="15"/>
      <c r="C73" s="13"/>
      <c r="D73" s="14"/>
    </row>
    <row r="74" spans="1:1005" ht="14.5" x14ac:dyDescent="0.35">
      <c r="A74" s="66"/>
      <c r="B74" s="15"/>
      <c r="C74" s="13"/>
      <c r="D74" s="14"/>
    </row>
    <row r="75" spans="1:1005" ht="14.5" x14ac:dyDescent="0.35">
      <c r="A75" s="66"/>
      <c r="B75" s="15"/>
      <c r="C75" s="13"/>
      <c r="D75" s="14"/>
    </row>
    <row r="76" spans="1:1005" ht="14.5" x14ac:dyDescent="0.35">
      <c r="A76" s="66"/>
      <c r="B76" s="15"/>
      <c r="C76" s="13"/>
      <c r="D76" s="14"/>
    </row>
    <row r="77" spans="1:1005" ht="14.5" x14ac:dyDescent="0.35">
      <c r="A77" s="66"/>
      <c r="B77" s="15"/>
      <c r="C77" s="13"/>
      <c r="D77" s="14"/>
    </row>
    <row r="78" spans="1:1005" ht="14.5" x14ac:dyDescent="0.35">
      <c r="A78" s="66"/>
      <c r="B78" s="15"/>
      <c r="C78" s="13"/>
      <c r="D78" s="14"/>
    </row>
    <row r="79" spans="1:1005" ht="14.5" x14ac:dyDescent="0.35">
      <c r="A79" s="66"/>
      <c r="B79" s="15"/>
      <c r="C79" s="13"/>
      <c r="D79" s="14"/>
    </row>
    <row r="80" spans="1:1005" ht="14.5" x14ac:dyDescent="0.35">
      <c r="A80" s="66"/>
      <c r="B80" s="15"/>
      <c r="C80" s="13"/>
      <c r="D80" s="14"/>
    </row>
    <row r="81" spans="1:4" ht="12.75" customHeight="1" x14ac:dyDescent="0.35">
      <c r="A81" s="66"/>
      <c r="B81" s="15"/>
      <c r="C81" s="13"/>
      <c r="D81" s="14"/>
    </row>
    <row r="82" spans="1:4" ht="12.75" customHeight="1" x14ac:dyDescent="0.35">
      <c r="A82" s="66"/>
      <c r="B82" s="15"/>
      <c r="C82" s="13"/>
      <c r="D82" s="14"/>
    </row>
    <row r="83" spans="1:4" ht="12.75" customHeight="1" x14ac:dyDescent="0.35">
      <c r="A83" s="66"/>
      <c r="B83" s="15"/>
      <c r="C83" s="13"/>
      <c r="D83" s="14"/>
    </row>
    <row r="84" spans="1:4" ht="12.75" customHeight="1" x14ac:dyDescent="0.35">
      <c r="A84" s="66"/>
      <c r="B84" s="15"/>
      <c r="C84" s="13"/>
      <c r="D84" s="14"/>
    </row>
  </sheetData>
  <mergeCells count="1">
    <mergeCell ref="B1:A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1A59-7A12-41D0-83A3-42BEDF02BD9C}">
  <sheetPr codeName="Sheet11">
    <tabColor rgb="FFD9D9D9"/>
  </sheetPr>
  <dimension ref="A1:ALQ84"/>
  <sheetViews>
    <sheetView topLeftCell="A46" workbookViewId="0">
      <selection activeCell="D4" sqref="D4"/>
    </sheetView>
  </sheetViews>
  <sheetFormatPr defaultColWidth="18.6328125" defaultRowHeight="12.75" customHeight="1" x14ac:dyDescent="0.35"/>
  <cols>
    <col min="1" max="4" width="7.54296875" style="3" customWidth="1"/>
    <col min="5" max="30" width="8" style="4" customWidth="1"/>
    <col min="31" max="31" width="8.453125" customWidth="1"/>
    <col min="32" max="54" width="8.6328125" style="4" customWidth="1"/>
    <col min="55" max="16384" width="18.6328125" style="4"/>
  </cols>
  <sheetData>
    <row r="1" spans="1:39" ht="14.5" x14ac:dyDescent="0.35">
      <c r="A1" s="20"/>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3"/>
      <c r="AJ1" s="3"/>
      <c r="AK1" s="3"/>
      <c r="AL1" s="3"/>
      <c r="AM1" s="3"/>
    </row>
    <row r="2" spans="1:39" s="3" customFormat="1" ht="14.5" x14ac:dyDescent="0.35">
      <c r="A2" s="20"/>
      <c r="B2" s="19" t="s">
        <v>0</v>
      </c>
      <c r="C2" s="19" t="s">
        <v>1</v>
      </c>
      <c r="D2" s="19" t="s">
        <v>2</v>
      </c>
      <c r="E2" s="19">
        <v>1991</v>
      </c>
      <c r="F2" s="19">
        <v>1992</v>
      </c>
      <c r="G2" s="19">
        <v>1993</v>
      </c>
      <c r="H2" s="19">
        <v>1994</v>
      </c>
      <c r="I2" s="19">
        <v>1995</v>
      </c>
      <c r="J2" s="19">
        <v>1996</v>
      </c>
      <c r="K2" s="19">
        <v>1997</v>
      </c>
      <c r="L2" s="19">
        <v>1998</v>
      </c>
      <c r="M2" s="19">
        <v>1999</v>
      </c>
      <c r="N2" s="19">
        <v>2000</v>
      </c>
      <c r="O2" s="19">
        <v>2001</v>
      </c>
      <c r="P2" s="19">
        <v>2002</v>
      </c>
      <c r="Q2" s="19">
        <v>2003</v>
      </c>
      <c r="R2" s="19">
        <v>2004</v>
      </c>
      <c r="S2" s="19">
        <v>2005</v>
      </c>
      <c r="T2" s="19">
        <v>2006</v>
      </c>
      <c r="U2" s="19">
        <v>2007</v>
      </c>
      <c r="V2" s="19">
        <v>2008</v>
      </c>
      <c r="W2" s="19">
        <v>2009</v>
      </c>
      <c r="X2" s="19">
        <v>2010</v>
      </c>
      <c r="Y2" s="19">
        <v>2011</v>
      </c>
      <c r="Z2" s="19">
        <v>2012</v>
      </c>
      <c r="AA2" s="19">
        <v>2013</v>
      </c>
      <c r="AB2" s="19">
        <v>2014</v>
      </c>
      <c r="AC2" s="19">
        <v>2015</v>
      </c>
      <c r="AD2" s="19">
        <v>2016</v>
      </c>
      <c r="AE2" s="70">
        <v>2017</v>
      </c>
      <c r="AF2" s="19">
        <v>2018</v>
      </c>
      <c r="AG2" s="19">
        <v>2019</v>
      </c>
      <c r="AH2" s="19">
        <v>2020</v>
      </c>
    </row>
    <row r="3" spans="1:39" s="3" customFormat="1" ht="14.5" x14ac:dyDescent="0.35">
      <c r="A3" s="71"/>
      <c r="B3" s="72" t="s">
        <v>3</v>
      </c>
      <c r="C3" s="72" t="s">
        <v>4</v>
      </c>
      <c r="D3" s="72" t="s">
        <v>5</v>
      </c>
      <c r="E3" s="72" t="s">
        <v>6</v>
      </c>
      <c r="F3" s="72" t="s">
        <v>7</v>
      </c>
      <c r="G3" s="72" t="s">
        <v>8</v>
      </c>
      <c r="H3" s="72" t="s">
        <v>9</v>
      </c>
      <c r="I3" s="72" t="s">
        <v>10</v>
      </c>
      <c r="J3" s="72" t="s">
        <v>11</v>
      </c>
      <c r="K3" s="72" t="s">
        <v>12</v>
      </c>
      <c r="L3" s="72" t="s">
        <v>13</v>
      </c>
      <c r="M3" s="72" t="s">
        <v>14</v>
      </c>
      <c r="N3" s="72" t="s">
        <v>15</v>
      </c>
      <c r="O3" s="72" t="s">
        <v>16</v>
      </c>
      <c r="P3" s="72" t="s">
        <v>17</v>
      </c>
      <c r="Q3" s="72" t="s">
        <v>18</v>
      </c>
      <c r="R3" s="72" t="s">
        <v>19</v>
      </c>
      <c r="S3" s="72" t="s">
        <v>20</v>
      </c>
      <c r="T3" s="72" t="s">
        <v>21</v>
      </c>
      <c r="U3" s="72" t="s">
        <v>22</v>
      </c>
      <c r="V3" s="72" t="s">
        <v>23</v>
      </c>
      <c r="W3" s="72" t="s">
        <v>24</v>
      </c>
      <c r="X3" s="72" t="s">
        <v>25</v>
      </c>
      <c r="Y3" s="72" t="s">
        <v>26</v>
      </c>
      <c r="Z3" s="72" t="s">
        <v>27</v>
      </c>
      <c r="AA3" s="72" t="s">
        <v>28</v>
      </c>
      <c r="AB3" s="72" t="s">
        <v>29</v>
      </c>
      <c r="AC3" s="72" t="s">
        <v>30</v>
      </c>
      <c r="AD3" s="72" t="s">
        <v>31</v>
      </c>
      <c r="AE3" s="72" t="s">
        <v>32</v>
      </c>
      <c r="AF3" s="72" t="s">
        <v>33</v>
      </c>
      <c r="AG3" s="72" t="s">
        <v>34</v>
      </c>
      <c r="AH3" s="72" t="s">
        <v>35</v>
      </c>
    </row>
    <row r="4" spans="1:39" ht="14.5" x14ac:dyDescent="0.35">
      <c r="A4" s="73">
        <v>46143</v>
      </c>
      <c r="B4" s="30">
        <v>172</v>
      </c>
      <c r="C4" s="31">
        <v>47</v>
      </c>
      <c r="D4" s="9">
        <v>90</v>
      </c>
      <c r="E4">
        <v>86.087999999999994</v>
      </c>
      <c r="F4">
        <v>131.762</v>
      </c>
      <c r="G4">
        <v>106.946</v>
      </c>
      <c r="H4" s="4">
        <v>94.012</v>
      </c>
      <c r="I4" s="4">
        <v>90.064999999999998</v>
      </c>
      <c r="J4" s="4">
        <v>84.150999999999996</v>
      </c>
      <c r="K4" s="4">
        <v>102.306</v>
      </c>
      <c r="L4" s="4">
        <v>72.058000000000007</v>
      </c>
      <c r="M4" s="4">
        <v>73.156999999999996</v>
      </c>
      <c r="N4" s="4">
        <v>85.061999999999998</v>
      </c>
      <c r="O4" s="4">
        <v>103.223</v>
      </c>
      <c r="P4" s="4">
        <v>72.724000000000004</v>
      </c>
      <c r="Q4" s="4">
        <v>91.944999999999993</v>
      </c>
      <c r="R4" s="4">
        <v>86.076999999999998</v>
      </c>
      <c r="S4" s="4">
        <v>83.557000000000002</v>
      </c>
      <c r="T4" s="4">
        <v>89.935000000000002</v>
      </c>
      <c r="U4" s="4">
        <v>121.40600000000001</v>
      </c>
      <c r="V4" s="4">
        <v>90.653999999999996</v>
      </c>
      <c r="W4" s="4">
        <v>99.369</v>
      </c>
      <c r="X4" s="4">
        <v>68.346000000000004</v>
      </c>
      <c r="Y4" s="4">
        <v>82.509</v>
      </c>
      <c r="Z4" s="4">
        <v>90.100999999999999</v>
      </c>
      <c r="AA4" s="4">
        <v>86.078000000000003</v>
      </c>
      <c r="AB4" s="4">
        <v>98.650999999999996</v>
      </c>
      <c r="AC4" s="4">
        <v>157.31299999999999</v>
      </c>
      <c r="AD4" s="4">
        <v>91.073999999999998</v>
      </c>
      <c r="AE4" s="4">
        <v>98.206000000000003</v>
      </c>
      <c r="AF4" s="4">
        <v>82.320999999999998</v>
      </c>
      <c r="AG4" s="4">
        <v>88.95</v>
      </c>
      <c r="AH4">
        <v>81.450999999999993</v>
      </c>
    </row>
    <row r="5" spans="1:39" ht="14.5" x14ac:dyDescent="0.35">
      <c r="A5" s="73">
        <v>46174</v>
      </c>
      <c r="B5" s="33">
        <v>27</v>
      </c>
      <c r="C5" s="8">
        <v>7</v>
      </c>
      <c r="D5" s="11">
        <v>14</v>
      </c>
      <c r="E5">
        <v>40.057000000000002</v>
      </c>
      <c r="F5">
        <v>33.514000000000003</v>
      </c>
      <c r="G5">
        <v>26.952999999999999</v>
      </c>
      <c r="H5" s="4">
        <v>18.126000000000001</v>
      </c>
      <c r="I5" s="4">
        <v>80.855000000000004</v>
      </c>
      <c r="J5" s="4">
        <v>2.8079999999999998</v>
      </c>
      <c r="K5" s="4">
        <v>31.312999999999999</v>
      </c>
      <c r="L5" s="4">
        <v>5.8410000000000002</v>
      </c>
      <c r="M5" s="4">
        <v>27.890999999999998</v>
      </c>
      <c r="N5" s="4">
        <v>-0.52700000000000002</v>
      </c>
      <c r="O5" s="4">
        <v>2.504</v>
      </c>
      <c r="P5" s="4">
        <v>1.43</v>
      </c>
      <c r="Q5" s="4">
        <v>14.547000000000001</v>
      </c>
      <c r="R5" s="4">
        <v>-2.859</v>
      </c>
      <c r="S5" s="4">
        <v>9.6950000000000003</v>
      </c>
      <c r="T5" s="4">
        <v>0.44800000000000001</v>
      </c>
      <c r="U5" s="4">
        <v>20.036999999999999</v>
      </c>
      <c r="V5" s="4">
        <v>22.966999999999999</v>
      </c>
      <c r="W5" s="4">
        <v>11.202</v>
      </c>
      <c r="X5" s="4">
        <v>12.412000000000001</v>
      </c>
      <c r="Y5" s="4">
        <v>36.167999999999999</v>
      </c>
      <c r="Z5" s="4">
        <v>-3.2679999999999998</v>
      </c>
      <c r="AA5" s="4">
        <v>4.0330000000000004</v>
      </c>
      <c r="AB5" s="4">
        <v>21.164999999999999</v>
      </c>
      <c r="AC5" s="4">
        <v>159.72999999999999</v>
      </c>
      <c r="AD5" s="4">
        <v>24.625</v>
      </c>
      <c r="AE5" s="4">
        <v>13.452999999999999</v>
      </c>
      <c r="AF5" s="4">
        <v>-1.288</v>
      </c>
      <c r="AG5" s="4">
        <v>74.902000000000001</v>
      </c>
      <c r="AH5">
        <v>0.57599999999999996</v>
      </c>
    </row>
    <row r="6" spans="1:39" ht="14.5" x14ac:dyDescent="0.35">
      <c r="A6" s="73">
        <v>46204</v>
      </c>
      <c r="B6" s="33">
        <v>-17</v>
      </c>
      <c r="C6" s="8">
        <v>-5</v>
      </c>
      <c r="D6" s="11">
        <v>-9</v>
      </c>
      <c r="E6">
        <v>0.26500000000000001</v>
      </c>
      <c r="F6">
        <v>3.367</v>
      </c>
      <c r="G6">
        <v>-12.287000000000001</v>
      </c>
      <c r="H6" s="4">
        <v>-11.794</v>
      </c>
      <c r="I6" s="4">
        <v>20.183</v>
      </c>
      <c r="J6" s="4">
        <v>-8.6809999999999992</v>
      </c>
      <c r="K6" s="4">
        <v>-0.99299999999999999</v>
      </c>
      <c r="L6" s="4">
        <v>-4.0869999999999997</v>
      </c>
      <c r="M6" s="4">
        <v>19.225999999999999</v>
      </c>
      <c r="N6" s="4">
        <v>-15.304</v>
      </c>
      <c r="O6" s="4">
        <v>-12.71</v>
      </c>
      <c r="P6" s="4">
        <v>-14.37</v>
      </c>
      <c r="Q6" s="4">
        <v>-15.41</v>
      </c>
      <c r="R6" s="4">
        <v>-11.968</v>
      </c>
      <c r="S6" s="4">
        <v>-15.177</v>
      </c>
      <c r="T6" s="4">
        <v>3.5289999999999999</v>
      </c>
      <c r="U6" s="4">
        <v>-9.7189999999999994</v>
      </c>
      <c r="V6" s="4">
        <v>-6.7249999999999996</v>
      </c>
      <c r="W6" s="4">
        <v>-11.43</v>
      </c>
      <c r="X6" s="4">
        <v>-10.863</v>
      </c>
      <c r="Y6" s="4">
        <v>-8.4860000000000007</v>
      </c>
      <c r="Z6" s="4">
        <v>-9.3379999999999992</v>
      </c>
      <c r="AA6" s="4">
        <v>-8.6020000000000003</v>
      </c>
      <c r="AB6" s="4">
        <v>-10.579000000000001</v>
      </c>
      <c r="AC6" s="4">
        <v>15.013999999999999</v>
      </c>
      <c r="AD6" s="4">
        <v>-11.365</v>
      </c>
      <c r="AE6" s="4">
        <v>-10.579000000000001</v>
      </c>
      <c r="AF6" s="4">
        <v>-14.619</v>
      </c>
      <c r="AG6" s="4">
        <v>-7.407</v>
      </c>
      <c r="AH6">
        <v>-9.4580000000000002</v>
      </c>
    </row>
    <row r="7" spans="1:39" ht="14.5" x14ac:dyDescent="0.35">
      <c r="A7" s="73">
        <v>46235</v>
      </c>
      <c r="B7" s="33">
        <v>2</v>
      </c>
      <c r="C7" s="8">
        <v>3</v>
      </c>
      <c r="D7" s="11">
        <v>2</v>
      </c>
      <c r="E7">
        <v>7.1340000000000003</v>
      </c>
      <c r="F7">
        <v>29.939</v>
      </c>
      <c r="G7">
        <v>32.220999999999997</v>
      </c>
      <c r="H7" s="4">
        <v>-0.72899999999999998</v>
      </c>
      <c r="I7" s="4">
        <v>11.51</v>
      </c>
      <c r="J7" s="4">
        <v>0.44900000000000001</v>
      </c>
      <c r="K7" s="4">
        <v>17.594000000000001</v>
      </c>
      <c r="L7" s="4">
        <v>8.0990000000000002</v>
      </c>
      <c r="M7" s="4">
        <v>70.537999999999997</v>
      </c>
      <c r="N7" s="4">
        <v>0.78400000000000003</v>
      </c>
      <c r="O7" s="4">
        <v>15.106</v>
      </c>
      <c r="P7" s="4">
        <v>3.0430000000000001</v>
      </c>
      <c r="Q7" s="4">
        <v>-2.5870000000000002</v>
      </c>
      <c r="R7" s="4">
        <v>0.95699999999999996</v>
      </c>
      <c r="S7" s="4">
        <v>4.7869999999999999</v>
      </c>
      <c r="T7" s="4">
        <v>25.692</v>
      </c>
      <c r="U7" s="4">
        <v>18.760999999999999</v>
      </c>
      <c r="V7" s="4">
        <v>0.753</v>
      </c>
      <c r="W7" s="4">
        <v>-4.2149999999999999</v>
      </c>
      <c r="X7" s="4">
        <v>12.942</v>
      </c>
      <c r="Y7" s="4">
        <v>-7.3550000000000004</v>
      </c>
      <c r="Z7" s="4">
        <v>-0.89</v>
      </c>
      <c r="AA7" s="4">
        <v>14.335000000000001</v>
      </c>
      <c r="AB7" s="4">
        <v>-1.899</v>
      </c>
      <c r="AC7" s="4">
        <v>0.122</v>
      </c>
      <c r="AD7" s="4">
        <v>9.0980000000000008</v>
      </c>
      <c r="AE7" s="4">
        <v>0.14799999999999999</v>
      </c>
      <c r="AF7" s="4">
        <v>-0.90700000000000003</v>
      </c>
      <c r="AG7" s="4">
        <v>-6</v>
      </c>
      <c r="AH7">
        <v>-7.4999999999999997E-2</v>
      </c>
    </row>
    <row r="8" spans="1:39" ht="14.5" x14ac:dyDescent="0.35">
      <c r="A8" s="73">
        <v>46266</v>
      </c>
      <c r="B8" s="33">
        <v>22</v>
      </c>
      <c r="C8" s="8">
        <v>13</v>
      </c>
      <c r="D8" s="11">
        <v>25</v>
      </c>
      <c r="E8">
        <v>53.603000000000002</v>
      </c>
      <c r="F8">
        <v>31.236000000000001</v>
      </c>
      <c r="G8">
        <v>59.805999999999997</v>
      </c>
      <c r="H8" s="4">
        <v>46.478999999999999</v>
      </c>
      <c r="I8" s="4">
        <v>18.768000000000001</v>
      </c>
      <c r="J8" s="4">
        <v>27.058</v>
      </c>
      <c r="K8" s="4">
        <v>58.651000000000003</v>
      </c>
      <c r="L8" s="4">
        <v>20.062000000000001</v>
      </c>
      <c r="M8" s="4">
        <v>60.070999999999998</v>
      </c>
      <c r="N8" s="4">
        <v>17.646000000000001</v>
      </c>
      <c r="O8" s="4">
        <v>17.603000000000002</v>
      </c>
      <c r="P8" s="4">
        <v>27.623999999999999</v>
      </c>
      <c r="Q8" s="4">
        <v>45.305999999999997</v>
      </c>
      <c r="R8" s="4">
        <v>50.67</v>
      </c>
      <c r="S8" s="4">
        <v>21.05</v>
      </c>
      <c r="T8" s="4">
        <v>41.877000000000002</v>
      </c>
      <c r="U8" s="4">
        <v>23.385000000000002</v>
      </c>
      <c r="V8" s="4">
        <v>30.637</v>
      </c>
      <c r="W8" s="4">
        <v>17.757000000000001</v>
      </c>
      <c r="X8" s="4">
        <v>33.634</v>
      </c>
      <c r="Y8" s="4">
        <v>18.896000000000001</v>
      </c>
      <c r="Z8" s="4">
        <v>17.356000000000002</v>
      </c>
      <c r="AA8" s="4">
        <v>90.378</v>
      </c>
      <c r="AB8" s="4">
        <v>26.614999999999998</v>
      </c>
      <c r="AC8" s="4">
        <v>6.6470000000000002</v>
      </c>
      <c r="AD8" s="4">
        <v>19.867999999999999</v>
      </c>
      <c r="AE8" s="4">
        <v>22.806000000000001</v>
      </c>
      <c r="AF8" s="4">
        <v>14.789</v>
      </c>
      <c r="AG8" s="4">
        <v>14.226000000000001</v>
      </c>
      <c r="AH8">
        <v>18.178999999999998</v>
      </c>
    </row>
    <row r="9" spans="1:39" ht="14.5" x14ac:dyDescent="0.35">
      <c r="A9" s="73">
        <v>46296</v>
      </c>
      <c r="B9" s="33">
        <v>47</v>
      </c>
      <c r="C9" s="8">
        <v>25</v>
      </c>
      <c r="D9" s="11">
        <v>30</v>
      </c>
      <c r="E9">
        <v>20.771000000000001</v>
      </c>
      <c r="F9">
        <v>20.027000000000001</v>
      </c>
      <c r="G9">
        <v>27.344999999999999</v>
      </c>
      <c r="H9" s="4">
        <v>39.99</v>
      </c>
      <c r="I9" s="4">
        <v>26.123000000000001</v>
      </c>
      <c r="J9" s="4">
        <v>29.097000000000001</v>
      </c>
      <c r="K9" s="4">
        <v>83.087000000000003</v>
      </c>
      <c r="L9" s="4">
        <v>38.387</v>
      </c>
      <c r="M9" s="4">
        <v>20.888999999999999</v>
      </c>
      <c r="N9" s="4">
        <v>30.983000000000001</v>
      </c>
      <c r="O9" s="4">
        <v>14.53</v>
      </c>
      <c r="P9" s="4">
        <v>30.268999999999998</v>
      </c>
      <c r="Q9" s="4">
        <v>20.966999999999999</v>
      </c>
      <c r="R9" s="4">
        <v>52.811</v>
      </c>
      <c r="S9" s="4">
        <v>53.472999999999999</v>
      </c>
      <c r="T9" s="4">
        <v>115.566</v>
      </c>
      <c r="U9" s="4">
        <v>43.323999999999998</v>
      </c>
      <c r="V9" s="4">
        <v>23.565999999999999</v>
      </c>
      <c r="W9" s="4">
        <v>19.241</v>
      </c>
      <c r="X9" s="4">
        <v>27.635999999999999</v>
      </c>
      <c r="Y9" s="4">
        <v>52.817999999999998</v>
      </c>
      <c r="Z9" s="4">
        <v>13.606999999999999</v>
      </c>
      <c r="AA9" s="4">
        <v>51.216000000000001</v>
      </c>
      <c r="AB9" s="4">
        <v>46.216000000000001</v>
      </c>
      <c r="AC9" s="4">
        <v>27.062000000000001</v>
      </c>
      <c r="AD9" s="4">
        <v>17.448</v>
      </c>
      <c r="AE9" s="4">
        <v>35.247999999999998</v>
      </c>
      <c r="AF9" s="4">
        <v>22.34</v>
      </c>
      <c r="AG9" s="4">
        <v>13.827999999999999</v>
      </c>
      <c r="AH9">
        <v>19.172999999999998</v>
      </c>
    </row>
    <row r="10" spans="1:39" ht="14.5" x14ac:dyDescent="0.35">
      <c r="A10" s="73">
        <v>46327</v>
      </c>
      <c r="B10" s="33">
        <v>31</v>
      </c>
      <c r="C10" s="8">
        <v>29</v>
      </c>
      <c r="D10" s="11">
        <v>28</v>
      </c>
      <c r="E10">
        <v>24.266999999999999</v>
      </c>
      <c r="F10">
        <v>19.498999999999999</v>
      </c>
      <c r="G10">
        <v>22.463999999999999</v>
      </c>
      <c r="H10" s="4">
        <v>36.325000000000003</v>
      </c>
      <c r="I10" s="4">
        <v>21.513999999999999</v>
      </c>
      <c r="J10" s="4">
        <v>33.762</v>
      </c>
      <c r="K10" s="4">
        <v>37.387</v>
      </c>
      <c r="L10" s="4">
        <v>52.725999999999999</v>
      </c>
      <c r="M10" s="4">
        <v>17.882000000000001</v>
      </c>
      <c r="N10" s="4">
        <v>23.922000000000001</v>
      </c>
      <c r="O10" s="4">
        <v>14.098000000000001</v>
      </c>
      <c r="P10" s="4">
        <v>29.213999999999999</v>
      </c>
      <c r="Q10" s="4">
        <v>23.896000000000001</v>
      </c>
      <c r="R10" s="4">
        <v>38.064999999999998</v>
      </c>
      <c r="S10" s="4">
        <v>32.558</v>
      </c>
      <c r="T10" s="4">
        <v>45.351999999999997</v>
      </c>
      <c r="U10" s="4">
        <v>22.047999999999998</v>
      </c>
      <c r="V10" s="4">
        <v>26.495000000000001</v>
      </c>
      <c r="W10" s="4">
        <v>20.696999999999999</v>
      </c>
      <c r="X10" s="4">
        <v>23.96</v>
      </c>
      <c r="Y10" s="4">
        <v>29.754999999999999</v>
      </c>
      <c r="Z10" s="4">
        <v>13.936</v>
      </c>
      <c r="AA10" s="4">
        <v>30.867999999999999</v>
      </c>
      <c r="AB10" s="4">
        <v>27.068999999999999</v>
      </c>
      <c r="AC10" s="4">
        <v>29.292999999999999</v>
      </c>
      <c r="AD10" s="4">
        <v>19.425999999999998</v>
      </c>
      <c r="AE10" s="4">
        <v>20.931999999999999</v>
      </c>
      <c r="AF10" s="4">
        <v>17.911999999999999</v>
      </c>
      <c r="AG10" s="4">
        <v>14.986000000000001</v>
      </c>
      <c r="AH10">
        <v>23.501999999999999</v>
      </c>
    </row>
    <row r="11" spans="1:39" ht="14.5" x14ac:dyDescent="0.35">
      <c r="A11" s="73">
        <v>46357</v>
      </c>
      <c r="B11" s="33">
        <v>23</v>
      </c>
      <c r="C11" s="8">
        <v>24</v>
      </c>
      <c r="D11" s="11">
        <v>24</v>
      </c>
      <c r="E11">
        <v>21.100999999999999</v>
      </c>
      <c r="F11">
        <v>16.626000000000001</v>
      </c>
      <c r="G11">
        <v>18.303000000000001</v>
      </c>
      <c r="H11" s="4">
        <v>23.591999999999999</v>
      </c>
      <c r="I11" s="4">
        <v>18.222999999999999</v>
      </c>
      <c r="J11" s="4">
        <v>26.614999999999998</v>
      </c>
      <c r="K11" s="4">
        <v>25.013000000000002</v>
      </c>
      <c r="L11" s="4">
        <v>29.864999999999998</v>
      </c>
      <c r="M11" s="4">
        <v>15.366</v>
      </c>
      <c r="N11" s="4">
        <v>18.023</v>
      </c>
      <c r="O11" s="4">
        <v>13.763</v>
      </c>
      <c r="P11" s="4">
        <v>18.702000000000002</v>
      </c>
      <c r="Q11" s="4">
        <v>22.202999999999999</v>
      </c>
      <c r="R11" s="4">
        <v>26.617999999999999</v>
      </c>
      <c r="S11" s="4">
        <v>19.577000000000002</v>
      </c>
      <c r="T11" s="4">
        <v>25.861999999999998</v>
      </c>
      <c r="U11" s="4">
        <v>38.247</v>
      </c>
      <c r="V11" s="4">
        <v>19.244</v>
      </c>
      <c r="W11" s="4">
        <v>14.801</v>
      </c>
      <c r="X11" s="4">
        <v>20.856000000000002</v>
      </c>
      <c r="Y11" s="4">
        <v>20.387</v>
      </c>
      <c r="Z11" s="4">
        <v>13.282</v>
      </c>
      <c r="AA11" s="4">
        <v>23.771999999999998</v>
      </c>
      <c r="AB11" s="4">
        <v>20.047000000000001</v>
      </c>
      <c r="AC11" s="4">
        <v>21.943000000000001</v>
      </c>
      <c r="AD11" s="4">
        <v>22.651</v>
      </c>
      <c r="AE11" s="4">
        <v>18.247</v>
      </c>
      <c r="AF11" s="4">
        <v>14.19</v>
      </c>
      <c r="AG11" s="4">
        <v>17.132999999999999</v>
      </c>
      <c r="AH11">
        <v>17.623999999999999</v>
      </c>
    </row>
    <row r="12" spans="1:39" ht="14.5" x14ac:dyDescent="0.35">
      <c r="A12" s="73">
        <v>46388</v>
      </c>
      <c r="B12" s="33">
        <v>21</v>
      </c>
      <c r="C12" s="8">
        <v>24</v>
      </c>
      <c r="D12" s="11">
        <v>22</v>
      </c>
      <c r="E12">
        <v>16.823</v>
      </c>
      <c r="F12">
        <v>19.789000000000001</v>
      </c>
      <c r="G12">
        <v>18.007999999999999</v>
      </c>
      <c r="H12" s="4">
        <v>19.806000000000001</v>
      </c>
      <c r="I12" s="4">
        <v>16.154</v>
      </c>
      <c r="J12" s="4">
        <v>20.881</v>
      </c>
      <c r="K12" s="4">
        <v>22.582000000000001</v>
      </c>
      <c r="L12" s="4">
        <v>21.704000000000001</v>
      </c>
      <c r="M12" s="4">
        <v>17.724</v>
      </c>
      <c r="N12" s="4">
        <v>17.574999999999999</v>
      </c>
      <c r="O12" s="4">
        <v>13.177</v>
      </c>
      <c r="P12" s="4">
        <v>18.908000000000001</v>
      </c>
      <c r="Q12" s="4">
        <v>18.306999999999999</v>
      </c>
      <c r="R12" s="4">
        <v>34.218000000000004</v>
      </c>
      <c r="S12" s="4">
        <v>16.773</v>
      </c>
      <c r="T12" s="4">
        <v>22.071999999999999</v>
      </c>
      <c r="U12" s="4">
        <v>22.623000000000001</v>
      </c>
      <c r="V12" s="4">
        <v>17.533999999999999</v>
      </c>
      <c r="W12" s="4">
        <v>13.323</v>
      </c>
      <c r="X12" s="4">
        <v>17.277000000000001</v>
      </c>
      <c r="Y12" s="4">
        <v>22.234000000000002</v>
      </c>
      <c r="Z12" s="4">
        <v>16.175999999999998</v>
      </c>
      <c r="AA12" s="4">
        <v>21.053999999999998</v>
      </c>
      <c r="AB12" s="4">
        <v>21.003</v>
      </c>
      <c r="AC12" s="4">
        <v>17.459</v>
      </c>
      <c r="AD12" s="4">
        <v>26.544</v>
      </c>
      <c r="AE12" s="4">
        <v>15.372</v>
      </c>
      <c r="AF12" s="4">
        <v>13.409000000000001</v>
      </c>
      <c r="AG12" s="4">
        <v>16.206</v>
      </c>
      <c r="AH12">
        <v>13.64</v>
      </c>
    </row>
    <row r="13" spans="1:39" ht="14.5" x14ac:dyDescent="0.35">
      <c r="A13" s="73">
        <v>46419</v>
      </c>
      <c r="B13" s="33">
        <v>31</v>
      </c>
      <c r="C13" s="8">
        <v>27</v>
      </c>
      <c r="D13" s="11">
        <v>29</v>
      </c>
      <c r="E13">
        <v>22.265000000000001</v>
      </c>
      <c r="F13">
        <v>20.454000000000001</v>
      </c>
      <c r="G13">
        <v>18.004000000000001</v>
      </c>
      <c r="H13" s="4">
        <v>39.164999999999999</v>
      </c>
      <c r="I13" s="4">
        <v>25.637</v>
      </c>
      <c r="J13" s="4">
        <v>22.271999999999998</v>
      </c>
      <c r="K13" s="4">
        <v>20.809000000000001</v>
      </c>
      <c r="L13" s="4">
        <v>23.884</v>
      </c>
      <c r="M13" s="4">
        <v>20.501000000000001</v>
      </c>
      <c r="N13" s="4">
        <v>20.805</v>
      </c>
      <c r="O13" s="4">
        <v>13.029</v>
      </c>
      <c r="P13" s="4">
        <v>23.876999999999999</v>
      </c>
      <c r="Q13" s="4">
        <v>20.295000000000002</v>
      </c>
      <c r="R13" s="4">
        <v>44.335999999999999</v>
      </c>
      <c r="S13" s="4">
        <v>14.609</v>
      </c>
      <c r="T13" s="4">
        <v>33.606999999999999</v>
      </c>
      <c r="U13" s="4">
        <v>18.596</v>
      </c>
      <c r="V13" s="4">
        <v>24.893000000000001</v>
      </c>
      <c r="W13" s="4">
        <v>14.234</v>
      </c>
      <c r="X13" s="4">
        <v>19.289000000000001</v>
      </c>
      <c r="Y13" s="4">
        <v>21.207000000000001</v>
      </c>
      <c r="Z13" s="4">
        <v>19.001999999999999</v>
      </c>
      <c r="AA13" s="4">
        <v>26.879000000000001</v>
      </c>
      <c r="AB13" s="4">
        <v>31.753</v>
      </c>
      <c r="AC13" s="4">
        <v>33.731999999999999</v>
      </c>
      <c r="AD13" s="4">
        <v>66.703999999999994</v>
      </c>
      <c r="AE13" s="4">
        <v>16.143000000000001</v>
      </c>
      <c r="AF13" s="4">
        <v>17.007999999999999</v>
      </c>
      <c r="AG13" s="4">
        <v>17.504999999999999</v>
      </c>
      <c r="AH13">
        <v>21.536999999999999</v>
      </c>
    </row>
    <row r="14" spans="1:39" ht="14.5" x14ac:dyDescent="0.35">
      <c r="A14" s="73">
        <v>46447</v>
      </c>
      <c r="B14" s="33">
        <v>102</v>
      </c>
      <c r="C14" s="8">
        <v>74</v>
      </c>
      <c r="D14" s="11">
        <v>92</v>
      </c>
      <c r="E14">
        <v>53.298000000000002</v>
      </c>
      <c r="F14">
        <v>88.305999999999997</v>
      </c>
      <c r="G14">
        <v>56.258000000000003</v>
      </c>
      <c r="H14" s="4">
        <v>159.584</v>
      </c>
      <c r="I14" s="4">
        <v>33.786000000000001</v>
      </c>
      <c r="J14" s="4">
        <v>131.14599999999999</v>
      </c>
      <c r="K14" s="4">
        <v>57.732999999999997</v>
      </c>
      <c r="L14" s="4">
        <v>44.122</v>
      </c>
      <c r="M14" s="4">
        <v>40.643000000000001</v>
      </c>
      <c r="N14" s="4">
        <v>64.406999999999996</v>
      </c>
      <c r="O14" s="4">
        <v>21.45</v>
      </c>
      <c r="P14" s="4">
        <v>48.036999999999999</v>
      </c>
      <c r="Q14" s="4">
        <v>93.584999999999994</v>
      </c>
      <c r="R14" s="4">
        <v>99.991</v>
      </c>
      <c r="S14" s="4">
        <v>31.577999999999999</v>
      </c>
      <c r="T14" s="4">
        <v>119.89</v>
      </c>
      <c r="U14" s="4">
        <v>73.968999999999994</v>
      </c>
      <c r="V14" s="4">
        <v>55.691000000000003</v>
      </c>
      <c r="W14" s="4">
        <v>41.942999999999998</v>
      </c>
      <c r="X14" s="4">
        <v>47.015999999999998</v>
      </c>
      <c r="Y14" s="4">
        <v>57.344000000000001</v>
      </c>
      <c r="Z14" s="4">
        <v>38.058999999999997</v>
      </c>
      <c r="AA14" s="4">
        <v>52.618000000000002</v>
      </c>
      <c r="AB14" s="4">
        <v>64.328000000000003</v>
      </c>
      <c r="AC14" s="4">
        <v>54.347999999999999</v>
      </c>
      <c r="AD14" s="4">
        <v>167.18600000000001</v>
      </c>
      <c r="AE14" s="4">
        <v>26.821999999999999</v>
      </c>
      <c r="AF14" s="4">
        <v>93.564999999999998</v>
      </c>
      <c r="AG14" s="4">
        <v>37.503</v>
      </c>
      <c r="AH14">
        <v>33.637999999999998</v>
      </c>
    </row>
    <row r="15" spans="1:39" ht="14.5" x14ac:dyDescent="0.35">
      <c r="A15" s="73">
        <v>46478</v>
      </c>
      <c r="B15" s="33">
        <v>185</v>
      </c>
      <c r="C15" s="8">
        <v>110</v>
      </c>
      <c r="D15" s="11">
        <v>147</v>
      </c>
      <c r="E15">
        <v>209.16800000000001</v>
      </c>
      <c r="F15">
        <v>235.88399999999999</v>
      </c>
      <c r="G15">
        <v>144.548</v>
      </c>
      <c r="H15" s="4">
        <v>189.14099999999999</v>
      </c>
      <c r="I15" s="4">
        <v>70.858000000000004</v>
      </c>
      <c r="J15" s="4">
        <v>212.37799999999999</v>
      </c>
      <c r="K15" s="4">
        <v>121.809</v>
      </c>
      <c r="L15" s="4">
        <v>96.784999999999997</v>
      </c>
      <c r="M15" s="4">
        <v>108.46599999999999</v>
      </c>
      <c r="N15" s="4">
        <v>191.94900000000001</v>
      </c>
      <c r="O15" s="4">
        <v>50.203000000000003</v>
      </c>
      <c r="P15" s="4">
        <v>67.966999999999999</v>
      </c>
      <c r="Q15" s="4">
        <v>192.50800000000001</v>
      </c>
      <c r="R15" s="4">
        <v>284.71199999999999</v>
      </c>
      <c r="S15" s="4">
        <v>113.935</v>
      </c>
      <c r="T15" s="4">
        <v>139.744</v>
      </c>
      <c r="U15" s="4">
        <v>248.03</v>
      </c>
      <c r="V15" s="4">
        <v>101.629</v>
      </c>
      <c r="W15" s="4">
        <v>136.809</v>
      </c>
      <c r="X15" s="4">
        <v>95.763000000000005</v>
      </c>
      <c r="Y15" s="4">
        <v>143.928</v>
      </c>
      <c r="Z15" s="4">
        <v>48.356000000000002</v>
      </c>
      <c r="AA15" s="4">
        <v>90.349000000000004</v>
      </c>
      <c r="AB15" s="4">
        <v>61.045999999999999</v>
      </c>
      <c r="AC15" s="4">
        <v>95.346000000000004</v>
      </c>
      <c r="AD15" s="4">
        <v>183.46700000000001</v>
      </c>
      <c r="AE15" s="4">
        <v>55.856000000000002</v>
      </c>
      <c r="AF15" s="4">
        <v>188.38900000000001</v>
      </c>
      <c r="AG15" s="4">
        <v>55.552</v>
      </c>
      <c r="AH15">
        <v>61.734999999999999</v>
      </c>
    </row>
    <row r="16" spans="1:39" ht="14.5" x14ac:dyDescent="0.35">
      <c r="A16" s="73">
        <v>46508</v>
      </c>
      <c r="B16" s="33">
        <v>307</v>
      </c>
      <c r="C16" s="8">
        <v>190</v>
      </c>
      <c r="D16" s="11">
        <v>251</v>
      </c>
      <c r="E16">
        <v>305.72500000000002</v>
      </c>
      <c r="F16">
        <v>430.25299999999999</v>
      </c>
      <c r="G16">
        <v>280.613</v>
      </c>
      <c r="H16" s="4">
        <v>322.78500000000003</v>
      </c>
      <c r="I16" s="4">
        <v>188.95699999999999</v>
      </c>
      <c r="J16" s="4">
        <v>380.08699999999999</v>
      </c>
      <c r="K16" s="4">
        <v>243.155</v>
      </c>
      <c r="L16" s="4">
        <v>273.17700000000002</v>
      </c>
      <c r="M16" s="4">
        <v>175.64699999999999</v>
      </c>
      <c r="N16" s="4">
        <v>424.01100000000002</v>
      </c>
      <c r="O16" s="4">
        <v>57.433999999999997</v>
      </c>
      <c r="P16" s="4">
        <v>185.27199999999999</v>
      </c>
      <c r="Q16" s="4">
        <v>279.69099999999997</v>
      </c>
      <c r="R16" s="4">
        <v>520.26300000000003</v>
      </c>
      <c r="S16" s="4">
        <v>213.32400000000001</v>
      </c>
      <c r="T16" s="4">
        <v>278.17700000000002</v>
      </c>
      <c r="U16" s="4">
        <v>362.48200000000003</v>
      </c>
      <c r="V16" s="4">
        <v>358.649</v>
      </c>
      <c r="W16" s="4">
        <v>199.47300000000001</v>
      </c>
      <c r="X16" s="4">
        <v>176.17099999999999</v>
      </c>
      <c r="Y16" s="4">
        <v>195.11600000000001</v>
      </c>
      <c r="Z16" s="4">
        <v>130.56100000000001</v>
      </c>
      <c r="AA16" s="4">
        <v>191.36</v>
      </c>
      <c r="AB16" s="4">
        <v>166.94399999999999</v>
      </c>
      <c r="AC16" s="4">
        <v>196.89500000000001</v>
      </c>
      <c r="AD16" s="4">
        <v>227.62200000000001</v>
      </c>
      <c r="AE16" s="4">
        <v>121.649</v>
      </c>
      <c r="AF16" s="4">
        <v>314.39699999999999</v>
      </c>
      <c r="AG16" s="4">
        <v>159.21600000000001</v>
      </c>
      <c r="AH16">
        <v>189.05099999999999</v>
      </c>
    </row>
    <row r="17" spans="1:34" ht="14.5" x14ac:dyDescent="0.35">
      <c r="A17" s="73">
        <v>46539</v>
      </c>
      <c r="B17" s="33">
        <v>272</v>
      </c>
      <c r="C17" s="8">
        <v>102</v>
      </c>
      <c r="D17" s="11">
        <v>187</v>
      </c>
      <c r="E17">
        <v>139.67400000000001</v>
      </c>
      <c r="F17">
        <v>341.89400000000001</v>
      </c>
      <c r="G17">
        <v>204.71299999999999</v>
      </c>
      <c r="H17" s="4">
        <v>423.66500000000002</v>
      </c>
      <c r="I17" s="4">
        <v>59.637</v>
      </c>
      <c r="J17" s="4">
        <v>365.721</v>
      </c>
      <c r="K17" s="4">
        <v>163.279</v>
      </c>
      <c r="L17" s="4">
        <v>297.21199999999999</v>
      </c>
      <c r="M17" s="4">
        <v>43.548999999999999</v>
      </c>
      <c r="N17" s="4">
        <v>191.85</v>
      </c>
      <c r="O17" s="4">
        <v>22.54</v>
      </c>
      <c r="P17" s="4">
        <v>108.589</v>
      </c>
      <c r="Q17" s="4">
        <v>120.949</v>
      </c>
      <c r="R17" s="4">
        <v>355.529</v>
      </c>
      <c r="S17" s="4">
        <v>69.180000000000007</v>
      </c>
      <c r="T17" s="4">
        <v>159.83099999999999</v>
      </c>
      <c r="U17" s="4">
        <v>330.05500000000001</v>
      </c>
      <c r="V17" s="4">
        <v>152.05799999999999</v>
      </c>
      <c r="W17" s="4">
        <v>211.08699999999999</v>
      </c>
      <c r="X17" s="4">
        <v>235.13</v>
      </c>
      <c r="Y17" s="4">
        <v>57.972999999999999</v>
      </c>
      <c r="Z17" s="4">
        <v>74.882999999999996</v>
      </c>
      <c r="AA17" s="4">
        <v>169.03299999999999</v>
      </c>
      <c r="AB17" s="4">
        <v>221.84</v>
      </c>
      <c r="AC17" s="4">
        <v>218.82</v>
      </c>
      <c r="AD17" s="4">
        <v>216.654</v>
      </c>
      <c r="AE17" s="4">
        <v>33.133000000000003</v>
      </c>
      <c r="AF17" s="4">
        <v>377.48599999999999</v>
      </c>
      <c r="AG17" s="4">
        <v>57.204000000000001</v>
      </c>
      <c r="AH17">
        <v>252.88200000000001</v>
      </c>
    </row>
    <row r="18" spans="1:34" ht="14.5" x14ac:dyDescent="0.35">
      <c r="A18" s="73">
        <v>46569</v>
      </c>
      <c r="B18" s="33">
        <v>71</v>
      </c>
      <c r="C18" s="8">
        <v>9</v>
      </c>
      <c r="D18" s="11">
        <v>33</v>
      </c>
      <c r="E18">
        <v>49.773000000000003</v>
      </c>
      <c r="F18">
        <v>91.936999999999998</v>
      </c>
      <c r="G18">
        <v>17.169</v>
      </c>
      <c r="H18" s="4">
        <v>256.74400000000003</v>
      </c>
      <c r="I18" s="4">
        <v>5.08</v>
      </c>
      <c r="J18" s="4">
        <v>90.811000000000007</v>
      </c>
      <c r="K18" s="4">
        <v>69.302999999999997</v>
      </c>
      <c r="L18" s="4">
        <v>173.26499999999999</v>
      </c>
      <c r="M18" s="4">
        <v>-9.9640000000000004</v>
      </c>
      <c r="N18" s="4">
        <v>28.126000000000001</v>
      </c>
      <c r="O18" s="4">
        <v>16.98</v>
      </c>
      <c r="P18" s="4">
        <v>-4.2629999999999999</v>
      </c>
      <c r="Q18" s="4">
        <v>20.009</v>
      </c>
      <c r="R18" s="4">
        <v>98.355000000000004</v>
      </c>
      <c r="S18" s="4">
        <v>20.698</v>
      </c>
      <c r="T18" s="4">
        <v>22.626000000000001</v>
      </c>
      <c r="U18" s="4">
        <v>85.183000000000007</v>
      </c>
      <c r="V18" s="4">
        <v>27.83</v>
      </c>
      <c r="W18" s="4">
        <v>29.388999999999999</v>
      </c>
      <c r="X18" s="4">
        <v>51.259</v>
      </c>
      <c r="Y18" s="4">
        <v>3.984</v>
      </c>
      <c r="Z18" s="4">
        <v>27.922999999999998</v>
      </c>
      <c r="AA18" s="4">
        <v>13.622</v>
      </c>
      <c r="AB18" s="4">
        <v>32.328000000000003</v>
      </c>
      <c r="AC18" s="4">
        <v>21.81</v>
      </c>
      <c r="AD18" s="4">
        <v>32.692</v>
      </c>
      <c r="AE18" s="4">
        <v>17.649999999999999</v>
      </c>
      <c r="AF18" s="4">
        <v>135.33000000000001</v>
      </c>
      <c r="AG18" s="4">
        <v>3.0049999999999999</v>
      </c>
      <c r="AH18">
        <v>90.710999999999999</v>
      </c>
    </row>
    <row r="19" spans="1:34" ht="14.5" x14ac:dyDescent="0.35">
      <c r="A19" s="73">
        <v>46600</v>
      </c>
      <c r="B19" s="33">
        <v>48</v>
      </c>
      <c r="C19" s="8">
        <v>2</v>
      </c>
      <c r="D19" s="11">
        <v>24</v>
      </c>
      <c r="E19">
        <v>59.052999999999997</v>
      </c>
      <c r="F19">
        <v>84.989000000000004</v>
      </c>
      <c r="G19">
        <v>5.9260000000000002</v>
      </c>
      <c r="H19" s="4">
        <v>75.739000000000004</v>
      </c>
      <c r="I19" s="4">
        <v>19.497</v>
      </c>
      <c r="J19" s="4">
        <v>68.168000000000006</v>
      </c>
      <c r="K19" s="4">
        <v>21.414999999999999</v>
      </c>
      <c r="L19" s="4">
        <v>122.643</v>
      </c>
      <c r="M19" s="4">
        <v>2.105</v>
      </c>
      <c r="N19" s="4">
        <v>40.179000000000002</v>
      </c>
      <c r="O19" s="4">
        <v>16.632999999999999</v>
      </c>
      <c r="P19" s="4">
        <v>13.074</v>
      </c>
      <c r="Q19" s="4">
        <v>-1.895</v>
      </c>
      <c r="R19" s="4">
        <v>34.128</v>
      </c>
      <c r="S19" s="4">
        <v>38.131</v>
      </c>
      <c r="T19" s="4">
        <v>41.94</v>
      </c>
      <c r="U19" s="4">
        <v>35.177999999999997</v>
      </c>
      <c r="V19" s="4">
        <v>-3.6819999999999999</v>
      </c>
      <c r="W19" s="4">
        <v>38.078000000000003</v>
      </c>
      <c r="X19" s="4">
        <v>8.9339999999999993</v>
      </c>
      <c r="Y19" s="4">
        <v>9.3810000000000002</v>
      </c>
      <c r="Z19" s="4">
        <v>38.651000000000003</v>
      </c>
      <c r="AA19" s="4">
        <v>8.7970000000000006</v>
      </c>
      <c r="AB19" s="4">
        <v>4.1539999999999999</v>
      </c>
      <c r="AC19" s="4">
        <v>27.248999999999999</v>
      </c>
      <c r="AD19" s="4">
        <v>21.811</v>
      </c>
      <c r="AE19" s="4">
        <v>15.292</v>
      </c>
      <c r="AF19" s="4">
        <v>36.155000000000001</v>
      </c>
      <c r="AG19" s="4">
        <v>17.922000000000001</v>
      </c>
      <c r="AH19">
        <v>34.256999999999998</v>
      </c>
    </row>
    <row r="20" spans="1:34" ht="14.5" x14ac:dyDescent="0.35">
      <c r="A20" s="73">
        <v>46631</v>
      </c>
      <c r="B20" s="33">
        <v>48</v>
      </c>
      <c r="C20" s="8">
        <v>13</v>
      </c>
      <c r="D20" s="11">
        <v>31</v>
      </c>
      <c r="E20">
        <v>37.667000000000002</v>
      </c>
      <c r="F20">
        <v>80.286000000000001</v>
      </c>
      <c r="G20">
        <v>51.488999999999997</v>
      </c>
      <c r="H20" s="4">
        <v>38.835000000000001</v>
      </c>
      <c r="I20" s="4">
        <v>28.73</v>
      </c>
      <c r="J20" s="4">
        <v>85.29</v>
      </c>
      <c r="K20" s="4">
        <v>14.263</v>
      </c>
      <c r="L20" s="4">
        <v>76.736000000000004</v>
      </c>
      <c r="M20" s="4">
        <v>18.498000000000001</v>
      </c>
      <c r="N20" s="4">
        <v>7.758</v>
      </c>
      <c r="O20" s="4">
        <v>25.37</v>
      </c>
      <c r="P20" s="4">
        <v>51.334000000000003</v>
      </c>
      <c r="Q20" s="4">
        <v>56.125</v>
      </c>
      <c r="R20" s="4">
        <v>22.085999999999999</v>
      </c>
      <c r="S20" s="4">
        <v>45.265000000000001</v>
      </c>
      <c r="T20" s="4">
        <v>32.369</v>
      </c>
      <c r="U20" s="4">
        <v>35.973999999999997</v>
      </c>
      <c r="V20" s="4">
        <v>12.882</v>
      </c>
      <c r="W20" s="4">
        <v>42.802999999999997</v>
      </c>
      <c r="X20" s="4">
        <v>12.792</v>
      </c>
      <c r="Y20" s="4">
        <v>19.210999999999999</v>
      </c>
      <c r="Z20" s="4">
        <v>96.441000000000003</v>
      </c>
      <c r="AA20" s="4">
        <v>16.795000000000002</v>
      </c>
      <c r="AB20" s="4">
        <v>7.7560000000000002</v>
      </c>
      <c r="AC20" s="4">
        <v>14.316000000000001</v>
      </c>
      <c r="AD20" s="4">
        <v>15.002000000000001</v>
      </c>
      <c r="AE20" s="4">
        <v>13.801</v>
      </c>
      <c r="AF20" s="4">
        <v>8.5990000000000002</v>
      </c>
      <c r="AG20" s="4">
        <v>18.79</v>
      </c>
      <c r="AH20">
        <v>66.03</v>
      </c>
    </row>
    <row r="21" spans="1:34" ht="14.5" x14ac:dyDescent="0.35">
      <c r="A21" s="73">
        <v>46661</v>
      </c>
      <c r="B21" s="33">
        <v>48</v>
      </c>
      <c r="C21" s="8">
        <v>21</v>
      </c>
      <c r="D21" s="11">
        <v>35</v>
      </c>
      <c r="E21">
        <v>19.786999999999999</v>
      </c>
      <c r="F21">
        <v>35.555999999999997</v>
      </c>
      <c r="G21">
        <v>46.238</v>
      </c>
      <c r="H21" s="4">
        <v>35.787999999999997</v>
      </c>
      <c r="I21" s="4">
        <v>31.114999999999998</v>
      </c>
      <c r="J21" s="4">
        <v>101.14</v>
      </c>
      <c r="K21" s="4">
        <v>48.198999999999998</v>
      </c>
      <c r="L21" s="4">
        <v>26.931000000000001</v>
      </c>
      <c r="M21" s="4">
        <v>33.213999999999999</v>
      </c>
      <c r="N21" s="4">
        <v>13.368</v>
      </c>
      <c r="O21" s="4">
        <v>27.695</v>
      </c>
      <c r="P21" s="4">
        <v>22.751999999999999</v>
      </c>
      <c r="Q21" s="4">
        <v>65.424000000000007</v>
      </c>
      <c r="R21" s="4">
        <v>79.293000000000006</v>
      </c>
      <c r="S21" s="4">
        <v>122.83</v>
      </c>
      <c r="T21" s="4">
        <v>50.841999999999999</v>
      </c>
      <c r="U21" s="4">
        <v>30.952000000000002</v>
      </c>
      <c r="V21" s="4">
        <v>23.16</v>
      </c>
      <c r="W21" s="4">
        <v>33.923000000000002</v>
      </c>
      <c r="X21" s="4">
        <v>62.066000000000003</v>
      </c>
      <c r="Y21" s="4">
        <v>15.07</v>
      </c>
      <c r="Z21" s="4">
        <v>53.194000000000003</v>
      </c>
      <c r="AA21" s="4">
        <v>54.151000000000003</v>
      </c>
      <c r="AB21" s="4">
        <v>24.584</v>
      </c>
      <c r="AC21" s="4">
        <v>20.321000000000002</v>
      </c>
      <c r="AD21" s="4">
        <v>46.387</v>
      </c>
      <c r="AE21" s="4">
        <v>21.335000000000001</v>
      </c>
      <c r="AF21" s="4">
        <v>15.36</v>
      </c>
      <c r="AG21" s="4">
        <v>19.672999999999998</v>
      </c>
      <c r="AH21">
        <v>22.268000000000001</v>
      </c>
    </row>
    <row r="22" spans="1:34" ht="14.5" x14ac:dyDescent="0.35">
      <c r="A22" s="73">
        <v>46692</v>
      </c>
      <c r="B22" s="33">
        <v>35</v>
      </c>
      <c r="C22" s="8">
        <v>24</v>
      </c>
      <c r="D22" s="11">
        <v>30</v>
      </c>
      <c r="E22">
        <v>25.111999999999998</v>
      </c>
      <c r="F22">
        <v>32.183</v>
      </c>
      <c r="G22">
        <v>42.01</v>
      </c>
      <c r="H22" s="4">
        <v>31.164000000000001</v>
      </c>
      <c r="I22" s="4">
        <v>35.274999999999999</v>
      </c>
      <c r="J22" s="4">
        <v>46.423000000000002</v>
      </c>
      <c r="K22" s="4">
        <v>64.147999999999996</v>
      </c>
      <c r="L22" s="4">
        <v>22.314</v>
      </c>
      <c r="M22" s="4">
        <v>26.077999999999999</v>
      </c>
      <c r="N22" s="4">
        <v>20.518999999999998</v>
      </c>
      <c r="O22" s="4">
        <v>26.326000000000001</v>
      </c>
      <c r="P22" s="4">
        <v>25.879000000000001</v>
      </c>
      <c r="Q22" s="4">
        <v>46.082000000000001</v>
      </c>
      <c r="R22" s="4">
        <v>44.808</v>
      </c>
      <c r="S22" s="4">
        <v>47.715000000000003</v>
      </c>
      <c r="T22" s="4">
        <v>26.106000000000002</v>
      </c>
      <c r="U22" s="4">
        <v>37.347999999999999</v>
      </c>
      <c r="V22" s="4">
        <v>25.977</v>
      </c>
      <c r="W22" s="4">
        <v>29.661999999999999</v>
      </c>
      <c r="X22" s="4">
        <v>34.552</v>
      </c>
      <c r="Y22" s="4">
        <v>15.688000000000001</v>
      </c>
      <c r="Z22" s="4">
        <v>31.382000000000001</v>
      </c>
      <c r="AA22" s="4">
        <v>30.507999999999999</v>
      </c>
      <c r="AB22" s="4">
        <v>29.747</v>
      </c>
      <c r="AC22" s="4">
        <v>22.991</v>
      </c>
      <c r="AD22" s="4">
        <v>29.975999999999999</v>
      </c>
      <c r="AE22" s="4">
        <v>16.442</v>
      </c>
      <c r="AF22" s="4">
        <v>23.446999999999999</v>
      </c>
      <c r="AG22" s="4">
        <v>24.501999999999999</v>
      </c>
      <c r="AH22">
        <v>27.706</v>
      </c>
    </row>
    <row r="23" spans="1:34" ht="14.5" x14ac:dyDescent="0.35">
      <c r="A23" s="73">
        <v>46722</v>
      </c>
      <c r="B23" s="33">
        <v>24</v>
      </c>
      <c r="C23" s="8">
        <v>24</v>
      </c>
      <c r="D23" s="11">
        <v>24</v>
      </c>
      <c r="E23">
        <v>21.748000000000001</v>
      </c>
      <c r="F23">
        <v>27.93</v>
      </c>
      <c r="G23">
        <v>28.024000000000001</v>
      </c>
      <c r="H23" s="4">
        <v>27.103000000000002</v>
      </c>
      <c r="I23" s="4">
        <v>27.611999999999998</v>
      </c>
      <c r="J23" s="4">
        <v>33.094999999999999</v>
      </c>
      <c r="K23" s="4">
        <v>37.176000000000002</v>
      </c>
      <c r="L23" s="4">
        <v>19.547000000000001</v>
      </c>
      <c r="M23" s="4">
        <v>19.641999999999999</v>
      </c>
      <c r="N23" s="4">
        <v>19.817</v>
      </c>
      <c r="O23" s="4">
        <v>16.187999999999999</v>
      </c>
      <c r="P23" s="4">
        <v>23.994</v>
      </c>
      <c r="Q23" s="4">
        <v>32.744999999999997</v>
      </c>
      <c r="R23" s="4">
        <v>29.609000000000002</v>
      </c>
      <c r="S23" s="4">
        <v>27.254000000000001</v>
      </c>
      <c r="T23" s="4">
        <v>43.854999999999997</v>
      </c>
      <c r="U23" s="4">
        <v>28.969000000000001</v>
      </c>
      <c r="V23" s="4">
        <v>18.664000000000001</v>
      </c>
      <c r="W23" s="4">
        <v>26.050999999999998</v>
      </c>
      <c r="X23" s="4">
        <v>23.954000000000001</v>
      </c>
      <c r="Y23" s="4">
        <v>15.257999999999999</v>
      </c>
      <c r="Z23" s="4">
        <v>24.06</v>
      </c>
      <c r="AA23" s="4">
        <v>22.789000000000001</v>
      </c>
      <c r="AB23" s="4">
        <v>22.193000000000001</v>
      </c>
      <c r="AC23" s="4">
        <v>26.082000000000001</v>
      </c>
      <c r="AD23" s="4">
        <v>26.625</v>
      </c>
      <c r="AE23" s="4">
        <v>12.807</v>
      </c>
      <c r="AF23" s="4">
        <v>26.018000000000001</v>
      </c>
      <c r="AG23" s="4">
        <v>18.338999999999999</v>
      </c>
      <c r="AH23">
        <v>24.044</v>
      </c>
    </row>
    <row r="24" spans="1:34" ht="14.5" x14ac:dyDescent="0.35">
      <c r="A24" s="73">
        <v>46753</v>
      </c>
      <c r="B24" s="33">
        <v>22</v>
      </c>
      <c r="C24" s="8">
        <v>22</v>
      </c>
      <c r="D24" s="11">
        <v>22</v>
      </c>
      <c r="E24">
        <v>24.515000000000001</v>
      </c>
      <c r="F24">
        <v>27.146000000000001</v>
      </c>
      <c r="G24">
        <v>23.632999999999999</v>
      </c>
      <c r="H24" s="4">
        <v>24.373999999999999</v>
      </c>
      <c r="I24" s="4">
        <v>21.741</v>
      </c>
      <c r="J24" s="4">
        <v>30.334</v>
      </c>
      <c r="K24" s="4">
        <v>27.652000000000001</v>
      </c>
      <c r="L24" s="4">
        <v>21.890999999999998</v>
      </c>
      <c r="M24" s="4">
        <v>19.05</v>
      </c>
      <c r="N24" s="4">
        <v>18.93</v>
      </c>
      <c r="O24" s="4">
        <v>16.577000000000002</v>
      </c>
      <c r="P24" s="4">
        <v>19.88</v>
      </c>
      <c r="Q24" s="4">
        <v>41.094000000000001</v>
      </c>
      <c r="R24" s="4">
        <v>25.907</v>
      </c>
      <c r="S24" s="4">
        <v>23.032</v>
      </c>
      <c r="T24" s="4">
        <v>26.331</v>
      </c>
      <c r="U24" s="4">
        <v>26.506</v>
      </c>
      <c r="V24" s="4">
        <v>16.603999999999999</v>
      </c>
      <c r="W24" s="4">
        <v>21.89</v>
      </c>
      <c r="X24" s="4">
        <v>25.457999999999998</v>
      </c>
      <c r="Y24" s="4">
        <v>18.05</v>
      </c>
      <c r="Z24" s="4">
        <v>21.292999999999999</v>
      </c>
      <c r="AA24" s="4">
        <v>23.456</v>
      </c>
      <c r="AB24" s="4">
        <v>17.672999999999998</v>
      </c>
      <c r="AC24" s="4">
        <v>29.902000000000001</v>
      </c>
      <c r="AD24" s="4">
        <v>22.978999999999999</v>
      </c>
      <c r="AE24" s="4">
        <v>12.117000000000001</v>
      </c>
      <c r="AF24" s="4">
        <v>24.527999999999999</v>
      </c>
      <c r="AG24" s="4">
        <v>14.238</v>
      </c>
      <c r="AH24">
        <v>19.824000000000002</v>
      </c>
    </row>
    <row r="25" spans="1:34" ht="14.5" x14ac:dyDescent="0.35">
      <c r="A25" s="73">
        <v>46784</v>
      </c>
      <c r="B25" s="33">
        <v>29</v>
      </c>
      <c r="C25" s="8">
        <v>29</v>
      </c>
      <c r="D25" s="11">
        <v>29</v>
      </c>
      <c r="E25">
        <v>25.856000000000002</v>
      </c>
      <c r="F25">
        <v>27.102</v>
      </c>
      <c r="G25">
        <v>47.734999999999999</v>
      </c>
      <c r="H25" s="4">
        <v>36.420999999999999</v>
      </c>
      <c r="I25" s="4">
        <v>23.67</v>
      </c>
      <c r="J25" s="4">
        <v>28.507999999999999</v>
      </c>
      <c r="K25" s="4">
        <v>30.69</v>
      </c>
      <c r="L25" s="4">
        <v>25.210999999999999</v>
      </c>
      <c r="M25" s="4">
        <v>23.747</v>
      </c>
      <c r="N25" s="4">
        <v>18.776</v>
      </c>
      <c r="O25" s="4">
        <v>22.428999999999998</v>
      </c>
      <c r="P25" s="4">
        <v>23.975000000000001</v>
      </c>
      <c r="Q25" s="4">
        <v>52.53</v>
      </c>
      <c r="R25" s="4">
        <v>23.818000000000001</v>
      </c>
      <c r="S25" s="4">
        <v>35.692999999999998</v>
      </c>
      <c r="T25" s="4">
        <v>22.818999999999999</v>
      </c>
      <c r="U25" s="4">
        <v>36.167000000000002</v>
      </c>
      <c r="V25" s="4">
        <v>17.792999999999999</v>
      </c>
      <c r="W25" s="4">
        <v>24.488</v>
      </c>
      <c r="X25" s="4">
        <v>24.891999999999999</v>
      </c>
      <c r="Y25" s="4">
        <v>21.22</v>
      </c>
      <c r="Z25" s="4">
        <v>28.689</v>
      </c>
      <c r="AA25" s="4">
        <v>35.512</v>
      </c>
      <c r="AB25" s="4">
        <v>35.825000000000003</v>
      </c>
      <c r="AC25" s="4">
        <v>73.165000000000006</v>
      </c>
      <c r="AD25" s="4">
        <v>23.702000000000002</v>
      </c>
      <c r="AE25" s="4">
        <v>16.574999999999999</v>
      </c>
      <c r="AF25" s="4">
        <v>26.001000000000001</v>
      </c>
      <c r="AG25" s="4">
        <v>23.792999999999999</v>
      </c>
      <c r="AH25">
        <v>26.082000000000001</v>
      </c>
    </row>
    <row r="26" spans="1:34" ht="14.5" x14ac:dyDescent="0.35">
      <c r="A26" s="73">
        <v>46813</v>
      </c>
      <c r="B26" s="33">
        <v>92</v>
      </c>
      <c r="C26" s="8">
        <v>92</v>
      </c>
      <c r="D26" s="11">
        <v>92</v>
      </c>
      <c r="E26">
        <v>104.96599999999999</v>
      </c>
      <c r="F26">
        <v>74.649000000000001</v>
      </c>
      <c r="G26">
        <v>175.994</v>
      </c>
      <c r="H26" s="4">
        <v>44.594999999999999</v>
      </c>
      <c r="I26" s="4">
        <v>137.405</v>
      </c>
      <c r="J26" s="4">
        <v>74.850999999999999</v>
      </c>
      <c r="K26" s="4">
        <v>53.234000000000002</v>
      </c>
      <c r="L26" s="4">
        <v>46.534999999999997</v>
      </c>
      <c r="M26" s="4">
        <v>68.483999999999995</v>
      </c>
      <c r="N26" s="4">
        <v>28.937000000000001</v>
      </c>
      <c r="O26" s="4">
        <v>44.962000000000003</v>
      </c>
      <c r="P26" s="4">
        <v>98.096000000000004</v>
      </c>
      <c r="Q26" s="4">
        <v>114.07</v>
      </c>
      <c r="R26" s="4">
        <v>44.478999999999999</v>
      </c>
      <c r="S26" s="4">
        <v>125.59099999999999</v>
      </c>
      <c r="T26" s="4">
        <v>84.388999999999996</v>
      </c>
      <c r="U26" s="4">
        <v>73.126999999999995</v>
      </c>
      <c r="V26" s="4">
        <v>48.466999999999999</v>
      </c>
      <c r="W26" s="4">
        <v>56.182000000000002</v>
      </c>
      <c r="X26" s="4">
        <v>63.838999999999999</v>
      </c>
      <c r="Y26" s="4">
        <v>41.945</v>
      </c>
      <c r="Z26" s="4">
        <v>53.411999999999999</v>
      </c>
      <c r="AA26" s="4">
        <v>71.456999999999994</v>
      </c>
      <c r="AB26" s="4">
        <v>54.942999999999998</v>
      </c>
      <c r="AC26" s="4">
        <v>181.41200000000001</v>
      </c>
      <c r="AD26" s="4">
        <v>35.51</v>
      </c>
      <c r="AE26" s="4">
        <v>93.248000000000005</v>
      </c>
      <c r="AF26" s="4">
        <v>49.439</v>
      </c>
      <c r="AG26" s="4">
        <v>35.101999999999997</v>
      </c>
      <c r="AH26">
        <v>63.023000000000003</v>
      </c>
    </row>
    <row r="27" spans="1:34" ht="14.5" x14ac:dyDescent="0.35">
      <c r="A27" s="73">
        <v>46844</v>
      </c>
      <c r="B27" s="33">
        <v>147</v>
      </c>
      <c r="C27" s="8">
        <v>147</v>
      </c>
      <c r="D27" s="11">
        <v>147</v>
      </c>
      <c r="E27">
        <v>272.26799999999997</v>
      </c>
      <c r="F27">
        <v>174.95500000000001</v>
      </c>
      <c r="G27">
        <v>208.40100000000001</v>
      </c>
      <c r="H27" s="4">
        <v>87.248999999999995</v>
      </c>
      <c r="I27" s="4">
        <v>216.072</v>
      </c>
      <c r="J27" s="4">
        <v>146.93199999999999</v>
      </c>
      <c r="K27" s="4">
        <v>114.48</v>
      </c>
      <c r="L27" s="4">
        <v>119.277</v>
      </c>
      <c r="M27" s="4">
        <v>205.696</v>
      </c>
      <c r="N27" s="4">
        <v>59.304000000000002</v>
      </c>
      <c r="O27" s="4">
        <v>65.355000000000004</v>
      </c>
      <c r="P27" s="4">
        <v>203.334</v>
      </c>
      <c r="Q27" s="4">
        <v>316.24099999999999</v>
      </c>
      <c r="R27" s="4">
        <v>140.72800000000001</v>
      </c>
      <c r="S27" s="4">
        <v>147.339</v>
      </c>
      <c r="T27" s="4">
        <v>269.44600000000003</v>
      </c>
      <c r="U27" s="4">
        <v>128.126</v>
      </c>
      <c r="V27" s="4">
        <v>153.739</v>
      </c>
      <c r="W27" s="4">
        <v>109.869</v>
      </c>
      <c r="X27" s="4">
        <v>156.72900000000001</v>
      </c>
      <c r="Y27" s="4">
        <v>52.728000000000002</v>
      </c>
      <c r="Z27" s="4">
        <v>91.856999999999999</v>
      </c>
      <c r="AA27" s="4">
        <v>64.221999999999994</v>
      </c>
      <c r="AB27" s="4">
        <v>94.494</v>
      </c>
      <c r="AC27" s="4">
        <v>190.98500000000001</v>
      </c>
      <c r="AD27" s="4">
        <v>68.83</v>
      </c>
      <c r="AE27" s="4">
        <v>193.68799999999999</v>
      </c>
      <c r="AF27" s="4">
        <v>69.313000000000002</v>
      </c>
      <c r="AG27" s="4">
        <v>63.018000000000001</v>
      </c>
      <c r="AH27">
        <v>226.52199999999999</v>
      </c>
    </row>
    <row r="28" spans="1:34" ht="14.5" x14ac:dyDescent="0.35">
      <c r="A28" s="73">
        <v>46874</v>
      </c>
      <c r="B28" s="33">
        <v>251</v>
      </c>
      <c r="C28" s="8">
        <v>251</v>
      </c>
      <c r="D28" s="11">
        <v>251</v>
      </c>
      <c r="E28">
        <v>457.315</v>
      </c>
      <c r="F28">
        <v>302.96100000000001</v>
      </c>
      <c r="G28">
        <v>336.803</v>
      </c>
      <c r="H28" s="4">
        <v>205.995</v>
      </c>
      <c r="I28" s="4">
        <v>394.13900000000001</v>
      </c>
      <c r="J28" s="4">
        <v>263.22000000000003</v>
      </c>
      <c r="K28" s="4">
        <v>294.43799999999999</v>
      </c>
      <c r="L28" s="4">
        <v>184.12899999999999</v>
      </c>
      <c r="M28" s="4">
        <v>430.88499999999999</v>
      </c>
      <c r="N28" s="4">
        <v>59.968000000000004</v>
      </c>
      <c r="O28" s="4">
        <v>187.81200000000001</v>
      </c>
      <c r="P28" s="4">
        <v>292.83999999999997</v>
      </c>
      <c r="Q28" s="4">
        <v>545.62199999999996</v>
      </c>
      <c r="R28" s="4">
        <v>230.01499999999999</v>
      </c>
      <c r="S28" s="4">
        <v>281.76499999999999</v>
      </c>
      <c r="T28" s="4">
        <v>372.91899999999998</v>
      </c>
      <c r="U28" s="4">
        <v>382.78800000000001</v>
      </c>
      <c r="V28" s="4">
        <v>218.36099999999999</v>
      </c>
      <c r="W28" s="4">
        <v>194.55199999999999</v>
      </c>
      <c r="X28" s="4">
        <v>204.75700000000001</v>
      </c>
      <c r="Y28" s="4">
        <v>138.387</v>
      </c>
      <c r="Z28" s="4">
        <v>202.90799999999999</v>
      </c>
      <c r="AA28" s="4">
        <v>178.58</v>
      </c>
      <c r="AB28" s="4">
        <v>196.50299999999999</v>
      </c>
      <c r="AC28" s="4">
        <v>243.2</v>
      </c>
      <c r="AD28" s="4">
        <v>129.809</v>
      </c>
      <c r="AE28" s="4">
        <v>305.10399999999998</v>
      </c>
      <c r="AF28" s="4">
        <v>176.39099999999999</v>
      </c>
      <c r="AG28" s="4">
        <v>200.18</v>
      </c>
      <c r="AH28">
        <v>312.81299999999999</v>
      </c>
    </row>
    <row r="29" spans="1:34" ht="14.5" x14ac:dyDescent="0.35">
      <c r="A29" s="73">
        <v>46905</v>
      </c>
      <c r="B29" s="33">
        <v>187</v>
      </c>
      <c r="C29" s="8">
        <v>187</v>
      </c>
      <c r="D29" s="11">
        <v>187</v>
      </c>
      <c r="E29">
        <v>336.12599999999998</v>
      </c>
      <c r="F29">
        <v>205.86799999999999</v>
      </c>
      <c r="G29">
        <v>433.84199999999998</v>
      </c>
      <c r="H29" s="4">
        <v>66.272999999999996</v>
      </c>
      <c r="I29" s="4">
        <v>361.20400000000001</v>
      </c>
      <c r="J29" s="4">
        <v>163.44900000000001</v>
      </c>
      <c r="K29" s="4">
        <v>302.12099999999998</v>
      </c>
      <c r="L29" s="4">
        <v>47.093000000000004</v>
      </c>
      <c r="M29" s="4">
        <v>186.4</v>
      </c>
      <c r="N29" s="4">
        <v>13.548</v>
      </c>
      <c r="O29" s="4">
        <v>98.626000000000005</v>
      </c>
      <c r="P29" s="4">
        <v>130.27799999999999</v>
      </c>
      <c r="Q29" s="4">
        <v>351.19299999999998</v>
      </c>
      <c r="R29" s="4">
        <v>71.804000000000002</v>
      </c>
      <c r="S29" s="4">
        <v>156.375</v>
      </c>
      <c r="T29" s="4">
        <v>333.738</v>
      </c>
      <c r="U29" s="4">
        <v>155.953</v>
      </c>
      <c r="V29" s="4">
        <v>209.761</v>
      </c>
      <c r="W29" s="4">
        <v>238.041</v>
      </c>
      <c r="X29" s="4">
        <v>61.905999999999999</v>
      </c>
      <c r="Y29" s="4">
        <v>74.11</v>
      </c>
      <c r="Z29" s="4">
        <v>160.93299999999999</v>
      </c>
      <c r="AA29" s="4">
        <v>220.8</v>
      </c>
      <c r="AB29" s="4">
        <v>218.87299999999999</v>
      </c>
      <c r="AC29" s="4">
        <v>214.55799999999999</v>
      </c>
      <c r="AD29" s="4">
        <v>29.899000000000001</v>
      </c>
      <c r="AE29" s="4">
        <v>383.44499999999999</v>
      </c>
      <c r="AF29" s="4">
        <v>63.185000000000002</v>
      </c>
      <c r="AG29" s="4">
        <v>254.19499999999999</v>
      </c>
      <c r="AH29">
        <v>138.54499999999999</v>
      </c>
    </row>
    <row r="30" spans="1:34" ht="14.5" x14ac:dyDescent="0.35">
      <c r="A30" s="73">
        <v>46935</v>
      </c>
      <c r="B30" s="33">
        <v>33</v>
      </c>
      <c r="C30" s="8">
        <v>33</v>
      </c>
      <c r="D30" s="11">
        <v>33</v>
      </c>
      <c r="E30">
        <v>86.087999999999994</v>
      </c>
      <c r="F30">
        <v>19.140999999999998</v>
      </c>
      <c r="G30">
        <v>249.327</v>
      </c>
      <c r="H30" s="4">
        <v>9.6219999999999999</v>
      </c>
      <c r="I30" s="4">
        <v>94.650999999999996</v>
      </c>
      <c r="J30" s="4">
        <v>71.472999999999999</v>
      </c>
      <c r="K30" s="4">
        <v>170.38300000000001</v>
      </c>
      <c r="L30" s="4">
        <v>-8.4269999999999996</v>
      </c>
      <c r="M30" s="4">
        <v>28.175000000000001</v>
      </c>
      <c r="N30" s="4">
        <v>17.946999999999999</v>
      </c>
      <c r="O30" s="4">
        <v>-5.2610000000000001</v>
      </c>
      <c r="P30" s="4">
        <v>23</v>
      </c>
      <c r="Q30" s="4">
        <v>93.346000000000004</v>
      </c>
      <c r="R30" s="4">
        <v>26.972999999999999</v>
      </c>
      <c r="S30" s="4">
        <v>22.288</v>
      </c>
      <c r="T30" s="4">
        <v>86.608000000000004</v>
      </c>
      <c r="U30" s="4">
        <v>29.404</v>
      </c>
      <c r="V30" s="4">
        <v>30.311</v>
      </c>
      <c r="W30" s="4">
        <v>51.777999999999999</v>
      </c>
      <c r="X30" s="4">
        <v>5.6870000000000003</v>
      </c>
      <c r="Y30" s="4">
        <v>26.55</v>
      </c>
      <c r="Z30" s="4">
        <v>13.571</v>
      </c>
      <c r="AA30" s="4">
        <v>32.218000000000004</v>
      </c>
      <c r="AB30" s="4">
        <v>21.954999999999998</v>
      </c>
      <c r="AC30" s="4">
        <v>33.847999999999999</v>
      </c>
      <c r="AD30" s="4">
        <v>20.315000000000001</v>
      </c>
      <c r="AE30" s="4">
        <v>126.331</v>
      </c>
      <c r="AF30" s="4">
        <v>0.70299999999999996</v>
      </c>
      <c r="AG30" s="4">
        <v>87.516999999999996</v>
      </c>
      <c r="AH30">
        <v>50.292000000000002</v>
      </c>
    </row>
    <row r="31" spans="1:34" ht="14.5" x14ac:dyDescent="0.35">
      <c r="A31" s="73">
        <v>46966</v>
      </c>
      <c r="B31" s="33">
        <v>24</v>
      </c>
      <c r="C31" s="8">
        <v>24</v>
      </c>
      <c r="D31" s="11">
        <v>24</v>
      </c>
      <c r="E31">
        <v>93.275000000000006</v>
      </c>
      <c r="F31">
        <v>9.7010000000000005</v>
      </c>
      <c r="G31">
        <v>75.834999999999994</v>
      </c>
      <c r="H31" s="4">
        <v>-2.4220000000000002</v>
      </c>
      <c r="I31" s="4">
        <v>61.021999999999998</v>
      </c>
      <c r="J31" s="4">
        <v>22.164000000000001</v>
      </c>
      <c r="K31" s="4">
        <v>124.877</v>
      </c>
      <c r="L31" s="4">
        <v>-5.0679999999999996</v>
      </c>
      <c r="M31" s="4">
        <v>40.54</v>
      </c>
      <c r="N31" s="4">
        <v>17.722999999999999</v>
      </c>
      <c r="O31" s="4">
        <v>18.244</v>
      </c>
      <c r="P31" s="4">
        <v>-0.51500000000000001</v>
      </c>
      <c r="Q31" s="4">
        <v>34.298999999999999</v>
      </c>
      <c r="R31" s="4">
        <v>36.033999999999999</v>
      </c>
      <c r="S31" s="4">
        <v>41.603000000000002</v>
      </c>
      <c r="T31" s="4">
        <v>36.304000000000002</v>
      </c>
      <c r="U31" s="4">
        <v>-1.2030000000000001</v>
      </c>
      <c r="V31" s="4">
        <v>36.444000000000003</v>
      </c>
      <c r="W31" s="4">
        <v>9.9009999999999998</v>
      </c>
      <c r="X31" s="4">
        <v>-2.9420000000000002</v>
      </c>
      <c r="Y31" s="4">
        <v>39.756999999999998</v>
      </c>
      <c r="Z31" s="4">
        <v>8.3040000000000003</v>
      </c>
      <c r="AA31" s="4">
        <v>4.702</v>
      </c>
      <c r="AB31" s="4">
        <v>27.498999999999999</v>
      </c>
      <c r="AC31" s="4">
        <v>20.573</v>
      </c>
      <c r="AD31" s="4">
        <v>18.044</v>
      </c>
      <c r="AE31" s="4">
        <v>34.804000000000002</v>
      </c>
      <c r="AF31" s="4">
        <v>6.8879999999999999</v>
      </c>
      <c r="AG31" s="4">
        <v>33.326999999999998</v>
      </c>
      <c r="AH31">
        <v>61.066000000000003</v>
      </c>
    </row>
    <row r="32" spans="1:34" ht="14.5" x14ac:dyDescent="0.35">
      <c r="A32" s="73">
        <v>46997</v>
      </c>
      <c r="B32" s="33">
        <v>31</v>
      </c>
      <c r="C32" s="8">
        <v>31</v>
      </c>
      <c r="D32" s="11">
        <v>31</v>
      </c>
      <c r="E32">
        <v>74.569999999999993</v>
      </c>
      <c r="F32">
        <v>54.753</v>
      </c>
      <c r="G32">
        <v>40.097999999999999</v>
      </c>
      <c r="H32" s="4">
        <v>21.783999999999999</v>
      </c>
      <c r="I32" s="4">
        <v>87.05</v>
      </c>
      <c r="J32" s="4">
        <v>13.483000000000001</v>
      </c>
      <c r="K32" s="4">
        <v>77.168999999999997</v>
      </c>
      <c r="L32" s="4">
        <v>14.189</v>
      </c>
      <c r="M32" s="4">
        <v>7.6909999999999998</v>
      </c>
      <c r="N32" s="4">
        <v>28.094000000000001</v>
      </c>
      <c r="O32" s="4">
        <v>50.140999999999998</v>
      </c>
      <c r="P32" s="4">
        <v>57.895000000000003</v>
      </c>
      <c r="Q32" s="4">
        <v>25.893999999999998</v>
      </c>
      <c r="R32" s="4">
        <v>43.41</v>
      </c>
      <c r="S32" s="4">
        <v>33.530999999999999</v>
      </c>
      <c r="T32" s="4">
        <v>37.25</v>
      </c>
      <c r="U32" s="4">
        <v>9.8170000000000002</v>
      </c>
      <c r="V32" s="4">
        <v>42.222999999999999</v>
      </c>
      <c r="W32" s="4">
        <v>15.069000000000001</v>
      </c>
      <c r="X32" s="4">
        <v>19.797000000000001</v>
      </c>
      <c r="Y32" s="4">
        <v>100.057</v>
      </c>
      <c r="Z32" s="4">
        <v>20.712</v>
      </c>
      <c r="AA32" s="4">
        <v>8.9109999999999996</v>
      </c>
      <c r="AB32" s="4">
        <v>11.688000000000001</v>
      </c>
      <c r="AC32" s="4">
        <v>17.75</v>
      </c>
      <c r="AD32" s="4">
        <v>17.003</v>
      </c>
      <c r="AE32" s="4">
        <v>8.7780000000000005</v>
      </c>
      <c r="AF32" s="4">
        <v>21.547000000000001</v>
      </c>
      <c r="AG32" s="4">
        <v>67.233999999999995</v>
      </c>
      <c r="AH32">
        <v>36.877000000000002</v>
      </c>
    </row>
    <row r="33" spans="1:34" ht="14.5" x14ac:dyDescent="0.35">
      <c r="A33" s="73">
        <v>47027</v>
      </c>
      <c r="B33" s="34">
        <v>48</v>
      </c>
      <c r="C33" s="12">
        <v>21</v>
      </c>
      <c r="D33" s="11">
        <v>35</v>
      </c>
      <c r="E33">
        <v>35.674999999999997</v>
      </c>
      <c r="F33">
        <v>48.612000000000002</v>
      </c>
      <c r="G33">
        <v>34.353000000000002</v>
      </c>
      <c r="H33" s="4">
        <v>34.956000000000003</v>
      </c>
      <c r="I33" s="4">
        <v>99.394999999999996</v>
      </c>
      <c r="J33" s="4">
        <v>52.207000000000001</v>
      </c>
      <c r="K33" s="4">
        <v>27.152999999999999</v>
      </c>
      <c r="L33" s="4">
        <v>34.822000000000003</v>
      </c>
      <c r="M33" s="4">
        <v>13.805999999999999</v>
      </c>
      <c r="N33" s="4">
        <v>29.713999999999999</v>
      </c>
      <c r="O33" s="4">
        <v>21.983000000000001</v>
      </c>
      <c r="P33" s="4">
        <v>66.373999999999995</v>
      </c>
      <c r="Q33" s="4">
        <v>77.513999999999996</v>
      </c>
      <c r="R33" s="4">
        <v>129.672</v>
      </c>
      <c r="S33" s="4">
        <v>49.929000000000002</v>
      </c>
      <c r="T33" s="4">
        <v>31.792000000000002</v>
      </c>
      <c r="U33" s="4">
        <v>25.715</v>
      </c>
      <c r="V33" s="4">
        <v>34.543999999999997</v>
      </c>
      <c r="W33" s="4">
        <v>65.397000000000006</v>
      </c>
      <c r="X33" s="4">
        <v>15.676</v>
      </c>
      <c r="Y33" s="4">
        <v>51.445</v>
      </c>
      <c r="Z33" s="4">
        <v>51.331000000000003</v>
      </c>
      <c r="AA33" s="4">
        <v>25.591000000000001</v>
      </c>
      <c r="AB33" s="4">
        <v>20.475999999999999</v>
      </c>
      <c r="AC33" s="4">
        <v>42.726999999999997</v>
      </c>
      <c r="AD33" s="4">
        <v>25.372</v>
      </c>
      <c r="AE33" s="4">
        <v>15.321</v>
      </c>
      <c r="AF33" s="4">
        <v>22.640999999999998</v>
      </c>
      <c r="AG33" s="4">
        <v>21.411999999999999</v>
      </c>
      <c r="AH33">
        <v>20.193999999999999</v>
      </c>
    </row>
    <row r="34" spans="1:34" ht="14.5" x14ac:dyDescent="0.35">
      <c r="A34" s="73">
        <v>47058</v>
      </c>
      <c r="B34" s="33">
        <v>35</v>
      </c>
      <c r="C34" s="8">
        <v>24</v>
      </c>
      <c r="D34" s="11">
        <v>30</v>
      </c>
      <c r="E34">
        <v>32.427</v>
      </c>
      <c r="F34">
        <v>44.572000000000003</v>
      </c>
      <c r="G34">
        <v>31.177</v>
      </c>
      <c r="H34" s="4">
        <v>39.616</v>
      </c>
      <c r="I34" s="4">
        <v>45.298999999999999</v>
      </c>
      <c r="J34" s="4">
        <v>64.778999999999996</v>
      </c>
      <c r="K34" s="4">
        <v>23.061</v>
      </c>
      <c r="L34" s="4">
        <v>27.565999999999999</v>
      </c>
      <c r="M34" s="4">
        <v>20.606000000000002</v>
      </c>
      <c r="N34" s="4">
        <v>28.451000000000001</v>
      </c>
      <c r="O34" s="4">
        <v>25.234999999999999</v>
      </c>
      <c r="P34" s="4">
        <v>46.816000000000003</v>
      </c>
      <c r="Q34" s="4">
        <v>44.262</v>
      </c>
      <c r="R34" s="4">
        <v>49.281999999999996</v>
      </c>
      <c r="S34" s="4">
        <v>26.37</v>
      </c>
      <c r="T34" s="4">
        <v>37.908999999999999</v>
      </c>
      <c r="U34" s="4">
        <v>28.59</v>
      </c>
      <c r="V34" s="4">
        <v>29.835999999999999</v>
      </c>
      <c r="W34" s="4">
        <v>35.335000000000001</v>
      </c>
      <c r="X34" s="4">
        <v>16.484000000000002</v>
      </c>
      <c r="Y34" s="4">
        <v>31.393999999999998</v>
      </c>
      <c r="Z34" s="4">
        <v>30.036000000000001</v>
      </c>
      <c r="AA34" s="4">
        <v>29.669</v>
      </c>
      <c r="AB34" s="4">
        <v>23.062000000000001</v>
      </c>
      <c r="AC34" s="4">
        <v>30.091999999999999</v>
      </c>
      <c r="AD34" s="4">
        <v>18.931000000000001</v>
      </c>
      <c r="AE34" s="4">
        <v>23.27</v>
      </c>
      <c r="AF34" s="4">
        <v>27.861999999999998</v>
      </c>
      <c r="AG34" s="4">
        <v>27.850999999999999</v>
      </c>
      <c r="AH34">
        <v>25.225000000000001</v>
      </c>
    </row>
    <row r="35" spans="1:34" ht="14.5" x14ac:dyDescent="0.35">
      <c r="A35" s="73">
        <v>47088</v>
      </c>
      <c r="B35" s="33">
        <v>24</v>
      </c>
      <c r="C35" s="8">
        <v>24</v>
      </c>
      <c r="D35" s="11">
        <v>24</v>
      </c>
      <c r="E35">
        <v>28.373999999999999</v>
      </c>
      <c r="F35">
        <v>30.718</v>
      </c>
      <c r="G35">
        <v>27.242000000000001</v>
      </c>
      <c r="H35" s="4">
        <v>31.204000000000001</v>
      </c>
      <c r="I35" s="4">
        <v>32.712000000000003</v>
      </c>
      <c r="J35" s="4">
        <v>38.22</v>
      </c>
      <c r="K35" s="4">
        <v>20.398</v>
      </c>
      <c r="L35" s="4">
        <v>20.885000000000002</v>
      </c>
      <c r="M35" s="4">
        <v>19.984999999999999</v>
      </c>
      <c r="N35" s="4">
        <v>18.134</v>
      </c>
      <c r="O35" s="4">
        <v>23.202999999999999</v>
      </c>
      <c r="P35" s="4">
        <v>33.264000000000003</v>
      </c>
      <c r="Q35" s="4">
        <v>29.707000000000001</v>
      </c>
      <c r="R35" s="4">
        <v>29.678000000000001</v>
      </c>
      <c r="S35" s="4">
        <v>43.204000000000001</v>
      </c>
      <c r="T35" s="4">
        <v>29.46</v>
      </c>
      <c r="U35" s="4">
        <v>21.15</v>
      </c>
      <c r="V35" s="4">
        <v>26.69</v>
      </c>
      <c r="W35" s="4">
        <v>24.890999999999998</v>
      </c>
      <c r="X35" s="4">
        <v>15.952</v>
      </c>
      <c r="Y35" s="4">
        <v>24.135000000000002</v>
      </c>
      <c r="Z35" s="4">
        <v>22.481999999999999</v>
      </c>
      <c r="AA35" s="4">
        <v>22.282</v>
      </c>
      <c r="AB35" s="4">
        <v>26.114000000000001</v>
      </c>
      <c r="AC35" s="4">
        <v>26.670999999999999</v>
      </c>
      <c r="AD35" s="4">
        <v>15.742000000000001</v>
      </c>
      <c r="AE35" s="4">
        <v>25.77</v>
      </c>
      <c r="AF35" s="4">
        <v>21.466999999999999</v>
      </c>
      <c r="AG35" s="4">
        <v>24.042999999999999</v>
      </c>
      <c r="AH35">
        <v>22.065000000000001</v>
      </c>
    </row>
    <row r="36" spans="1:34" ht="14.5" x14ac:dyDescent="0.35">
      <c r="A36" s="73">
        <v>47119</v>
      </c>
      <c r="B36" s="33">
        <v>22</v>
      </c>
      <c r="C36" s="13">
        <v>22</v>
      </c>
      <c r="D36" s="14">
        <v>22</v>
      </c>
      <c r="E36" s="4">
        <v>27.774999999999999</v>
      </c>
      <c r="F36" s="4">
        <v>25.98</v>
      </c>
      <c r="G36" s="4">
        <v>24.677</v>
      </c>
      <c r="H36" s="4">
        <v>24.849</v>
      </c>
      <c r="I36" s="4">
        <v>30.113</v>
      </c>
      <c r="J36" s="4">
        <v>29.247</v>
      </c>
      <c r="K36" s="4">
        <v>22.875</v>
      </c>
      <c r="L36" s="4">
        <v>20.225999999999999</v>
      </c>
      <c r="M36" s="4">
        <v>19.111999999999998</v>
      </c>
      <c r="N36" s="4">
        <v>18.927</v>
      </c>
      <c r="O36" s="4">
        <v>19.245000000000001</v>
      </c>
      <c r="P36" s="4">
        <v>41.698</v>
      </c>
      <c r="Q36" s="4">
        <v>26.178999999999998</v>
      </c>
      <c r="R36" s="4">
        <v>25.751000000000001</v>
      </c>
      <c r="S36" s="4">
        <v>26.216000000000001</v>
      </c>
      <c r="T36" s="4">
        <v>26.997</v>
      </c>
      <c r="U36" s="4">
        <v>19.2</v>
      </c>
      <c r="V36" s="4">
        <v>22.516999999999999</v>
      </c>
      <c r="W36" s="4">
        <v>26.779</v>
      </c>
      <c r="X36" s="4">
        <v>18.713999999999999</v>
      </c>
      <c r="Y36" s="4">
        <v>21.742999999999999</v>
      </c>
      <c r="Z36" s="4">
        <v>24.327999999999999</v>
      </c>
      <c r="AA36" s="4">
        <v>18.283000000000001</v>
      </c>
      <c r="AB36" s="4">
        <v>29.952000000000002</v>
      </c>
      <c r="AC36" s="4">
        <v>23.280999999999999</v>
      </c>
      <c r="AD36" s="4">
        <v>15.042999999999999</v>
      </c>
      <c r="AE36">
        <v>24.283000000000001</v>
      </c>
      <c r="AF36" s="4">
        <v>17.059000000000001</v>
      </c>
      <c r="AG36" s="4">
        <v>20.266999999999999</v>
      </c>
      <c r="AH36" s="4">
        <v>24.922999999999998</v>
      </c>
    </row>
    <row r="37" spans="1:34" ht="14.5" x14ac:dyDescent="0.35">
      <c r="A37" s="73">
        <v>47150</v>
      </c>
      <c r="B37" s="15">
        <v>29</v>
      </c>
      <c r="C37" s="13">
        <v>29</v>
      </c>
      <c r="D37" s="14">
        <v>29</v>
      </c>
      <c r="E37" s="4">
        <v>26.701000000000001</v>
      </c>
      <c r="F37" s="4">
        <v>50.51</v>
      </c>
      <c r="G37" s="4">
        <v>35.780999999999999</v>
      </c>
      <c r="H37" s="4">
        <v>25.79</v>
      </c>
      <c r="I37" s="4">
        <v>27.486000000000001</v>
      </c>
      <c r="J37" s="4">
        <v>31.545999999999999</v>
      </c>
      <c r="K37" s="4">
        <v>25.436</v>
      </c>
      <c r="L37" s="4">
        <v>23.271999999999998</v>
      </c>
      <c r="M37" s="4">
        <v>18.36</v>
      </c>
      <c r="N37" s="4">
        <v>23.942</v>
      </c>
      <c r="O37" s="4">
        <v>22.654</v>
      </c>
      <c r="P37" s="4">
        <v>51.378</v>
      </c>
      <c r="Q37" s="4">
        <v>23.359000000000002</v>
      </c>
      <c r="R37" s="4">
        <v>38.326000000000001</v>
      </c>
      <c r="S37" s="4">
        <v>22.113</v>
      </c>
      <c r="T37" s="4">
        <v>35.073</v>
      </c>
      <c r="U37" s="4">
        <v>19.61</v>
      </c>
      <c r="V37" s="4">
        <v>24.327000000000002</v>
      </c>
      <c r="W37" s="4">
        <v>25.311</v>
      </c>
      <c r="X37" s="4">
        <v>21.302</v>
      </c>
      <c r="Y37" s="4">
        <v>28.187000000000001</v>
      </c>
      <c r="Z37" s="4">
        <v>33.819000000000003</v>
      </c>
      <c r="AA37" s="4">
        <v>35.186999999999998</v>
      </c>
      <c r="AB37" s="4">
        <v>71.034000000000006</v>
      </c>
      <c r="AC37" s="4">
        <v>23.277999999999999</v>
      </c>
      <c r="AD37" s="4">
        <v>18.855</v>
      </c>
      <c r="AE37">
        <v>24.998000000000001</v>
      </c>
      <c r="AF37" s="4">
        <v>25.033999999999999</v>
      </c>
      <c r="AG37" s="4">
        <v>25.146000000000001</v>
      </c>
      <c r="AH37" s="4">
        <v>25.195</v>
      </c>
    </row>
    <row r="38" spans="1:34" ht="14.5" x14ac:dyDescent="0.35">
      <c r="A38" s="73">
        <v>47178</v>
      </c>
      <c r="B38" s="15">
        <v>92</v>
      </c>
      <c r="C38" s="13">
        <v>92</v>
      </c>
      <c r="D38" s="14">
        <v>92</v>
      </c>
      <c r="E38" s="4">
        <v>75.478999999999999</v>
      </c>
      <c r="F38" s="4">
        <v>183.602</v>
      </c>
      <c r="G38" s="4">
        <v>45.095999999999997</v>
      </c>
      <c r="H38" s="4">
        <v>142.77699999999999</v>
      </c>
      <c r="I38" s="4">
        <v>74.444000000000003</v>
      </c>
      <c r="J38" s="4">
        <v>54.713000000000001</v>
      </c>
      <c r="K38" s="4">
        <v>48.033999999999999</v>
      </c>
      <c r="L38" s="4">
        <v>69.631</v>
      </c>
      <c r="M38" s="4">
        <v>29.175999999999998</v>
      </c>
      <c r="N38" s="4">
        <v>48.08</v>
      </c>
      <c r="O38" s="4">
        <v>96.019000000000005</v>
      </c>
      <c r="P38" s="4">
        <v>113.715</v>
      </c>
      <c r="Q38" s="4">
        <v>44.798999999999999</v>
      </c>
      <c r="R38" s="4">
        <v>131.07</v>
      </c>
      <c r="S38" s="4">
        <v>84.08</v>
      </c>
      <c r="T38" s="4">
        <v>74.754999999999995</v>
      </c>
      <c r="U38" s="4">
        <v>53.374000000000002</v>
      </c>
      <c r="V38" s="4">
        <v>57.331000000000003</v>
      </c>
      <c r="W38" s="4">
        <v>65.474000000000004</v>
      </c>
      <c r="X38" s="4">
        <v>41.752000000000002</v>
      </c>
      <c r="Y38" s="4">
        <v>53.161999999999999</v>
      </c>
      <c r="Z38" s="4">
        <v>71.022999999999996</v>
      </c>
      <c r="AA38" s="4">
        <v>55.162999999999997</v>
      </c>
      <c r="AB38" s="4">
        <v>177.184</v>
      </c>
      <c r="AC38" s="4">
        <v>35.947000000000003</v>
      </c>
      <c r="AD38" s="4">
        <v>102.517</v>
      </c>
      <c r="AE38">
        <v>49.177</v>
      </c>
      <c r="AF38" s="4">
        <v>39.622</v>
      </c>
      <c r="AG38" s="4">
        <v>63.293999999999997</v>
      </c>
      <c r="AH38" s="4">
        <v>105.395</v>
      </c>
    </row>
    <row r="39" spans="1:34" ht="14.5" x14ac:dyDescent="0.35">
      <c r="A39" s="73">
        <v>47209</v>
      </c>
      <c r="B39" s="15">
        <v>147</v>
      </c>
      <c r="C39" s="13">
        <v>147</v>
      </c>
      <c r="D39" s="14">
        <v>147</v>
      </c>
      <c r="E39" s="4">
        <v>175.25399999999999</v>
      </c>
      <c r="F39" s="4">
        <v>214.95599999999999</v>
      </c>
      <c r="G39" s="4">
        <v>87.512</v>
      </c>
      <c r="H39" s="4">
        <v>223.94399999999999</v>
      </c>
      <c r="I39" s="4">
        <v>146.20699999999999</v>
      </c>
      <c r="J39" s="4">
        <v>116.794</v>
      </c>
      <c r="K39" s="4">
        <v>120.236</v>
      </c>
      <c r="L39" s="4">
        <v>201.23500000000001</v>
      </c>
      <c r="M39" s="4">
        <v>59.493000000000002</v>
      </c>
      <c r="N39" s="4">
        <v>68.043999999999997</v>
      </c>
      <c r="O39" s="4">
        <v>200.97</v>
      </c>
      <c r="P39" s="4">
        <v>311.512</v>
      </c>
      <c r="Q39" s="4">
        <v>141.125</v>
      </c>
      <c r="R39" s="4">
        <v>151.172</v>
      </c>
      <c r="S39" s="4">
        <v>269.35000000000002</v>
      </c>
      <c r="T39" s="4">
        <v>123.884</v>
      </c>
      <c r="U39" s="4">
        <v>162.702</v>
      </c>
      <c r="V39" s="4">
        <v>110.886</v>
      </c>
      <c r="W39" s="4">
        <v>157.68899999999999</v>
      </c>
      <c r="X39" s="4">
        <v>52.146999999999998</v>
      </c>
      <c r="Y39" s="4">
        <v>92.22</v>
      </c>
      <c r="Z39" s="4">
        <v>64.381</v>
      </c>
      <c r="AA39" s="4">
        <v>94.855999999999995</v>
      </c>
      <c r="AB39" s="4">
        <v>193.42500000000001</v>
      </c>
      <c r="AC39" s="4">
        <v>69.284000000000006</v>
      </c>
      <c r="AD39" s="4">
        <v>202.501</v>
      </c>
      <c r="AE39">
        <v>69.266000000000005</v>
      </c>
      <c r="AF39" s="4">
        <v>67.369</v>
      </c>
      <c r="AG39" s="4">
        <v>226.03200000000001</v>
      </c>
      <c r="AH39" s="4">
        <v>272.38900000000001</v>
      </c>
    </row>
    <row r="40" spans="1:34" ht="14.5" x14ac:dyDescent="0.35">
      <c r="A40" s="73">
        <v>47239</v>
      </c>
      <c r="B40" s="15">
        <v>251</v>
      </c>
      <c r="C40" s="13">
        <v>251</v>
      </c>
      <c r="D40" s="14">
        <v>251</v>
      </c>
      <c r="E40" s="4">
        <v>303.69799999999998</v>
      </c>
      <c r="F40" s="4">
        <v>340.98899999999998</v>
      </c>
      <c r="G40" s="4">
        <v>206.774</v>
      </c>
      <c r="H40" s="4">
        <v>389.84699999999998</v>
      </c>
      <c r="I40" s="4">
        <v>263.327</v>
      </c>
      <c r="J40" s="4">
        <v>296.66000000000003</v>
      </c>
      <c r="K40" s="4">
        <v>184.989</v>
      </c>
      <c r="L40" s="4">
        <v>432.72300000000001</v>
      </c>
      <c r="M40" s="4">
        <v>60.63</v>
      </c>
      <c r="N40" s="4">
        <v>190.852</v>
      </c>
      <c r="O40" s="4">
        <v>292.178</v>
      </c>
      <c r="P40" s="4">
        <v>536.94399999999996</v>
      </c>
      <c r="Q40" s="4">
        <v>230.815</v>
      </c>
      <c r="R40" s="4">
        <v>285.26900000000001</v>
      </c>
      <c r="S40" s="4">
        <v>372.25700000000001</v>
      </c>
      <c r="T40" s="4">
        <v>381.875</v>
      </c>
      <c r="U40" s="4">
        <v>221.77099999999999</v>
      </c>
      <c r="V40" s="4">
        <v>195.702</v>
      </c>
      <c r="W40" s="4">
        <v>206.053</v>
      </c>
      <c r="X40" s="4">
        <v>137.958</v>
      </c>
      <c r="Y40" s="4">
        <v>203.74600000000001</v>
      </c>
      <c r="Z40" s="4">
        <v>179.102</v>
      </c>
      <c r="AA40" s="4">
        <v>197.40299999999999</v>
      </c>
      <c r="AB40" s="4">
        <v>236.75399999999999</v>
      </c>
      <c r="AC40" s="4">
        <v>130.58000000000001</v>
      </c>
      <c r="AD40" s="4">
        <v>310.89299999999997</v>
      </c>
      <c r="AE40">
        <v>176.458</v>
      </c>
      <c r="AF40" s="4">
        <v>196.79300000000001</v>
      </c>
      <c r="AG40" s="4">
        <v>312.94799999999998</v>
      </c>
      <c r="AH40" s="4">
        <v>457.53699999999998</v>
      </c>
    </row>
    <row r="41" spans="1:34" ht="14.5" x14ac:dyDescent="0.35">
      <c r="A41" s="73">
        <v>47270</v>
      </c>
      <c r="B41" s="15">
        <v>187</v>
      </c>
      <c r="C41" s="13">
        <v>187</v>
      </c>
      <c r="D41" s="14">
        <v>187</v>
      </c>
      <c r="E41" s="4">
        <v>206.13499999999999</v>
      </c>
      <c r="F41" s="4">
        <v>435.03300000000002</v>
      </c>
      <c r="G41" s="4">
        <v>66.555000000000007</v>
      </c>
      <c r="H41" s="4">
        <v>369.536</v>
      </c>
      <c r="I41" s="4">
        <v>163.25200000000001</v>
      </c>
      <c r="J41" s="4">
        <v>302.82499999999999</v>
      </c>
      <c r="K41" s="4">
        <v>47.655000000000001</v>
      </c>
      <c r="L41" s="4">
        <v>193.392</v>
      </c>
      <c r="M41" s="4">
        <v>12.239000000000001</v>
      </c>
      <c r="N41" s="4">
        <v>99.843999999999994</v>
      </c>
      <c r="O41" s="4">
        <v>129.98500000000001</v>
      </c>
      <c r="P41" s="4">
        <v>358.02600000000001</v>
      </c>
      <c r="Q41" s="4">
        <v>72.05</v>
      </c>
      <c r="R41" s="4">
        <v>157.60300000000001</v>
      </c>
      <c r="S41" s="4">
        <v>334.44799999999998</v>
      </c>
      <c r="T41" s="4">
        <v>158.99100000000001</v>
      </c>
      <c r="U41" s="4">
        <v>211.16</v>
      </c>
      <c r="V41" s="4">
        <v>238.24600000000001</v>
      </c>
      <c r="W41" s="4">
        <v>62.551000000000002</v>
      </c>
      <c r="X41" s="4">
        <v>77.551000000000002</v>
      </c>
      <c r="Y41" s="4">
        <v>161.16399999999999</v>
      </c>
      <c r="Z41" s="4">
        <v>220.84200000000001</v>
      </c>
      <c r="AA41" s="4">
        <v>219.06</v>
      </c>
      <c r="AB41" s="4">
        <v>218.815</v>
      </c>
      <c r="AC41" s="4">
        <v>28.686</v>
      </c>
      <c r="AD41" s="4">
        <v>385.09500000000003</v>
      </c>
      <c r="AE41">
        <v>63.094999999999999</v>
      </c>
      <c r="AF41" s="4">
        <v>257.40300000000002</v>
      </c>
      <c r="AG41" s="4">
        <v>138.59899999999999</v>
      </c>
      <c r="AH41" s="4">
        <v>336.21499999999997</v>
      </c>
    </row>
    <row r="42" spans="1:34" ht="14.5" x14ac:dyDescent="0.35">
      <c r="A42" s="73">
        <v>47300</v>
      </c>
      <c r="B42" s="15">
        <v>33</v>
      </c>
      <c r="C42" s="13">
        <v>33</v>
      </c>
      <c r="D42" s="14">
        <v>33</v>
      </c>
      <c r="E42" s="4">
        <v>19.34</v>
      </c>
      <c r="F42" s="4">
        <v>249.995</v>
      </c>
      <c r="G42" s="4">
        <v>9.6820000000000004</v>
      </c>
      <c r="H42" s="4">
        <v>91.751999999999995</v>
      </c>
      <c r="I42" s="4">
        <v>71.2</v>
      </c>
      <c r="J42" s="4">
        <v>170.99700000000001</v>
      </c>
      <c r="K42" s="4">
        <v>-8.1549999999999994</v>
      </c>
      <c r="L42" s="4">
        <v>28.863</v>
      </c>
      <c r="M42" s="4">
        <v>17.998999999999999</v>
      </c>
      <c r="N42" s="4">
        <v>-4.5629999999999997</v>
      </c>
      <c r="O42" s="4">
        <v>22.573</v>
      </c>
      <c r="P42" s="4">
        <v>99.088999999999999</v>
      </c>
      <c r="Q42" s="4">
        <v>27.117000000000001</v>
      </c>
      <c r="R42" s="4">
        <v>23.484999999999999</v>
      </c>
      <c r="S42" s="4">
        <v>86.432000000000002</v>
      </c>
      <c r="T42" s="4">
        <v>32.314999999999998</v>
      </c>
      <c r="U42" s="4">
        <v>31.504999999999999</v>
      </c>
      <c r="V42" s="4">
        <v>51.893999999999998</v>
      </c>
      <c r="W42" s="4">
        <v>6.2009999999999996</v>
      </c>
      <c r="X42" s="4">
        <v>26.414999999999999</v>
      </c>
      <c r="Y42" s="4">
        <v>13.603</v>
      </c>
      <c r="Z42" s="4">
        <v>32.151000000000003</v>
      </c>
      <c r="AA42" s="4">
        <v>21.908999999999999</v>
      </c>
      <c r="AB42" s="4">
        <v>33.703000000000003</v>
      </c>
      <c r="AC42" s="4">
        <v>20.411000000000001</v>
      </c>
      <c r="AD42" s="4">
        <v>127.13200000000001</v>
      </c>
      <c r="AE42">
        <v>0.439</v>
      </c>
      <c r="AF42" s="4">
        <v>92.816999999999993</v>
      </c>
      <c r="AG42" s="4">
        <v>50.17</v>
      </c>
      <c r="AH42" s="4">
        <v>85.966999999999999</v>
      </c>
    </row>
    <row r="43" spans="1:34" ht="14.5" x14ac:dyDescent="0.35">
      <c r="A43" s="73">
        <v>47331</v>
      </c>
      <c r="B43" s="15">
        <v>24</v>
      </c>
      <c r="C43" s="13">
        <v>24</v>
      </c>
      <c r="D43" s="14">
        <v>24</v>
      </c>
      <c r="E43" s="4">
        <v>9.7729999999999997</v>
      </c>
      <c r="F43" s="4">
        <v>76.483999999999995</v>
      </c>
      <c r="G43" s="4">
        <v>-2.4420000000000002</v>
      </c>
      <c r="H43" s="4">
        <v>69.197000000000003</v>
      </c>
      <c r="I43" s="4">
        <v>21.876000000000001</v>
      </c>
      <c r="J43" s="4">
        <v>125.809</v>
      </c>
      <c r="K43" s="4">
        <v>-4.7460000000000004</v>
      </c>
      <c r="L43" s="4">
        <v>41.192999999999998</v>
      </c>
      <c r="M43" s="4">
        <v>17.792000000000002</v>
      </c>
      <c r="N43" s="4">
        <v>15.32</v>
      </c>
      <c r="O43" s="4">
        <v>-0.95799999999999996</v>
      </c>
      <c r="P43" s="4">
        <v>34.896000000000001</v>
      </c>
      <c r="Q43" s="4">
        <v>36.218000000000004</v>
      </c>
      <c r="R43" s="4">
        <v>42.828000000000003</v>
      </c>
      <c r="S43" s="4">
        <v>36.052</v>
      </c>
      <c r="T43" s="4">
        <v>-0.57899999999999996</v>
      </c>
      <c r="U43" s="4">
        <v>35.899000000000001</v>
      </c>
      <c r="V43" s="4">
        <v>9.9149999999999991</v>
      </c>
      <c r="W43" s="4">
        <v>-7.5060000000000002</v>
      </c>
      <c r="X43" s="4">
        <v>39.427</v>
      </c>
      <c r="Y43" s="4">
        <v>8.2550000000000008</v>
      </c>
      <c r="Z43" s="4">
        <v>4.5279999999999996</v>
      </c>
      <c r="AA43" s="4">
        <v>27.443999999999999</v>
      </c>
      <c r="AB43" s="4">
        <v>22.568000000000001</v>
      </c>
      <c r="AC43" s="4">
        <v>18.155999999999999</v>
      </c>
      <c r="AD43" s="4">
        <v>35.551000000000002</v>
      </c>
      <c r="AE43">
        <v>6.327</v>
      </c>
      <c r="AF43" s="4">
        <v>36.393999999999998</v>
      </c>
      <c r="AG43" s="4">
        <v>60.886000000000003</v>
      </c>
      <c r="AH43" s="4">
        <v>93.117000000000004</v>
      </c>
    </row>
    <row r="44" spans="1:34" ht="14.5" x14ac:dyDescent="0.35">
      <c r="A44" s="73">
        <v>47362</v>
      </c>
      <c r="B44" s="15">
        <v>31</v>
      </c>
      <c r="C44" s="13">
        <v>31</v>
      </c>
      <c r="D44" s="14">
        <v>31</v>
      </c>
      <c r="E44" s="4">
        <v>54.575000000000003</v>
      </c>
      <c r="F44" s="4">
        <v>40.365000000000002</v>
      </c>
      <c r="G44" s="4">
        <v>21.925999999999998</v>
      </c>
      <c r="H44" s="4">
        <v>86.552999999999997</v>
      </c>
      <c r="I44" s="4">
        <v>12.951000000000001</v>
      </c>
      <c r="J44" s="4">
        <v>77.543999999999997</v>
      </c>
      <c r="K44" s="4">
        <v>14.461</v>
      </c>
      <c r="L44" s="4">
        <v>8.3520000000000003</v>
      </c>
      <c r="M44" s="4">
        <v>28.135000000000002</v>
      </c>
      <c r="N44" s="4">
        <v>51.326000000000001</v>
      </c>
      <c r="O44" s="4">
        <v>57.106000000000002</v>
      </c>
      <c r="P44" s="4">
        <v>22.741</v>
      </c>
      <c r="Q44" s="4">
        <v>43.328000000000003</v>
      </c>
      <c r="R44" s="4">
        <v>34.319000000000003</v>
      </c>
      <c r="S44" s="4">
        <v>36.680999999999997</v>
      </c>
      <c r="T44" s="4">
        <v>9.2469999999999999</v>
      </c>
      <c r="U44" s="4">
        <v>43.218000000000004</v>
      </c>
      <c r="V44" s="4">
        <v>14.763</v>
      </c>
      <c r="W44" s="4">
        <v>16.984000000000002</v>
      </c>
      <c r="X44" s="4">
        <v>98.992000000000004</v>
      </c>
      <c r="Y44" s="4">
        <v>20.425000000000001</v>
      </c>
      <c r="Z44" s="4">
        <v>8.3569999999999993</v>
      </c>
      <c r="AA44" s="4">
        <v>10.875</v>
      </c>
      <c r="AB44" s="4">
        <v>15.606999999999999</v>
      </c>
      <c r="AC44" s="4">
        <v>17.103999999999999</v>
      </c>
      <c r="AD44" s="4">
        <v>9.048</v>
      </c>
      <c r="AE44">
        <v>21.45</v>
      </c>
      <c r="AF44" s="4">
        <v>68.721000000000004</v>
      </c>
      <c r="AG44" s="4">
        <v>36.395000000000003</v>
      </c>
      <c r="AH44" s="4">
        <v>74.147999999999996</v>
      </c>
    </row>
    <row r="45" spans="1:34" ht="14.5" x14ac:dyDescent="0.35">
      <c r="A45" s="73">
        <v>47392</v>
      </c>
      <c r="B45" s="15">
        <v>48</v>
      </c>
      <c r="C45" s="13">
        <v>21</v>
      </c>
      <c r="D45" s="14">
        <v>35</v>
      </c>
      <c r="E45" s="4">
        <v>48.854999999999997</v>
      </c>
      <c r="F45" s="4">
        <v>34.817</v>
      </c>
      <c r="G45" s="4">
        <v>34.817999999999998</v>
      </c>
      <c r="H45" s="4">
        <v>102.03400000000001</v>
      </c>
      <c r="I45" s="4">
        <v>52.238999999999997</v>
      </c>
      <c r="J45" s="4">
        <v>27.434999999999999</v>
      </c>
      <c r="K45" s="4">
        <v>35.140999999999998</v>
      </c>
      <c r="L45" s="4">
        <v>13.802</v>
      </c>
      <c r="M45" s="4">
        <v>29.655999999999999</v>
      </c>
      <c r="N45" s="4">
        <v>22.478999999999999</v>
      </c>
      <c r="O45" s="4">
        <v>66.075000000000003</v>
      </c>
      <c r="P45" s="4">
        <v>79.991</v>
      </c>
      <c r="Q45" s="4">
        <v>129.733</v>
      </c>
      <c r="R45" s="4">
        <v>50.728999999999999</v>
      </c>
      <c r="S45" s="4">
        <v>31.478999999999999</v>
      </c>
      <c r="T45" s="4">
        <v>25.884</v>
      </c>
      <c r="U45" s="4">
        <v>35.317</v>
      </c>
      <c r="V45" s="4">
        <v>65.453000000000003</v>
      </c>
      <c r="W45" s="4">
        <v>16.126000000000001</v>
      </c>
      <c r="X45" s="4">
        <v>54.393000000000001</v>
      </c>
      <c r="Y45" s="4">
        <v>51.378999999999998</v>
      </c>
      <c r="Z45" s="4">
        <v>25.283000000000001</v>
      </c>
      <c r="AA45" s="4">
        <v>20.486000000000001</v>
      </c>
      <c r="AB45" s="4">
        <v>44.174999999999997</v>
      </c>
      <c r="AC45" s="4">
        <v>25.41</v>
      </c>
      <c r="AD45" s="4">
        <v>15.922000000000001</v>
      </c>
      <c r="AE45">
        <v>22.443999999999999</v>
      </c>
      <c r="AF45" s="4">
        <v>23.015000000000001</v>
      </c>
      <c r="AG45" s="4">
        <v>20.082000000000001</v>
      </c>
      <c r="AH45" s="4">
        <v>35.515999999999998</v>
      </c>
    </row>
    <row r="46" spans="1:34" ht="14.5" x14ac:dyDescent="0.35">
      <c r="A46" s="73">
        <v>47423</v>
      </c>
      <c r="B46" s="15">
        <v>35</v>
      </c>
      <c r="C46" s="13">
        <v>24</v>
      </c>
      <c r="D46" s="14">
        <v>30</v>
      </c>
      <c r="E46" s="4">
        <v>44.91</v>
      </c>
      <c r="F46" s="4">
        <v>31.625</v>
      </c>
      <c r="G46" s="4">
        <v>39.76</v>
      </c>
      <c r="H46" s="4">
        <v>47.021000000000001</v>
      </c>
      <c r="I46" s="4">
        <v>64.625</v>
      </c>
      <c r="J46" s="4">
        <v>23.484999999999999</v>
      </c>
      <c r="K46" s="4">
        <v>27.933</v>
      </c>
      <c r="L46" s="4">
        <v>20.934000000000001</v>
      </c>
      <c r="M46" s="4">
        <v>28.539000000000001</v>
      </c>
      <c r="N46" s="4">
        <v>26.08</v>
      </c>
      <c r="O46" s="4">
        <v>46.552</v>
      </c>
      <c r="P46" s="4">
        <v>45.265999999999998</v>
      </c>
      <c r="Q46" s="4">
        <v>49.429000000000002</v>
      </c>
      <c r="R46" s="4">
        <v>27.274000000000001</v>
      </c>
      <c r="S46" s="4">
        <v>37.822000000000003</v>
      </c>
      <c r="T46" s="4">
        <v>28.965</v>
      </c>
      <c r="U46" s="4">
        <v>30.83</v>
      </c>
      <c r="V46" s="4">
        <v>35.47</v>
      </c>
      <c r="W46" s="4">
        <v>16.957999999999998</v>
      </c>
      <c r="X46" s="4">
        <v>32.137999999999998</v>
      </c>
      <c r="Y46" s="4">
        <v>30.085999999999999</v>
      </c>
      <c r="Z46" s="4">
        <v>29.652000000000001</v>
      </c>
      <c r="AA46" s="4">
        <v>23.094000000000001</v>
      </c>
      <c r="AB46" s="4">
        <v>30.401</v>
      </c>
      <c r="AC46" s="4">
        <v>19.062999999999999</v>
      </c>
      <c r="AD46" s="4">
        <v>23.904</v>
      </c>
      <c r="AE46">
        <v>27.728999999999999</v>
      </c>
      <c r="AF46" s="4">
        <v>29.123999999999999</v>
      </c>
      <c r="AG46" s="4">
        <v>25.181000000000001</v>
      </c>
      <c r="AH46" s="4">
        <v>32.387</v>
      </c>
    </row>
    <row r="47" spans="1:34" ht="14.5" x14ac:dyDescent="0.35">
      <c r="A47" s="73">
        <v>47453</v>
      </c>
      <c r="B47" s="15">
        <v>24</v>
      </c>
      <c r="C47" s="13">
        <v>24</v>
      </c>
      <c r="D47" s="14">
        <v>24</v>
      </c>
      <c r="E47" s="4">
        <v>31.058</v>
      </c>
      <c r="F47" s="4">
        <v>27.789000000000001</v>
      </c>
      <c r="G47" s="4">
        <v>31.43</v>
      </c>
      <c r="H47" s="4">
        <v>33.771999999999998</v>
      </c>
      <c r="I47" s="4">
        <v>38.201000000000001</v>
      </c>
      <c r="J47" s="4">
        <v>20.922000000000001</v>
      </c>
      <c r="K47" s="4">
        <v>21.298999999999999</v>
      </c>
      <c r="L47" s="4">
        <v>20.251999999999999</v>
      </c>
      <c r="M47" s="4">
        <v>18.254999999999999</v>
      </c>
      <c r="N47" s="4">
        <v>24.08</v>
      </c>
      <c r="O47" s="4">
        <v>33.076000000000001</v>
      </c>
      <c r="P47" s="4">
        <v>30.067</v>
      </c>
      <c r="Q47" s="4">
        <v>29.887</v>
      </c>
      <c r="R47" s="4">
        <v>44.588000000000001</v>
      </c>
      <c r="S47" s="4">
        <v>29.445</v>
      </c>
      <c r="T47" s="4">
        <v>21.667000000000002</v>
      </c>
      <c r="U47" s="4">
        <v>27.855</v>
      </c>
      <c r="V47" s="4">
        <v>25.081</v>
      </c>
      <c r="W47" s="4">
        <v>16.466999999999999</v>
      </c>
      <c r="X47" s="4">
        <v>24.826000000000001</v>
      </c>
      <c r="Y47" s="4">
        <v>22.584</v>
      </c>
      <c r="Z47" s="4">
        <v>22.315000000000001</v>
      </c>
      <c r="AA47" s="4">
        <v>26.22</v>
      </c>
      <c r="AB47" s="4">
        <v>27.050999999999998</v>
      </c>
      <c r="AC47" s="4">
        <v>15.91</v>
      </c>
      <c r="AD47" s="4">
        <v>26.565000000000001</v>
      </c>
      <c r="AE47">
        <v>21.379000000000001</v>
      </c>
      <c r="AF47" s="4">
        <v>25.465</v>
      </c>
      <c r="AG47" s="4">
        <v>22.094999999999999</v>
      </c>
      <c r="AH47" s="4">
        <v>28.414000000000001</v>
      </c>
    </row>
    <row r="48" spans="1:34" ht="14.5" x14ac:dyDescent="0.35">
      <c r="A48" s="73">
        <v>47484</v>
      </c>
      <c r="B48" s="15">
        <v>22</v>
      </c>
      <c r="C48" s="13">
        <v>22</v>
      </c>
      <c r="D48" s="14">
        <v>22</v>
      </c>
      <c r="E48" s="4">
        <v>26.274999999999999</v>
      </c>
      <c r="F48" s="4">
        <v>25.199000000000002</v>
      </c>
      <c r="G48" s="4">
        <v>25.053000000000001</v>
      </c>
      <c r="H48" s="4">
        <v>31.018000000000001</v>
      </c>
      <c r="I48" s="4">
        <v>29.233000000000001</v>
      </c>
      <c r="J48" s="4">
        <v>23.390999999999998</v>
      </c>
      <c r="K48" s="4">
        <v>20.632999999999999</v>
      </c>
      <c r="L48" s="4">
        <v>19.350000000000001</v>
      </c>
      <c r="M48" s="4">
        <v>19.052</v>
      </c>
      <c r="N48" s="4">
        <v>19.991</v>
      </c>
      <c r="O48" s="4">
        <v>41.463999999999999</v>
      </c>
      <c r="P48" s="4">
        <v>26.344000000000001</v>
      </c>
      <c r="Q48" s="4">
        <v>25.959</v>
      </c>
      <c r="R48" s="4">
        <v>27.31</v>
      </c>
      <c r="S48" s="4">
        <v>26.983000000000001</v>
      </c>
      <c r="T48" s="4">
        <v>19.459</v>
      </c>
      <c r="U48" s="4">
        <v>23.649000000000001</v>
      </c>
      <c r="V48" s="4">
        <v>27.009</v>
      </c>
      <c r="W48" s="4">
        <v>19.245999999999999</v>
      </c>
      <c r="X48" s="4">
        <v>22.004000000000001</v>
      </c>
      <c r="Y48" s="4">
        <v>24.440999999999999</v>
      </c>
      <c r="Z48" s="4">
        <v>18.315000000000001</v>
      </c>
      <c r="AA48" s="4">
        <v>30.07</v>
      </c>
      <c r="AB48" s="4">
        <v>23.378</v>
      </c>
      <c r="AC48" s="4">
        <v>15.201000000000001</v>
      </c>
      <c r="AD48" s="4">
        <v>25.04</v>
      </c>
      <c r="AE48">
        <v>16.978000000000002</v>
      </c>
      <c r="AF48" s="4">
        <v>21.058</v>
      </c>
      <c r="AG48" s="4">
        <v>24.956</v>
      </c>
      <c r="AH48" s="4">
        <v>27.815000000000001</v>
      </c>
    </row>
    <row r="49" spans="1:1005" ht="14.5" x14ac:dyDescent="0.35">
      <c r="A49" s="73">
        <v>47515</v>
      </c>
      <c r="B49" s="15">
        <v>29</v>
      </c>
      <c r="C49" s="13">
        <v>29</v>
      </c>
      <c r="D49" s="14">
        <v>29</v>
      </c>
      <c r="E49" s="4">
        <v>51.029000000000003</v>
      </c>
      <c r="F49" s="4">
        <v>36.375999999999998</v>
      </c>
      <c r="G49" s="4">
        <v>25.99</v>
      </c>
      <c r="H49" s="4">
        <v>28.138000000000002</v>
      </c>
      <c r="I49" s="4">
        <v>31.533999999999999</v>
      </c>
      <c r="J49" s="4">
        <v>25.978999999999999</v>
      </c>
      <c r="K49" s="4">
        <v>23.670999999999999</v>
      </c>
      <c r="L49" s="4">
        <v>18.457000000000001</v>
      </c>
      <c r="M49" s="4">
        <v>24.079000000000001</v>
      </c>
      <c r="N49" s="4">
        <v>23.434000000000001</v>
      </c>
      <c r="O49" s="4">
        <v>51.133000000000003</v>
      </c>
      <c r="P49" s="4">
        <v>22.972000000000001</v>
      </c>
      <c r="Q49" s="4">
        <v>38.649000000000001</v>
      </c>
      <c r="R49" s="4">
        <v>23.038</v>
      </c>
      <c r="S49" s="4">
        <v>35.058999999999997</v>
      </c>
      <c r="T49" s="4">
        <v>19.603999999999999</v>
      </c>
      <c r="U49" s="4">
        <v>25.486999999999998</v>
      </c>
      <c r="V49" s="4">
        <v>25.53</v>
      </c>
      <c r="W49" s="4">
        <v>21.861999999999998</v>
      </c>
      <c r="X49" s="4">
        <v>27.902999999999999</v>
      </c>
      <c r="Y49" s="4">
        <v>33.950000000000003</v>
      </c>
      <c r="Z49" s="4">
        <v>35.255000000000003</v>
      </c>
      <c r="AA49" s="4">
        <v>71.186000000000007</v>
      </c>
      <c r="AB49" s="4">
        <v>23.231000000000002</v>
      </c>
      <c r="AC49" s="4">
        <v>19.013000000000002</v>
      </c>
      <c r="AD49" s="4">
        <v>25.745000000000001</v>
      </c>
      <c r="AE49">
        <v>24.945</v>
      </c>
      <c r="AF49" s="4">
        <v>26.15</v>
      </c>
      <c r="AG49" s="4">
        <v>25.241</v>
      </c>
      <c r="AH49" s="4">
        <v>26.738</v>
      </c>
    </row>
    <row r="50" spans="1:1005" ht="14.5" x14ac:dyDescent="0.35">
      <c r="A50" s="73">
        <v>47543</v>
      </c>
      <c r="B50" s="15">
        <v>92</v>
      </c>
      <c r="C50" s="13">
        <v>92</v>
      </c>
      <c r="D50" s="14">
        <v>92</v>
      </c>
      <c r="E50" s="4">
        <v>185.24100000000001</v>
      </c>
      <c r="F50" s="4">
        <v>45.77</v>
      </c>
      <c r="G50" s="4">
        <v>143.43299999999999</v>
      </c>
      <c r="H50" s="4">
        <v>74.772000000000006</v>
      </c>
      <c r="I50" s="4">
        <v>54.694000000000003</v>
      </c>
      <c r="J50" s="4">
        <v>48.902999999999999</v>
      </c>
      <c r="K50" s="4">
        <v>70.531000000000006</v>
      </c>
      <c r="L50" s="4">
        <v>28.437999999999999</v>
      </c>
      <c r="M50" s="4">
        <v>48.283999999999999</v>
      </c>
      <c r="N50" s="4">
        <v>98.042000000000002</v>
      </c>
      <c r="O50" s="4">
        <v>113.267</v>
      </c>
      <c r="P50" s="4">
        <v>44.604999999999997</v>
      </c>
      <c r="Q50" s="4">
        <v>131.476</v>
      </c>
      <c r="R50" s="4">
        <v>87.406000000000006</v>
      </c>
      <c r="S50" s="4">
        <v>74.742000000000004</v>
      </c>
      <c r="T50" s="4">
        <v>51.619</v>
      </c>
      <c r="U50" s="4">
        <v>59.21</v>
      </c>
      <c r="V50" s="4">
        <v>65.796999999999997</v>
      </c>
      <c r="W50" s="4">
        <v>42.581000000000003</v>
      </c>
      <c r="X50" s="4">
        <v>54.371000000000002</v>
      </c>
      <c r="Y50" s="4">
        <v>71.200999999999993</v>
      </c>
      <c r="Z50" s="4">
        <v>55.207999999999998</v>
      </c>
      <c r="AA50" s="4">
        <v>177.54599999999999</v>
      </c>
      <c r="AB50" s="4">
        <v>35.558</v>
      </c>
      <c r="AC50" s="4">
        <v>102.995</v>
      </c>
      <c r="AD50" s="4">
        <v>50.195</v>
      </c>
      <c r="AE50">
        <v>39.497</v>
      </c>
      <c r="AF50" s="4">
        <v>61.091999999999999</v>
      </c>
      <c r="AG50" s="4">
        <v>105.56699999999999</v>
      </c>
      <c r="AH50" s="4">
        <v>75.545000000000002</v>
      </c>
    </row>
    <row r="51" spans="1:1005" ht="14.5" x14ac:dyDescent="0.35">
      <c r="A51" s="73">
        <v>47574</v>
      </c>
      <c r="B51" s="15">
        <v>147</v>
      </c>
      <c r="C51" s="13">
        <v>147</v>
      </c>
      <c r="D51" s="14">
        <v>147</v>
      </c>
      <c r="E51" s="4">
        <v>215.39500000000001</v>
      </c>
      <c r="F51" s="4">
        <v>88.001999999999995</v>
      </c>
      <c r="G51" s="4">
        <v>224.39500000000001</v>
      </c>
      <c r="H51" s="4">
        <v>144.71299999999999</v>
      </c>
      <c r="I51" s="4">
        <v>116.76900000000001</v>
      </c>
      <c r="J51" s="4">
        <v>120.999</v>
      </c>
      <c r="K51" s="4">
        <v>202.58699999999999</v>
      </c>
      <c r="L51" s="4">
        <v>59.795000000000002</v>
      </c>
      <c r="M51" s="4">
        <v>68.155000000000001</v>
      </c>
      <c r="N51" s="4">
        <v>203.07</v>
      </c>
      <c r="O51" s="4">
        <v>310.85700000000003</v>
      </c>
      <c r="P51" s="4">
        <v>138.74600000000001</v>
      </c>
      <c r="Q51" s="4">
        <v>151.374</v>
      </c>
      <c r="R51" s="4">
        <v>274.95499999999998</v>
      </c>
      <c r="S51" s="4">
        <v>123.89</v>
      </c>
      <c r="T51" s="4">
        <v>160.947</v>
      </c>
      <c r="U51" s="4">
        <v>112.32299999999999</v>
      </c>
      <c r="V51" s="4">
        <v>157.917</v>
      </c>
      <c r="W51" s="4">
        <v>52.744999999999997</v>
      </c>
      <c r="X51" s="4">
        <v>92.558000000000007</v>
      </c>
      <c r="Y51" s="4">
        <v>64.468000000000004</v>
      </c>
      <c r="Z51" s="4">
        <v>94.861999999999995</v>
      </c>
      <c r="AA51" s="4">
        <v>193.661</v>
      </c>
      <c r="AB51" s="4">
        <v>66.540999999999997</v>
      </c>
      <c r="AC51" s="4">
        <v>203.06399999999999</v>
      </c>
      <c r="AD51" s="4">
        <v>70.037999999999997</v>
      </c>
      <c r="AE51">
        <v>67.242000000000004</v>
      </c>
      <c r="AF51" s="4">
        <v>225.571</v>
      </c>
      <c r="AG51" s="4">
        <v>272.51400000000001</v>
      </c>
      <c r="AH51" s="4">
        <v>175.30799999999999</v>
      </c>
    </row>
    <row r="52" spans="1:1005" ht="14.5" x14ac:dyDescent="0.35">
      <c r="A52" s="73">
        <v>47604</v>
      </c>
      <c r="B52" s="15">
        <v>251</v>
      </c>
      <c r="C52" s="13">
        <v>251</v>
      </c>
      <c r="D52" s="14">
        <v>251</v>
      </c>
      <c r="E52" s="4">
        <v>341.19400000000002</v>
      </c>
      <c r="F52" s="4">
        <v>207.18700000000001</v>
      </c>
      <c r="G52" s="4">
        <v>390.036</v>
      </c>
      <c r="H52" s="4">
        <v>258.92700000000002</v>
      </c>
      <c r="I52" s="4">
        <v>296.63299999999998</v>
      </c>
      <c r="J52" s="4">
        <v>185.38900000000001</v>
      </c>
      <c r="K52" s="4">
        <v>433.262</v>
      </c>
      <c r="L52" s="4">
        <v>60.62</v>
      </c>
      <c r="M52" s="4">
        <v>190.922</v>
      </c>
      <c r="N52" s="4">
        <v>292.88799999999998</v>
      </c>
      <c r="O52" s="4">
        <v>536.66</v>
      </c>
      <c r="P52" s="4">
        <v>230.292</v>
      </c>
      <c r="Q52" s="4">
        <v>285.46899999999999</v>
      </c>
      <c r="R52" s="4">
        <v>374.01100000000002</v>
      </c>
      <c r="S52" s="4">
        <v>381.86900000000003</v>
      </c>
      <c r="T52" s="4">
        <v>216.477</v>
      </c>
      <c r="U52" s="4">
        <v>196.67699999999999</v>
      </c>
      <c r="V52" s="4">
        <v>206.191</v>
      </c>
      <c r="W52" s="4">
        <v>138.35</v>
      </c>
      <c r="X52" s="4">
        <v>193.87</v>
      </c>
      <c r="Y52" s="4">
        <v>179.22</v>
      </c>
      <c r="Z52" s="4">
        <v>197.417</v>
      </c>
      <c r="AA52" s="4">
        <v>236.84</v>
      </c>
      <c r="AB52" s="4">
        <v>132.059</v>
      </c>
      <c r="AC52" s="4">
        <v>311.22399999999999</v>
      </c>
      <c r="AD52" s="4">
        <v>177.00399999999999</v>
      </c>
      <c r="AE52">
        <v>196.822</v>
      </c>
      <c r="AF52" s="4">
        <v>317.20299999999997</v>
      </c>
      <c r="AG52" s="4">
        <v>457.53300000000002</v>
      </c>
      <c r="AH52" s="4">
        <v>303.733</v>
      </c>
    </row>
    <row r="53" spans="1:1005" ht="14.5" x14ac:dyDescent="0.35">
      <c r="A53" s="73">
        <v>47635</v>
      </c>
      <c r="B53" s="15">
        <v>187</v>
      </c>
      <c r="C53" s="13">
        <v>187</v>
      </c>
      <c r="D53" s="14">
        <v>187</v>
      </c>
      <c r="E53" s="4">
        <v>435.15600000000001</v>
      </c>
      <c r="F53" s="4">
        <v>66.915999999999997</v>
      </c>
      <c r="G53" s="4">
        <v>369.63</v>
      </c>
      <c r="H53" s="4">
        <v>168.821</v>
      </c>
      <c r="I53" s="4">
        <v>302.81700000000001</v>
      </c>
      <c r="J53" s="4">
        <v>47.984000000000002</v>
      </c>
      <c r="K53" s="4">
        <v>193.57599999999999</v>
      </c>
      <c r="L53" s="4">
        <v>13.14</v>
      </c>
      <c r="M53" s="4">
        <v>99.912999999999997</v>
      </c>
      <c r="N53" s="4">
        <v>130.321</v>
      </c>
      <c r="O53" s="4">
        <v>357.964</v>
      </c>
      <c r="P53" s="4">
        <v>74.733000000000004</v>
      </c>
      <c r="Q53" s="4">
        <v>157.73699999999999</v>
      </c>
      <c r="R53" s="4">
        <v>334.755</v>
      </c>
      <c r="S53" s="4">
        <v>158.98099999999999</v>
      </c>
      <c r="T53" s="4">
        <v>217.702</v>
      </c>
      <c r="U53" s="4">
        <v>238.87</v>
      </c>
      <c r="V53" s="4">
        <v>62.664000000000001</v>
      </c>
      <c r="W53" s="4">
        <v>77.873999999999995</v>
      </c>
      <c r="X53" s="4">
        <v>170.1</v>
      </c>
      <c r="Y53" s="4">
        <v>220.916</v>
      </c>
      <c r="Z53" s="4">
        <v>219.08600000000001</v>
      </c>
      <c r="AA53" s="4">
        <v>218.858</v>
      </c>
      <c r="AB53" s="4">
        <v>30.076000000000001</v>
      </c>
      <c r="AC53" s="4">
        <v>385.17399999999998</v>
      </c>
      <c r="AD53" s="4">
        <v>63.542999999999999</v>
      </c>
      <c r="AE53">
        <v>257.33699999999999</v>
      </c>
      <c r="AF53" s="4">
        <v>142.12</v>
      </c>
      <c r="AG53" s="4">
        <v>336.23200000000003</v>
      </c>
      <c r="AH53" s="4">
        <v>206.15799999999999</v>
      </c>
    </row>
    <row r="54" spans="1:1005" ht="14.5" x14ac:dyDescent="0.35">
      <c r="A54" s="73">
        <v>47665</v>
      </c>
      <c r="B54" s="15">
        <v>33</v>
      </c>
      <c r="C54" s="13">
        <v>33</v>
      </c>
      <c r="D54" s="14">
        <v>33</v>
      </c>
      <c r="E54" s="4">
        <v>250.11500000000001</v>
      </c>
      <c r="F54" s="4">
        <v>10.053000000000001</v>
      </c>
      <c r="G54" s="4">
        <v>91.831999999999994</v>
      </c>
      <c r="H54" s="4">
        <v>72.548000000000002</v>
      </c>
      <c r="I54" s="4">
        <v>170.99100000000001</v>
      </c>
      <c r="J54" s="4">
        <v>-7.8940000000000001</v>
      </c>
      <c r="K54" s="4">
        <v>29.02</v>
      </c>
      <c r="L54" s="4">
        <v>18.065000000000001</v>
      </c>
      <c r="M54" s="4">
        <v>-4.5</v>
      </c>
      <c r="N54" s="4">
        <v>22.888999999999999</v>
      </c>
      <c r="O54" s="4">
        <v>99.052999999999997</v>
      </c>
      <c r="P54" s="4">
        <v>26.445</v>
      </c>
      <c r="Q54" s="4">
        <v>23.620999999999999</v>
      </c>
      <c r="R54" s="4">
        <v>86.802999999999997</v>
      </c>
      <c r="S54" s="4">
        <v>32.305999999999997</v>
      </c>
      <c r="T54" s="4">
        <v>32.073999999999998</v>
      </c>
      <c r="U54" s="4">
        <v>52.561999999999998</v>
      </c>
      <c r="V54" s="4">
        <v>6.3140000000000001</v>
      </c>
      <c r="W54" s="4">
        <v>26.713999999999999</v>
      </c>
      <c r="X54" s="4">
        <v>14.099</v>
      </c>
      <c r="Y54" s="4">
        <v>32.220999999999997</v>
      </c>
      <c r="Z54" s="4">
        <v>21.937999999999999</v>
      </c>
      <c r="AA54" s="4">
        <v>33.744</v>
      </c>
      <c r="AB54" s="4">
        <v>20.518999999999998</v>
      </c>
      <c r="AC54" s="4">
        <v>127.19199999999999</v>
      </c>
      <c r="AD54" s="4">
        <v>0.871</v>
      </c>
      <c r="AE54">
        <v>92.766000000000005</v>
      </c>
      <c r="AF54" s="4">
        <v>51.207999999999998</v>
      </c>
      <c r="AG54" s="4">
        <v>85.989000000000004</v>
      </c>
      <c r="AH54" s="4">
        <v>19.361000000000001</v>
      </c>
    </row>
    <row r="55" spans="1:1005" ht="14.5" x14ac:dyDescent="0.35">
      <c r="A55" s="73">
        <v>47696</v>
      </c>
      <c r="B55" s="15">
        <v>24</v>
      </c>
      <c r="C55" s="13">
        <v>24</v>
      </c>
      <c r="D55" s="14">
        <v>24</v>
      </c>
      <c r="E55" s="4">
        <v>76.683999999999997</v>
      </c>
      <c r="F55" s="4">
        <v>-2.1269999999999998</v>
      </c>
      <c r="G55" s="4">
        <v>69.290999999999997</v>
      </c>
      <c r="H55" s="4">
        <v>24.09</v>
      </c>
      <c r="I55" s="4">
        <v>125.797</v>
      </c>
      <c r="J55" s="4">
        <v>-4.4039999999999999</v>
      </c>
      <c r="K55" s="4">
        <v>41.4</v>
      </c>
      <c r="L55" s="4">
        <v>17.943999999999999</v>
      </c>
      <c r="M55" s="4">
        <v>15.407</v>
      </c>
      <c r="N55" s="4">
        <v>-0.68500000000000005</v>
      </c>
      <c r="O55" s="4">
        <v>34.859000000000002</v>
      </c>
      <c r="P55" s="4">
        <v>36.951000000000001</v>
      </c>
      <c r="Q55" s="4">
        <v>42.966999999999999</v>
      </c>
      <c r="R55" s="4">
        <v>36.423000000000002</v>
      </c>
      <c r="S55" s="4">
        <v>-0.58699999999999997</v>
      </c>
      <c r="T55" s="4">
        <v>36.256999999999998</v>
      </c>
      <c r="U55" s="4">
        <v>10.526999999999999</v>
      </c>
      <c r="V55" s="4">
        <v>-7.4009999999999998</v>
      </c>
      <c r="W55" s="4">
        <v>39.732999999999997</v>
      </c>
      <c r="X55" s="4">
        <v>9.2569999999999997</v>
      </c>
      <c r="Y55" s="4">
        <v>4.5890000000000004</v>
      </c>
      <c r="Z55" s="4">
        <v>27.472999999999999</v>
      </c>
      <c r="AA55" s="4">
        <v>22.606000000000002</v>
      </c>
      <c r="AB55" s="4">
        <v>18.170999999999999</v>
      </c>
      <c r="AC55" s="4">
        <v>35.607999999999997</v>
      </c>
      <c r="AD55" s="4">
        <v>7.3739999999999997</v>
      </c>
      <c r="AE55">
        <v>36.341999999999999</v>
      </c>
      <c r="AF55" s="4">
        <v>60.677</v>
      </c>
      <c r="AG55" s="4">
        <v>93.150999999999996</v>
      </c>
      <c r="AH55" s="4">
        <v>9.7940000000000005</v>
      </c>
    </row>
    <row r="56" spans="1:1005" ht="14.5" x14ac:dyDescent="0.35">
      <c r="A56" s="73">
        <v>47727</v>
      </c>
      <c r="B56" s="15">
        <v>31</v>
      </c>
      <c r="C56" s="13">
        <v>31</v>
      </c>
      <c r="D56" s="14">
        <v>31</v>
      </c>
      <c r="E56" s="4">
        <v>40.505000000000003</v>
      </c>
      <c r="F56" s="4">
        <v>22.236999999999998</v>
      </c>
      <c r="G56" s="4">
        <v>86.676000000000002</v>
      </c>
      <c r="H56" s="4">
        <v>13.683</v>
      </c>
      <c r="I56" s="4">
        <v>77.540999999999997</v>
      </c>
      <c r="J56" s="4">
        <v>14.603</v>
      </c>
      <c r="K56" s="4">
        <v>8.484</v>
      </c>
      <c r="L56" s="4">
        <v>27.706</v>
      </c>
      <c r="M56" s="4">
        <v>51.414999999999999</v>
      </c>
      <c r="N56" s="4">
        <v>57.514000000000003</v>
      </c>
      <c r="O56" s="4">
        <v>22.707999999999998</v>
      </c>
      <c r="P56" s="4">
        <v>42.25</v>
      </c>
      <c r="Q56" s="4">
        <v>34.444000000000003</v>
      </c>
      <c r="R56" s="4">
        <v>36.968000000000004</v>
      </c>
      <c r="S56" s="4">
        <v>9.24</v>
      </c>
      <c r="T56" s="4">
        <v>44.734999999999999</v>
      </c>
      <c r="U56" s="4">
        <v>15.321</v>
      </c>
      <c r="V56" s="4">
        <v>17.995000000000001</v>
      </c>
      <c r="W56" s="4">
        <v>99.474999999999994</v>
      </c>
      <c r="X56" s="4">
        <v>17.23</v>
      </c>
      <c r="Y56" s="4">
        <v>8.4220000000000006</v>
      </c>
      <c r="Z56" s="4">
        <v>11.343999999999999</v>
      </c>
      <c r="AA56" s="4">
        <v>15.641</v>
      </c>
      <c r="AB56" s="4">
        <v>17.114999999999998</v>
      </c>
      <c r="AC56" s="4">
        <v>9.0950000000000006</v>
      </c>
      <c r="AD56" s="4">
        <v>21.776</v>
      </c>
      <c r="AE56">
        <v>68.653999999999996</v>
      </c>
      <c r="AF56" s="4">
        <v>38.892000000000003</v>
      </c>
      <c r="AG56" s="4">
        <v>74.186000000000007</v>
      </c>
      <c r="AH56" s="4">
        <v>54.597000000000001</v>
      </c>
    </row>
    <row r="57" spans="1:1005" ht="14.5" x14ac:dyDescent="0.35">
      <c r="A57" s="73">
        <v>47757</v>
      </c>
      <c r="B57" s="15">
        <v>48</v>
      </c>
      <c r="C57" s="13">
        <v>21</v>
      </c>
      <c r="D57" s="14">
        <v>35</v>
      </c>
      <c r="E57" s="4">
        <v>34.911999999999999</v>
      </c>
      <c r="F57" s="4">
        <v>35.119</v>
      </c>
      <c r="G57" s="4">
        <v>102.12</v>
      </c>
      <c r="H57" s="4">
        <v>49.216999999999999</v>
      </c>
      <c r="I57" s="4">
        <v>27.434000000000001</v>
      </c>
      <c r="J57" s="4">
        <v>35.420999999999999</v>
      </c>
      <c r="K57" s="4">
        <v>13.916</v>
      </c>
      <c r="L57" s="4">
        <v>30.073</v>
      </c>
      <c r="M57" s="4">
        <v>22.524999999999999</v>
      </c>
      <c r="N57" s="4">
        <v>66.414000000000001</v>
      </c>
      <c r="O57" s="4">
        <v>79.956000000000003</v>
      </c>
      <c r="P57" s="4">
        <v>130.41800000000001</v>
      </c>
      <c r="Q57" s="4">
        <v>50.838000000000001</v>
      </c>
      <c r="R57" s="4">
        <v>31.725000000000001</v>
      </c>
      <c r="S57" s="4">
        <v>25.879000000000001</v>
      </c>
      <c r="T57" s="4">
        <v>35.883000000000003</v>
      </c>
      <c r="U57" s="4">
        <v>66.272999999999996</v>
      </c>
      <c r="V57" s="4">
        <v>16.219000000000001</v>
      </c>
      <c r="W57" s="4">
        <v>54.728999999999999</v>
      </c>
      <c r="X57" s="4">
        <v>54.552999999999997</v>
      </c>
      <c r="Y57" s="4">
        <v>25.414999999999999</v>
      </c>
      <c r="Z57" s="4">
        <v>20.404</v>
      </c>
      <c r="AA57" s="4">
        <v>44.185000000000002</v>
      </c>
      <c r="AB57" s="4">
        <v>24.812000000000001</v>
      </c>
      <c r="AC57" s="4">
        <v>15.964</v>
      </c>
      <c r="AD57" s="4">
        <v>22.802</v>
      </c>
      <c r="AE57">
        <v>22.978000000000002</v>
      </c>
      <c r="AF57" s="4">
        <v>20.596</v>
      </c>
      <c r="AG57" s="4">
        <v>35.536000000000001</v>
      </c>
      <c r="AH57" s="4">
        <v>48.877000000000002</v>
      </c>
    </row>
    <row r="58" spans="1:1005" ht="14.5" x14ac:dyDescent="0.35">
      <c r="A58" s="73">
        <v>47788</v>
      </c>
      <c r="B58" s="15">
        <v>35</v>
      </c>
      <c r="C58" s="13">
        <v>24</v>
      </c>
      <c r="D58" s="14">
        <v>30</v>
      </c>
      <c r="E58" s="4">
        <v>31.715</v>
      </c>
      <c r="F58" s="4">
        <v>40.104999999999997</v>
      </c>
      <c r="G58" s="4">
        <v>47.082000000000001</v>
      </c>
      <c r="H58" s="4">
        <v>68.19</v>
      </c>
      <c r="I58" s="4">
        <v>23.484999999999999</v>
      </c>
      <c r="J58" s="4">
        <v>28.234000000000002</v>
      </c>
      <c r="K58" s="4">
        <v>21.041</v>
      </c>
      <c r="L58" s="4">
        <v>29.254999999999999</v>
      </c>
      <c r="M58" s="4">
        <v>26.141999999999999</v>
      </c>
      <c r="N58" s="4">
        <v>46.805999999999997</v>
      </c>
      <c r="O58" s="4">
        <v>45.238999999999997</v>
      </c>
      <c r="P58" s="4">
        <v>51.271000000000001</v>
      </c>
      <c r="Q58" s="4">
        <v>27.376999999999999</v>
      </c>
      <c r="R58" s="4">
        <v>38.051000000000002</v>
      </c>
      <c r="S58" s="4">
        <v>28.959</v>
      </c>
      <c r="T58" s="4">
        <v>31.512</v>
      </c>
      <c r="U58" s="4">
        <v>36.003</v>
      </c>
      <c r="V58" s="4">
        <v>17.05</v>
      </c>
      <c r="W58" s="4">
        <v>32.408999999999999</v>
      </c>
      <c r="X58" s="4">
        <v>30.795999999999999</v>
      </c>
      <c r="Y58" s="4">
        <v>29.702000000000002</v>
      </c>
      <c r="Z58" s="4">
        <v>23.119</v>
      </c>
      <c r="AA58" s="4">
        <v>30.428000000000001</v>
      </c>
      <c r="AB58" s="4">
        <v>19.806000000000001</v>
      </c>
      <c r="AC58" s="4">
        <v>23.943000000000001</v>
      </c>
      <c r="AD58" s="4">
        <v>28.081</v>
      </c>
      <c r="AE58">
        <v>29.084</v>
      </c>
      <c r="AF58" s="4">
        <v>25.957000000000001</v>
      </c>
      <c r="AG58" s="4">
        <v>32.405000000000001</v>
      </c>
      <c r="AH58" s="4">
        <v>44.939</v>
      </c>
    </row>
    <row r="59" spans="1:1005" ht="14.5" x14ac:dyDescent="0.35">
      <c r="A59" s="73">
        <v>47818</v>
      </c>
      <c r="B59" s="15">
        <v>24</v>
      </c>
      <c r="C59" s="13">
        <v>24</v>
      </c>
      <c r="D59" s="14">
        <v>24</v>
      </c>
      <c r="E59" s="4">
        <v>27.881</v>
      </c>
      <c r="F59" s="4">
        <v>31.765999999999998</v>
      </c>
      <c r="G59" s="4">
        <v>33.841999999999999</v>
      </c>
      <c r="H59" s="4">
        <v>39.662999999999997</v>
      </c>
      <c r="I59" s="4">
        <v>20.922000000000001</v>
      </c>
      <c r="J59" s="4">
        <v>21.574999999999999</v>
      </c>
      <c r="K59" s="4">
        <v>20.361999999999998</v>
      </c>
      <c r="L59" s="4">
        <v>18.763999999999999</v>
      </c>
      <c r="M59" s="4">
        <v>24.149000000000001</v>
      </c>
      <c r="N59" s="4">
        <v>33.341000000000001</v>
      </c>
      <c r="O59" s="4">
        <v>30.04</v>
      </c>
      <c r="P59" s="4">
        <v>30.483000000000001</v>
      </c>
      <c r="Q59" s="4">
        <v>44.743000000000002</v>
      </c>
      <c r="R59" s="4">
        <v>29.68</v>
      </c>
      <c r="S59" s="4">
        <v>21.66</v>
      </c>
      <c r="T59" s="4">
        <v>28.081</v>
      </c>
      <c r="U59" s="4">
        <v>25.585000000000001</v>
      </c>
      <c r="V59" s="4">
        <v>16.559999999999999</v>
      </c>
      <c r="W59" s="4">
        <v>25.117000000000001</v>
      </c>
      <c r="X59" s="4">
        <v>23.077999999999999</v>
      </c>
      <c r="Y59" s="4">
        <v>22.364999999999998</v>
      </c>
      <c r="Z59" s="4">
        <v>26.251999999999999</v>
      </c>
      <c r="AA59" s="4">
        <v>27.08</v>
      </c>
      <c r="AB59" s="4">
        <v>16.071000000000002</v>
      </c>
      <c r="AC59" s="4">
        <v>26.611000000000001</v>
      </c>
      <c r="AD59" s="4">
        <v>21.722999999999999</v>
      </c>
      <c r="AE59">
        <v>25.42</v>
      </c>
      <c r="AF59" s="4">
        <v>22.542000000000002</v>
      </c>
      <c r="AG59" s="4">
        <v>28.437000000000001</v>
      </c>
      <c r="AH59" s="4">
        <v>31.081</v>
      </c>
    </row>
    <row r="60" spans="1:1005" ht="14.5" x14ac:dyDescent="0.35">
      <c r="A60" s="73">
        <v>47849</v>
      </c>
      <c r="B60" s="15">
        <v>22</v>
      </c>
      <c r="C60" s="13">
        <v>22</v>
      </c>
      <c r="D60" s="14">
        <v>22</v>
      </c>
      <c r="E60" s="4">
        <v>25.288</v>
      </c>
      <c r="F60" s="4">
        <v>25.358000000000001</v>
      </c>
      <c r="G60" s="4">
        <v>31.096</v>
      </c>
      <c r="H60" s="4">
        <v>29.721</v>
      </c>
      <c r="I60" s="4">
        <v>23.390999999999998</v>
      </c>
      <c r="J60" s="4">
        <v>20.913</v>
      </c>
      <c r="K60" s="4">
        <v>19.456</v>
      </c>
      <c r="L60" s="4">
        <v>19.068000000000001</v>
      </c>
      <c r="M60" s="4">
        <v>20.052</v>
      </c>
      <c r="N60" s="4">
        <v>41.832000000000001</v>
      </c>
      <c r="O60" s="4">
        <v>26.318000000000001</v>
      </c>
      <c r="P60" s="4">
        <v>26.196999999999999</v>
      </c>
      <c r="Q60" s="4">
        <v>27.431000000000001</v>
      </c>
      <c r="R60" s="4">
        <v>27.221</v>
      </c>
      <c r="S60" s="4">
        <v>19.452000000000002</v>
      </c>
      <c r="T60" s="4">
        <v>23.805</v>
      </c>
      <c r="U60" s="4">
        <v>27.616</v>
      </c>
      <c r="V60" s="4">
        <v>19.344000000000001</v>
      </c>
      <c r="W60" s="4">
        <v>22.286000000000001</v>
      </c>
      <c r="X60" s="4">
        <v>23.776</v>
      </c>
      <c r="Y60" s="4">
        <v>18.36</v>
      </c>
      <c r="Z60" s="4">
        <v>30.113</v>
      </c>
      <c r="AA60" s="4">
        <v>23.405000000000001</v>
      </c>
      <c r="AB60" s="4">
        <v>15.204000000000001</v>
      </c>
      <c r="AC60" s="4">
        <v>25.088999999999999</v>
      </c>
      <c r="AD60" s="4">
        <v>17.3</v>
      </c>
      <c r="AE60">
        <v>21.02</v>
      </c>
      <c r="AF60" s="4">
        <v>25.292999999999999</v>
      </c>
      <c r="AG60" s="4">
        <v>27.84</v>
      </c>
      <c r="AH60" s="4">
        <v>26.295000000000002</v>
      </c>
    </row>
    <row r="61" spans="1:1005" ht="14.5" x14ac:dyDescent="0.35">
      <c r="A61" s="73">
        <v>47880</v>
      </c>
      <c r="B61" s="15">
        <v>29</v>
      </c>
      <c r="C61" s="13">
        <v>29</v>
      </c>
      <c r="D61" s="14">
        <v>29</v>
      </c>
      <c r="E61" s="4">
        <v>36.503</v>
      </c>
      <c r="F61" s="4">
        <v>26.280999999999999</v>
      </c>
      <c r="G61" s="4">
        <v>28.207999999999998</v>
      </c>
      <c r="H61" s="4">
        <v>31.675999999999998</v>
      </c>
      <c r="I61" s="4">
        <v>25.986999999999998</v>
      </c>
      <c r="J61" s="4">
        <v>23.960999999999999</v>
      </c>
      <c r="K61" s="4">
        <v>18.559000000000001</v>
      </c>
      <c r="L61" s="4">
        <v>24.276</v>
      </c>
      <c r="M61" s="4">
        <v>23.501000000000001</v>
      </c>
      <c r="N61" s="4">
        <v>51.487000000000002</v>
      </c>
      <c r="O61" s="4">
        <v>22.949000000000002</v>
      </c>
      <c r="P61" s="4">
        <v>38.558</v>
      </c>
      <c r="Q61" s="4">
        <v>23.152000000000001</v>
      </c>
      <c r="R61" s="4">
        <v>35.406999999999996</v>
      </c>
      <c r="S61" s="4">
        <v>19.597999999999999</v>
      </c>
      <c r="T61" s="4">
        <v>25.498000000000001</v>
      </c>
      <c r="U61" s="4">
        <v>26.126999999999999</v>
      </c>
      <c r="V61" s="4">
        <v>21.975999999999999</v>
      </c>
      <c r="W61" s="4">
        <v>28.21</v>
      </c>
      <c r="X61" s="4">
        <v>34.878</v>
      </c>
      <c r="Y61" s="4">
        <v>35.33</v>
      </c>
      <c r="Z61" s="4">
        <v>71.263999999999996</v>
      </c>
      <c r="AA61" s="4">
        <v>23.257000000000001</v>
      </c>
      <c r="AB61" s="4">
        <v>18.826000000000001</v>
      </c>
      <c r="AC61" s="4">
        <v>25.797999999999998</v>
      </c>
      <c r="AD61" s="4">
        <v>25.298999999999999</v>
      </c>
      <c r="AE61">
        <v>26.106000000000002</v>
      </c>
      <c r="AF61" s="4">
        <v>25.43</v>
      </c>
      <c r="AG61" s="4">
        <v>26.760999999999999</v>
      </c>
      <c r="AH61" s="4">
        <v>51.063000000000002</v>
      </c>
    </row>
    <row r="62" spans="1:1005" ht="14.5" x14ac:dyDescent="0.35">
      <c r="A62" s="73">
        <v>47908</v>
      </c>
      <c r="B62" s="15">
        <v>92</v>
      </c>
      <c r="C62" s="13">
        <v>92</v>
      </c>
      <c r="D62" s="14">
        <v>92</v>
      </c>
      <c r="E62" s="4">
        <v>45.914999999999999</v>
      </c>
      <c r="F62" s="4">
        <v>144.25399999999999</v>
      </c>
      <c r="G62" s="4">
        <v>74.88</v>
      </c>
      <c r="H62" s="4">
        <v>54.234000000000002</v>
      </c>
      <c r="I62" s="4">
        <v>48.915999999999997</v>
      </c>
      <c r="J62" s="4">
        <v>71.17</v>
      </c>
      <c r="K62" s="4">
        <v>28.559000000000001</v>
      </c>
      <c r="L62" s="4">
        <v>48.537999999999997</v>
      </c>
      <c r="M62" s="4">
        <v>98.174000000000007</v>
      </c>
      <c r="N62" s="4">
        <v>114.01900000000001</v>
      </c>
      <c r="O62" s="4">
        <v>44.57</v>
      </c>
      <c r="P62" s="4">
        <v>130.387</v>
      </c>
      <c r="Q62" s="4">
        <v>87.942999999999998</v>
      </c>
      <c r="R62" s="4">
        <v>75.34</v>
      </c>
      <c r="S62" s="4">
        <v>51.607999999999997</v>
      </c>
      <c r="T62" s="4">
        <v>58.43</v>
      </c>
      <c r="U62" s="4">
        <v>66.602999999999994</v>
      </c>
      <c r="V62" s="4">
        <v>42.753</v>
      </c>
      <c r="W62" s="4">
        <v>54.741999999999997</v>
      </c>
      <c r="X62" s="4">
        <v>69.474999999999994</v>
      </c>
      <c r="Y62" s="4">
        <v>55.277000000000001</v>
      </c>
      <c r="Z62" s="4">
        <v>177.67</v>
      </c>
      <c r="AA62" s="4">
        <v>35.591000000000001</v>
      </c>
      <c r="AB62" s="4">
        <v>100.825</v>
      </c>
      <c r="AC62" s="4">
        <v>50.268999999999998</v>
      </c>
      <c r="AD62" s="4">
        <v>40.139000000000003</v>
      </c>
      <c r="AE62">
        <v>61.000999999999998</v>
      </c>
      <c r="AF62" s="4">
        <v>103.35899999999999</v>
      </c>
      <c r="AG62" s="4">
        <v>75.587999999999994</v>
      </c>
      <c r="AH62" s="4">
        <v>185.351</v>
      </c>
    </row>
    <row r="63" spans="1:1005" ht="14.5" x14ac:dyDescent="0.35">
      <c r="A63" s="73">
        <v>47939</v>
      </c>
      <c r="B63" s="15">
        <v>147</v>
      </c>
      <c r="C63" s="13">
        <v>147</v>
      </c>
      <c r="D63" s="14">
        <v>147</v>
      </c>
      <c r="E63" s="4">
        <v>88.078999999999994</v>
      </c>
      <c r="F63" s="4">
        <v>224.92400000000001</v>
      </c>
      <c r="G63" s="4">
        <v>144.792</v>
      </c>
      <c r="H63" s="4">
        <v>111.206</v>
      </c>
      <c r="I63" s="4">
        <v>120.999</v>
      </c>
      <c r="J63" s="4">
        <v>203.24700000000001</v>
      </c>
      <c r="K63" s="4">
        <v>59.89</v>
      </c>
      <c r="L63" s="4">
        <v>66.778000000000006</v>
      </c>
      <c r="M63" s="4">
        <v>203.173</v>
      </c>
      <c r="N63" s="4">
        <v>311.98500000000001</v>
      </c>
      <c r="O63" s="4">
        <v>138.708</v>
      </c>
      <c r="P63" s="4">
        <v>146.55699999999999</v>
      </c>
      <c r="Q63" s="4">
        <v>275.64600000000002</v>
      </c>
      <c r="R63" s="4">
        <v>124.248</v>
      </c>
      <c r="S63" s="4">
        <v>160.93600000000001</v>
      </c>
      <c r="T63" s="4">
        <v>111.261</v>
      </c>
      <c r="U63" s="4">
        <v>158.4</v>
      </c>
      <c r="V63" s="4">
        <v>52.863</v>
      </c>
      <c r="W63" s="4">
        <v>92.820999999999998</v>
      </c>
      <c r="X63" s="4">
        <v>65.296000000000006</v>
      </c>
      <c r="Y63" s="4">
        <v>94.897000000000006</v>
      </c>
      <c r="Z63" s="4">
        <v>193.67099999999999</v>
      </c>
      <c r="AA63" s="4">
        <v>66.566000000000003</v>
      </c>
      <c r="AB63" s="4">
        <v>192.69499999999999</v>
      </c>
      <c r="AC63" s="4">
        <v>70.094999999999999</v>
      </c>
      <c r="AD63" s="4">
        <v>67.641999999999996</v>
      </c>
      <c r="AE63">
        <v>225.46799999999999</v>
      </c>
      <c r="AF63" s="4">
        <v>267.15699999999998</v>
      </c>
      <c r="AG63" s="4">
        <v>175.328</v>
      </c>
      <c r="AH63" s="4">
        <v>215.417</v>
      </c>
    </row>
    <row r="64" spans="1:1005" ht="14.5" x14ac:dyDescent="0.35">
      <c r="A64" s="73">
        <v>47969</v>
      </c>
      <c r="B64" s="15">
        <v>251</v>
      </c>
      <c r="C64" s="13">
        <v>251</v>
      </c>
      <c r="D64" s="14">
        <v>251</v>
      </c>
      <c r="E64" s="4">
        <v>207.18700000000001</v>
      </c>
      <c r="F64" s="4">
        <v>390.036</v>
      </c>
      <c r="G64" s="4">
        <v>258.92700000000002</v>
      </c>
      <c r="H64" s="4">
        <v>296.63299999999998</v>
      </c>
      <c r="I64" s="4">
        <v>185.38900000000001</v>
      </c>
      <c r="J64" s="4">
        <v>433.262</v>
      </c>
      <c r="K64" s="4">
        <v>60.62</v>
      </c>
      <c r="L64" s="4">
        <v>190.922</v>
      </c>
      <c r="M64" s="4">
        <v>292.88799999999998</v>
      </c>
      <c r="N64" s="4">
        <v>536.66</v>
      </c>
      <c r="O64" s="4">
        <v>230.292</v>
      </c>
      <c r="P64" s="4">
        <v>285.46899999999999</v>
      </c>
      <c r="Q64" s="4">
        <v>374.01100000000002</v>
      </c>
      <c r="R64" s="4">
        <v>381.86900000000003</v>
      </c>
      <c r="S64" s="4">
        <v>216.477</v>
      </c>
      <c r="T64" s="4">
        <v>196.67699999999999</v>
      </c>
      <c r="U64" s="4">
        <v>206.191</v>
      </c>
      <c r="V64" s="4">
        <v>138.35</v>
      </c>
      <c r="W64" s="4">
        <v>193.87</v>
      </c>
      <c r="X64" s="4">
        <v>179.22</v>
      </c>
      <c r="Y64" s="4">
        <v>197.417</v>
      </c>
      <c r="Z64" s="4">
        <v>236.84</v>
      </c>
      <c r="AA64" s="4">
        <v>132.059</v>
      </c>
      <c r="AB64" s="4">
        <v>311.22399999999999</v>
      </c>
      <c r="AC64" s="4">
        <v>177.00399999999999</v>
      </c>
      <c r="AD64" s="4">
        <v>196.822</v>
      </c>
      <c r="AE64">
        <v>317.20299999999997</v>
      </c>
      <c r="AF64" s="4">
        <v>457.53300000000002</v>
      </c>
      <c r="AG64" s="4">
        <v>303.733</v>
      </c>
      <c r="AH64" s="4">
        <v>303.733</v>
      </c>
      <c r="ALQ64" s="4" t="e">
        <v>#N/A</v>
      </c>
    </row>
    <row r="65" spans="1:1005" ht="14.5" x14ac:dyDescent="0.35">
      <c r="A65" s="73">
        <v>48000</v>
      </c>
      <c r="B65" s="15">
        <v>187</v>
      </c>
      <c r="C65" s="13">
        <v>187</v>
      </c>
      <c r="D65" s="14">
        <v>187</v>
      </c>
      <c r="E65" s="4">
        <v>66.915999999999997</v>
      </c>
      <c r="F65" s="4">
        <v>369.63</v>
      </c>
      <c r="G65" s="4">
        <v>168.821</v>
      </c>
      <c r="H65" s="4">
        <v>302.81700000000001</v>
      </c>
      <c r="I65" s="4">
        <v>47.984000000000002</v>
      </c>
      <c r="J65" s="4">
        <v>193.57599999999999</v>
      </c>
      <c r="K65" s="4">
        <v>13.14</v>
      </c>
      <c r="L65" s="4">
        <v>99.912999999999997</v>
      </c>
      <c r="M65" s="4">
        <v>130.321</v>
      </c>
      <c r="N65" s="4">
        <v>357.964</v>
      </c>
      <c r="O65" s="4">
        <v>74.733000000000004</v>
      </c>
      <c r="P65" s="4">
        <v>157.73699999999999</v>
      </c>
      <c r="Q65" s="4">
        <v>334.755</v>
      </c>
      <c r="R65" s="4">
        <v>158.98099999999999</v>
      </c>
      <c r="S65" s="4">
        <v>217.702</v>
      </c>
      <c r="T65" s="4">
        <v>238.87</v>
      </c>
      <c r="U65" s="4">
        <v>62.664000000000001</v>
      </c>
      <c r="V65" s="4">
        <v>77.873999999999995</v>
      </c>
      <c r="W65" s="4">
        <v>170.1</v>
      </c>
      <c r="X65" s="4">
        <v>220.916</v>
      </c>
      <c r="Y65" s="4">
        <v>219.08600000000001</v>
      </c>
      <c r="Z65" s="4">
        <v>218.858</v>
      </c>
      <c r="AA65" s="4">
        <v>30.076000000000001</v>
      </c>
      <c r="AB65" s="4">
        <v>385.17399999999998</v>
      </c>
      <c r="AC65" s="4">
        <v>63.542999999999999</v>
      </c>
      <c r="AD65" s="4">
        <v>257.33699999999999</v>
      </c>
      <c r="AE65">
        <v>142.12</v>
      </c>
      <c r="AF65" s="4">
        <v>336.23200000000003</v>
      </c>
      <c r="AG65" s="4">
        <v>206.15799999999999</v>
      </c>
      <c r="AH65" s="4">
        <v>206.15799999999999</v>
      </c>
      <c r="ALQ65" s="4" t="e">
        <v>#N/A</v>
      </c>
    </row>
    <row r="66" spans="1:1005" ht="14.5" x14ac:dyDescent="0.35">
      <c r="A66" s="73">
        <v>48030</v>
      </c>
      <c r="B66" s="15">
        <v>33</v>
      </c>
      <c r="C66" s="13">
        <v>33</v>
      </c>
      <c r="D66" s="14">
        <v>33</v>
      </c>
      <c r="E66" s="4">
        <v>10.053000000000001</v>
      </c>
      <c r="F66" s="4">
        <v>91.831999999999994</v>
      </c>
      <c r="G66" s="4">
        <v>72.548000000000002</v>
      </c>
      <c r="H66" s="4">
        <v>170.99100000000001</v>
      </c>
      <c r="I66" s="4">
        <v>-7.8940000000000001</v>
      </c>
      <c r="J66" s="4">
        <v>29.02</v>
      </c>
      <c r="K66" s="4">
        <v>18.065000000000001</v>
      </c>
      <c r="L66" s="4">
        <v>-4.5</v>
      </c>
      <c r="M66" s="4">
        <v>22.888999999999999</v>
      </c>
      <c r="N66" s="4">
        <v>99.052999999999997</v>
      </c>
      <c r="O66" s="4">
        <v>26.445</v>
      </c>
      <c r="P66" s="4">
        <v>23.620999999999999</v>
      </c>
      <c r="Q66" s="4">
        <v>86.802999999999997</v>
      </c>
      <c r="R66" s="4">
        <v>32.305999999999997</v>
      </c>
      <c r="S66" s="4">
        <v>32.073999999999998</v>
      </c>
      <c r="T66" s="4">
        <v>52.561999999999998</v>
      </c>
      <c r="U66" s="4">
        <v>6.3140000000000001</v>
      </c>
      <c r="V66" s="4">
        <v>26.713999999999999</v>
      </c>
      <c r="W66" s="4">
        <v>14.099</v>
      </c>
      <c r="X66" s="4">
        <v>32.220999999999997</v>
      </c>
      <c r="Y66" s="4">
        <v>21.937999999999999</v>
      </c>
      <c r="Z66" s="4">
        <v>33.744</v>
      </c>
      <c r="AA66" s="4">
        <v>20.518999999999998</v>
      </c>
      <c r="AB66" s="4">
        <v>127.19199999999999</v>
      </c>
      <c r="AC66" s="4">
        <v>0.871</v>
      </c>
      <c r="AD66" s="4">
        <v>92.766000000000005</v>
      </c>
      <c r="AE66">
        <v>51.207999999999998</v>
      </c>
      <c r="AF66" s="4">
        <v>85.989000000000004</v>
      </c>
      <c r="AG66" s="4">
        <v>19.361000000000001</v>
      </c>
      <c r="AH66" s="4">
        <v>19.361000000000001</v>
      </c>
      <c r="ALQ66" s="4" t="e">
        <v>#N/A</v>
      </c>
    </row>
    <row r="67" spans="1:1005" ht="14.5" x14ac:dyDescent="0.35">
      <c r="A67" s="73">
        <v>48061</v>
      </c>
      <c r="B67" s="15">
        <v>24</v>
      </c>
      <c r="C67" s="13">
        <v>24</v>
      </c>
      <c r="D67" s="14">
        <v>24</v>
      </c>
      <c r="E67" s="4">
        <v>-2.1269999999999998</v>
      </c>
      <c r="F67" s="4">
        <v>69.290999999999997</v>
      </c>
      <c r="G67" s="4">
        <v>24.09</v>
      </c>
      <c r="H67" s="4">
        <v>125.797</v>
      </c>
      <c r="I67" s="4">
        <v>-4.4039999999999999</v>
      </c>
      <c r="J67" s="4">
        <v>41.4</v>
      </c>
      <c r="K67" s="4">
        <v>17.943999999999999</v>
      </c>
      <c r="L67" s="4">
        <v>15.407</v>
      </c>
      <c r="M67" s="4">
        <v>-0.68500000000000005</v>
      </c>
      <c r="N67" s="4">
        <v>34.859000000000002</v>
      </c>
      <c r="O67" s="4">
        <v>36.951000000000001</v>
      </c>
      <c r="P67" s="4">
        <v>42.966999999999999</v>
      </c>
      <c r="Q67" s="4">
        <v>36.423000000000002</v>
      </c>
      <c r="R67" s="4">
        <v>-0.58699999999999997</v>
      </c>
      <c r="S67" s="4">
        <v>36.256999999999998</v>
      </c>
      <c r="T67" s="4">
        <v>10.526999999999999</v>
      </c>
      <c r="U67" s="4">
        <v>-7.4009999999999998</v>
      </c>
      <c r="V67" s="4">
        <v>39.732999999999997</v>
      </c>
      <c r="W67" s="4">
        <v>9.2569999999999997</v>
      </c>
      <c r="X67" s="4">
        <v>4.5890000000000004</v>
      </c>
      <c r="Y67" s="4">
        <v>27.472999999999999</v>
      </c>
      <c r="Z67" s="4">
        <v>22.606000000000002</v>
      </c>
      <c r="AA67" s="4">
        <v>18.170999999999999</v>
      </c>
      <c r="AB67" s="4">
        <v>35.607999999999997</v>
      </c>
      <c r="AC67" s="4">
        <v>7.3739999999999997</v>
      </c>
      <c r="AD67" s="4">
        <v>36.341999999999999</v>
      </c>
      <c r="AE67">
        <v>60.677</v>
      </c>
      <c r="AF67" s="4">
        <v>93.150999999999996</v>
      </c>
      <c r="AG67" s="4">
        <v>9.7940000000000005</v>
      </c>
      <c r="AH67" s="4">
        <v>9.7940000000000005</v>
      </c>
      <c r="ALQ67" s="4" t="e">
        <v>#N/A</v>
      </c>
    </row>
    <row r="68" spans="1:1005" ht="14.5" x14ac:dyDescent="0.35">
      <c r="A68" s="73">
        <v>48092</v>
      </c>
      <c r="B68" s="15">
        <v>31</v>
      </c>
      <c r="C68" s="13">
        <v>31</v>
      </c>
      <c r="D68" s="14">
        <v>31</v>
      </c>
      <c r="E68" s="4">
        <v>22.236999999999998</v>
      </c>
      <c r="F68" s="4">
        <v>86.676000000000002</v>
      </c>
      <c r="G68" s="4">
        <v>13.683</v>
      </c>
      <c r="H68" s="4">
        <v>77.540999999999997</v>
      </c>
      <c r="I68" s="4">
        <v>14.603</v>
      </c>
      <c r="J68" s="4">
        <v>8.484</v>
      </c>
      <c r="K68" s="4">
        <v>27.706</v>
      </c>
      <c r="L68" s="4">
        <v>51.414999999999999</v>
      </c>
      <c r="M68" s="4">
        <v>57.514000000000003</v>
      </c>
      <c r="N68" s="4">
        <v>22.707999999999998</v>
      </c>
      <c r="O68" s="4">
        <v>42.25</v>
      </c>
      <c r="P68" s="4">
        <v>34.444000000000003</v>
      </c>
      <c r="Q68" s="4">
        <v>36.968000000000004</v>
      </c>
      <c r="R68" s="4">
        <v>9.24</v>
      </c>
      <c r="S68" s="4">
        <v>44.734999999999999</v>
      </c>
      <c r="T68" s="4">
        <v>15.321</v>
      </c>
      <c r="U68" s="4">
        <v>17.995000000000001</v>
      </c>
      <c r="V68" s="4">
        <v>99.474999999999994</v>
      </c>
      <c r="W68" s="4">
        <v>17.23</v>
      </c>
      <c r="X68" s="4">
        <v>8.4220000000000006</v>
      </c>
      <c r="Y68" s="4">
        <v>11.343999999999999</v>
      </c>
      <c r="Z68" s="4">
        <v>15.641</v>
      </c>
      <c r="AA68" s="4">
        <v>17.114999999999998</v>
      </c>
      <c r="AB68" s="4">
        <v>9.0950000000000006</v>
      </c>
      <c r="AC68" s="4">
        <v>21.776</v>
      </c>
      <c r="AD68" s="4">
        <v>68.653999999999996</v>
      </c>
      <c r="AE68">
        <v>38.892000000000003</v>
      </c>
      <c r="AF68" s="4">
        <v>74.186000000000007</v>
      </c>
      <c r="AG68" s="4">
        <v>54.597000000000001</v>
      </c>
      <c r="AH68" s="4">
        <v>54.597000000000001</v>
      </c>
      <c r="ALQ68" s="4" t="e">
        <v>#N/A</v>
      </c>
    </row>
    <row r="69" spans="1:1005" ht="14.5" x14ac:dyDescent="0.35">
      <c r="A69" s="73"/>
      <c r="B69" s="15"/>
      <c r="C69" s="13"/>
      <c r="D69" s="14"/>
      <c r="ALQ69" s="4" t="e">
        <v>#N/A</v>
      </c>
    </row>
    <row r="70" spans="1:1005" ht="14.5" x14ac:dyDescent="0.35">
      <c r="A70" s="73"/>
      <c r="B70" s="15"/>
      <c r="C70" s="13"/>
      <c r="D70" s="14"/>
      <c r="ALQ70" s="4" t="e">
        <v>#N/A</v>
      </c>
    </row>
    <row r="71" spans="1:1005" ht="14.5" x14ac:dyDescent="0.35">
      <c r="A71" s="73"/>
      <c r="B71" s="15"/>
      <c r="C71" s="13"/>
      <c r="D71" s="14"/>
      <c r="ALQ71" s="4" t="e">
        <v>#N/A</v>
      </c>
    </row>
    <row r="72" spans="1:1005" ht="14.5" x14ac:dyDescent="0.35">
      <c r="A72" s="73"/>
      <c r="B72" s="15"/>
      <c r="C72" s="13"/>
      <c r="D72" s="14"/>
      <c r="ALQ72" s="4" t="e">
        <v>#N/A</v>
      </c>
    </row>
    <row r="73" spans="1:1005" ht="14.5" x14ac:dyDescent="0.35">
      <c r="A73" s="73"/>
      <c r="B73" s="15"/>
      <c r="C73" s="13"/>
      <c r="D73" s="14"/>
    </row>
    <row r="74" spans="1:1005" ht="14.5" x14ac:dyDescent="0.35">
      <c r="A74" s="73"/>
      <c r="B74" s="15"/>
      <c r="C74" s="13"/>
      <c r="D74" s="14"/>
    </row>
    <row r="75" spans="1:1005" ht="14.5" x14ac:dyDescent="0.35">
      <c r="A75" s="73"/>
      <c r="B75" s="15"/>
      <c r="C75" s="13"/>
      <c r="D75" s="14"/>
    </row>
    <row r="76" spans="1:1005" ht="14.5" x14ac:dyDescent="0.35">
      <c r="A76" s="73"/>
      <c r="B76" s="15"/>
      <c r="C76" s="13"/>
      <c r="D76" s="14"/>
    </row>
    <row r="77" spans="1:1005" ht="14.5" x14ac:dyDescent="0.35">
      <c r="A77" s="73"/>
      <c r="B77" s="15"/>
      <c r="C77" s="13"/>
      <c r="D77" s="14"/>
    </row>
    <row r="78" spans="1:1005" ht="14.5" x14ac:dyDescent="0.35">
      <c r="A78" s="73"/>
      <c r="B78" s="15"/>
      <c r="C78" s="13"/>
      <c r="D78" s="14"/>
    </row>
    <row r="79" spans="1:1005" ht="14.5" x14ac:dyDescent="0.35">
      <c r="A79" s="73"/>
      <c r="B79" s="15"/>
      <c r="C79" s="13"/>
      <c r="D79" s="14"/>
    </row>
    <row r="80" spans="1:1005" ht="14.5" x14ac:dyDescent="0.35">
      <c r="A80" s="73"/>
      <c r="B80" s="15"/>
      <c r="C80" s="13"/>
      <c r="D80" s="14"/>
    </row>
    <row r="81" spans="1:4" ht="12.75" customHeight="1" x14ac:dyDescent="0.35">
      <c r="A81" s="73"/>
      <c r="B81" s="18"/>
      <c r="C81" s="19"/>
      <c r="D81" s="20"/>
    </row>
    <row r="82" spans="1:4" ht="12.75" customHeight="1" x14ac:dyDescent="0.35">
      <c r="A82" s="73"/>
      <c r="B82" s="18"/>
      <c r="C82" s="19"/>
      <c r="D82" s="20"/>
    </row>
    <row r="83" spans="1:4" ht="12.75" customHeight="1" x14ac:dyDescent="0.35">
      <c r="A83" s="73"/>
      <c r="B83" s="18"/>
      <c r="C83" s="19"/>
      <c r="D83" s="20"/>
    </row>
    <row r="84" spans="1:4" ht="12.75" customHeight="1" x14ac:dyDescent="0.35">
      <c r="A84" s="73"/>
      <c r="B84" s="18"/>
      <c r="C84" s="19"/>
      <c r="D84" s="20"/>
    </row>
  </sheetData>
  <mergeCells count="1">
    <mergeCell ref="B1:A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E22F6-0B25-4B67-A7D5-25B443068902}">
  <sheetPr codeName="Sheet12">
    <tabColor rgb="FFBC80BD"/>
  </sheetPr>
  <dimension ref="A1:ALQ84"/>
  <sheetViews>
    <sheetView topLeftCell="A40" workbookViewId="0">
      <selection activeCell="D4" sqref="D4"/>
    </sheetView>
  </sheetViews>
  <sheetFormatPr defaultColWidth="18.6328125" defaultRowHeight="12.75" customHeight="1" x14ac:dyDescent="0.35"/>
  <cols>
    <col min="1" max="4" width="7.54296875" style="3" customWidth="1"/>
    <col min="5" max="12" width="7" style="4" customWidth="1"/>
    <col min="13" max="13" width="8" style="4" customWidth="1"/>
    <col min="14" max="30" width="7" style="4" customWidth="1"/>
    <col min="31" max="31" width="8.453125" customWidth="1"/>
    <col min="32" max="54" width="8.6328125" style="4" customWidth="1"/>
    <col min="55" max="16384" width="18.6328125" style="4"/>
  </cols>
  <sheetData>
    <row r="1" spans="1:39" ht="14.5" x14ac:dyDescent="0.35">
      <c r="A1" s="74"/>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3"/>
      <c r="AJ1" s="3"/>
      <c r="AK1" s="3"/>
      <c r="AL1" s="3"/>
      <c r="AM1" s="3"/>
    </row>
    <row r="2" spans="1:39" s="3" customFormat="1" ht="14.5" x14ac:dyDescent="0.35">
      <c r="A2" s="74"/>
      <c r="B2" s="76" t="s">
        <v>0</v>
      </c>
      <c r="C2" s="76" t="s">
        <v>1</v>
      </c>
      <c r="D2" s="76" t="s">
        <v>2</v>
      </c>
      <c r="E2" s="76">
        <v>1991</v>
      </c>
      <c r="F2" s="76">
        <v>1992</v>
      </c>
      <c r="G2" s="76">
        <v>1993</v>
      </c>
      <c r="H2" s="76">
        <v>1994</v>
      </c>
      <c r="I2" s="76">
        <v>1995</v>
      </c>
      <c r="J2" s="76">
        <v>1996</v>
      </c>
      <c r="K2" s="76">
        <v>1997</v>
      </c>
      <c r="L2" s="76">
        <v>1998</v>
      </c>
      <c r="M2" s="76">
        <v>1999</v>
      </c>
      <c r="N2" s="76">
        <v>2000</v>
      </c>
      <c r="O2" s="76">
        <v>2001</v>
      </c>
      <c r="P2" s="76">
        <v>2002</v>
      </c>
      <c r="Q2" s="76">
        <v>2003</v>
      </c>
      <c r="R2" s="76">
        <v>2004</v>
      </c>
      <c r="S2" s="76">
        <v>2005</v>
      </c>
      <c r="T2" s="76">
        <v>2006</v>
      </c>
      <c r="U2" s="76">
        <v>2007</v>
      </c>
      <c r="V2" s="76">
        <v>2008</v>
      </c>
      <c r="W2" s="76">
        <v>2009</v>
      </c>
      <c r="X2" s="76">
        <v>2010</v>
      </c>
      <c r="Y2" s="76">
        <v>2011</v>
      </c>
      <c r="Z2" s="76">
        <v>2012</v>
      </c>
      <c r="AA2" s="76">
        <v>2013</v>
      </c>
      <c r="AB2" s="76">
        <v>2014</v>
      </c>
      <c r="AC2" s="76">
        <v>2015</v>
      </c>
      <c r="AD2" s="76">
        <v>2016</v>
      </c>
      <c r="AE2" s="77">
        <v>2017</v>
      </c>
      <c r="AF2" s="76">
        <v>2018</v>
      </c>
      <c r="AG2" s="76">
        <v>2019</v>
      </c>
      <c r="AH2" s="76">
        <v>2020</v>
      </c>
    </row>
    <row r="3" spans="1:39" s="3" customFormat="1" ht="14.5" x14ac:dyDescent="0.35">
      <c r="A3" s="78"/>
      <c r="B3" s="79" t="s">
        <v>3</v>
      </c>
      <c r="C3" s="79" t="s">
        <v>4</v>
      </c>
      <c r="D3" s="79" t="s">
        <v>5</v>
      </c>
      <c r="E3" s="79" t="s">
        <v>6</v>
      </c>
      <c r="F3" s="79" t="s">
        <v>7</v>
      </c>
      <c r="G3" s="79" t="s">
        <v>8</v>
      </c>
      <c r="H3" s="79" t="s">
        <v>9</v>
      </c>
      <c r="I3" s="79" t="s">
        <v>10</v>
      </c>
      <c r="J3" s="79" t="s">
        <v>11</v>
      </c>
      <c r="K3" s="79" t="s">
        <v>12</v>
      </c>
      <c r="L3" s="79" t="s">
        <v>13</v>
      </c>
      <c r="M3" s="79" t="s">
        <v>14</v>
      </c>
      <c r="N3" s="79" t="s">
        <v>15</v>
      </c>
      <c r="O3" s="79" t="s">
        <v>16</v>
      </c>
      <c r="P3" s="79" t="s">
        <v>17</v>
      </c>
      <c r="Q3" s="79" t="s">
        <v>18</v>
      </c>
      <c r="R3" s="79" t="s">
        <v>19</v>
      </c>
      <c r="S3" s="79" t="s">
        <v>20</v>
      </c>
      <c r="T3" s="79" t="s">
        <v>21</v>
      </c>
      <c r="U3" s="79" t="s">
        <v>22</v>
      </c>
      <c r="V3" s="79" t="s">
        <v>23</v>
      </c>
      <c r="W3" s="79" t="s">
        <v>24</v>
      </c>
      <c r="X3" s="79" t="s">
        <v>25</v>
      </c>
      <c r="Y3" s="79" t="s">
        <v>26</v>
      </c>
      <c r="Z3" s="79" t="s">
        <v>27</v>
      </c>
      <c r="AA3" s="79" t="s">
        <v>28</v>
      </c>
      <c r="AB3" s="79" t="s">
        <v>29</v>
      </c>
      <c r="AC3" s="79" t="s">
        <v>30</v>
      </c>
      <c r="AD3" s="79" t="s">
        <v>31</v>
      </c>
      <c r="AE3" s="79" t="s">
        <v>32</v>
      </c>
      <c r="AF3" s="79" t="s">
        <v>33</v>
      </c>
      <c r="AG3" s="79" t="s">
        <v>34</v>
      </c>
      <c r="AH3" s="79" t="s">
        <v>35</v>
      </c>
    </row>
    <row r="4" spans="1:39" ht="14.5" x14ac:dyDescent="0.35">
      <c r="A4" s="80">
        <v>46143</v>
      </c>
      <c r="B4" s="81">
        <v>17</v>
      </c>
      <c r="C4" s="82">
        <v>8</v>
      </c>
      <c r="D4" s="9">
        <v>12</v>
      </c>
      <c r="E4">
        <v>10.798</v>
      </c>
      <c r="F4">
        <v>13.61</v>
      </c>
      <c r="G4">
        <v>11.301</v>
      </c>
      <c r="H4" s="4">
        <v>11.989000000000001</v>
      </c>
      <c r="I4" s="4">
        <v>10.942</v>
      </c>
      <c r="J4" s="4">
        <v>11.13</v>
      </c>
      <c r="K4" s="4">
        <v>13.051</v>
      </c>
      <c r="L4" s="4">
        <v>9.7110000000000003</v>
      </c>
      <c r="M4" s="4">
        <v>12.13</v>
      </c>
      <c r="N4" s="4">
        <v>13.589</v>
      </c>
      <c r="O4" s="4">
        <v>13.260999999999999</v>
      </c>
      <c r="P4" s="4">
        <v>10.516999999999999</v>
      </c>
      <c r="Q4" s="4">
        <v>12.56</v>
      </c>
      <c r="R4" s="4">
        <v>11.723000000000001</v>
      </c>
      <c r="S4" s="4">
        <v>12.759</v>
      </c>
      <c r="T4" s="4">
        <v>11.885999999999999</v>
      </c>
      <c r="U4" s="4">
        <v>12.173</v>
      </c>
      <c r="V4" s="4">
        <v>11.590999999999999</v>
      </c>
      <c r="W4" s="4">
        <v>13.882</v>
      </c>
      <c r="X4" s="4">
        <v>10.138999999999999</v>
      </c>
      <c r="Y4" s="4">
        <v>9.9109999999999996</v>
      </c>
      <c r="Z4" s="4">
        <v>12.51</v>
      </c>
      <c r="AA4" s="4">
        <v>13.194000000000001</v>
      </c>
      <c r="AB4" s="4">
        <v>12.425000000000001</v>
      </c>
      <c r="AC4" s="4">
        <v>10.279</v>
      </c>
      <c r="AD4" s="4">
        <v>11.96</v>
      </c>
      <c r="AE4" s="4">
        <v>12.445</v>
      </c>
      <c r="AF4" s="4">
        <v>12.010999999999999</v>
      </c>
      <c r="AG4" s="4">
        <v>8.4480000000000004</v>
      </c>
      <c r="AH4">
        <v>12.315</v>
      </c>
    </row>
    <row r="5" spans="1:39" ht="14.5" x14ac:dyDescent="0.35">
      <c r="A5" s="80">
        <v>46174</v>
      </c>
      <c r="B5" s="34">
        <v>13</v>
      </c>
      <c r="C5" s="12">
        <v>6</v>
      </c>
      <c r="D5" s="11">
        <v>9</v>
      </c>
      <c r="E5">
        <v>10.787000000000001</v>
      </c>
      <c r="F5">
        <v>12.189</v>
      </c>
      <c r="G5">
        <v>8.7170000000000005</v>
      </c>
      <c r="H5" s="4">
        <v>7.3319999999999999</v>
      </c>
      <c r="I5" s="4">
        <v>23.152999999999999</v>
      </c>
      <c r="J5" s="4">
        <v>6.7450000000000001</v>
      </c>
      <c r="K5" s="4">
        <v>14.205</v>
      </c>
      <c r="L5" s="4">
        <v>5.9539999999999997</v>
      </c>
      <c r="M5" s="4">
        <v>11.491</v>
      </c>
      <c r="N5" s="4">
        <v>7.8259999999999996</v>
      </c>
      <c r="O5" s="4">
        <v>7.9729999999999999</v>
      </c>
      <c r="P5" s="4">
        <v>6.0629999999999997</v>
      </c>
      <c r="Q5" s="4">
        <v>9.6890000000000001</v>
      </c>
      <c r="R5" s="4">
        <v>6.1920000000000002</v>
      </c>
      <c r="S5" s="4">
        <v>8.3979999999999997</v>
      </c>
      <c r="T5" s="4">
        <v>7.444</v>
      </c>
      <c r="U5" s="4">
        <v>7.524</v>
      </c>
      <c r="V5" s="4">
        <v>11.9</v>
      </c>
      <c r="W5" s="4">
        <v>9.7620000000000005</v>
      </c>
      <c r="X5" s="4">
        <v>9.7739999999999991</v>
      </c>
      <c r="Y5" s="4">
        <v>10.866</v>
      </c>
      <c r="Z5" s="4">
        <v>6.3380000000000001</v>
      </c>
      <c r="AA5" s="4">
        <v>9.6519999999999992</v>
      </c>
      <c r="AB5" s="4">
        <v>8.9190000000000005</v>
      </c>
      <c r="AC5" s="4">
        <v>20.968</v>
      </c>
      <c r="AD5" s="4">
        <v>9.7390000000000008</v>
      </c>
      <c r="AE5" s="4">
        <v>9.0809999999999995</v>
      </c>
      <c r="AF5" s="4">
        <v>6.0839999999999996</v>
      </c>
      <c r="AG5" s="4">
        <v>14.419</v>
      </c>
      <c r="AH5">
        <v>7.1890000000000001</v>
      </c>
    </row>
    <row r="6" spans="1:39" ht="14.5" x14ac:dyDescent="0.35">
      <c r="A6" s="80">
        <v>46204</v>
      </c>
      <c r="B6" s="34">
        <v>8</v>
      </c>
      <c r="C6" s="12">
        <v>4</v>
      </c>
      <c r="D6" s="11">
        <v>6</v>
      </c>
      <c r="E6">
        <v>5.9889999999999999</v>
      </c>
      <c r="F6">
        <v>7.923</v>
      </c>
      <c r="G6">
        <v>5.3719999999999999</v>
      </c>
      <c r="H6" s="4">
        <v>4.8490000000000002</v>
      </c>
      <c r="I6" s="4">
        <v>15.5</v>
      </c>
      <c r="J6" s="4">
        <v>4.7140000000000004</v>
      </c>
      <c r="K6" s="4">
        <v>7.157</v>
      </c>
      <c r="L6" s="4">
        <v>4.7290000000000001</v>
      </c>
      <c r="M6" s="4">
        <v>6.6180000000000003</v>
      </c>
      <c r="N6" s="4">
        <v>5.8330000000000002</v>
      </c>
      <c r="O6" s="4">
        <v>5.1669999999999998</v>
      </c>
      <c r="P6" s="4">
        <v>4.601</v>
      </c>
      <c r="Q6" s="4">
        <v>5.6440000000000001</v>
      </c>
      <c r="R6" s="4">
        <v>4.5720000000000001</v>
      </c>
      <c r="S6" s="4">
        <v>5.4189999999999996</v>
      </c>
      <c r="T6" s="4">
        <v>5.22</v>
      </c>
      <c r="U6" s="4">
        <v>5.1970000000000001</v>
      </c>
      <c r="V6" s="4">
        <v>6.2679999999999998</v>
      </c>
      <c r="W6" s="4">
        <v>5.7140000000000004</v>
      </c>
      <c r="X6" s="4">
        <v>5.5860000000000003</v>
      </c>
      <c r="Y6" s="4">
        <v>6.343</v>
      </c>
      <c r="Z6" s="4">
        <v>5.1980000000000004</v>
      </c>
      <c r="AA6" s="4">
        <v>6.1189999999999998</v>
      </c>
      <c r="AB6" s="4">
        <v>5.4189999999999996</v>
      </c>
      <c r="AC6" s="4">
        <v>9.8149999999999995</v>
      </c>
      <c r="AD6" s="4">
        <v>5.6139999999999999</v>
      </c>
      <c r="AE6" s="4">
        <v>5.9139999999999997</v>
      </c>
      <c r="AF6" s="4">
        <v>4.4420000000000002</v>
      </c>
      <c r="AG6" s="4">
        <v>7.1710000000000003</v>
      </c>
      <c r="AH6">
        <v>5.0330000000000004</v>
      </c>
    </row>
    <row r="7" spans="1:39" ht="14.5" x14ac:dyDescent="0.35">
      <c r="A7" s="80">
        <v>46235</v>
      </c>
      <c r="B7" s="34">
        <v>5</v>
      </c>
      <c r="C7" s="12">
        <v>4</v>
      </c>
      <c r="D7" s="11">
        <v>5</v>
      </c>
      <c r="E7">
        <v>4.6740000000000004</v>
      </c>
      <c r="F7">
        <v>7.1280000000000001</v>
      </c>
      <c r="G7">
        <v>4.5119999999999996</v>
      </c>
      <c r="H7" s="4">
        <v>4.1420000000000003</v>
      </c>
      <c r="I7" s="4">
        <v>8.5150000000000006</v>
      </c>
      <c r="J7" s="4">
        <v>4.0449999999999999</v>
      </c>
      <c r="K7" s="4">
        <v>6.3559999999999999</v>
      </c>
      <c r="L7" s="4">
        <v>4.1429999999999998</v>
      </c>
      <c r="M7" s="4">
        <v>5.5990000000000002</v>
      </c>
      <c r="N7" s="4">
        <v>5.0010000000000003</v>
      </c>
      <c r="O7" s="4">
        <v>5.1239999999999997</v>
      </c>
      <c r="P7" s="4">
        <v>3.931</v>
      </c>
      <c r="Q7" s="4">
        <v>4.6100000000000003</v>
      </c>
      <c r="R7" s="4">
        <v>4.1150000000000002</v>
      </c>
      <c r="S7" s="4">
        <v>5.569</v>
      </c>
      <c r="T7" s="4">
        <v>4.9589999999999996</v>
      </c>
      <c r="U7" s="4">
        <v>4.9989999999999997</v>
      </c>
      <c r="V7" s="4">
        <v>4.8609999999999998</v>
      </c>
      <c r="W7" s="4">
        <v>4.6539999999999999</v>
      </c>
      <c r="X7" s="4">
        <v>5.7279999999999998</v>
      </c>
      <c r="Y7" s="4">
        <v>5.2030000000000003</v>
      </c>
      <c r="Z7" s="4">
        <v>4.3789999999999996</v>
      </c>
      <c r="AA7" s="4">
        <v>5.8819999999999997</v>
      </c>
      <c r="AB7" s="4">
        <v>5.0650000000000004</v>
      </c>
      <c r="AC7" s="4">
        <v>6.2789999999999999</v>
      </c>
      <c r="AD7" s="4">
        <v>5.0979999999999999</v>
      </c>
      <c r="AE7" s="4">
        <v>6.0869999999999997</v>
      </c>
      <c r="AF7" s="4">
        <v>3.9359999999999999</v>
      </c>
      <c r="AG7" s="4">
        <v>5.3049999999999997</v>
      </c>
      <c r="AH7">
        <v>4.54</v>
      </c>
    </row>
    <row r="8" spans="1:39" ht="14.5" x14ac:dyDescent="0.35">
      <c r="A8" s="80">
        <v>46266</v>
      </c>
      <c r="B8" s="34">
        <v>6</v>
      </c>
      <c r="C8" s="12">
        <v>5</v>
      </c>
      <c r="D8" s="11">
        <v>4</v>
      </c>
      <c r="E8">
        <v>3.7120000000000002</v>
      </c>
      <c r="F8">
        <v>5.6779999999999999</v>
      </c>
      <c r="G8">
        <v>4.1459999999999999</v>
      </c>
      <c r="H8" s="4">
        <v>3.4849999999999999</v>
      </c>
      <c r="I8" s="4">
        <v>6.9290000000000003</v>
      </c>
      <c r="J8" s="4">
        <v>3.5739999999999998</v>
      </c>
      <c r="K8" s="4">
        <v>4.8769999999999998</v>
      </c>
      <c r="L8" s="4">
        <v>3.2050000000000001</v>
      </c>
      <c r="M8" s="4">
        <v>4.2930000000000001</v>
      </c>
      <c r="N8" s="4">
        <v>3.8420000000000001</v>
      </c>
      <c r="O8" s="4">
        <v>3.9420000000000002</v>
      </c>
      <c r="P8" s="4">
        <v>3.3</v>
      </c>
      <c r="Q8" s="4">
        <v>5.7619999999999996</v>
      </c>
      <c r="R8" s="4">
        <v>3.4340000000000002</v>
      </c>
      <c r="S8" s="4">
        <v>3.992</v>
      </c>
      <c r="T8" s="4">
        <v>4.4640000000000004</v>
      </c>
      <c r="U8" s="4">
        <v>4.6109999999999998</v>
      </c>
      <c r="V8" s="4">
        <v>3.8879999999999999</v>
      </c>
      <c r="W8" s="4">
        <v>3.7610000000000001</v>
      </c>
      <c r="X8" s="4">
        <v>3.93</v>
      </c>
      <c r="Y8" s="4">
        <v>3.8140000000000001</v>
      </c>
      <c r="Z8" s="4">
        <v>3.7639999999999998</v>
      </c>
      <c r="AA8" s="4">
        <v>5.3410000000000002</v>
      </c>
      <c r="AB8" s="4">
        <v>5.6660000000000004</v>
      </c>
      <c r="AC8" s="4">
        <v>5.0090000000000003</v>
      </c>
      <c r="AD8" s="4">
        <v>4.0819999999999999</v>
      </c>
      <c r="AE8" s="4">
        <v>4.0650000000000004</v>
      </c>
      <c r="AF8" s="4">
        <v>3.234</v>
      </c>
      <c r="AG8" s="4">
        <v>4.008</v>
      </c>
      <c r="AH8">
        <v>5.0869999999999997</v>
      </c>
    </row>
    <row r="9" spans="1:39" ht="14.5" x14ac:dyDescent="0.35">
      <c r="A9" s="80">
        <v>46296</v>
      </c>
      <c r="B9" s="34">
        <v>7</v>
      </c>
      <c r="C9" s="12">
        <v>6</v>
      </c>
      <c r="D9" s="11">
        <v>5</v>
      </c>
      <c r="E9">
        <v>3.149</v>
      </c>
      <c r="F9">
        <v>3.9249999999999998</v>
      </c>
      <c r="G9">
        <v>4.0410000000000004</v>
      </c>
      <c r="H9" s="4">
        <v>4.2480000000000002</v>
      </c>
      <c r="I9" s="4">
        <v>6.1479999999999997</v>
      </c>
      <c r="J9" s="4">
        <v>3.4860000000000002</v>
      </c>
      <c r="K9" s="4">
        <v>4.476</v>
      </c>
      <c r="L9" s="4">
        <v>3.8580000000000001</v>
      </c>
      <c r="M9" s="4">
        <v>3.6789999999999998</v>
      </c>
      <c r="N9" s="4">
        <v>3.2930000000000001</v>
      </c>
      <c r="O9" s="4">
        <v>3.2080000000000002</v>
      </c>
      <c r="P9" s="4">
        <v>3.9860000000000002</v>
      </c>
      <c r="Q9" s="4">
        <v>4.0309999999999997</v>
      </c>
      <c r="R9" s="4">
        <v>3.4289999999999998</v>
      </c>
      <c r="S9" s="4">
        <v>4.5730000000000004</v>
      </c>
      <c r="T9" s="4">
        <v>5.9550000000000001</v>
      </c>
      <c r="U9" s="4">
        <v>4.43</v>
      </c>
      <c r="V9" s="4">
        <v>3.8180000000000001</v>
      </c>
      <c r="W9" s="4">
        <v>4.2430000000000003</v>
      </c>
      <c r="X9" s="4">
        <v>3.452</v>
      </c>
      <c r="Y9" s="4">
        <v>3.7309999999999999</v>
      </c>
      <c r="Z9" s="4">
        <v>3.1669999999999998</v>
      </c>
      <c r="AA9" s="4">
        <v>5.532</v>
      </c>
      <c r="AB9" s="4">
        <v>6.4989999999999997</v>
      </c>
      <c r="AC9" s="4">
        <v>4.0430000000000001</v>
      </c>
      <c r="AD9" s="4">
        <v>3.3130000000000002</v>
      </c>
      <c r="AE9" s="4">
        <v>4.3879999999999999</v>
      </c>
      <c r="AF9" s="4">
        <v>3.09</v>
      </c>
      <c r="AG9" s="4">
        <v>3.3570000000000002</v>
      </c>
      <c r="AH9">
        <v>4.5039999999999996</v>
      </c>
    </row>
    <row r="10" spans="1:39" ht="14.5" x14ac:dyDescent="0.35">
      <c r="A10" s="80">
        <v>46327</v>
      </c>
      <c r="B10" s="34">
        <v>5</v>
      </c>
      <c r="C10" s="12">
        <v>4</v>
      </c>
      <c r="D10" s="11">
        <v>4</v>
      </c>
      <c r="E10">
        <v>2.7869999999999999</v>
      </c>
      <c r="F10">
        <v>3.278</v>
      </c>
      <c r="G10">
        <v>3.3439999999999999</v>
      </c>
      <c r="H10" s="4">
        <v>3.3719999999999999</v>
      </c>
      <c r="I10" s="4">
        <v>4.7350000000000003</v>
      </c>
      <c r="J10" s="4">
        <v>3.609</v>
      </c>
      <c r="K10" s="4">
        <v>3.7109999999999999</v>
      </c>
      <c r="L10" s="4">
        <v>3</v>
      </c>
      <c r="M10" s="4">
        <v>3.157</v>
      </c>
      <c r="N10" s="4">
        <v>2.7589999999999999</v>
      </c>
      <c r="O10" s="4">
        <v>3.4380000000000002</v>
      </c>
      <c r="P10" s="4">
        <v>2.7559999999999998</v>
      </c>
      <c r="Q10" s="4">
        <v>3.073</v>
      </c>
      <c r="R10" s="4">
        <v>2.984</v>
      </c>
      <c r="S10" s="4">
        <v>4.0519999999999996</v>
      </c>
      <c r="T10" s="4">
        <v>4.2569999999999997</v>
      </c>
      <c r="U10" s="4">
        <v>3.6859999999999999</v>
      </c>
      <c r="V10" s="4">
        <v>3.2879999999999998</v>
      </c>
      <c r="W10" s="4">
        <v>3.6989999999999998</v>
      </c>
      <c r="X10" s="4">
        <v>3.7610000000000001</v>
      </c>
      <c r="Y10" s="4">
        <v>3.1440000000000001</v>
      </c>
      <c r="Z10" s="4">
        <v>2.6880000000000002</v>
      </c>
      <c r="AA10" s="4">
        <v>3.6859999999999999</v>
      </c>
      <c r="AB10" s="4">
        <v>4.1399999999999997</v>
      </c>
      <c r="AC10" s="4">
        <v>3.496</v>
      </c>
      <c r="AD10" s="4">
        <v>2.81</v>
      </c>
      <c r="AE10" s="4">
        <v>3.69</v>
      </c>
      <c r="AF10" s="4">
        <v>2.956</v>
      </c>
      <c r="AG10" s="4">
        <v>3.0150000000000001</v>
      </c>
      <c r="AH10">
        <v>4.782</v>
      </c>
    </row>
    <row r="11" spans="1:39" ht="14.5" x14ac:dyDescent="0.35">
      <c r="A11" s="80">
        <v>46357</v>
      </c>
      <c r="B11" s="34">
        <v>5</v>
      </c>
      <c r="C11" s="12">
        <v>4</v>
      </c>
      <c r="D11" s="11">
        <v>4</v>
      </c>
      <c r="E11">
        <v>2.68</v>
      </c>
      <c r="F11">
        <v>3.032</v>
      </c>
      <c r="G11">
        <v>2.7389999999999999</v>
      </c>
      <c r="H11" s="4">
        <v>2.8340000000000001</v>
      </c>
      <c r="I11" s="4">
        <v>4.38</v>
      </c>
      <c r="J11" s="4">
        <v>3.0910000000000002</v>
      </c>
      <c r="K11" s="4">
        <v>3.2610000000000001</v>
      </c>
      <c r="L11" s="4">
        <v>3.01</v>
      </c>
      <c r="M11" s="4">
        <v>2.8380000000000001</v>
      </c>
      <c r="N11" s="4">
        <v>2.569</v>
      </c>
      <c r="O11" s="4">
        <v>2.8490000000000002</v>
      </c>
      <c r="P11" s="4">
        <v>2.4359999999999999</v>
      </c>
      <c r="Q11" s="4">
        <v>2.7919999999999998</v>
      </c>
      <c r="R11" s="4">
        <v>2.5339999999999998</v>
      </c>
      <c r="S11" s="4">
        <v>3.1579999999999999</v>
      </c>
      <c r="T11" s="4">
        <v>3.2839999999999998</v>
      </c>
      <c r="U11" s="4">
        <v>2.8719999999999999</v>
      </c>
      <c r="V11" s="4">
        <v>2.8620000000000001</v>
      </c>
      <c r="W11" s="4">
        <v>2.956</v>
      </c>
      <c r="X11" s="4">
        <v>3.0459999999999998</v>
      </c>
      <c r="Y11" s="4">
        <v>2.7639999999999998</v>
      </c>
      <c r="Z11" s="4">
        <v>2.4340000000000002</v>
      </c>
      <c r="AA11" s="4">
        <v>3.129</v>
      </c>
      <c r="AB11" s="4">
        <v>3.2130000000000001</v>
      </c>
      <c r="AC11" s="4">
        <v>3.339</v>
      </c>
      <c r="AD11" s="4">
        <v>2.5830000000000002</v>
      </c>
      <c r="AE11" s="4">
        <v>3.4710000000000001</v>
      </c>
      <c r="AF11" s="4">
        <v>2.4409999999999998</v>
      </c>
      <c r="AG11" s="4">
        <v>2.8719999999999999</v>
      </c>
      <c r="AH11">
        <v>3.6269999999999998</v>
      </c>
    </row>
    <row r="12" spans="1:39" ht="14.5" x14ac:dyDescent="0.35">
      <c r="A12" s="80">
        <v>46388</v>
      </c>
      <c r="B12" s="34">
        <v>5</v>
      </c>
      <c r="C12" s="12">
        <v>4</v>
      </c>
      <c r="D12" s="11">
        <v>5</v>
      </c>
      <c r="E12">
        <v>2.4700000000000002</v>
      </c>
      <c r="F12">
        <v>2.8029999999999999</v>
      </c>
      <c r="G12">
        <v>2.4830000000000001</v>
      </c>
      <c r="H12" s="4">
        <v>2.5219999999999998</v>
      </c>
      <c r="I12" s="4">
        <v>3.73</v>
      </c>
      <c r="J12" s="4">
        <v>2.5409999999999999</v>
      </c>
      <c r="K12" s="4">
        <v>2.9460000000000002</v>
      </c>
      <c r="L12" s="4">
        <v>2.4609999999999999</v>
      </c>
      <c r="M12" s="4">
        <v>2.6419999999999999</v>
      </c>
      <c r="N12" s="4">
        <v>2.3860000000000001</v>
      </c>
      <c r="O12" s="4">
        <v>2.5369999999999999</v>
      </c>
      <c r="P12" s="4">
        <v>2.2490000000000001</v>
      </c>
      <c r="Q12" s="4">
        <v>2.5030000000000001</v>
      </c>
      <c r="R12" s="4">
        <v>2.3079999999999998</v>
      </c>
      <c r="S12" s="4">
        <v>2.7589999999999999</v>
      </c>
      <c r="T12" s="4">
        <v>2.8460000000000001</v>
      </c>
      <c r="U12" s="4">
        <v>2.4660000000000002</v>
      </c>
      <c r="V12" s="4">
        <v>2.569</v>
      </c>
      <c r="W12" s="4">
        <v>2.6539999999999999</v>
      </c>
      <c r="X12" s="4">
        <v>2.66</v>
      </c>
      <c r="Y12" s="4">
        <v>2.5830000000000002</v>
      </c>
      <c r="Z12" s="4">
        <v>2.226</v>
      </c>
      <c r="AA12" s="4">
        <v>2.863</v>
      </c>
      <c r="AB12" s="4">
        <v>2.88</v>
      </c>
      <c r="AC12" s="4">
        <v>3.0760000000000001</v>
      </c>
      <c r="AD12" s="4">
        <v>2.3180000000000001</v>
      </c>
      <c r="AE12" s="4">
        <v>2.86</v>
      </c>
      <c r="AF12" s="4">
        <v>2.2269999999999999</v>
      </c>
      <c r="AG12" s="4">
        <v>2.63</v>
      </c>
      <c r="AH12">
        <v>2.911</v>
      </c>
    </row>
    <row r="13" spans="1:39" ht="14.5" x14ac:dyDescent="0.35">
      <c r="A13" s="80">
        <v>46419</v>
      </c>
      <c r="B13" s="34">
        <v>4</v>
      </c>
      <c r="C13" s="12">
        <v>4</v>
      </c>
      <c r="D13" s="11">
        <v>4</v>
      </c>
      <c r="E13">
        <v>2.16</v>
      </c>
      <c r="F13">
        <v>2.3690000000000002</v>
      </c>
      <c r="G13">
        <v>2.0870000000000002</v>
      </c>
      <c r="H13" s="4">
        <v>2.2040000000000002</v>
      </c>
      <c r="I13" s="4">
        <v>3.0310000000000001</v>
      </c>
      <c r="J13" s="4">
        <v>2.0680000000000001</v>
      </c>
      <c r="K13" s="4">
        <v>2.4260000000000002</v>
      </c>
      <c r="L13" s="4">
        <v>2.0779999999999998</v>
      </c>
      <c r="M13" s="4">
        <v>2.2400000000000002</v>
      </c>
      <c r="N13" s="4">
        <v>2.0139999999999998</v>
      </c>
      <c r="O13" s="4">
        <v>2.09</v>
      </c>
      <c r="P13" s="4">
        <v>2.0249999999999999</v>
      </c>
      <c r="Q13" s="4">
        <v>2.0739999999999998</v>
      </c>
      <c r="R13" s="4">
        <v>1.919</v>
      </c>
      <c r="S13" s="4">
        <v>2.258</v>
      </c>
      <c r="T13" s="4">
        <v>2.3980000000000001</v>
      </c>
      <c r="U13" s="4">
        <v>2.0019999999999998</v>
      </c>
      <c r="V13" s="4">
        <v>2.145</v>
      </c>
      <c r="W13" s="4">
        <v>2.19</v>
      </c>
      <c r="X13" s="4">
        <v>2.1829999999999998</v>
      </c>
      <c r="Y13" s="4">
        <v>2.1259999999999999</v>
      </c>
      <c r="Z13" s="4">
        <v>1.9059999999999999</v>
      </c>
      <c r="AA13" s="4">
        <v>2.3650000000000002</v>
      </c>
      <c r="AB13" s="4">
        <v>2.9329999999999998</v>
      </c>
      <c r="AC13" s="4">
        <v>2.7120000000000002</v>
      </c>
      <c r="AD13" s="4">
        <v>1.954</v>
      </c>
      <c r="AE13" s="4">
        <v>2.4380000000000002</v>
      </c>
      <c r="AF13" s="4">
        <v>1.8759999999999999</v>
      </c>
      <c r="AG13" s="4">
        <v>2.173</v>
      </c>
      <c r="AH13">
        <v>2.4119999999999999</v>
      </c>
    </row>
    <row r="14" spans="1:39" ht="14.5" x14ac:dyDescent="0.35">
      <c r="A14" s="80">
        <v>46447</v>
      </c>
      <c r="B14" s="34">
        <v>5</v>
      </c>
      <c r="C14" s="12">
        <v>4</v>
      </c>
      <c r="D14" s="11">
        <v>5</v>
      </c>
      <c r="E14">
        <v>2.6429999999999998</v>
      </c>
      <c r="F14">
        <v>2.85</v>
      </c>
      <c r="G14">
        <v>2.819</v>
      </c>
      <c r="H14" s="4">
        <v>3.508</v>
      </c>
      <c r="I14" s="4">
        <v>3.3290000000000002</v>
      </c>
      <c r="J14" s="4">
        <v>3.0910000000000002</v>
      </c>
      <c r="K14" s="4">
        <v>2.9670000000000001</v>
      </c>
      <c r="L14" s="4">
        <v>3.129</v>
      </c>
      <c r="M14" s="4">
        <v>2.581</v>
      </c>
      <c r="N14" s="4">
        <v>2.4660000000000002</v>
      </c>
      <c r="O14" s="4">
        <v>2.2490000000000001</v>
      </c>
      <c r="P14" s="4">
        <v>2.641</v>
      </c>
      <c r="Q14" s="4">
        <v>4.1109999999999998</v>
      </c>
      <c r="R14" s="4">
        <v>2.1259999999999999</v>
      </c>
      <c r="S14" s="4">
        <v>2.4660000000000002</v>
      </c>
      <c r="T14" s="4">
        <v>4.5250000000000004</v>
      </c>
      <c r="U14" s="4">
        <v>2.0350000000000001</v>
      </c>
      <c r="V14" s="4">
        <v>2.984</v>
      </c>
      <c r="W14" s="4">
        <v>2.2229999999999999</v>
      </c>
      <c r="X14" s="4">
        <v>2.5030000000000001</v>
      </c>
      <c r="Y14" s="4">
        <v>3.2109999999999999</v>
      </c>
      <c r="Z14" s="4">
        <v>2.0990000000000002</v>
      </c>
      <c r="AA14" s="4">
        <v>2.36</v>
      </c>
      <c r="AB14" s="4">
        <v>4.0579999999999998</v>
      </c>
      <c r="AC14" s="4">
        <v>3.45</v>
      </c>
      <c r="AD14" s="4">
        <v>3.79</v>
      </c>
      <c r="AE14" s="4">
        <v>2.6549999999999998</v>
      </c>
      <c r="AF14" s="4">
        <v>1.9019999999999999</v>
      </c>
      <c r="AG14" s="4">
        <v>2.5459999999999998</v>
      </c>
      <c r="AH14">
        <v>2.5939999999999999</v>
      </c>
    </row>
    <row r="15" spans="1:39" ht="14.5" x14ac:dyDescent="0.35">
      <c r="A15" s="80">
        <v>46478</v>
      </c>
      <c r="B15" s="34">
        <v>10</v>
      </c>
      <c r="C15" s="12">
        <v>8</v>
      </c>
      <c r="D15" s="11">
        <v>9</v>
      </c>
      <c r="E15">
        <v>7.49</v>
      </c>
      <c r="F15">
        <v>6.0119999999999996</v>
      </c>
      <c r="G15">
        <v>6.2380000000000004</v>
      </c>
      <c r="H15" s="4">
        <v>4.9249999999999998</v>
      </c>
      <c r="I15" s="4">
        <v>7.1959999999999997</v>
      </c>
      <c r="J15" s="4">
        <v>5.43</v>
      </c>
      <c r="K15" s="4">
        <v>4.742</v>
      </c>
      <c r="L15" s="4">
        <v>5.1070000000000002</v>
      </c>
      <c r="M15" s="4">
        <v>7.4880000000000004</v>
      </c>
      <c r="N15" s="4">
        <v>6.0549999999999997</v>
      </c>
      <c r="O15" s="4">
        <v>6.4589999999999996</v>
      </c>
      <c r="P15" s="4">
        <v>5.5780000000000003</v>
      </c>
      <c r="Q15" s="4">
        <v>9.0129999999999999</v>
      </c>
      <c r="R15" s="4">
        <v>5.6040000000000001</v>
      </c>
      <c r="S15" s="4">
        <v>7.8470000000000004</v>
      </c>
      <c r="T15" s="4">
        <v>7.2030000000000003</v>
      </c>
      <c r="U15" s="4">
        <v>2.93</v>
      </c>
      <c r="V15" s="4">
        <v>4.7329999999999997</v>
      </c>
      <c r="W15" s="4">
        <v>5.3810000000000002</v>
      </c>
      <c r="X15" s="4">
        <v>5.52</v>
      </c>
      <c r="Y15" s="4">
        <v>9.3889999999999993</v>
      </c>
      <c r="Z15" s="4">
        <v>4.2089999999999996</v>
      </c>
      <c r="AA15" s="4">
        <v>4.7569999999999997</v>
      </c>
      <c r="AB15" s="4">
        <v>6.9420000000000002</v>
      </c>
      <c r="AC15" s="4">
        <v>6.31</v>
      </c>
      <c r="AD15" s="4">
        <v>8.4440000000000008</v>
      </c>
      <c r="AE15" s="4">
        <v>5.3559999999999999</v>
      </c>
      <c r="AF15" s="4">
        <v>5.5970000000000004</v>
      </c>
      <c r="AG15" s="4">
        <v>5.0860000000000003</v>
      </c>
      <c r="AH15">
        <v>5.7910000000000004</v>
      </c>
    </row>
    <row r="16" spans="1:39" ht="14.5" x14ac:dyDescent="0.35">
      <c r="A16" s="80">
        <v>46508</v>
      </c>
      <c r="B16" s="34">
        <v>30</v>
      </c>
      <c r="C16" s="12">
        <v>23</v>
      </c>
      <c r="D16" s="11">
        <v>26</v>
      </c>
      <c r="E16">
        <v>23.14</v>
      </c>
      <c r="F16">
        <v>28.792999999999999</v>
      </c>
      <c r="G16">
        <v>22.001999999999999</v>
      </c>
      <c r="H16" s="4">
        <v>25.402999999999999</v>
      </c>
      <c r="I16" s="4">
        <v>45.264000000000003</v>
      </c>
      <c r="J16" s="4">
        <v>30.404</v>
      </c>
      <c r="K16" s="4">
        <v>17.113</v>
      </c>
      <c r="L16" s="4">
        <v>18.504000000000001</v>
      </c>
      <c r="M16" s="4">
        <v>27.809000000000001</v>
      </c>
      <c r="N16" s="4">
        <v>23.082000000000001</v>
      </c>
      <c r="O16" s="4">
        <v>15.417</v>
      </c>
      <c r="P16" s="4">
        <v>19.251999999999999</v>
      </c>
      <c r="Q16" s="4">
        <v>24.698</v>
      </c>
      <c r="R16" s="4">
        <v>21.641999999999999</v>
      </c>
      <c r="S16" s="4">
        <v>27.399000000000001</v>
      </c>
      <c r="T16" s="4">
        <v>25.719000000000001</v>
      </c>
      <c r="U16" s="4">
        <v>22.544</v>
      </c>
      <c r="V16" s="4">
        <v>29.265999999999998</v>
      </c>
      <c r="W16" s="4">
        <v>13.151999999999999</v>
      </c>
      <c r="X16" s="4">
        <v>17.936</v>
      </c>
      <c r="Y16" s="4">
        <v>19.385999999999999</v>
      </c>
      <c r="Z16" s="4">
        <v>15.233000000000001</v>
      </c>
      <c r="AA16" s="4">
        <v>24.164000000000001</v>
      </c>
      <c r="AB16" s="4">
        <v>16.213999999999999</v>
      </c>
      <c r="AC16" s="4">
        <v>15.162000000000001</v>
      </c>
      <c r="AD16" s="4">
        <v>28.007999999999999</v>
      </c>
      <c r="AE16" s="4">
        <v>24.785</v>
      </c>
      <c r="AF16" s="4">
        <v>18.959</v>
      </c>
      <c r="AG16" s="4">
        <v>21.6</v>
      </c>
      <c r="AH16">
        <v>18.684000000000001</v>
      </c>
    </row>
    <row r="17" spans="1:34" ht="14.5" x14ac:dyDescent="0.35">
      <c r="A17" s="80">
        <v>46539</v>
      </c>
      <c r="B17" s="34">
        <v>51</v>
      </c>
      <c r="C17" s="12">
        <v>28</v>
      </c>
      <c r="D17" s="11">
        <v>40</v>
      </c>
      <c r="E17">
        <v>24.344999999999999</v>
      </c>
      <c r="F17">
        <v>60.805999999999997</v>
      </c>
      <c r="G17">
        <v>35.683999999999997</v>
      </c>
      <c r="H17" s="4">
        <v>75.671999999999997</v>
      </c>
      <c r="I17" s="4">
        <v>55.863</v>
      </c>
      <c r="J17" s="4">
        <v>64.486000000000004</v>
      </c>
      <c r="K17" s="4">
        <v>27.638000000000002</v>
      </c>
      <c r="L17" s="4">
        <v>42.673999999999999</v>
      </c>
      <c r="M17" s="4">
        <v>22.573</v>
      </c>
      <c r="N17" s="4">
        <v>24.19</v>
      </c>
      <c r="O17" s="4">
        <v>12.122999999999999</v>
      </c>
      <c r="P17" s="4">
        <v>33.612000000000002</v>
      </c>
      <c r="Q17" s="4">
        <v>20.248000000000001</v>
      </c>
      <c r="R17" s="4">
        <v>32.857999999999997</v>
      </c>
      <c r="S17" s="4">
        <v>33.747</v>
      </c>
      <c r="T17" s="4">
        <v>25.864000000000001</v>
      </c>
      <c r="U17" s="4">
        <v>70.152000000000001</v>
      </c>
      <c r="V17" s="4">
        <v>35.866999999999997</v>
      </c>
      <c r="W17" s="4">
        <v>37.098999999999997</v>
      </c>
      <c r="X17" s="4">
        <v>60.015000000000001</v>
      </c>
      <c r="Y17" s="4">
        <v>9.2520000000000007</v>
      </c>
      <c r="Z17" s="4">
        <v>28.128</v>
      </c>
      <c r="AA17" s="4">
        <v>48.191000000000003</v>
      </c>
      <c r="AB17" s="4">
        <v>45.991</v>
      </c>
      <c r="AC17" s="4">
        <v>39.042999999999999</v>
      </c>
      <c r="AD17" s="4">
        <v>49.151000000000003</v>
      </c>
      <c r="AE17" s="4">
        <v>16.308</v>
      </c>
      <c r="AF17" s="4">
        <v>52.765000000000001</v>
      </c>
      <c r="AG17" s="4">
        <v>29.332000000000001</v>
      </c>
      <c r="AH17">
        <v>39.350999999999999</v>
      </c>
    </row>
    <row r="18" spans="1:34" ht="14.5" x14ac:dyDescent="0.35">
      <c r="A18" s="80">
        <v>46569</v>
      </c>
      <c r="B18" s="34">
        <v>24</v>
      </c>
      <c r="C18" s="12">
        <v>9</v>
      </c>
      <c r="D18" s="11">
        <v>15</v>
      </c>
      <c r="E18">
        <v>12.287000000000001</v>
      </c>
      <c r="F18">
        <v>31.623999999999999</v>
      </c>
      <c r="G18">
        <v>13.837999999999999</v>
      </c>
      <c r="H18" s="4">
        <v>72.394999999999996</v>
      </c>
      <c r="I18" s="4">
        <v>22.126999999999999</v>
      </c>
      <c r="J18" s="4">
        <v>25.795000000000002</v>
      </c>
      <c r="K18" s="4">
        <v>14.218</v>
      </c>
      <c r="L18" s="4">
        <v>28.317</v>
      </c>
      <c r="M18" s="4">
        <v>9.6180000000000003</v>
      </c>
      <c r="N18" s="4">
        <v>9.57</v>
      </c>
      <c r="O18" s="4">
        <v>5.718</v>
      </c>
      <c r="P18" s="4">
        <v>12.176</v>
      </c>
      <c r="Q18" s="4">
        <v>8.5370000000000008</v>
      </c>
      <c r="R18" s="4">
        <v>14.372999999999999</v>
      </c>
      <c r="S18" s="4">
        <v>12.244999999999999</v>
      </c>
      <c r="T18" s="4">
        <v>11.196</v>
      </c>
      <c r="U18" s="4">
        <v>35.927999999999997</v>
      </c>
      <c r="V18" s="4">
        <v>19.863</v>
      </c>
      <c r="W18" s="4">
        <v>13.013</v>
      </c>
      <c r="X18" s="4">
        <v>40.69</v>
      </c>
      <c r="Y18" s="4">
        <v>5.7290000000000001</v>
      </c>
      <c r="Z18" s="4">
        <v>11.621</v>
      </c>
      <c r="AA18" s="4">
        <v>18.036000000000001</v>
      </c>
      <c r="AB18" s="4">
        <v>17.23</v>
      </c>
      <c r="AC18" s="4">
        <v>14.510999999999999</v>
      </c>
      <c r="AD18" s="4">
        <v>19.547000000000001</v>
      </c>
      <c r="AE18" s="4">
        <v>7.1210000000000004</v>
      </c>
      <c r="AF18" s="4">
        <v>37.54</v>
      </c>
      <c r="AG18" s="4">
        <v>10.951000000000001</v>
      </c>
      <c r="AH18">
        <v>16.212</v>
      </c>
    </row>
    <row r="19" spans="1:34" ht="14.5" x14ac:dyDescent="0.35">
      <c r="A19" s="80">
        <v>46600</v>
      </c>
      <c r="B19" s="34">
        <v>11</v>
      </c>
      <c r="C19" s="12">
        <v>7</v>
      </c>
      <c r="D19" s="11">
        <v>8</v>
      </c>
      <c r="E19">
        <v>8.1039999999999992</v>
      </c>
      <c r="F19">
        <v>12.228</v>
      </c>
      <c r="G19">
        <v>6.9829999999999997</v>
      </c>
      <c r="H19" s="4">
        <v>23.422000000000001</v>
      </c>
      <c r="I19" s="4">
        <v>9.9469999999999992</v>
      </c>
      <c r="J19" s="4">
        <v>12.537000000000001</v>
      </c>
      <c r="K19" s="4">
        <v>7.1260000000000003</v>
      </c>
      <c r="L19" s="4">
        <v>11.912000000000001</v>
      </c>
      <c r="M19" s="4">
        <v>6.2939999999999996</v>
      </c>
      <c r="N19" s="4">
        <v>6.5940000000000003</v>
      </c>
      <c r="O19" s="4">
        <v>3.9369999999999998</v>
      </c>
      <c r="P19" s="4">
        <v>6.649</v>
      </c>
      <c r="Q19" s="4">
        <v>5.6260000000000003</v>
      </c>
      <c r="R19" s="4">
        <v>8.452</v>
      </c>
      <c r="S19" s="4">
        <v>7.6379999999999999</v>
      </c>
      <c r="T19" s="4">
        <v>6.9930000000000003</v>
      </c>
      <c r="U19" s="4">
        <v>12.894</v>
      </c>
      <c r="V19" s="4">
        <v>8.5839999999999996</v>
      </c>
      <c r="W19" s="4">
        <v>8.266</v>
      </c>
      <c r="X19" s="4">
        <v>14.442</v>
      </c>
      <c r="Y19" s="4">
        <v>4.2279999999999998</v>
      </c>
      <c r="Z19" s="4">
        <v>7.2460000000000004</v>
      </c>
      <c r="AA19" s="4">
        <v>9.4459999999999997</v>
      </c>
      <c r="AB19" s="4">
        <v>7.9409999999999998</v>
      </c>
      <c r="AC19" s="4">
        <v>8.0030000000000001</v>
      </c>
      <c r="AD19" s="4">
        <v>11.548999999999999</v>
      </c>
      <c r="AE19" s="4">
        <v>4.9029999999999996</v>
      </c>
      <c r="AF19" s="4">
        <v>13.259</v>
      </c>
      <c r="AG19" s="4">
        <v>6.5380000000000003</v>
      </c>
      <c r="AH19">
        <v>7.7430000000000003</v>
      </c>
    </row>
    <row r="20" spans="1:34" ht="14.5" x14ac:dyDescent="0.35">
      <c r="A20" s="80">
        <v>46631</v>
      </c>
      <c r="B20" s="34">
        <v>8</v>
      </c>
      <c r="C20" s="12">
        <v>6</v>
      </c>
      <c r="D20" s="11">
        <v>7</v>
      </c>
      <c r="E20">
        <v>6.2489999999999997</v>
      </c>
      <c r="F20">
        <v>8.7579999999999991</v>
      </c>
      <c r="G20">
        <v>5.3959999999999999</v>
      </c>
      <c r="H20" s="4">
        <v>13.481</v>
      </c>
      <c r="I20" s="4">
        <v>7.4370000000000003</v>
      </c>
      <c r="J20" s="4">
        <v>8.4499999999999993</v>
      </c>
      <c r="K20" s="4">
        <v>4.95</v>
      </c>
      <c r="L20" s="4">
        <v>7.3570000000000002</v>
      </c>
      <c r="M20" s="4">
        <v>4.8419999999999996</v>
      </c>
      <c r="N20" s="4">
        <v>4.9119999999999999</v>
      </c>
      <c r="O20" s="4">
        <v>3.3130000000000002</v>
      </c>
      <c r="P20" s="4">
        <v>7.23</v>
      </c>
      <c r="Q20" s="4">
        <v>4.5990000000000002</v>
      </c>
      <c r="R20" s="4">
        <v>5.6280000000000001</v>
      </c>
      <c r="S20" s="4">
        <v>6.3230000000000004</v>
      </c>
      <c r="T20" s="4">
        <v>6.0179999999999998</v>
      </c>
      <c r="U20" s="4">
        <v>8.2029999999999994</v>
      </c>
      <c r="V20" s="4">
        <v>5.9509999999999996</v>
      </c>
      <c r="W20" s="4">
        <v>5.4210000000000003</v>
      </c>
      <c r="X20" s="4">
        <v>8.2360000000000007</v>
      </c>
      <c r="Y20" s="4">
        <v>3.7280000000000002</v>
      </c>
      <c r="Z20" s="4">
        <v>6.2629999999999999</v>
      </c>
      <c r="AA20" s="4">
        <v>8.8659999999999997</v>
      </c>
      <c r="AB20" s="4">
        <v>5.9809999999999999</v>
      </c>
      <c r="AC20" s="4">
        <v>5.85</v>
      </c>
      <c r="AD20" s="4">
        <v>7.2220000000000004</v>
      </c>
      <c r="AE20" s="4">
        <v>4.01</v>
      </c>
      <c r="AF20" s="4">
        <v>7.8209999999999997</v>
      </c>
      <c r="AG20" s="4">
        <v>6.5540000000000003</v>
      </c>
      <c r="AH20">
        <v>5.5670000000000002</v>
      </c>
    </row>
    <row r="21" spans="1:34" ht="14.5" x14ac:dyDescent="0.35">
      <c r="A21" s="80">
        <v>46661</v>
      </c>
      <c r="B21" s="34">
        <v>8</v>
      </c>
      <c r="C21" s="12">
        <v>6</v>
      </c>
      <c r="D21" s="11">
        <v>7</v>
      </c>
      <c r="E21">
        <v>4.7039999999999997</v>
      </c>
      <c r="F21">
        <v>8.1859999999999999</v>
      </c>
      <c r="G21">
        <v>6.359</v>
      </c>
      <c r="H21" s="4">
        <v>10.917</v>
      </c>
      <c r="I21" s="4">
        <v>7.2450000000000001</v>
      </c>
      <c r="J21" s="4">
        <v>7.8849999999999998</v>
      </c>
      <c r="K21" s="4">
        <v>5.702</v>
      </c>
      <c r="L21" s="4">
        <v>6.33</v>
      </c>
      <c r="M21" s="4">
        <v>4.4329999999999998</v>
      </c>
      <c r="N21" s="4">
        <v>4.2729999999999997</v>
      </c>
      <c r="O21" s="4">
        <v>4.2320000000000002</v>
      </c>
      <c r="P21" s="4">
        <v>5.4610000000000003</v>
      </c>
      <c r="Q21" s="4">
        <v>4.7539999999999996</v>
      </c>
      <c r="R21" s="4">
        <v>6.3410000000000002</v>
      </c>
      <c r="S21" s="4">
        <v>8.25</v>
      </c>
      <c r="T21" s="4">
        <v>5.9160000000000004</v>
      </c>
      <c r="U21" s="4">
        <v>7.8109999999999999</v>
      </c>
      <c r="V21" s="4">
        <v>6.5279999999999996</v>
      </c>
      <c r="W21" s="4">
        <v>4.9820000000000002</v>
      </c>
      <c r="X21" s="4">
        <v>7.6070000000000002</v>
      </c>
      <c r="Y21" s="4">
        <v>3.3820000000000001</v>
      </c>
      <c r="Z21" s="4">
        <v>6.6639999999999997</v>
      </c>
      <c r="AA21" s="4">
        <v>10.677</v>
      </c>
      <c r="AB21" s="4">
        <v>5.0940000000000003</v>
      </c>
      <c r="AC21" s="4">
        <v>5.0309999999999997</v>
      </c>
      <c r="AD21" s="4">
        <v>7.55</v>
      </c>
      <c r="AE21" s="4">
        <v>4.0170000000000003</v>
      </c>
      <c r="AF21" s="4">
        <v>6.6020000000000003</v>
      </c>
      <c r="AG21" s="4">
        <v>6.0469999999999997</v>
      </c>
      <c r="AH21">
        <v>4.9450000000000003</v>
      </c>
    </row>
    <row r="22" spans="1:34" ht="14.5" x14ac:dyDescent="0.35">
      <c r="A22" s="80">
        <v>46692</v>
      </c>
      <c r="B22" s="34">
        <v>5</v>
      </c>
      <c r="C22" s="12">
        <v>5</v>
      </c>
      <c r="D22" s="11">
        <v>5</v>
      </c>
      <c r="E22">
        <v>3.93</v>
      </c>
      <c r="F22">
        <v>6.7350000000000003</v>
      </c>
      <c r="G22">
        <v>5.0830000000000002</v>
      </c>
      <c r="H22" s="4">
        <v>8.1329999999999991</v>
      </c>
      <c r="I22" s="4">
        <v>6.8449999999999998</v>
      </c>
      <c r="J22" s="4">
        <v>6.49</v>
      </c>
      <c r="K22" s="4">
        <v>4.4400000000000004</v>
      </c>
      <c r="L22" s="4">
        <v>5.3689999999999998</v>
      </c>
      <c r="M22" s="4">
        <v>3.7210000000000001</v>
      </c>
      <c r="N22" s="4">
        <v>4.4039999999999999</v>
      </c>
      <c r="O22" s="4">
        <v>2.93</v>
      </c>
      <c r="P22" s="4">
        <v>4.2350000000000003</v>
      </c>
      <c r="Q22" s="4">
        <v>4.09</v>
      </c>
      <c r="R22" s="4">
        <v>5.5339999999999998</v>
      </c>
      <c r="S22" s="4">
        <v>5.9109999999999996</v>
      </c>
      <c r="T22" s="4">
        <v>4.8819999999999997</v>
      </c>
      <c r="U22" s="4">
        <v>6.5629999999999997</v>
      </c>
      <c r="V22" s="4">
        <v>5.5410000000000004</v>
      </c>
      <c r="W22" s="4">
        <v>5.0860000000000003</v>
      </c>
      <c r="X22" s="4">
        <v>6.3339999999999996</v>
      </c>
      <c r="Y22" s="4">
        <v>2.867</v>
      </c>
      <c r="Z22" s="4">
        <v>4.5250000000000004</v>
      </c>
      <c r="AA22" s="4">
        <v>6.8310000000000004</v>
      </c>
      <c r="AB22" s="4">
        <v>4.375</v>
      </c>
      <c r="AC22" s="4">
        <v>4.2549999999999999</v>
      </c>
      <c r="AD22" s="4">
        <v>6.258</v>
      </c>
      <c r="AE22" s="4">
        <v>3.77</v>
      </c>
      <c r="AF22" s="4">
        <v>5.76</v>
      </c>
      <c r="AG22" s="4">
        <v>6.1150000000000002</v>
      </c>
      <c r="AH22">
        <v>4.3250000000000002</v>
      </c>
    </row>
    <row r="23" spans="1:34" ht="14.5" x14ac:dyDescent="0.35">
      <c r="A23" s="80">
        <v>46722</v>
      </c>
      <c r="B23" s="34">
        <v>4</v>
      </c>
      <c r="C23" s="12">
        <v>4</v>
      </c>
      <c r="D23" s="11">
        <v>4</v>
      </c>
      <c r="E23">
        <v>3.6320000000000001</v>
      </c>
      <c r="F23">
        <v>5.7679999999999998</v>
      </c>
      <c r="G23">
        <v>4.3479999999999999</v>
      </c>
      <c r="H23" s="4">
        <v>7.4710000000000001</v>
      </c>
      <c r="I23" s="4">
        <v>5.9930000000000003</v>
      </c>
      <c r="J23" s="4">
        <v>5.7789999999999999</v>
      </c>
      <c r="K23" s="4">
        <v>4.3</v>
      </c>
      <c r="L23" s="4">
        <v>4.8440000000000003</v>
      </c>
      <c r="M23" s="4">
        <v>3.4569999999999999</v>
      </c>
      <c r="N23" s="4">
        <v>3.6859999999999999</v>
      </c>
      <c r="O23" s="4">
        <v>2.585</v>
      </c>
      <c r="P23" s="4">
        <v>3.8570000000000002</v>
      </c>
      <c r="Q23" s="4">
        <v>3.5150000000000001</v>
      </c>
      <c r="R23" s="4">
        <v>4.3979999999999997</v>
      </c>
      <c r="S23" s="4">
        <v>4.6870000000000003</v>
      </c>
      <c r="T23" s="4">
        <v>3.883</v>
      </c>
      <c r="U23" s="4">
        <v>5.8230000000000004</v>
      </c>
      <c r="V23" s="4">
        <v>4.532</v>
      </c>
      <c r="W23" s="4">
        <v>4.2169999999999996</v>
      </c>
      <c r="X23" s="4">
        <v>5.6479999999999997</v>
      </c>
      <c r="Y23" s="4">
        <v>2.5960000000000001</v>
      </c>
      <c r="Z23" s="4">
        <v>3.8690000000000002</v>
      </c>
      <c r="AA23" s="4">
        <v>5.2750000000000004</v>
      </c>
      <c r="AB23" s="4">
        <v>4.1479999999999997</v>
      </c>
      <c r="AC23" s="4">
        <v>3.9129999999999998</v>
      </c>
      <c r="AD23" s="4">
        <v>5.8019999999999996</v>
      </c>
      <c r="AE23" s="4">
        <v>3.1669999999999998</v>
      </c>
      <c r="AF23" s="4">
        <v>5.4180000000000001</v>
      </c>
      <c r="AG23" s="4">
        <v>4.7439999999999998</v>
      </c>
      <c r="AH23">
        <v>4.101</v>
      </c>
    </row>
    <row r="24" spans="1:34" ht="14.5" x14ac:dyDescent="0.35">
      <c r="A24" s="80">
        <v>46753</v>
      </c>
      <c r="B24" s="34">
        <v>5</v>
      </c>
      <c r="C24" s="12">
        <v>5</v>
      </c>
      <c r="D24" s="11">
        <v>5</v>
      </c>
      <c r="E24">
        <v>3.34</v>
      </c>
      <c r="F24">
        <v>5.2060000000000004</v>
      </c>
      <c r="G24">
        <v>3.867</v>
      </c>
      <c r="H24" s="4">
        <v>6.4370000000000003</v>
      </c>
      <c r="I24" s="4">
        <v>5.0960000000000001</v>
      </c>
      <c r="J24" s="4">
        <v>5.2069999999999999</v>
      </c>
      <c r="K24" s="4">
        <v>3.6030000000000002</v>
      </c>
      <c r="L24" s="4">
        <v>4.45</v>
      </c>
      <c r="M24" s="4">
        <v>3.181</v>
      </c>
      <c r="N24" s="4">
        <v>3.2709999999999999</v>
      </c>
      <c r="O24" s="4">
        <v>2.3759999999999999</v>
      </c>
      <c r="P24" s="4">
        <v>3.4550000000000001</v>
      </c>
      <c r="Q24" s="4">
        <v>3.1789999999999998</v>
      </c>
      <c r="R24" s="4">
        <v>3.84</v>
      </c>
      <c r="S24" s="4">
        <v>4.07</v>
      </c>
      <c r="T24" s="4">
        <v>3.35</v>
      </c>
      <c r="U24" s="4">
        <v>5.2249999999999996</v>
      </c>
      <c r="V24" s="4">
        <v>4.0460000000000003</v>
      </c>
      <c r="W24" s="4">
        <v>3.698</v>
      </c>
      <c r="X24" s="4">
        <v>5.1820000000000004</v>
      </c>
      <c r="Y24" s="4">
        <v>2.3690000000000002</v>
      </c>
      <c r="Z24" s="4">
        <v>3.5209999999999999</v>
      </c>
      <c r="AA24" s="4">
        <v>4.6710000000000003</v>
      </c>
      <c r="AB24" s="4">
        <v>3.8010000000000002</v>
      </c>
      <c r="AC24" s="4">
        <v>3.5110000000000001</v>
      </c>
      <c r="AD24" s="4">
        <v>4.8979999999999997</v>
      </c>
      <c r="AE24" s="4">
        <v>2.8719999999999999</v>
      </c>
      <c r="AF24" s="4">
        <v>4.9210000000000003</v>
      </c>
      <c r="AG24" s="4">
        <v>3.875</v>
      </c>
      <c r="AH24">
        <v>3.746</v>
      </c>
    </row>
    <row r="25" spans="1:34" ht="14.5" x14ac:dyDescent="0.35">
      <c r="A25" s="80">
        <v>46784</v>
      </c>
      <c r="B25" s="34">
        <v>4</v>
      </c>
      <c r="C25" s="12">
        <v>4</v>
      </c>
      <c r="D25" s="11">
        <v>4</v>
      </c>
      <c r="E25">
        <v>2.9020000000000001</v>
      </c>
      <c r="F25">
        <v>4.47</v>
      </c>
      <c r="G25">
        <v>3.4390000000000001</v>
      </c>
      <c r="H25" s="4">
        <v>5.4160000000000004</v>
      </c>
      <c r="I25" s="4">
        <v>4.29</v>
      </c>
      <c r="J25" s="4">
        <v>4.42</v>
      </c>
      <c r="K25" s="4">
        <v>3.11</v>
      </c>
      <c r="L25" s="4">
        <v>3.8460000000000001</v>
      </c>
      <c r="M25" s="4">
        <v>2.7530000000000001</v>
      </c>
      <c r="N25" s="4">
        <v>2.7759999999999998</v>
      </c>
      <c r="O25" s="4">
        <v>2.1930000000000001</v>
      </c>
      <c r="P25" s="4">
        <v>2.9489999999999998</v>
      </c>
      <c r="Q25" s="4">
        <v>2.7170000000000001</v>
      </c>
      <c r="R25" s="4">
        <v>3.24</v>
      </c>
      <c r="S25" s="4">
        <v>3.5089999999999999</v>
      </c>
      <c r="T25" s="4">
        <v>2.81</v>
      </c>
      <c r="U25" s="4">
        <v>4.4720000000000004</v>
      </c>
      <c r="V25" s="4">
        <v>3.4350000000000001</v>
      </c>
      <c r="W25" s="4">
        <v>3.129</v>
      </c>
      <c r="X25" s="4">
        <v>4.3920000000000003</v>
      </c>
      <c r="Y25" s="4">
        <v>2.09</v>
      </c>
      <c r="Z25" s="4">
        <v>2.9990000000000001</v>
      </c>
      <c r="AA25" s="4">
        <v>4.5780000000000003</v>
      </c>
      <c r="AB25" s="4">
        <v>3.427</v>
      </c>
      <c r="AC25" s="4">
        <v>3.0339999999999998</v>
      </c>
      <c r="AD25" s="4">
        <v>4.2450000000000001</v>
      </c>
      <c r="AE25" s="4">
        <v>2.4820000000000002</v>
      </c>
      <c r="AF25" s="4">
        <v>4.1840000000000002</v>
      </c>
      <c r="AG25" s="4">
        <v>3.3039999999999998</v>
      </c>
      <c r="AH25">
        <v>3.319</v>
      </c>
    </row>
    <row r="26" spans="1:34" ht="14.5" x14ac:dyDescent="0.35">
      <c r="A26" s="80">
        <v>46813</v>
      </c>
      <c r="B26" s="34">
        <v>5</v>
      </c>
      <c r="C26" s="12">
        <v>5</v>
      </c>
      <c r="D26" s="11">
        <v>5</v>
      </c>
      <c r="E26">
        <v>3.3570000000000002</v>
      </c>
      <c r="F26">
        <v>5.181</v>
      </c>
      <c r="G26">
        <v>4.6559999999999997</v>
      </c>
      <c r="H26" s="4">
        <v>5.5910000000000002</v>
      </c>
      <c r="I26" s="4">
        <v>5.3540000000000001</v>
      </c>
      <c r="J26" s="4">
        <v>4.9379999999999997</v>
      </c>
      <c r="K26" s="4">
        <v>4.1449999999999996</v>
      </c>
      <c r="L26" s="4">
        <v>4.12</v>
      </c>
      <c r="M26" s="4">
        <v>3.153</v>
      </c>
      <c r="N26" s="4">
        <v>2.88</v>
      </c>
      <c r="O26" s="4">
        <v>2.746</v>
      </c>
      <c r="P26" s="4">
        <v>4.9269999999999996</v>
      </c>
      <c r="Q26" s="4">
        <v>2.8340000000000001</v>
      </c>
      <c r="R26" s="4">
        <v>3.3490000000000002</v>
      </c>
      <c r="S26" s="4">
        <v>5.9720000000000004</v>
      </c>
      <c r="T26" s="4">
        <v>2.74</v>
      </c>
      <c r="U26" s="4">
        <v>5.306</v>
      </c>
      <c r="V26" s="4">
        <v>3.3610000000000002</v>
      </c>
      <c r="W26" s="4">
        <v>3.3530000000000002</v>
      </c>
      <c r="X26" s="4">
        <v>5.4749999999999996</v>
      </c>
      <c r="Y26" s="4">
        <v>2.2269999999999999</v>
      </c>
      <c r="Z26" s="4">
        <v>2.8860000000000001</v>
      </c>
      <c r="AA26" s="4">
        <v>5.7750000000000004</v>
      </c>
      <c r="AB26" s="4">
        <v>4.0529999999999999</v>
      </c>
      <c r="AC26" s="4">
        <v>4.9029999999999996</v>
      </c>
      <c r="AD26" s="4">
        <v>4.3520000000000003</v>
      </c>
      <c r="AE26" s="4">
        <v>2.4289999999999998</v>
      </c>
      <c r="AF26" s="4">
        <v>4.43</v>
      </c>
      <c r="AG26" s="4">
        <v>3.4009999999999998</v>
      </c>
      <c r="AH26">
        <v>3.827</v>
      </c>
    </row>
    <row r="27" spans="1:34" ht="14.5" x14ac:dyDescent="0.35">
      <c r="A27" s="80">
        <v>46844</v>
      </c>
      <c r="B27" s="34">
        <v>9</v>
      </c>
      <c r="C27" s="12">
        <v>9</v>
      </c>
      <c r="D27" s="11">
        <v>9</v>
      </c>
      <c r="E27">
        <v>6.5519999999999996</v>
      </c>
      <c r="F27">
        <v>9.0709999999999997</v>
      </c>
      <c r="G27">
        <v>6.1280000000000001</v>
      </c>
      <c r="H27" s="4">
        <v>9.9949999999999992</v>
      </c>
      <c r="I27" s="4">
        <v>7.75</v>
      </c>
      <c r="J27" s="4">
        <v>6.8049999999999997</v>
      </c>
      <c r="K27" s="4">
        <v>6.1239999999999997</v>
      </c>
      <c r="L27" s="4">
        <v>9.6110000000000007</v>
      </c>
      <c r="M27" s="4">
        <v>7</v>
      </c>
      <c r="N27" s="4">
        <v>7.4740000000000002</v>
      </c>
      <c r="O27" s="4">
        <v>5.7809999999999997</v>
      </c>
      <c r="P27" s="4">
        <v>9.9830000000000005</v>
      </c>
      <c r="Q27" s="4">
        <v>6.4710000000000001</v>
      </c>
      <c r="R27" s="4">
        <v>9.3859999999999992</v>
      </c>
      <c r="S27" s="4">
        <v>9.7759999999999998</v>
      </c>
      <c r="T27" s="4">
        <v>3.573</v>
      </c>
      <c r="U27" s="4">
        <v>7.3040000000000003</v>
      </c>
      <c r="V27" s="4">
        <v>6.6950000000000003</v>
      </c>
      <c r="W27" s="4">
        <v>6.39</v>
      </c>
      <c r="X27" s="4">
        <v>12.805999999999999</v>
      </c>
      <c r="Y27" s="4">
        <v>4.4649999999999999</v>
      </c>
      <c r="Z27" s="4">
        <v>5.3810000000000002</v>
      </c>
      <c r="AA27" s="4">
        <v>9.6980000000000004</v>
      </c>
      <c r="AB27" s="4">
        <v>6.867</v>
      </c>
      <c r="AC27" s="4">
        <v>9.6150000000000002</v>
      </c>
      <c r="AD27" s="4">
        <v>7.39</v>
      </c>
      <c r="AE27" s="4">
        <v>6.3540000000000001</v>
      </c>
      <c r="AF27" s="4">
        <v>7.0179999999999998</v>
      </c>
      <c r="AG27" s="4">
        <v>6.5640000000000001</v>
      </c>
      <c r="AH27">
        <v>9.1370000000000005</v>
      </c>
    </row>
    <row r="28" spans="1:34" ht="14.5" x14ac:dyDescent="0.35">
      <c r="A28" s="80">
        <v>46874</v>
      </c>
      <c r="B28" s="34">
        <v>26</v>
      </c>
      <c r="C28" s="12">
        <v>26</v>
      </c>
      <c r="D28" s="11">
        <v>26</v>
      </c>
      <c r="E28">
        <v>32.429000000000002</v>
      </c>
      <c r="F28">
        <v>30.975000000000001</v>
      </c>
      <c r="G28">
        <v>29.117000000000001</v>
      </c>
      <c r="H28" s="4">
        <v>56.466999999999999</v>
      </c>
      <c r="I28" s="4">
        <v>39.299999999999997</v>
      </c>
      <c r="J28" s="4">
        <v>23.759</v>
      </c>
      <c r="K28" s="4">
        <v>22.440999999999999</v>
      </c>
      <c r="L28" s="4">
        <v>33.845999999999997</v>
      </c>
      <c r="M28" s="4">
        <v>25.861000000000001</v>
      </c>
      <c r="N28" s="4">
        <v>17.683</v>
      </c>
      <c r="O28" s="4">
        <v>21.231999999999999</v>
      </c>
      <c r="P28" s="4">
        <v>27.664000000000001</v>
      </c>
      <c r="Q28" s="4">
        <v>25.085999999999999</v>
      </c>
      <c r="R28" s="4">
        <v>32.317</v>
      </c>
      <c r="S28" s="4">
        <v>29.491</v>
      </c>
      <c r="T28" s="4">
        <v>24.474</v>
      </c>
      <c r="U28" s="4">
        <v>39.252000000000002</v>
      </c>
      <c r="V28" s="4">
        <v>16.870999999999999</v>
      </c>
      <c r="W28" s="4">
        <v>20.876999999999999</v>
      </c>
      <c r="X28" s="4">
        <v>24.463999999999999</v>
      </c>
      <c r="Y28" s="4">
        <v>16.077000000000002</v>
      </c>
      <c r="Z28" s="4">
        <v>28.367000000000001</v>
      </c>
      <c r="AA28" s="4">
        <v>20.309000000000001</v>
      </c>
      <c r="AB28" s="4">
        <v>17.04</v>
      </c>
      <c r="AC28" s="4">
        <v>32.579000000000001</v>
      </c>
      <c r="AD28" s="4">
        <v>30.798999999999999</v>
      </c>
      <c r="AE28" s="4">
        <v>20.321000000000002</v>
      </c>
      <c r="AF28" s="4">
        <v>26.507999999999999</v>
      </c>
      <c r="AG28" s="4">
        <v>22.116</v>
      </c>
      <c r="AH28">
        <v>26.847000000000001</v>
      </c>
    </row>
    <row r="29" spans="1:34" ht="14.5" x14ac:dyDescent="0.35">
      <c r="A29" s="80">
        <v>46905</v>
      </c>
      <c r="B29" s="34">
        <v>40</v>
      </c>
      <c r="C29" s="12">
        <v>40</v>
      </c>
      <c r="D29" s="11">
        <v>40</v>
      </c>
      <c r="E29">
        <v>63.347000000000001</v>
      </c>
      <c r="F29">
        <v>41.180999999999997</v>
      </c>
      <c r="G29">
        <v>83.665999999999997</v>
      </c>
      <c r="H29" s="4">
        <v>61.616</v>
      </c>
      <c r="I29" s="4">
        <v>72.343000000000004</v>
      </c>
      <c r="J29" s="4">
        <v>31.614999999999998</v>
      </c>
      <c r="K29" s="4">
        <v>47.664000000000001</v>
      </c>
      <c r="L29" s="4">
        <v>25.594000000000001</v>
      </c>
      <c r="M29" s="4">
        <v>25.206</v>
      </c>
      <c r="N29" s="4">
        <v>12.641</v>
      </c>
      <c r="O29" s="4">
        <v>33.344000000000001</v>
      </c>
      <c r="P29" s="4">
        <v>22.029</v>
      </c>
      <c r="Q29" s="4">
        <v>34.917000000000002</v>
      </c>
      <c r="R29" s="4">
        <v>35.860999999999997</v>
      </c>
      <c r="S29" s="4">
        <v>27.823</v>
      </c>
      <c r="T29" s="4">
        <v>74.778999999999996</v>
      </c>
      <c r="U29" s="4">
        <v>41.284999999999997</v>
      </c>
      <c r="V29" s="4">
        <v>41.133000000000003</v>
      </c>
      <c r="W29" s="4">
        <v>66.174999999999997</v>
      </c>
      <c r="X29" s="4">
        <v>11.598000000000001</v>
      </c>
      <c r="Y29" s="4">
        <v>28.617000000000001</v>
      </c>
      <c r="Z29" s="4">
        <v>50.493000000000002</v>
      </c>
      <c r="AA29" s="4">
        <v>51.524999999999999</v>
      </c>
      <c r="AB29" s="4">
        <v>41.779000000000003</v>
      </c>
      <c r="AC29" s="4">
        <v>52.87</v>
      </c>
      <c r="AD29" s="4">
        <v>18.055</v>
      </c>
      <c r="AE29" s="4">
        <v>57.024999999999999</v>
      </c>
      <c r="AF29" s="4">
        <v>33.283000000000001</v>
      </c>
      <c r="AG29" s="4">
        <v>41.978999999999999</v>
      </c>
      <c r="AH29">
        <v>26.369</v>
      </c>
    </row>
    <row r="30" spans="1:34" ht="14.5" x14ac:dyDescent="0.35">
      <c r="A30" s="80">
        <v>46935</v>
      </c>
      <c r="B30" s="34">
        <v>15</v>
      </c>
      <c r="C30" s="12">
        <v>15</v>
      </c>
      <c r="D30" s="11">
        <v>15</v>
      </c>
      <c r="E30">
        <v>31.082999999999998</v>
      </c>
      <c r="F30">
        <v>15.215</v>
      </c>
      <c r="G30">
        <v>72.397999999999996</v>
      </c>
      <c r="H30" s="4">
        <v>23.641999999999999</v>
      </c>
      <c r="I30" s="4">
        <v>26.385999999999999</v>
      </c>
      <c r="J30" s="4">
        <v>15.72</v>
      </c>
      <c r="K30" s="4">
        <v>29.036000000000001</v>
      </c>
      <c r="L30" s="4">
        <v>10.746</v>
      </c>
      <c r="M30" s="4">
        <v>9.8420000000000005</v>
      </c>
      <c r="N30" s="4">
        <v>6.1079999999999997</v>
      </c>
      <c r="O30" s="4">
        <v>11.976000000000001</v>
      </c>
      <c r="P30" s="4">
        <v>9.1389999999999993</v>
      </c>
      <c r="Q30" s="4">
        <v>14.625</v>
      </c>
      <c r="R30" s="4">
        <v>12.635</v>
      </c>
      <c r="S30" s="4">
        <v>11.691000000000001</v>
      </c>
      <c r="T30" s="4">
        <v>36.892000000000003</v>
      </c>
      <c r="U30" s="4">
        <v>21.306999999999999</v>
      </c>
      <c r="V30" s="4">
        <v>13.624000000000001</v>
      </c>
      <c r="W30" s="4">
        <v>40.670999999999999</v>
      </c>
      <c r="X30" s="4">
        <v>7.2169999999999996</v>
      </c>
      <c r="Y30" s="4">
        <v>11.579000000000001</v>
      </c>
      <c r="Z30" s="4">
        <v>18.119</v>
      </c>
      <c r="AA30" s="4">
        <v>17.893000000000001</v>
      </c>
      <c r="AB30" s="4">
        <v>15.07</v>
      </c>
      <c r="AC30" s="4">
        <v>19.899999999999999</v>
      </c>
      <c r="AD30" s="4">
        <v>8.11</v>
      </c>
      <c r="AE30" s="4">
        <v>36.853000000000002</v>
      </c>
      <c r="AF30" s="4">
        <v>12.234</v>
      </c>
      <c r="AG30" s="4">
        <v>16.452999999999999</v>
      </c>
      <c r="AH30">
        <v>12.939</v>
      </c>
    </row>
    <row r="31" spans="1:34" ht="14.5" x14ac:dyDescent="0.35">
      <c r="A31" s="80">
        <v>46966</v>
      </c>
      <c r="B31" s="34">
        <v>8</v>
      </c>
      <c r="C31" s="12">
        <v>8</v>
      </c>
      <c r="D31" s="11">
        <v>8</v>
      </c>
      <c r="E31">
        <v>12.196999999999999</v>
      </c>
      <c r="F31">
        <v>7.74</v>
      </c>
      <c r="G31">
        <v>23.166</v>
      </c>
      <c r="H31" s="4">
        <v>10.782999999999999</v>
      </c>
      <c r="I31" s="4">
        <v>13.182</v>
      </c>
      <c r="J31" s="4">
        <v>8.0749999999999993</v>
      </c>
      <c r="K31" s="4">
        <v>12.144</v>
      </c>
      <c r="L31" s="4">
        <v>7.0350000000000001</v>
      </c>
      <c r="M31" s="4">
        <v>6.8380000000000001</v>
      </c>
      <c r="N31" s="4">
        <v>4.2460000000000004</v>
      </c>
      <c r="O31" s="4">
        <v>6.61</v>
      </c>
      <c r="P31" s="4">
        <v>5.9870000000000001</v>
      </c>
      <c r="Q31" s="4">
        <v>8.7289999999999992</v>
      </c>
      <c r="R31" s="4">
        <v>8.0069999999999997</v>
      </c>
      <c r="S31" s="4">
        <v>7.3650000000000002</v>
      </c>
      <c r="T31" s="4">
        <v>13.096</v>
      </c>
      <c r="U31" s="4">
        <v>9.5250000000000004</v>
      </c>
      <c r="V31" s="4">
        <v>8.7550000000000008</v>
      </c>
      <c r="W31" s="4">
        <v>14.459</v>
      </c>
      <c r="X31" s="4">
        <v>5.3879999999999999</v>
      </c>
      <c r="Y31" s="4">
        <v>7.1920000000000002</v>
      </c>
      <c r="Z31" s="4">
        <v>9.6300000000000008</v>
      </c>
      <c r="AA31" s="4">
        <v>8.48</v>
      </c>
      <c r="AB31" s="4">
        <v>8.1959999999999997</v>
      </c>
      <c r="AC31" s="4">
        <v>11.829000000000001</v>
      </c>
      <c r="AD31" s="4">
        <v>5.59</v>
      </c>
      <c r="AE31" s="4">
        <v>13.167</v>
      </c>
      <c r="AF31" s="4">
        <v>7.3949999999999996</v>
      </c>
      <c r="AG31" s="4">
        <v>7.9749999999999996</v>
      </c>
      <c r="AH31">
        <v>8.58</v>
      </c>
    </row>
    <row r="32" spans="1:34" ht="14.5" x14ac:dyDescent="0.35">
      <c r="A32" s="80">
        <v>46997</v>
      </c>
      <c r="B32" s="34">
        <v>7</v>
      </c>
      <c r="C32" s="12">
        <v>7</v>
      </c>
      <c r="D32" s="11">
        <v>7</v>
      </c>
      <c r="E32">
        <v>8.8190000000000008</v>
      </c>
      <c r="F32">
        <v>6.2539999999999996</v>
      </c>
      <c r="G32">
        <v>13.356</v>
      </c>
      <c r="H32" s="4">
        <v>8.1539999999999999</v>
      </c>
      <c r="I32" s="4">
        <v>8.9489999999999998</v>
      </c>
      <c r="J32" s="4">
        <v>5.7439999999999998</v>
      </c>
      <c r="K32" s="4">
        <v>7.6029999999999998</v>
      </c>
      <c r="L32" s="4">
        <v>5.431</v>
      </c>
      <c r="M32" s="4">
        <v>5.093</v>
      </c>
      <c r="N32" s="4">
        <v>3.6259999999999999</v>
      </c>
      <c r="O32" s="4">
        <v>7.2619999999999996</v>
      </c>
      <c r="P32" s="4">
        <v>4.8840000000000003</v>
      </c>
      <c r="Q32" s="4">
        <v>5.8760000000000003</v>
      </c>
      <c r="R32" s="4">
        <v>6.6340000000000003</v>
      </c>
      <c r="S32" s="4">
        <v>6.3520000000000003</v>
      </c>
      <c r="T32" s="4">
        <v>8.3149999999999995</v>
      </c>
      <c r="U32" s="4">
        <v>6.782</v>
      </c>
      <c r="V32" s="4">
        <v>5.77</v>
      </c>
      <c r="W32" s="4">
        <v>8.3490000000000002</v>
      </c>
      <c r="X32" s="4">
        <v>4.7300000000000004</v>
      </c>
      <c r="Y32" s="4">
        <v>6.4279999999999999</v>
      </c>
      <c r="Z32" s="4">
        <v>9.18</v>
      </c>
      <c r="AA32" s="4">
        <v>6.4610000000000003</v>
      </c>
      <c r="AB32" s="4">
        <v>5.9720000000000004</v>
      </c>
      <c r="AC32" s="4">
        <v>7.4210000000000003</v>
      </c>
      <c r="AD32" s="4">
        <v>4.6639999999999997</v>
      </c>
      <c r="AE32" s="4">
        <v>7.8579999999999997</v>
      </c>
      <c r="AF32" s="4">
        <v>7.3150000000000004</v>
      </c>
      <c r="AG32" s="4">
        <v>5.7809999999999997</v>
      </c>
      <c r="AH32">
        <v>6.51</v>
      </c>
    </row>
    <row r="33" spans="1:34" ht="14.5" x14ac:dyDescent="0.35">
      <c r="A33" s="80">
        <v>47027</v>
      </c>
      <c r="B33" s="34">
        <v>8</v>
      </c>
      <c r="C33" s="12">
        <v>6</v>
      </c>
      <c r="D33" s="11">
        <v>7</v>
      </c>
      <c r="E33">
        <v>8.2739999999999991</v>
      </c>
      <c r="F33">
        <v>7.2370000000000001</v>
      </c>
      <c r="G33">
        <v>10.965999999999999</v>
      </c>
      <c r="H33" s="4">
        <v>7.915</v>
      </c>
      <c r="I33" s="4">
        <v>8.3469999999999995</v>
      </c>
      <c r="J33" s="4">
        <v>6.53</v>
      </c>
      <c r="K33" s="4">
        <v>6.5350000000000001</v>
      </c>
      <c r="L33" s="4">
        <v>4.9729999999999999</v>
      </c>
      <c r="M33" s="4">
        <v>4.46</v>
      </c>
      <c r="N33" s="4">
        <v>4.4539999999999997</v>
      </c>
      <c r="O33" s="4">
        <v>5.4089999999999998</v>
      </c>
      <c r="P33" s="4">
        <v>5.0270000000000001</v>
      </c>
      <c r="Q33" s="4">
        <v>6.5579999999999998</v>
      </c>
      <c r="R33" s="4">
        <v>8.5030000000000001</v>
      </c>
      <c r="S33" s="4">
        <v>6.22</v>
      </c>
      <c r="T33" s="4">
        <v>7.91</v>
      </c>
      <c r="U33" s="4">
        <v>7.298</v>
      </c>
      <c r="V33" s="4">
        <v>5.3280000000000003</v>
      </c>
      <c r="W33" s="4">
        <v>7.7590000000000003</v>
      </c>
      <c r="X33" s="4">
        <v>4.3019999999999996</v>
      </c>
      <c r="Y33" s="4">
        <v>6.5339999999999998</v>
      </c>
      <c r="Z33" s="4">
        <v>10.721</v>
      </c>
      <c r="AA33" s="4">
        <v>5.5309999999999997</v>
      </c>
      <c r="AB33" s="4">
        <v>5.1920000000000002</v>
      </c>
      <c r="AC33" s="4">
        <v>7.7830000000000004</v>
      </c>
      <c r="AD33" s="4">
        <v>4.6779999999999999</v>
      </c>
      <c r="AE33" s="4">
        <v>6.6639999999999997</v>
      </c>
      <c r="AF33" s="4">
        <v>6.7220000000000004</v>
      </c>
      <c r="AG33" s="4">
        <v>5.1470000000000002</v>
      </c>
      <c r="AH33">
        <v>4.9820000000000002</v>
      </c>
    </row>
    <row r="34" spans="1:34" ht="14.5" x14ac:dyDescent="0.35">
      <c r="A34" s="80">
        <v>47058</v>
      </c>
      <c r="B34" s="33">
        <v>5</v>
      </c>
      <c r="C34" s="8">
        <v>5</v>
      </c>
      <c r="D34" s="11">
        <v>5</v>
      </c>
      <c r="E34">
        <v>6.7569999999999997</v>
      </c>
      <c r="F34">
        <v>5.7690000000000001</v>
      </c>
      <c r="G34">
        <v>8.1859999999999999</v>
      </c>
      <c r="H34" s="4">
        <v>7.4969999999999999</v>
      </c>
      <c r="I34" s="4">
        <v>6.8739999999999997</v>
      </c>
      <c r="J34" s="4">
        <v>5.0869999999999997</v>
      </c>
      <c r="K34" s="4">
        <v>5.5510000000000002</v>
      </c>
      <c r="L34" s="4">
        <v>4.1859999999999999</v>
      </c>
      <c r="M34" s="4">
        <v>4.5460000000000003</v>
      </c>
      <c r="N34" s="4">
        <v>3.1259999999999999</v>
      </c>
      <c r="O34" s="4">
        <v>4.2190000000000003</v>
      </c>
      <c r="P34" s="4">
        <v>4.3179999999999996</v>
      </c>
      <c r="Q34" s="4">
        <v>5.681</v>
      </c>
      <c r="R34" s="4">
        <v>6.0309999999999997</v>
      </c>
      <c r="S34" s="4">
        <v>5.07</v>
      </c>
      <c r="T34" s="4">
        <v>6.6449999999999996</v>
      </c>
      <c r="U34" s="4">
        <v>6.194</v>
      </c>
      <c r="V34" s="4">
        <v>5.3810000000000002</v>
      </c>
      <c r="W34" s="4">
        <v>6.4260000000000002</v>
      </c>
      <c r="X34" s="4">
        <v>3.6629999999999998</v>
      </c>
      <c r="Y34" s="4">
        <v>4.5019999999999998</v>
      </c>
      <c r="Z34" s="4">
        <v>6.8079999999999998</v>
      </c>
      <c r="AA34" s="4">
        <v>4.7560000000000002</v>
      </c>
      <c r="AB34" s="4">
        <v>4.4009999999999998</v>
      </c>
      <c r="AC34" s="4">
        <v>6.444</v>
      </c>
      <c r="AD34" s="4">
        <v>4.3029999999999999</v>
      </c>
      <c r="AE34" s="4">
        <v>5.8159999999999998</v>
      </c>
      <c r="AF34" s="4">
        <v>6.7270000000000003</v>
      </c>
      <c r="AG34" s="4">
        <v>4.5090000000000003</v>
      </c>
      <c r="AH34">
        <v>4.1769999999999996</v>
      </c>
    </row>
    <row r="35" spans="1:34" ht="14.5" x14ac:dyDescent="0.35">
      <c r="A35" s="80">
        <v>47088</v>
      </c>
      <c r="B35" s="33">
        <v>4</v>
      </c>
      <c r="C35" s="8">
        <v>4</v>
      </c>
      <c r="D35" s="11">
        <v>4</v>
      </c>
      <c r="E35">
        <v>5.8159999999999998</v>
      </c>
      <c r="F35">
        <v>4.9909999999999997</v>
      </c>
      <c r="G35">
        <v>7.5410000000000004</v>
      </c>
      <c r="H35" s="4">
        <v>6.5720000000000001</v>
      </c>
      <c r="I35" s="4">
        <v>6.1580000000000004</v>
      </c>
      <c r="J35" s="4">
        <v>4.907</v>
      </c>
      <c r="K35" s="4">
        <v>5.0220000000000002</v>
      </c>
      <c r="L35" s="4">
        <v>3.891</v>
      </c>
      <c r="M35" s="4">
        <v>3.8119999999999998</v>
      </c>
      <c r="N35" s="4">
        <v>2.7730000000000001</v>
      </c>
      <c r="O35" s="4">
        <v>3.8460000000000001</v>
      </c>
      <c r="P35" s="4">
        <v>3.718</v>
      </c>
      <c r="Q35" s="4">
        <v>4.5449999999999999</v>
      </c>
      <c r="R35" s="4">
        <v>4.8390000000000004</v>
      </c>
      <c r="S35" s="4">
        <v>4.0839999999999996</v>
      </c>
      <c r="T35" s="4">
        <v>5.8959999999999999</v>
      </c>
      <c r="U35" s="4">
        <v>5.13</v>
      </c>
      <c r="V35" s="4">
        <v>4.4740000000000002</v>
      </c>
      <c r="W35" s="4">
        <v>5.7539999999999996</v>
      </c>
      <c r="X35" s="4">
        <v>3.3340000000000001</v>
      </c>
      <c r="Y35" s="4">
        <v>3.8660000000000001</v>
      </c>
      <c r="Z35" s="4">
        <v>5.3550000000000004</v>
      </c>
      <c r="AA35" s="4">
        <v>4.5</v>
      </c>
      <c r="AB35" s="4">
        <v>4.05</v>
      </c>
      <c r="AC35" s="4">
        <v>5.9409999999999998</v>
      </c>
      <c r="AD35" s="4">
        <v>3.6709999999999998</v>
      </c>
      <c r="AE35" s="4">
        <v>5.4669999999999996</v>
      </c>
      <c r="AF35" s="4">
        <v>5.27</v>
      </c>
      <c r="AG35" s="4">
        <v>4.2699999999999996</v>
      </c>
      <c r="AH35">
        <v>3.863</v>
      </c>
    </row>
    <row r="36" spans="1:34" ht="14.5" x14ac:dyDescent="0.35">
      <c r="A36" s="80">
        <v>47119</v>
      </c>
      <c r="B36" s="15">
        <v>5</v>
      </c>
      <c r="C36" s="13">
        <v>5</v>
      </c>
      <c r="D36" s="14">
        <v>5</v>
      </c>
      <c r="E36" s="4">
        <v>5.2519999999999998</v>
      </c>
      <c r="F36" s="4">
        <v>4.4569999999999999</v>
      </c>
      <c r="G36" s="4">
        <v>6.508</v>
      </c>
      <c r="H36" s="4">
        <v>5.5960000000000001</v>
      </c>
      <c r="I36" s="4">
        <v>5.5579999999999998</v>
      </c>
      <c r="J36" s="4">
        <v>4.1459999999999999</v>
      </c>
      <c r="K36" s="4">
        <v>4.62</v>
      </c>
      <c r="L36" s="4">
        <v>3.5750000000000002</v>
      </c>
      <c r="M36" s="4">
        <v>3.395</v>
      </c>
      <c r="N36" s="4">
        <v>2.5459999999999998</v>
      </c>
      <c r="O36" s="4">
        <v>3.4449999999999998</v>
      </c>
      <c r="P36" s="4">
        <v>3.36</v>
      </c>
      <c r="Q36" s="4">
        <v>3.9830000000000001</v>
      </c>
      <c r="R36" s="4">
        <v>4.2279999999999998</v>
      </c>
      <c r="S36" s="4">
        <v>3.5390000000000001</v>
      </c>
      <c r="T36" s="4">
        <v>5.2910000000000004</v>
      </c>
      <c r="U36" s="4">
        <v>4.5999999999999996</v>
      </c>
      <c r="V36" s="4">
        <v>3.9380000000000002</v>
      </c>
      <c r="W36" s="4">
        <v>5.282</v>
      </c>
      <c r="X36" s="4">
        <v>3.0379999999999998</v>
      </c>
      <c r="Y36" s="4">
        <v>3.5259999999999998</v>
      </c>
      <c r="Z36" s="4">
        <v>4.7670000000000003</v>
      </c>
      <c r="AA36" s="4">
        <v>4.1269999999999998</v>
      </c>
      <c r="AB36" s="4">
        <v>3.6339999999999999</v>
      </c>
      <c r="AC36" s="4">
        <v>5.0469999999999997</v>
      </c>
      <c r="AD36" s="4">
        <v>3.3290000000000002</v>
      </c>
      <c r="AE36">
        <v>4.9710000000000001</v>
      </c>
      <c r="AF36" s="4">
        <v>4.3330000000000002</v>
      </c>
      <c r="AG36" s="4">
        <v>3.903</v>
      </c>
      <c r="AH36" s="4">
        <v>3.55</v>
      </c>
    </row>
    <row r="37" spans="1:34" ht="14.5" x14ac:dyDescent="0.35">
      <c r="A37" s="80">
        <v>47150</v>
      </c>
      <c r="B37" s="15">
        <v>4</v>
      </c>
      <c r="C37" s="13">
        <v>4</v>
      </c>
      <c r="D37" s="14">
        <v>4</v>
      </c>
      <c r="E37" s="4">
        <v>4.3630000000000004</v>
      </c>
      <c r="F37" s="4">
        <v>3.81</v>
      </c>
      <c r="G37" s="4">
        <v>5.3</v>
      </c>
      <c r="H37" s="4">
        <v>4.5570000000000004</v>
      </c>
      <c r="I37" s="4">
        <v>4.5650000000000004</v>
      </c>
      <c r="J37" s="4">
        <v>3.456</v>
      </c>
      <c r="K37" s="4">
        <v>3.8540000000000001</v>
      </c>
      <c r="L37" s="4">
        <v>2.9860000000000002</v>
      </c>
      <c r="M37" s="4">
        <v>2.7879999999999998</v>
      </c>
      <c r="N37" s="4">
        <v>2.2599999999999998</v>
      </c>
      <c r="O37" s="4">
        <v>2.843</v>
      </c>
      <c r="P37" s="4">
        <v>2.7749999999999999</v>
      </c>
      <c r="Q37" s="4">
        <v>3.2519999999999998</v>
      </c>
      <c r="R37" s="4">
        <v>3.5249999999999999</v>
      </c>
      <c r="S37" s="4">
        <v>2.8730000000000002</v>
      </c>
      <c r="T37" s="4">
        <v>4.3769999999999998</v>
      </c>
      <c r="U37" s="4">
        <v>3.782</v>
      </c>
      <c r="V37" s="4">
        <v>3.2240000000000002</v>
      </c>
      <c r="W37" s="4">
        <v>4.3319999999999999</v>
      </c>
      <c r="X37" s="4">
        <v>2.573</v>
      </c>
      <c r="Y37" s="4">
        <v>2.9060000000000001</v>
      </c>
      <c r="Z37" s="4">
        <v>4.516</v>
      </c>
      <c r="AA37" s="4">
        <v>3.59</v>
      </c>
      <c r="AB37" s="4">
        <v>3.03</v>
      </c>
      <c r="AC37" s="4">
        <v>4.2329999999999997</v>
      </c>
      <c r="AD37" s="4">
        <v>2.778</v>
      </c>
      <c r="AE37">
        <v>4.0880000000000001</v>
      </c>
      <c r="AF37" s="4">
        <v>3.5670000000000002</v>
      </c>
      <c r="AG37" s="4">
        <v>3.335</v>
      </c>
      <c r="AH37" s="4">
        <v>2.9780000000000002</v>
      </c>
    </row>
    <row r="38" spans="1:34" ht="14.5" x14ac:dyDescent="0.35">
      <c r="A38" s="80">
        <v>47178</v>
      </c>
      <c r="B38" s="15">
        <v>5</v>
      </c>
      <c r="C38" s="13">
        <v>5</v>
      </c>
      <c r="D38" s="14">
        <v>5</v>
      </c>
      <c r="E38" s="4">
        <v>5.2370000000000001</v>
      </c>
      <c r="F38" s="4">
        <v>5.1989999999999998</v>
      </c>
      <c r="G38" s="4">
        <v>5.6669999999999998</v>
      </c>
      <c r="H38" s="4">
        <v>5.7480000000000002</v>
      </c>
      <c r="I38" s="4">
        <v>5.2610000000000001</v>
      </c>
      <c r="J38" s="4">
        <v>4.6319999999999997</v>
      </c>
      <c r="K38" s="4">
        <v>4.2699999999999996</v>
      </c>
      <c r="L38" s="4">
        <v>3.4510000000000001</v>
      </c>
      <c r="M38" s="4">
        <v>2.992</v>
      </c>
      <c r="N38" s="4">
        <v>2.8919999999999999</v>
      </c>
      <c r="O38" s="4">
        <v>4.9080000000000004</v>
      </c>
      <c r="P38" s="4">
        <v>2.9849999999999999</v>
      </c>
      <c r="Q38" s="4">
        <v>3.4729999999999999</v>
      </c>
      <c r="R38" s="4">
        <v>6.1630000000000003</v>
      </c>
      <c r="S38" s="4">
        <v>2.9039999999999999</v>
      </c>
      <c r="T38" s="4">
        <v>5.343</v>
      </c>
      <c r="U38" s="4">
        <v>3.8370000000000002</v>
      </c>
      <c r="V38" s="4">
        <v>3.5619999999999998</v>
      </c>
      <c r="W38" s="4">
        <v>5.577</v>
      </c>
      <c r="X38" s="4">
        <v>2.7719999999999998</v>
      </c>
      <c r="Y38" s="4">
        <v>2.9</v>
      </c>
      <c r="Z38" s="4">
        <v>5.8659999999999997</v>
      </c>
      <c r="AA38" s="4">
        <v>4.351</v>
      </c>
      <c r="AB38" s="4">
        <v>4.9119999999999999</v>
      </c>
      <c r="AC38" s="4">
        <v>4.4930000000000003</v>
      </c>
      <c r="AD38" s="4">
        <v>2.8159999999999998</v>
      </c>
      <c r="AE38">
        <v>4.5119999999999996</v>
      </c>
      <c r="AF38" s="4">
        <v>3.7559999999999998</v>
      </c>
      <c r="AG38" s="4">
        <v>3.9660000000000002</v>
      </c>
      <c r="AH38" s="4">
        <v>3.5390000000000001</v>
      </c>
    </row>
    <row r="39" spans="1:34" ht="14.5" x14ac:dyDescent="0.35">
      <c r="A39" s="80">
        <v>47209</v>
      </c>
      <c r="B39" s="15">
        <v>9</v>
      </c>
      <c r="C39" s="13">
        <v>9</v>
      </c>
      <c r="D39" s="14">
        <v>9</v>
      </c>
      <c r="E39" s="4">
        <v>9.1150000000000002</v>
      </c>
      <c r="F39" s="4">
        <v>6.6580000000000004</v>
      </c>
      <c r="G39" s="4">
        <v>10.063000000000001</v>
      </c>
      <c r="H39" s="4">
        <v>8.1170000000000009</v>
      </c>
      <c r="I39" s="4">
        <v>7.141</v>
      </c>
      <c r="J39" s="4">
        <v>6.6109999999999998</v>
      </c>
      <c r="K39" s="4">
        <v>9.75</v>
      </c>
      <c r="L39" s="4">
        <v>7.0750000000000002</v>
      </c>
      <c r="M39" s="4">
        <v>7.5430000000000001</v>
      </c>
      <c r="N39" s="4">
        <v>5.9020000000000001</v>
      </c>
      <c r="O39" s="4">
        <v>9.9429999999999996</v>
      </c>
      <c r="P39" s="4">
        <v>6.46</v>
      </c>
      <c r="Q39" s="4">
        <v>9.4789999999999992</v>
      </c>
      <c r="R39" s="4">
        <v>9.93</v>
      </c>
      <c r="S39" s="4">
        <v>3.7189999999999999</v>
      </c>
      <c r="T39" s="4">
        <v>7.069</v>
      </c>
      <c r="U39" s="4">
        <v>7.2220000000000004</v>
      </c>
      <c r="V39" s="4">
        <v>6.5949999999999998</v>
      </c>
      <c r="W39" s="4">
        <v>12.881</v>
      </c>
      <c r="X39" s="4">
        <v>4.84</v>
      </c>
      <c r="Y39" s="4">
        <v>5.3680000000000003</v>
      </c>
      <c r="Z39" s="4">
        <v>9.7490000000000006</v>
      </c>
      <c r="AA39" s="4">
        <v>7.173</v>
      </c>
      <c r="AB39" s="4">
        <v>9.6989999999999998</v>
      </c>
      <c r="AC39" s="4">
        <v>7.5179999999999998</v>
      </c>
      <c r="AD39" s="4">
        <v>6.7649999999999997</v>
      </c>
      <c r="AE39">
        <v>7.0789999999999997</v>
      </c>
      <c r="AF39" s="4">
        <v>6.915</v>
      </c>
      <c r="AG39" s="4">
        <v>9.2789999999999999</v>
      </c>
      <c r="AH39" s="4">
        <v>6.726</v>
      </c>
    </row>
    <row r="40" spans="1:34" ht="14.5" x14ac:dyDescent="0.35">
      <c r="A40" s="80">
        <v>47239</v>
      </c>
      <c r="B40" s="15">
        <v>26</v>
      </c>
      <c r="C40" s="13">
        <v>26</v>
      </c>
      <c r="D40" s="14">
        <v>26</v>
      </c>
      <c r="E40" s="4">
        <v>30.902000000000001</v>
      </c>
      <c r="F40" s="4">
        <v>30.276</v>
      </c>
      <c r="G40" s="4">
        <v>56.390999999999998</v>
      </c>
      <c r="H40" s="4">
        <v>38.697000000000003</v>
      </c>
      <c r="I40" s="4">
        <v>24.007000000000001</v>
      </c>
      <c r="J40" s="4">
        <v>23.22</v>
      </c>
      <c r="K40" s="4">
        <v>34.018000000000001</v>
      </c>
      <c r="L40" s="4">
        <v>25.849</v>
      </c>
      <c r="M40" s="4">
        <v>17.795999999999999</v>
      </c>
      <c r="N40" s="4">
        <v>21.491</v>
      </c>
      <c r="O40" s="4">
        <v>27.597000000000001</v>
      </c>
      <c r="P40" s="4">
        <v>24.51</v>
      </c>
      <c r="Q40" s="4">
        <v>32.494</v>
      </c>
      <c r="R40" s="4">
        <v>29.760999999999999</v>
      </c>
      <c r="S40" s="4">
        <v>24.71</v>
      </c>
      <c r="T40" s="4">
        <v>38.140999999999998</v>
      </c>
      <c r="U40" s="4">
        <v>17.434999999999999</v>
      </c>
      <c r="V40" s="4">
        <v>21.22</v>
      </c>
      <c r="W40" s="4">
        <v>24.541</v>
      </c>
      <c r="X40" s="4">
        <v>16.419</v>
      </c>
      <c r="Y40" s="4">
        <v>28.177</v>
      </c>
      <c r="Z40" s="4">
        <v>20.324999999999999</v>
      </c>
      <c r="AA40" s="4">
        <v>17.388000000000002</v>
      </c>
      <c r="AB40" s="4">
        <v>31.63</v>
      </c>
      <c r="AC40" s="4">
        <v>30.952000000000002</v>
      </c>
      <c r="AD40" s="4">
        <v>21.027999999999999</v>
      </c>
      <c r="AE40">
        <v>26.527999999999999</v>
      </c>
      <c r="AF40" s="4">
        <v>21.600999999999999</v>
      </c>
      <c r="AG40" s="4">
        <v>27.068000000000001</v>
      </c>
      <c r="AH40" s="4">
        <v>32.945999999999998</v>
      </c>
    </row>
    <row r="41" spans="1:34" ht="14.5" x14ac:dyDescent="0.35">
      <c r="A41" s="80">
        <v>47270</v>
      </c>
      <c r="B41" s="15">
        <v>40</v>
      </c>
      <c r="C41" s="13">
        <v>40</v>
      </c>
      <c r="D41" s="14">
        <v>40</v>
      </c>
      <c r="E41" s="4">
        <v>41.17</v>
      </c>
      <c r="F41" s="4">
        <v>84.998999999999995</v>
      </c>
      <c r="G41" s="4">
        <v>61.582999999999998</v>
      </c>
      <c r="H41" s="4">
        <v>73.048000000000002</v>
      </c>
      <c r="I41" s="4">
        <v>31.835000000000001</v>
      </c>
      <c r="J41" s="4">
        <v>48.44</v>
      </c>
      <c r="K41" s="4">
        <v>25.683</v>
      </c>
      <c r="L41" s="4">
        <v>26.004000000000001</v>
      </c>
      <c r="M41" s="4">
        <v>12.728</v>
      </c>
      <c r="N41" s="4">
        <v>33.640999999999998</v>
      </c>
      <c r="O41" s="4">
        <v>22.021000000000001</v>
      </c>
      <c r="P41" s="4">
        <v>35.491999999999997</v>
      </c>
      <c r="Q41" s="4">
        <v>35.984000000000002</v>
      </c>
      <c r="R41" s="4">
        <v>27.882000000000001</v>
      </c>
      <c r="S41" s="4">
        <v>75.198999999999998</v>
      </c>
      <c r="T41" s="4">
        <v>41.593000000000004</v>
      </c>
      <c r="U41" s="4">
        <v>41.741999999999997</v>
      </c>
      <c r="V41" s="4">
        <v>66.757999999999996</v>
      </c>
      <c r="W41" s="4">
        <v>11.651</v>
      </c>
      <c r="X41" s="4">
        <v>29.608000000000001</v>
      </c>
      <c r="Y41" s="4">
        <v>50.448</v>
      </c>
      <c r="Z41" s="4">
        <v>51.587000000000003</v>
      </c>
      <c r="AA41" s="4">
        <v>42.204999999999998</v>
      </c>
      <c r="AB41" s="4">
        <v>53.323999999999998</v>
      </c>
      <c r="AC41" s="4">
        <v>18.143000000000001</v>
      </c>
      <c r="AD41" s="4">
        <v>58.027999999999999</v>
      </c>
      <c r="AE41">
        <v>33.338000000000001</v>
      </c>
      <c r="AF41" s="4">
        <v>42.878</v>
      </c>
      <c r="AG41" s="4">
        <v>26.547999999999998</v>
      </c>
      <c r="AH41" s="4">
        <v>63.817999999999998</v>
      </c>
    </row>
    <row r="42" spans="1:34" ht="14.5" x14ac:dyDescent="0.35">
      <c r="A42" s="80">
        <v>47300</v>
      </c>
      <c r="B42" s="15">
        <v>15</v>
      </c>
      <c r="C42" s="13">
        <v>15</v>
      </c>
      <c r="D42" s="14">
        <v>15</v>
      </c>
      <c r="E42" s="4">
        <v>15.215</v>
      </c>
      <c r="F42" s="4">
        <v>72.787999999999997</v>
      </c>
      <c r="G42" s="4">
        <v>23.649000000000001</v>
      </c>
      <c r="H42" s="4">
        <v>27.605</v>
      </c>
      <c r="I42" s="4">
        <v>15.867000000000001</v>
      </c>
      <c r="J42" s="4">
        <v>29.381</v>
      </c>
      <c r="K42" s="4">
        <v>10.805999999999999</v>
      </c>
      <c r="L42" s="4">
        <v>10.193</v>
      </c>
      <c r="M42" s="4">
        <v>6.1609999999999996</v>
      </c>
      <c r="N42" s="4">
        <v>12.048</v>
      </c>
      <c r="O42" s="4">
        <v>9.1240000000000006</v>
      </c>
      <c r="P42" s="4">
        <v>15.105</v>
      </c>
      <c r="Q42" s="4">
        <v>12.673999999999999</v>
      </c>
      <c r="R42" s="4">
        <v>11.725</v>
      </c>
      <c r="S42" s="4">
        <v>37.012999999999998</v>
      </c>
      <c r="T42" s="4">
        <v>21.872</v>
      </c>
      <c r="U42" s="4">
        <v>13.898</v>
      </c>
      <c r="V42" s="4">
        <v>40.853000000000002</v>
      </c>
      <c r="W42" s="4">
        <v>7.2649999999999997</v>
      </c>
      <c r="X42" s="4">
        <v>12.148</v>
      </c>
      <c r="Y42" s="4">
        <v>18.079000000000001</v>
      </c>
      <c r="Z42" s="4">
        <v>17.916</v>
      </c>
      <c r="AA42" s="4">
        <v>15.25</v>
      </c>
      <c r="AB42" s="4">
        <v>20.405999999999999</v>
      </c>
      <c r="AC42" s="4">
        <v>8.1620000000000008</v>
      </c>
      <c r="AD42" s="4">
        <v>37.207000000000001</v>
      </c>
      <c r="AE42">
        <v>12.256</v>
      </c>
      <c r="AF42" s="4">
        <v>17.14</v>
      </c>
      <c r="AG42" s="4">
        <v>13.028</v>
      </c>
      <c r="AH42" s="4">
        <v>31.15</v>
      </c>
    </row>
    <row r="43" spans="1:34" ht="14.5" x14ac:dyDescent="0.35">
      <c r="A43" s="80">
        <v>47331</v>
      </c>
      <c r="B43" s="15">
        <v>8</v>
      </c>
      <c r="C43" s="13">
        <v>8</v>
      </c>
      <c r="D43" s="14">
        <v>8</v>
      </c>
      <c r="E43" s="4">
        <v>7.742</v>
      </c>
      <c r="F43" s="4">
        <v>23.297999999999998</v>
      </c>
      <c r="G43" s="4">
        <v>10.798999999999999</v>
      </c>
      <c r="H43" s="4">
        <v>13.491</v>
      </c>
      <c r="I43" s="4">
        <v>8.2089999999999996</v>
      </c>
      <c r="J43" s="4">
        <v>12.332000000000001</v>
      </c>
      <c r="K43" s="4">
        <v>7.0869999999999997</v>
      </c>
      <c r="L43" s="4">
        <v>7.02</v>
      </c>
      <c r="M43" s="4">
        <v>4.2880000000000003</v>
      </c>
      <c r="N43" s="4">
        <v>6.649</v>
      </c>
      <c r="O43" s="4">
        <v>5.9729999999999999</v>
      </c>
      <c r="P43" s="4">
        <v>8.8659999999999997</v>
      </c>
      <c r="Q43" s="4">
        <v>8.0389999999999997</v>
      </c>
      <c r="R43" s="4">
        <v>7.4059999999999997</v>
      </c>
      <c r="S43" s="4">
        <v>13.137</v>
      </c>
      <c r="T43" s="4">
        <v>9.6449999999999996</v>
      </c>
      <c r="U43" s="4">
        <v>8.9920000000000009</v>
      </c>
      <c r="V43" s="4">
        <v>14.523999999999999</v>
      </c>
      <c r="W43" s="4">
        <v>5.4290000000000003</v>
      </c>
      <c r="X43" s="4">
        <v>7.58</v>
      </c>
      <c r="Y43" s="4">
        <v>9.6050000000000004</v>
      </c>
      <c r="Z43" s="4">
        <v>8.4979999999999993</v>
      </c>
      <c r="AA43" s="4">
        <v>8.3279999999999994</v>
      </c>
      <c r="AB43" s="4">
        <v>12.000999999999999</v>
      </c>
      <c r="AC43" s="4">
        <v>5.6390000000000002</v>
      </c>
      <c r="AD43" s="4">
        <v>13.304</v>
      </c>
      <c r="AE43">
        <v>7.4119999999999999</v>
      </c>
      <c r="AF43" s="4">
        <v>8.2289999999999992</v>
      </c>
      <c r="AG43" s="4">
        <v>8.641</v>
      </c>
      <c r="AH43" s="4">
        <v>12.234999999999999</v>
      </c>
    </row>
    <row r="44" spans="1:34" ht="14.5" x14ac:dyDescent="0.35">
      <c r="A44" s="80">
        <v>47362</v>
      </c>
      <c r="B44" s="15">
        <v>7</v>
      </c>
      <c r="C44" s="13">
        <v>7</v>
      </c>
      <c r="D44" s="14">
        <v>7</v>
      </c>
      <c r="E44" s="4">
        <v>6.2590000000000003</v>
      </c>
      <c r="F44" s="4">
        <v>13.462</v>
      </c>
      <c r="G44" s="4">
        <v>8.1709999999999994</v>
      </c>
      <c r="H44" s="4">
        <v>9.1389999999999993</v>
      </c>
      <c r="I44" s="4">
        <v>5.8620000000000001</v>
      </c>
      <c r="J44" s="4">
        <v>7.75</v>
      </c>
      <c r="K44" s="4">
        <v>5.4749999999999996</v>
      </c>
      <c r="L44" s="4">
        <v>5.2430000000000003</v>
      </c>
      <c r="M44" s="4">
        <v>3.6619999999999999</v>
      </c>
      <c r="N44" s="4">
        <v>7.298</v>
      </c>
      <c r="O44" s="4">
        <v>4.8710000000000004</v>
      </c>
      <c r="P44" s="4">
        <v>5.915</v>
      </c>
      <c r="Q44" s="4">
        <v>6.6619999999999999</v>
      </c>
      <c r="R44" s="4">
        <v>6.391</v>
      </c>
      <c r="S44" s="4">
        <v>8.3450000000000006</v>
      </c>
      <c r="T44" s="4">
        <v>6.78</v>
      </c>
      <c r="U44" s="4">
        <v>5.9640000000000004</v>
      </c>
      <c r="V44" s="4">
        <v>8.3930000000000007</v>
      </c>
      <c r="W44" s="4">
        <v>4.7670000000000003</v>
      </c>
      <c r="X44" s="4">
        <v>6.5359999999999996</v>
      </c>
      <c r="Y44" s="4">
        <v>9.1590000000000007</v>
      </c>
      <c r="Z44" s="4">
        <v>6.476</v>
      </c>
      <c r="AA44" s="4">
        <v>6.0839999999999996</v>
      </c>
      <c r="AB44" s="4">
        <v>7.5019999999999998</v>
      </c>
      <c r="AC44" s="4">
        <v>4.7069999999999999</v>
      </c>
      <c r="AD44" s="4">
        <v>7.9619999999999997</v>
      </c>
      <c r="AE44">
        <v>7.3390000000000004</v>
      </c>
      <c r="AF44" s="4">
        <v>5.9370000000000003</v>
      </c>
      <c r="AG44" s="4">
        <v>6.5579999999999998</v>
      </c>
      <c r="AH44" s="4">
        <v>8.8529999999999998</v>
      </c>
    </row>
    <row r="45" spans="1:34" ht="14.5" x14ac:dyDescent="0.35">
      <c r="A45" s="80">
        <v>47392</v>
      </c>
      <c r="B45" s="15">
        <v>8</v>
      </c>
      <c r="C45" s="13">
        <v>6</v>
      </c>
      <c r="D45" s="14">
        <v>7</v>
      </c>
      <c r="E45" s="4">
        <v>7.2409999999999997</v>
      </c>
      <c r="F45" s="4">
        <v>11.055999999999999</v>
      </c>
      <c r="G45" s="4">
        <v>7.93</v>
      </c>
      <c r="H45" s="4">
        <v>8.5150000000000006</v>
      </c>
      <c r="I45" s="4">
        <v>6.65</v>
      </c>
      <c r="J45" s="4">
        <v>6.6680000000000001</v>
      </c>
      <c r="K45" s="4">
        <v>5.0149999999999997</v>
      </c>
      <c r="L45" s="4">
        <v>4.5709999999999997</v>
      </c>
      <c r="M45" s="4">
        <v>4.4909999999999997</v>
      </c>
      <c r="N45" s="4">
        <v>5.4370000000000003</v>
      </c>
      <c r="O45" s="4">
        <v>5.0140000000000002</v>
      </c>
      <c r="P45" s="4">
        <v>6.62</v>
      </c>
      <c r="Q45" s="4">
        <v>8.532</v>
      </c>
      <c r="R45" s="4">
        <v>6.2560000000000002</v>
      </c>
      <c r="S45" s="4">
        <v>7.9379999999999997</v>
      </c>
      <c r="T45" s="4">
        <v>7.3220000000000001</v>
      </c>
      <c r="U45" s="4">
        <v>5.5110000000000001</v>
      </c>
      <c r="V45" s="4">
        <v>7.8010000000000002</v>
      </c>
      <c r="W45" s="4">
        <v>4.3360000000000003</v>
      </c>
      <c r="X45" s="4">
        <v>6.9219999999999997</v>
      </c>
      <c r="Y45" s="4">
        <v>10.702999999999999</v>
      </c>
      <c r="Z45" s="4">
        <v>5.5439999999999996</v>
      </c>
      <c r="AA45" s="4">
        <v>5.2960000000000003</v>
      </c>
      <c r="AB45" s="4">
        <v>7.8179999999999996</v>
      </c>
      <c r="AC45" s="4">
        <v>4.72</v>
      </c>
      <c r="AD45" s="4">
        <v>6.7590000000000003</v>
      </c>
      <c r="AE45">
        <v>6.7359999999999998</v>
      </c>
      <c r="AF45" s="4">
        <v>5.282</v>
      </c>
      <c r="AG45" s="4">
        <v>5.0220000000000002</v>
      </c>
      <c r="AH45" s="4">
        <v>8.3070000000000004</v>
      </c>
    </row>
    <row r="46" spans="1:34" ht="14.5" x14ac:dyDescent="0.35">
      <c r="A46" s="80">
        <v>47423</v>
      </c>
      <c r="B46" s="15">
        <v>5</v>
      </c>
      <c r="C46" s="13">
        <v>5</v>
      </c>
      <c r="D46" s="14">
        <v>5</v>
      </c>
      <c r="E46" s="4">
        <v>5.7729999999999997</v>
      </c>
      <c r="F46" s="4">
        <v>8.2650000000000006</v>
      </c>
      <c r="G46" s="4">
        <v>7.5129999999999999</v>
      </c>
      <c r="H46" s="4">
        <v>7.03</v>
      </c>
      <c r="I46" s="4">
        <v>5.1890000000000001</v>
      </c>
      <c r="J46" s="4">
        <v>5.6669999999999998</v>
      </c>
      <c r="K46" s="4">
        <v>4.2229999999999999</v>
      </c>
      <c r="L46" s="4">
        <v>4.6769999999999996</v>
      </c>
      <c r="M46" s="4">
        <v>3.1560000000000001</v>
      </c>
      <c r="N46" s="4">
        <v>4.242</v>
      </c>
      <c r="O46" s="4">
        <v>4.3070000000000004</v>
      </c>
      <c r="P46" s="4">
        <v>5.7720000000000002</v>
      </c>
      <c r="Q46" s="4">
        <v>6.0510000000000002</v>
      </c>
      <c r="R46" s="4">
        <v>5.1020000000000003</v>
      </c>
      <c r="S46" s="4">
        <v>6.6689999999999996</v>
      </c>
      <c r="T46" s="4">
        <v>6.2309999999999999</v>
      </c>
      <c r="U46" s="4">
        <v>5.5540000000000003</v>
      </c>
      <c r="V46" s="4">
        <v>6.4610000000000003</v>
      </c>
      <c r="W46" s="4">
        <v>3.6930000000000001</v>
      </c>
      <c r="X46" s="4">
        <v>4.726</v>
      </c>
      <c r="Y46" s="4">
        <v>6.7930000000000001</v>
      </c>
      <c r="Z46" s="4">
        <v>4.7679999999999998</v>
      </c>
      <c r="AA46" s="4">
        <v>4.4930000000000003</v>
      </c>
      <c r="AB46" s="4">
        <v>6.48</v>
      </c>
      <c r="AC46" s="4">
        <v>4.34</v>
      </c>
      <c r="AD46" s="4">
        <v>5.9</v>
      </c>
      <c r="AE46">
        <v>6.74</v>
      </c>
      <c r="AF46" s="4">
        <v>4.62</v>
      </c>
      <c r="AG46" s="4">
        <v>4.2119999999999997</v>
      </c>
      <c r="AH46" s="4">
        <v>6.7850000000000001</v>
      </c>
    </row>
    <row r="47" spans="1:34" ht="14.5" x14ac:dyDescent="0.35">
      <c r="A47" s="80">
        <v>47453</v>
      </c>
      <c r="B47" s="15">
        <v>4</v>
      </c>
      <c r="C47" s="13">
        <v>4</v>
      </c>
      <c r="D47" s="14">
        <v>4</v>
      </c>
      <c r="E47" s="4">
        <v>4.9950000000000001</v>
      </c>
      <c r="F47" s="4">
        <v>7.617</v>
      </c>
      <c r="G47" s="4">
        <v>6.5860000000000003</v>
      </c>
      <c r="H47" s="4">
        <v>6.28</v>
      </c>
      <c r="I47" s="4">
        <v>5.0049999999999999</v>
      </c>
      <c r="J47" s="4">
        <v>5.1310000000000002</v>
      </c>
      <c r="K47" s="4">
        <v>3.9249999999999998</v>
      </c>
      <c r="L47" s="4">
        <v>3.93</v>
      </c>
      <c r="M47" s="4">
        <v>2.8</v>
      </c>
      <c r="N47" s="4">
        <v>3.867</v>
      </c>
      <c r="O47" s="4">
        <v>3.7080000000000002</v>
      </c>
      <c r="P47" s="4">
        <v>4.6029999999999998</v>
      </c>
      <c r="Q47" s="4">
        <v>4.8579999999999997</v>
      </c>
      <c r="R47" s="4">
        <v>4.1120000000000001</v>
      </c>
      <c r="S47" s="4">
        <v>5.9189999999999996</v>
      </c>
      <c r="T47" s="4">
        <v>5.1580000000000004</v>
      </c>
      <c r="U47" s="4">
        <v>4.6269999999999998</v>
      </c>
      <c r="V47" s="4">
        <v>5.7869999999999999</v>
      </c>
      <c r="W47" s="4">
        <v>3.363</v>
      </c>
      <c r="X47" s="4">
        <v>4.0510000000000002</v>
      </c>
      <c r="Y47" s="4">
        <v>5.34</v>
      </c>
      <c r="Z47" s="4">
        <v>4.5110000000000001</v>
      </c>
      <c r="AA47" s="4">
        <v>4.1369999999999996</v>
      </c>
      <c r="AB47" s="4">
        <v>6.0060000000000002</v>
      </c>
      <c r="AC47" s="4">
        <v>3.7050000000000001</v>
      </c>
      <c r="AD47" s="4">
        <v>5.5469999999999997</v>
      </c>
      <c r="AE47">
        <v>5.282</v>
      </c>
      <c r="AF47" s="4">
        <v>4.3789999999999996</v>
      </c>
      <c r="AG47" s="4">
        <v>3.8959999999999999</v>
      </c>
      <c r="AH47" s="4">
        <v>5.8419999999999996</v>
      </c>
    </row>
    <row r="48" spans="1:34" ht="14.5" x14ac:dyDescent="0.35">
      <c r="A48" s="80">
        <v>47484</v>
      </c>
      <c r="B48" s="15">
        <v>5</v>
      </c>
      <c r="C48" s="13">
        <v>5</v>
      </c>
      <c r="D48" s="14">
        <v>5</v>
      </c>
      <c r="E48" s="4">
        <v>4.46</v>
      </c>
      <c r="F48" s="4">
        <v>6.5750000000000002</v>
      </c>
      <c r="G48" s="4">
        <v>5.6079999999999997</v>
      </c>
      <c r="H48" s="4">
        <v>5.6609999999999996</v>
      </c>
      <c r="I48" s="4">
        <v>4.2320000000000002</v>
      </c>
      <c r="J48" s="4">
        <v>4.7210000000000001</v>
      </c>
      <c r="K48" s="4">
        <v>3.6059999999999999</v>
      </c>
      <c r="L48" s="4">
        <v>3.488</v>
      </c>
      <c r="M48" s="4">
        <v>2.5710000000000002</v>
      </c>
      <c r="N48" s="4">
        <v>3.4649999999999999</v>
      </c>
      <c r="O48" s="4">
        <v>3.35</v>
      </c>
      <c r="P48" s="4">
        <v>4.0209999999999999</v>
      </c>
      <c r="Q48" s="4">
        <v>4.2450000000000001</v>
      </c>
      <c r="R48" s="4">
        <v>3.5640000000000001</v>
      </c>
      <c r="S48" s="4">
        <v>5.3120000000000003</v>
      </c>
      <c r="T48" s="4">
        <v>4.6139999999999999</v>
      </c>
      <c r="U48" s="4">
        <v>4.0759999999999996</v>
      </c>
      <c r="V48" s="4">
        <v>5.3129999999999997</v>
      </c>
      <c r="W48" s="4">
        <v>3.0640000000000001</v>
      </c>
      <c r="X48" s="4">
        <v>3.6850000000000001</v>
      </c>
      <c r="Y48" s="4">
        <v>4.7539999999999996</v>
      </c>
      <c r="Z48" s="4">
        <v>4.1369999999999996</v>
      </c>
      <c r="AA48" s="4">
        <v>3.7130000000000001</v>
      </c>
      <c r="AB48" s="4">
        <v>5.077</v>
      </c>
      <c r="AC48" s="4">
        <v>3.36</v>
      </c>
      <c r="AD48" s="4">
        <v>5.0439999999999996</v>
      </c>
      <c r="AE48">
        <v>4.3419999999999996</v>
      </c>
      <c r="AF48" s="4">
        <v>3.9980000000000002</v>
      </c>
      <c r="AG48" s="4">
        <v>3.58</v>
      </c>
      <c r="AH48" s="4">
        <v>5.2750000000000004</v>
      </c>
    </row>
    <row r="49" spans="1:1005" ht="14.5" x14ac:dyDescent="0.35">
      <c r="A49" s="80">
        <v>47515</v>
      </c>
      <c r="B49" s="15">
        <v>4</v>
      </c>
      <c r="C49" s="13">
        <v>4</v>
      </c>
      <c r="D49" s="14">
        <v>4</v>
      </c>
      <c r="E49" s="4">
        <v>3.8130000000000002</v>
      </c>
      <c r="F49" s="4">
        <v>5.3540000000000001</v>
      </c>
      <c r="G49" s="4">
        <v>4.5670000000000002</v>
      </c>
      <c r="H49" s="4">
        <v>4.6479999999999997</v>
      </c>
      <c r="I49" s="4">
        <v>3.5270000000000001</v>
      </c>
      <c r="J49" s="4">
        <v>3.9380000000000002</v>
      </c>
      <c r="K49" s="4">
        <v>3.012</v>
      </c>
      <c r="L49" s="4">
        <v>2.8620000000000001</v>
      </c>
      <c r="M49" s="4">
        <v>2.2810000000000001</v>
      </c>
      <c r="N49" s="4">
        <v>2.859</v>
      </c>
      <c r="O49" s="4">
        <v>2.7669999999999999</v>
      </c>
      <c r="P49" s="4">
        <v>3.2810000000000001</v>
      </c>
      <c r="Q49" s="4">
        <v>3.54</v>
      </c>
      <c r="R49" s="4">
        <v>2.8940000000000001</v>
      </c>
      <c r="S49" s="4">
        <v>4.3940000000000001</v>
      </c>
      <c r="T49" s="4">
        <v>3.7890000000000001</v>
      </c>
      <c r="U49" s="4">
        <v>3.3370000000000002</v>
      </c>
      <c r="V49" s="4">
        <v>4.3570000000000002</v>
      </c>
      <c r="W49" s="4">
        <v>2.5939999999999999</v>
      </c>
      <c r="X49" s="4">
        <v>3.0350000000000001</v>
      </c>
      <c r="Y49" s="4">
        <v>4.5039999999999996</v>
      </c>
      <c r="Z49" s="4">
        <v>3.5979999999999999</v>
      </c>
      <c r="AA49" s="4">
        <v>3.0960000000000001</v>
      </c>
      <c r="AB49" s="4">
        <v>4.2539999999999996</v>
      </c>
      <c r="AC49" s="4">
        <v>2.8029999999999999</v>
      </c>
      <c r="AD49" s="4">
        <v>4.1470000000000002</v>
      </c>
      <c r="AE49">
        <v>3.5750000000000002</v>
      </c>
      <c r="AF49" s="4">
        <v>3.4140000000000001</v>
      </c>
      <c r="AG49" s="4">
        <v>3.0030000000000001</v>
      </c>
      <c r="AH49" s="4">
        <v>4.3819999999999997</v>
      </c>
    </row>
    <row r="50" spans="1:1005" ht="14.5" x14ac:dyDescent="0.35">
      <c r="A50" s="80">
        <v>47543</v>
      </c>
      <c r="B50" s="15">
        <v>5</v>
      </c>
      <c r="C50" s="13">
        <v>5</v>
      </c>
      <c r="D50" s="14">
        <v>5</v>
      </c>
      <c r="E50" s="4">
        <v>5.202</v>
      </c>
      <c r="F50" s="4">
        <v>5.7240000000000002</v>
      </c>
      <c r="G50" s="4">
        <v>5.7590000000000003</v>
      </c>
      <c r="H50" s="4">
        <v>5.2859999999999996</v>
      </c>
      <c r="I50" s="4">
        <v>4.7110000000000003</v>
      </c>
      <c r="J50" s="4">
        <v>4.3579999999999997</v>
      </c>
      <c r="K50" s="4">
        <v>3.4780000000000002</v>
      </c>
      <c r="L50" s="4">
        <v>3.0219999999999998</v>
      </c>
      <c r="M50" s="4">
        <v>2.9119999999999999</v>
      </c>
      <c r="N50" s="4">
        <v>4.9249999999999998</v>
      </c>
      <c r="O50" s="4">
        <v>2.9769999999999999</v>
      </c>
      <c r="P50" s="4">
        <v>3.4940000000000002</v>
      </c>
      <c r="Q50" s="4">
        <v>6.1790000000000003</v>
      </c>
      <c r="R50" s="4">
        <v>2.9249999999999998</v>
      </c>
      <c r="S50" s="4">
        <v>5.3620000000000001</v>
      </c>
      <c r="T50" s="4">
        <v>3.8279999999999998</v>
      </c>
      <c r="U50" s="4">
        <v>3.68</v>
      </c>
      <c r="V50" s="4">
        <v>5.6050000000000004</v>
      </c>
      <c r="W50" s="4">
        <v>2.794</v>
      </c>
      <c r="X50" s="4">
        <v>3.0310000000000001</v>
      </c>
      <c r="Y50" s="4">
        <v>5.8529999999999998</v>
      </c>
      <c r="Z50" s="4">
        <v>4.3600000000000003</v>
      </c>
      <c r="AA50" s="4">
        <v>4.9909999999999997</v>
      </c>
      <c r="AB50" s="4">
        <v>4.4889999999999999</v>
      </c>
      <c r="AC50" s="4">
        <v>2.8420000000000001</v>
      </c>
      <c r="AD50" s="4">
        <v>4.5739999999999998</v>
      </c>
      <c r="AE50">
        <v>3.7639999999999998</v>
      </c>
      <c r="AF50" s="4">
        <v>4.0010000000000003</v>
      </c>
      <c r="AG50" s="4">
        <v>3.5649999999999999</v>
      </c>
      <c r="AH50" s="4">
        <v>5.2569999999999997</v>
      </c>
    </row>
    <row r="51" spans="1:1005" ht="14.5" x14ac:dyDescent="0.35">
      <c r="A51" s="80">
        <v>47574</v>
      </c>
      <c r="B51" s="15">
        <v>9</v>
      </c>
      <c r="C51" s="13">
        <v>9</v>
      </c>
      <c r="D51" s="14">
        <v>9</v>
      </c>
      <c r="E51" s="4">
        <v>6.6619999999999999</v>
      </c>
      <c r="F51" s="4">
        <v>10.141999999999999</v>
      </c>
      <c r="G51" s="4">
        <v>8.1300000000000008</v>
      </c>
      <c r="H51" s="4">
        <v>7.0810000000000004</v>
      </c>
      <c r="I51" s="4">
        <v>6.6950000000000003</v>
      </c>
      <c r="J51" s="4">
        <v>9.8569999999999993</v>
      </c>
      <c r="K51" s="4">
        <v>7.1059999999999999</v>
      </c>
      <c r="L51" s="4">
        <v>7.43</v>
      </c>
      <c r="M51" s="4">
        <v>5.9210000000000003</v>
      </c>
      <c r="N51" s="4">
        <v>9.9610000000000003</v>
      </c>
      <c r="O51" s="4">
        <v>6.4489999999999998</v>
      </c>
      <c r="P51" s="4">
        <v>9.26</v>
      </c>
      <c r="Q51" s="4">
        <v>9.9459999999999997</v>
      </c>
      <c r="R51" s="4">
        <v>3.74</v>
      </c>
      <c r="S51" s="4">
        <v>7.0890000000000004</v>
      </c>
      <c r="T51" s="4">
        <v>7.0910000000000002</v>
      </c>
      <c r="U51" s="4">
        <v>6.73</v>
      </c>
      <c r="V51" s="4">
        <v>12.913</v>
      </c>
      <c r="W51" s="4">
        <v>4.8630000000000004</v>
      </c>
      <c r="X51" s="4">
        <v>5.4</v>
      </c>
      <c r="Y51" s="4">
        <v>9.7349999999999994</v>
      </c>
      <c r="Z51" s="4">
        <v>7.1829999999999998</v>
      </c>
      <c r="AA51" s="4">
        <v>9.7889999999999997</v>
      </c>
      <c r="AB51" s="4">
        <v>7.3019999999999996</v>
      </c>
      <c r="AC51" s="4">
        <v>6.7960000000000003</v>
      </c>
      <c r="AD51" s="4">
        <v>7.15</v>
      </c>
      <c r="AE51">
        <v>6.9240000000000004</v>
      </c>
      <c r="AF51" s="4">
        <v>8.9749999999999996</v>
      </c>
      <c r="AG51" s="4">
        <v>6.766</v>
      </c>
      <c r="AH51" s="4">
        <v>9.1389999999999993</v>
      </c>
    </row>
    <row r="52" spans="1:1005" ht="14.5" x14ac:dyDescent="0.35">
      <c r="A52" s="80">
        <v>47604</v>
      </c>
      <c r="B52" s="15">
        <v>26</v>
      </c>
      <c r="C52" s="13">
        <v>26</v>
      </c>
      <c r="D52" s="14">
        <v>26</v>
      </c>
      <c r="E52" s="4">
        <v>30.285</v>
      </c>
      <c r="F52" s="4">
        <v>56.534999999999997</v>
      </c>
      <c r="G52" s="4">
        <v>38.722999999999999</v>
      </c>
      <c r="H52" s="4">
        <v>23.248000000000001</v>
      </c>
      <c r="I52" s="4">
        <v>23.341999999999999</v>
      </c>
      <c r="J52" s="4">
        <v>34.134</v>
      </c>
      <c r="K52" s="4">
        <v>25.885000000000002</v>
      </c>
      <c r="L52" s="4">
        <v>17.47</v>
      </c>
      <c r="M52" s="4">
        <v>21.536999999999999</v>
      </c>
      <c r="N52" s="4">
        <v>27.646000000000001</v>
      </c>
      <c r="O52" s="4">
        <v>24.5</v>
      </c>
      <c r="P52" s="4">
        <v>31.852</v>
      </c>
      <c r="Q52" s="4">
        <v>29.783999999999999</v>
      </c>
      <c r="R52" s="4">
        <v>24.756</v>
      </c>
      <c r="S52" s="4">
        <v>38.176000000000002</v>
      </c>
      <c r="T52" s="4">
        <v>16.577000000000002</v>
      </c>
      <c r="U52" s="4">
        <v>21.459</v>
      </c>
      <c r="V52" s="4">
        <v>24.573</v>
      </c>
      <c r="W52" s="4">
        <v>16.449000000000002</v>
      </c>
      <c r="X52" s="4">
        <v>27.093</v>
      </c>
      <c r="Y52" s="4">
        <v>20.314</v>
      </c>
      <c r="Z52" s="4">
        <v>17.399999999999999</v>
      </c>
      <c r="AA52" s="4">
        <v>31.765999999999998</v>
      </c>
      <c r="AB52" s="4">
        <v>30.457999999999998</v>
      </c>
      <c r="AC52" s="4">
        <v>21.074000000000002</v>
      </c>
      <c r="AD52" s="4">
        <v>26.62</v>
      </c>
      <c r="AE52">
        <v>21.603000000000002</v>
      </c>
      <c r="AF52" s="4">
        <v>26.908000000000001</v>
      </c>
      <c r="AG52" s="4">
        <v>32.994</v>
      </c>
      <c r="AH52" s="4">
        <v>30.931999999999999</v>
      </c>
    </row>
    <row r="53" spans="1:1005" ht="14.5" x14ac:dyDescent="0.35">
      <c r="A53" s="80">
        <v>47635</v>
      </c>
      <c r="B53" s="15">
        <v>40</v>
      </c>
      <c r="C53" s="13">
        <v>40</v>
      </c>
      <c r="D53" s="14">
        <v>40</v>
      </c>
      <c r="E53" s="4">
        <v>85.006</v>
      </c>
      <c r="F53" s="4">
        <v>61.631999999999998</v>
      </c>
      <c r="G53" s="4">
        <v>73.055999999999997</v>
      </c>
      <c r="H53" s="4">
        <v>32.433</v>
      </c>
      <c r="I53" s="4">
        <v>48.517000000000003</v>
      </c>
      <c r="J53" s="4">
        <v>25.754999999999999</v>
      </c>
      <c r="K53" s="4">
        <v>26.03</v>
      </c>
      <c r="L53" s="4">
        <v>13.234</v>
      </c>
      <c r="M53" s="4">
        <v>33.691000000000003</v>
      </c>
      <c r="N53" s="4">
        <v>22.042000000000002</v>
      </c>
      <c r="O53" s="4">
        <v>35.488</v>
      </c>
      <c r="P53" s="4">
        <v>36.494999999999997</v>
      </c>
      <c r="Q53" s="4">
        <v>27.898</v>
      </c>
      <c r="R53" s="4">
        <v>75.245000000000005</v>
      </c>
      <c r="S53" s="4">
        <v>41.613999999999997</v>
      </c>
      <c r="T53" s="4">
        <v>42.116</v>
      </c>
      <c r="U53" s="4">
        <v>66.918000000000006</v>
      </c>
      <c r="V53" s="4">
        <v>11.67</v>
      </c>
      <c r="W53" s="4">
        <v>29.634</v>
      </c>
      <c r="X53" s="4">
        <v>51.250999999999998</v>
      </c>
      <c r="Y53" s="4">
        <v>51.581000000000003</v>
      </c>
      <c r="Z53" s="4">
        <v>42.22</v>
      </c>
      <c r="AA53" s="4">
        <v>53.411999999999999</v>
      </c>
      <c r="AB53" s="4">
        <v>18.661000000000001</v>
      </c>
      <c r="AC53" s="4">
        <v>58.076999999999998</v>
      </c>
      <c r="AD53" s="4">
        <v>33.401000000000003</v>
      </c>
      <c r="AE53">
        <v>42.887</v>
      </c>
      <c r="AF53" s="4">
        <v>26.704000000000001</v>
      </c>
      <c r="AG53" s="4">
        <v>63.87</v>
      </c>
      <c r="AH53" s="4">
        <v>41.192999999999998</v>
      </c>
    </row>
    <row r="54" spans="1:1005" ht="14.5" x14ac:dyDescent="0.35">
      <c r="A54" s="80">
        <v>47665</v>
      </c>
      <c r="B54" s="15">
        <v>15</v>
      </c>
      <c r="C54" s="13">
        <v>15</v>
      </c>
      <c r="D54" s="14">
        <v>15</v>
      </c>
      <c r="E54" s="4">
        <v>72.790000000000006</v>
      </c>
      <c r="F54" s="4">
        <v>23.677</v>
      </c>
      <c r="G54" s="4">
        <v>27.61</v>
      </c>
      <c r="H54" s="4">
        <v>16.222999999999999</v>
      </c>
      <c r="I54" s="4">
        <v>29.427</v>
      </c>
      <c r="J54" s="4">
        <v>10.859</v>
      </c>
      <c r="K54" s="4">
        <v>10.209</v>
      </c>
      <c r="L54" s="4">
        <v>6.2709999999999999</v>
      </c>
      <c r="M54" s="4">
        <v>12.058999999999999</v>
      </c>
      <c r="N54" s="4">
        <v>9.1329999999999991</v>
      </c>
      <c r="O54" s="4">
        <v>15.099</v>
      </c>
      <c r="P54" s="4">
        <v>12.955</v>
      </c>
      <c r="Q54" s="4">
        <v>11.734</v>
      </c>
      <c r="R54" s="4">
        <v>37.027999999999999</v>
      </c>
      <c r="S54" s="4">
        <v>21.882999999999999</v>
      </c>
      <c r="T54" s="4">
        <v>14.263999999999999</v>
      </c>
      <c r="U54" s="4">
        <v>40.923000000000002</v>
      </c>
      <c r="V54" s="4">
        <v>7.2809999999999997</v>
      </c>
      <c r="W54" s="4">
        <v>12.163</v>
      </c>
      <c r="X54" s="4">
        <v>18.683</v>
      </c>
      <c r="Y54" s="4">
        <v>17.908999999999999</v>
      </c>
      <c r="Z54" s="4">
        <v>15.256</v>
      </c>
      <c r="AA54" s="4">
        <v>20.445</v>
      </c>
      <c r="AB54" s="4">
        <v>8.2829999999999995</v>
      </c>
      <c r="AC54" s="4">
        <v>37.229999999999997</v>
      </c>
      <c r="AD54" s="4">
        <v>12.294</v>
      </c>
      <c r="AE54">
        <v>17.143999999999998</v>
      </c>
      <c r="AF54" s="4">
        <v>13.201000000000001</v>
      </c>
      <c r="AG54" s="4">
        <v>31.167999999999999</v>
      </c>
      <c r="AH54" s="4">
        <v>15.225</v>
      </c>
    </row>
    <row r="55" spans="1:1005" ht="14.5" x14ac:dyDescent="0.35">
      <c r="A55" s="80">
        <v>47696</v>
      </c>
      <c r="B55" s="15">
        <v>8</v>
      </c>
      <c r="C55" s="13">
        <v>8</v>
      </c>
      <c r="D55" s="14">
        <v>8</v>
      </c>
      <c r="E55" s="4">
        <v>23.298999999999999</v>
      </c>
      <c r="F55" s="4">
        <v>10.821999999999999</v>
      </c>
      <c r="G55" s="4">
        <v>13.494999999999999</v>
      </c>
      <c r="H55" s="4">
        <v>8.3580000000000005</v>
      </c>
      <c r="I55" s="4">
        <v>12.367000000000001</v>
      </c>
      <c r="J55" s="4">
        <v>7.1319999999999997</v>
      </c>
      <c r="K55" s="4">
        <v>7.0339999999999998</v>
      </c>
      <c r="L55" s="4">
        <v>4.3460000000000001</v>
      </c>
      <c r="M55" s="4">
        <v>6.6559999999999997</v>
      </c>
      <c r="N55" s="4">
        <v>5.9779999999999998</v>
      </c>
      <c r="O55" s="4">
        <v>8.8610000000000007</v>
      </c>
      <c r="P55" s="4">
        <v>8.0739999999999998</v>
      </c>
      <c r="Q55" s="4">
        <v>7.4130000000000003</v>
      </c>
      <c r="R55" s="4">
        <v>13.144</v>
      </c>
      <c r="S55" s="4">
        <v>9.6530000000000005</v>
      </c>
      <c r="T55" s="4">
        <v>9.0879999999999992</v>
      </c>
      <c r="U55" s="4">
        <v>14.573</v>
      </c>
      <c r="V55" s="4">
        <v>5.4429999999999996</v>
      </c>
      <c r="W55" s="4">
        <v>7.5919999999999996</v>
      </c>
      <c r="X55" s="4">
        <v>9.7799999999999994</v>
      </c>
      <c r="Y55" s="4">
        <v>8.4920000000000009</v>
      </c>
      <c r="Z55" s="4">
        <v>8.3320000000000007</v>
      </c>
      <c r="AA55" s="4">
        <v>12.032999999999999</v>
      </c>
      <c r="AB55" s="4">
        <v>5.6669999999999998</v>
      </c>
      <c r="AC55" s="4">
        <v>13.315</v>
      </c>
      <c r="AD55" s="4">
        <v>7.444</v>
      </c>
      <c r="AE55">
        <v>8.2319999999999993</v>
      </c>
      <c r="AF55" s="4">
        <v>8.6869999999999994</v>
      </c>
      <c r="AG55" s="4">
        <v>12.243</v>
      </c>
      <c r="AH55" s="4">
        <v>7.75</v>
      </c>
    </row>
    <row r="56" spans="1:1005" ht="14.5" x14ac:dyDescent="0.35">
      <c r="A56" s="80">
        <v>47727</v>
      </c>
      <c r="B56" s="15">
        <v>7</v>
      </c>
      <c r="C56" s="13">
        <v>7</v>
      </c>
      <c r="D56" s="14">
        <v>7</v>
      </c>
      <c r="E56" s="4">
        <v>13.462999999999999</v>
      </c>
      <c r="F56" s="4">
        <v>8.1910000000000007</v>
      </c>
      <c r="G56" s="4">
        <v>9.1430000000000007</v>
      </c>
      <c r="H56" s="4">
        <v>5.9269999999999996</v>
      </c>
      <c r="I56" s="4">
        <v>7.7789999999999999</v>
      </c>
      <c r="J56" s="4">
        <v>5.5140000000000002</v>
      </c>
      <c r="K56" s="4">
        <v>5.2549999999999999</v>
      </c>
      <c r="L56" s="4">
        <v>3.657</v>
      </c>
      <c r="M56" s="4">
        <v>7.3049999999999997</v>
      </c>
      <c r="N56" s="4">
        <v>4.875</v>
      </c>
      <c r="O56" s="4">
        <v>5.91</v>
      </c>
      <c r="P56" s="4">
        <v>6.6619999999999999</v>
      </c>
      <c r="Q56" s="4">
        <v>6.3970000000000002</v>
      </c>
      <c r="R56" s="4">
        <v>8.35</v>
      </c>
      <c r="S56" s="4">
        <v>6.7869999999999999</v>
      </c>
      <c r="T56" s="4">
        <v>6.008</v>
      </c>
      <c r="U56" s="4">
        <v>8.4329999999999998</v>
      </c>
      <c r="V56" s="4">
        <v>4.7789999999999999</v>
      </c>
      <c r="W56" s="4">
        <v>6.5460000000000003</v>
      </c>
      <c r="X56" s="4">
        <v>9.1489999999999991</v>
      </c>
      <c r="Y56" s="4">
        <v>6.47</v>
      </c>
      <c r="Z56" s="4">
        <v>6.0869999999999997</v>
      </c>
      <c r="AA56" s="4">
        <v>7.5279999999999996</v>
      </c>
      <c r="AB56" s="4">
        <v>4.7229999999999999</v>
      </c>
      <c r="AC56" s="4">
        <v>7.9710000000000001</v>
      </c>
      <c r="AD56" s="4">
        <v>7.3680000000000003</v>
      </c>
      <c r="AE56">
        <v>5.9390000000000001</v>
      </c>
      <c r="AF56" s="4">
        <v>6.6890000000000001</v>
      </c>
      <c r="AG56" s="4">
        <v>8.86</v>
      </c>
      <c r="AH56" s="4">
        <v>6.266</v>
      </c>
    </row>
    <row r="57" spans="1:1005" ht="14.5" x14ac:dyDescent="0.35">
      <c r="A57" s="80">
        <v>47757</v>
      </c>
      <c r="B57" s="15">
        <v>8</v>
      </c>
      <c r="C57" s="13">
        <v>6</v>
      </c>
      <c r="D57" s="14">
        <v>7</v>
      </c>
      <c r="E57" s="4">
        <v>11.057</v>
      </c>
      <c r="F57" s="4">
        <v>7.9489999999999998</v>
      </c>
      <c r="G57" s="4">
        <v>8.5190000000000001</v>
      </c>
      <c r="H57" s="4">
        <v>6.68</v>
      </c>
      <c r="I57" s="4">
        <v>6.6950000000000003</v>
      </c>
      <c r="J57" s="4">
        <v>5.0510000000000002</v>
      </c>
      <c r="K57" s="4">
        <v>4.5819999999999999</v>
      </c>
      <c r="L57" s="4">
        <v>4.58</v>
      </c>
      <c r="M57" s="4">
        <v>5.4429999999999996</v>
      </c>
      <c r="N57" s="4">
        <v>5.0190000000000001</v>
      </c>
      <c r="O57" s="4">
        <v>6.6150000000000002</v>
      </c>
      <c r="P57" s="4">
        <v>8.6140000000000008</v>
      </c>
      <c r="Q57" s="4">
        <v>6.2619999999999996</v>
      </c>
      <c r="R57" s="4">
        <v>7.9429999999999996</v>
      </c>
      <c r="S57" s="4">
        <v>7.3289999999999997</v>
      </c>
      <c r="T57" s="4">
        <v>5.5220000000000002</v>
      </c>
      <c r="U57" s="4">
        <v>7.8390000000000004</v>
      </c>
      <c r="V57" s="4">
        <v>4.3470000000000004</v>
      </c>
      <c r="W57" s="4">
        <v>6.9320000000000004</v>
      </c>
      <c r="X57" s="4">
        <v>10.957000000000001</v>
      </c>
      <c r="Y57" s="4">
        <v>5.5389999999999997</v>
      </c>
      <c r="Z57" s="4">
        <v>5.2990000000000004</v>
      </c>
      <c r="AA57" s="4">
        <v>7.8419999999999996</v>
      </c>
      <c r="AB57" s="4">
        <v>4.7050000000000001</v>
      </c>
      <c r="AC57" s="4">
        <v>6.7670000000000003</v>
      </c>
      <c r="AD57" s="4">
        <v>6.7629999999999999</v>
      </c>
      <c r="AE57">
        <v>5.2839999999999998</v>
      </c>
      <c r="AF57" s="4">
        <v>5.0730000000000004</v>
      </c>
      <c r="AG57" s="4">
        <v>8.3140000000000001</v>
      </c>
      <c r="AH57" s="4">
        <v>7.2480000000000002</v>
      </c>
    </row>
    <row r="58" spans="1:1005" ht="14.5" x14ac:dyDescent="0.35">
      <c r="A58" s="80">
        <v>47788</v>
      </c>
      <c r="B58" s="15">
        <v>5</v>
      </c>
      <c r="C58" s="13">
        <v>5</v>
      </c>
      <c r="D58" s="14">
        <v>5</v>
      </c>
      <c r="E58" s="4">
        <v>8.266</v>
      </c>
      <c r="F58" s="4">
        <v>7.532</v>
      </c>
      <c r="G58" s="4">
        <v>7.0330000000000004</v>
      </c>
      <c r="H58" s="4">
        <v>5.2489999999999997</v>
      </c>
      <c r="I58" s="4">
        <v>5.6909999999999998</v>
      </c>
      <c r="J58" s="4">
        <v>4.2549999999999999</v>
      </c>
      <c r="K58" s="4">
        <v>4.6870000000000003</v>
      </c>
      <c r="L58" s="4">
        <v>3.206</v>
      </c>
      <c r="M58" s="4">
        <v>4.2469999999999999</v>
      </c>
      <c r="N58" s="4">
        <v>4.3109999999999999</v>
      </c>
      <c r="O58" s="4">
        <v>5.7690000000000001</v>
      </c>
      <c r="P58" s="4">
        <v>6.173</v>
      </c>
      <c r="Q58" s="4">
        <v>5.1070000000000002</v>
      </c>
      <c r="R58" s="4">
        <v>6.673</v>
      </c>
      <c r="S58" s="4">
        <v>6.2370000000000001</v>
      </c>
      <c r="T58" s="4">
        <v>5.5789999999999997</v>
      </c>
      <c r="U58" s="4">
        <v>6.4939999999999998</v>
      </c>
      <c r="V58" s="4">
        <v>3.7029999999999998</v>
      </c>
      <c r="W58" s="4">
        <v>4.734</v>
      </c>
      <c r="X58" s="4">
        <v>7.0190000000000001</v>
      </c>
      <c r="Y58" s="4">
        <v>4.7640000000000002</v>
      </c>
      <c r="Z58" s="4">
        <v>4.4960000000000004</v>
      </c>
      <c r="AA58" s="4">
        <v>6.5019999999999998</v>
      </c>
      <c r="AB58" s="4">
        <v>4.3810000000000002</v>
      </c>
      <c r="AC58" s="4">
        <v>5.907</v>
      </c>
      <c r="AD58" s="4">
        <v>6.7649999999999997</v>
      </c>
      <c r="AE58">
        <v>4.6219999999999999</v>
      </c>
      <c r="AF58" s="4">
        <v>4.2450000000000001</v>
      </c>
      <c r="AG58" s="4">
        <v>6.7910000000000004</v>
      </c>
      <c r="AH58" s="4">
        <v>5.7789999999999999</v>
      </c>
    </row>
    <row r="59" spans="1:1005" ht="14.5" x14ac:dyDescent="0.35">
      <c r="A59" s="80">
        <v>47818</v>
      </c>
      <c r="B59" s="15">
        <v>4</v>
      </c>
      <c r="C59" s="13">
        <v>4</v>
      </c>
      <c r="D59" s="14">
        <v>4</v>
      </c>
      <c r="E59" s="4">
        <v>7.6180000000000003</v>
      </c>
      <c r="F59" s="4">
        <v>6.6029999999999998</v>
      </c>
      <c r="G59" s="4">
        <v>6.2830000000000004</v>
      </c>
      <c r="H59" s="4">
        <v>5.0659999999999998</v>
      </c>
      <c r="I59" s="4">
        <v>5.1529999999999996</v>
      </c>
      <c r="J59" s="4">
        <v>3.9550000000000001</v>
      </c>
      <c r="K59" s="4">
        <v>3.9390000000000001</v>
      </c>
      <c r="L59" s="4">
        <v>2.8359999999999999</v>
      </c>
      <c r="M59" s="4">
        <v>3.8719999999999999</v>
      </c>
      <c r="N59" s="4">
        <v>3.7109999999999999</v>
      </c>
      <c r="O59" s="4">
        <v>4.5990000000000002</v>
      </c>
      <c r="P59" s="4">
        <v>4.9169999999999998</v>
      </c>
      <c r="Q59" s="4">
        <v>4.117</v>
      </c>
      <c r="R59" s="4">
        <v>5.923</v>
      </c>
      <c r="S59" s="4">
        <v>5.1630000000000003</v>
      </c>
      <c r="T59" s="4">
        <v>4.6550000000000002</v>
      </c>
      <c r="U59" s="4">
        <v>5.8179999999999996</v>
      </c>
      <c r="V59" s="4">
        <v>3.3719999999999999</v>
      </c>
      <c r="W59" s="4">
        <v>4.0579999999999998</v>
      </c>
      <c r="X59" s="4">
        <v>5.4359999999999999</v>
      </c>
      <c r="Y59" s="4">
        <v>4.5069999999999997</v>
      </c>
      <c r="Z59" s="4">
        <v>4.1390000000000002</v>
      </c>
      <c r="AA59" s="4">
        <v>6.0270000000000001</v>
      </c>
      <c r="AB59" s="4">
        <v>3.722</v>
      </c>
      <c r="AC59" s="4">
        <v>5.5540000000000003</v>
      </c>
      <c r="AD59" s="4">
        <v>5.3029999999999999</v>
      </c>
      <c r="AE59">
        <v>4.3810000000000002</v>
      </c>
      <c r="AF59" s="4">
        <v>3.9260000000000002</v>
      </c>
      <c r="AG59" s="4">
        <v>5.8470000000000004</v>
      </c>
      <c r="AH59" s="4">
        <v>5.0010000000000003</v>
      </c>
    </row>
    <row r="60" spans="1:1005" ht="14.5" x14ac:dyDescent="0.35">
      <c r="A60" s="80">
        <v>47849</v>
      </c>
      <c r="B60" s="15">
        <v>5</v>
      </c>
      <c r="C60" s="13">
        <v>5</v>
      </c>
      <c r="D60" s="14">
        <v>5</v>
      </c>
      <c r="E60" s="4">
        <v>6.5759999999999996</v>
      </c>
      <c r="F60" s="4">
        <v>5.6219999999999999</v>
      </c>
      <c r="G60" s="4">
        <v>5.6630000000000003</v>
      </c>
      <c r="H60" s="4">
        <v>4.274</v>
      </c>
      <c r="I60" s="4">
        <v>4.7409999999999997</v>
      </c>
      <c r="J60" s="4">
        <v>3.6339999999999999</v>
      </c>
      <c r="K60" s="4">
        <v>3.4969999999999999</v>
      </c>
      <c r="L60" s="4">
        <v>2.6019999999999999</v>
      </c>
      <c r="M60" s="4">
        <v>3.4689999999999999</v>
      </c>
      <c r="N60" s="4">
        <v>3.3530000000000002</v>
      </c>
      <c r="O60" s="4">
        <v>4.0179999999999998</v>
      </c>
      <c r="P60" s="4">
        <v>4.274</v>
      </c>
      <c r="Q60" s="4">
        <v>3.569</v>
      </c>
      <c r="R60" s="4">
        <v>5.3150000000000004</v>
      </c>
      <c r="S60" s="4">
        <v>4.6189999999999998</v>
      </c>
      <c r="T60" s="4">
        <v>4.0890000000000004</v>
      </c>
      <c r="U60" s="4">
        <v>5.3410000000000002</v>
      </c>
      <c r="V60" s="4">
        <v>3.073</v>
      </c>
      <c r="W60" s="4">
        <v>3.6920000000000002</v>
      </c>
      <c r="X60" s="4">
        <v>4.8150000000000004</v>
      </c>
      <c r="Y60" s="4">
        <v>4.133</v>
      </c>
      <c r="Z60" s="4">
        <v>3.7160000000000002</v>
      </c>
      <c r="AA60" s="4">
        <v>5.0949999999999998</v>
      </c>
      <c r="AB60" s="4">
        <v>3.3740000000000001</v>
      </c>
      <c r="AC60" s="4">
        <v>5.05</v>
      </c>
      <c r="AD60" s="4">
        <v>4.3609999999999998</v>
      </c>
      <c r="AE60">
        <v>4</v>
      </c>
      <c r="AF60" s="4">
        <v>3.6070000000000002</v>
      </c>
      <c r="AG60" s="4">
        <v>5.28</v>
      </c>
      <c r="AH60" s="4">
        <v>4.4649999999999999</v>
      </c>
    </row>
    <row r="61" spans="1:1005" ht="14.5" x14ac:dyDescent="0.35">
      <c r="A61" s="80">
        <v>47880</v>
      </c>
      <c r="B61" s="15">
        <v>4</v>
      </c>
      <c r="C61" s="13">
        <v>4</v>
      </c>
      <c r="D61" s="14">
        <v>4</v>
      </c>
      <c r="E61" s="4">
        <v>5.3550000000000004</v>
      </c>
      <c r="F61" s="4">
        <v>4.5789999999999997</v>
      </c>
      <c r="G61" s="4">
        <v>4.6500000000000004</v>
      </c>
      <c r="H61" s="4">
        <v>3.5590000000000002</v>
      </c>
      <c r="I61" s="4">
        <v>3.9550000000000001</v>
      </c>
      <c r="J61" s="4">
        <v>3.0350000000000001</v>
      </c>
      <c r="K61" s="4">
        <v>2.8690000000000002</v>
      </c>
      <c r="L61" s="4">
        <v>2.3069999999999999</v>
      </c>
      <c r="M61" s="4">
        <v>2.8620000000000001</v>
      </c>
      <c r="N61" s="4">
        <v>2.77</v>
      </c>
      <c r="O61" s="4">
        <v>3.278</v>
      </c>
      <c r="P61" s="4">
        <v>3.5609999999999999</v>
      </c>
      <c r="Q61" s="4">
        <v>2.8969999999999998</v>
      </c>
      <c r="R61" s="4">
        <v>4.3970000000000002</v>
      </c>
      <c r="S61" s="4">
        <v>3.7930000000000001</v>
      </c>
      <c r="T61" s="4">
        <v>3.3460000000000001</v>
      </c>
      <c r="U61" s="4">
        <v>4.3810000000000002</v>
      </c>
      <c r="V61" s="4">
        <v>2.601</v>
      </c>
      <c r="W61" s="4">
        <v>3.0409999999999999</v>
      </c>
      <c r="X61" s="4">
        <v>4.5540000000000003</v>
      </c>
      <c r="Y61" s="4">
        <v>3.5950000000000002</v>
      </c>
      <c r="Z61" s="4">
        <v>3.0979999999999999</v>
      </c>
      <c r="AA61" s="4">
        <v>4.2690000000000001</v>
      </c>
      <c r="AB61" s="4">
        <v>2.8130000000000002</v>
      </c>
      <c r="AC61" s="4">
        <v>4.1520000000000001</v>
      </c>
      <c r="AD61" s="4">
        <v>3.5910000000000002</v>
      </c>
      <c r="AE61">
        <v>3.415</v>
      </c>
      <c r="AF61" s="4">
        <v>3.0249999999999999</v>
      </c>
      <c r="AG61" s="4">
        <v>4.3860000000000001</v>
      </c>
      <c r="AH61" s="4">
        <v>3.8170000000000002</v>
      </c>
    </row>
    <row r="62" spans="1:1005" ht="14.5" x14ac:dyDescent="0.35">
      <c r="A62" s="80">
        <v>47908</v>
      </c>
      <c r="B62" s="15">
        <v>5</v>
      </c>
      <c r="C62" s="13">
        <v>5</v>
      </c>
      <c r="D62" s="14">
        <v>5</v>
      </c>
      <c r="E62" s="4">
        <v>5.7240000000000002</v>
      </c>
      <c r="F62" s="4">
        <v>5.7729999999999997</v>
      </c>
      <c r="G62" s="4">
        <v>5.2880000000000003</v>
      </c>
      <c r="H62" s="4">
        <v>4.673</v>
      </c>
      <c r="I62" s="4">
        <v>4.3760000000000003</v>
      </c>
      <c r="J62" s="4">
        <v>3.5030000000000001</v>
      </c>
      <c r="K62" s="4">
        <v>3.0289999999999999</v>
      </c>
      <c r="L62" s="4">
        <v>2.9129999999999998</v>
      </c>
      <c r="M62" s="4">
        <v>4.9279999999999999</v>
      </c>
      <c r="N62" s="4">
        <v>2.9790000000000001</v>
      </c>
      <c r="O62" s="4">
        <v>3.4910000000000001</v>
      </c>
      <c r="P62" s="4">
        <v>6.085</v>
      </c>
      <c r="Q62" s="4">
        <v>2.9289999999999998</v>
      </c>
      <c r="R62" s="4">
        <v>5.3659999999999997</v>
      </c>
      <c r="S62" s="4">
        <v>3.8319999999999999</v>
      </c>
      <c r="T62" s="4">
        <v>3.6779999999999999</v>
      </c>
      <c r="U62" s="4">
        <v>5.6319999999999997</v>
      </c>
      <c r="V62" s="4">
        <v>2.8010000000000002</v>
      </c>
      <c r="W62" s="4">
        <v>3.036</v>
      </c>
      <c r="X62" s="4">
        <v>5.7640000000000002</v>
      </c>
      <c r="Y62" s="4">
        <v>4.3559999999999999</v>
      </c>
      <c r="Z62" s="4">
        <v>4.9930000000000003</v>
      </c>
      <c r="AA62" s="4">
        <v>4.5039999999999996</v>
      </c>
      <c r="AB62" s="4">
        <v>2.84</v>
      </c>
      <c r="AC62" s="4">
        <v>4.58</v>
      </c>
      <c r="AD62" s="4">
        <v>3.78</v>
      </c>
      <c r="AE62">
        <v>4.0019999999999998</v>
      </c>
      <c r="AF62" s="4">
        <v>3.5150000000000001</v>
      </c>
      <c r="AG62" s="4">
        <v>5.2619999999999996</v>
      </c>
      <c r="AH62" s="4">
        <v>5.2069999999999999</v>
      </c>
    </row>
    <row r="63" spans="1:1005" ht="14.5" x14ac:dyDescent="0.35">
      <c r="A63" s="80">
        <v>47939</v>
      </c>
      <c r="B63" s="15">
        <v>9</v>
      </c>
      <c r="C63" s="13">
        <v>9</v>
      </c>
      <c r="D63" s="14">
        <v>9</v>
      </c>
      <c r="E63" s="4">
        <v>10.141999999999999</v>
      </c>
      <c r="F63" s="4">
        <v>8.1449999999999996</v>
      </c>
      <c r="G63" s="4">
        <v>7.0830000000000002</v>
      </c>
      <c r="H63" s="4">
        <v>6.593</v>
      </c>
      <c r="I63" s="4">
        <v>9.8800000000000008</v>
      </c>
      <c r="J63" s="4">
        <v>7.1340000000000003</v>
      </c>
      <c r="K63" s="4">
        <v>7.4390000000000001</v>
      </c>
      <c r="L63" s="4">
        <v>5.7939999999999996</v>
      </c>
      <c r="M63" s="4">
        <v>9.9649999999999999</v>
      </c>
      <c r="N63" s="4">
        <v>6.452</v>
      </c>
      <c r="O63" s="4">
        <v>9.2560000000000002</v>
      </c>
      <c r="P63" s="4">
        <v>9.4939999999999998</v>
      </c>
      <c r="Q63" s="4">
        <v>3.7429999999999999</v>
      </c>
      <c r="R63" s="4">
        <v>7.093</v>
      </c>
      <c r="S63" s="4">
        <v>7.0960000000000001</v>
      </c>
      <c r="T63" s="4">
        <v>6.65</v>
      </c>
      <c r="U63" s="4">
        <v>12.943</v>
      </c>
      <c r="V63" s="4">
        <v>4.8710000000000004</v>
      </c>
      <c r="W63" s="4">
        <v>5.407</v>
      </c>
      <c r="X63" s="4">
        <v>9.7170000000000005</v>
      </c>
      <c r="Y63" s="4">
        <v>7.1790000000000003</v>
      </c>
      <c r="Z63" s="4">
        <v>9.7919999999999998</v>
      </c>
      <c r="AA63" s="4">
        <v>7.319</v>
      </c>
      <c r="AB63" s="4">
        <v>6.5419999999999998</v>
      </c>
      <c r="AC63" s="4">
        <v>7.1559999999999997</v>
      </c>
      <c r="AD63" s="4">
        <v>6.9429999999999996</v>
      </c>
      <c r="AE63">
        <v>8.9760000000000009</v>
      </c>
      <c r="AF63" s="4">
        <v>6.641</v>
      </c>
      <c r="AG63" s="4">
        <v>9.1440000000000001</v>
      </c>
      <c r="AH63" s="4">
        <v>6.6669999999999998</v>
      </c>
    </row>
    <row r="64" spans="1:1005" ht="14.5" x14ac:dyDescent="0.35">
      <c r="A64" s="80">
        <v>47969</v>
      </c>
      <c r="B64" s="15">
        <v>26</v>
      </c>
      <c r="C64" s="13">
        <v>26</v>
      </c>
      <c r="D64" s="14">
        <v>26</v>
      </c>
      <c r="E64" s="4">
        <v>56.534999999999997</v>
      </c>
      <c r="F64" s="4">
        <v>38.722999999999999</v>
      </c>
      <c r="G64" s="4">
        <v>23.248000000000001</v>
      </c>
      <c r="H64" s="4">
        <v>23.341999999999999</v>
      </c>
      <c r="I64" s="4">
        <v>34.134</v>
      </c>
      <c r="J64" s="4">
        <v>25.885000000000002</v>
      </c>
      <c r="K64" s="4">
        <v>17.47</v>
      </c>
      <c r="L64" s="4">
        <v>21.536999999999999</v>
      </c>
      <c r="M64" s="4">
        <v>27.646000000000001</v>
      </c>
      <c r="N64" s="4">
        <v>24.5</v>
      </c>
      <c r="O64" s="4">
        <v>31.852</v>
      </c>
      <c r="P64" s="4">
        <v>29.783999999999999</v>
      </c>
      <c r="Q64" s="4">
        <v>24.756</v>
      </c>
      <c r="R64" s="4">
        <v>38.176000000000002</v>
      </c>
      <c r="S64" s="4">
        <v>16.577000000000002</v>
      </c>
      <c r="T64" s="4">
        <v>21.459</v>
      </c>
      <c r="U64" s="4">
        <v>24.573</v>
      </c>
      <c r="V64" s="4">
        <v>16.449000000000002</v>
      </c>
      <c r="W64" s="4">
        <v>27.093</v>
      </c>
      <c r="X64" s="4">
        <v>20.314</v>
      </c>
      <c r="Y64" s="4">
        <v>17.399999999999999</v>
      </c>
      <c r="Z64" s="4">
        <v>31.765999999999998</v>
      </c>
      <c r="AA64" s="4">
        <v>30.457999999999998</v>
      </c>
      <c r="AB64" s="4">
        <v>21.074000000000002</v>
      </c>
      <c r="AC64" s="4">
        <v>26.62</v>
      </c>
      <c r="AD64" s="4">
        <v>21.603000000000002</v>
      </c>
      <c r="AE64">
        <v>26.908000000000001</v>
      </c>
      <c r="AF64" s="4">
        <v>32.994</v>
      </c>
      <c r="AG64" s="4">
        <v>30.931999999999999</v>
      </c>
      <c r="AH64" s="4">
        <v>30.931999999999999</v>
      </c>
      <c r="ALQ64" s="4" t="e">
        <v>#N/A</v>
      </c>
    </row>
    <row r="65" spans="1:1005" ht="14.5" x14ac:dyDescent="0.35">
      <c r="A65" s="80">
        <v>48000</v>
      </c>
      <c r="B65" s="15">
        <v>40</v>
      </c>
      <c r="C65" s="13">
        <v>40</v>
      </c>
      <c r="D65" s="14">
        <v>40</v>
      </c>
      <c r="E65" s="4">
        <v>61.631999999999998</v>
      </c>
      <c r="F65" s="4">
        <v>73.055999999999997</v>
      </c>
      <c r="G65" s="4">
        <v>32.433</v>
      </c>
      <c r="H65" s="4">
        <v>48.517000000000003</v>
      </c>
      <c r="I65" s="4">
        <v>25.754999999999999</v>
      </c>
      <c r="J65" s="4">
        <v>26.03</v>
      </c>
      <c r="K65" s="4">
        <v>13.234</v>
      </c>
      <c r="L65" s="4">
        <v>33.691000000000003</v>
      </c>
      <c r="M65" s="4">
        <v>22.042000000000002</v>
      </c>
      <c r="N65" s="4">
        <v>35.488</v>
      </c>
      <c r="O65" s="4">
        <v>36.494999999999997</v>
      </c>
      <c r="P65" s="4">
        <v>27.898</v>
      </c>
      <c r="Q65" s="4">
        <v>75.245000000000005</v>
      </c>
      <c r="R65" s="4">
        <v>41.613999999999997</v>
      </c>
      <c r="S65" s="4">
        <v>42.116</v>
      </c>
      <c r="T65" s="4">
        <v>66.918000000000006</v>
      </c>
      <c r="U65" s="4">
        <v>11.67</v>
      </c>
      <c r="V65" s="4">
        <v>29.634</v>
      </c>
      <c r="W65" s="4">
        <v>51.250999999999998</v>
      </c>
      <c r="X65" s="4">
        <v>51.581000000000003</v>
      </c>
      <c r="Y65" s="4">
        <v>42.22</v>
      </c>
      <c r="Z65" s="4">
        <v>53.411999999999999</v>
      </c>
      <c r="AA65" s="4">
        <v>18.661000000000001</v>
      </c>
      <c r="AB65" s="4">
        <v>58.076999999999998</v>
      </c>
      <c r="AC65" s="4">
        <v>33.401000000000003</v>
      </c>
      <c r="AD65" s="4">
        <v>42.887</v>
      </c>
      <c r="AE65">
        <v>26.704000000000001</v>
      </c>
      <c r="AF65" s="4">
        <v>63.87</v>
      </c>
      <c r="AG65" s="4">
        <v>41.192999999999998</v>
      </c>
      <c r="AH65" s="4">
        <v>41.192999999999998</v>
      </c>
      <c r="ALQ65" s="4" t="e">
        <v>#N/A</v>
      </c>
    </row>
    <row r="66" spans="1:1005" ht="14.5" x14ac:dyDescent="0.35">
      <c r="A66" s="80">
        <v>48030</v>
      </c>
      <c r="B66" s="15">
        <v>15</v>
      </c>
      <c r="C66" s="13">
        <v>15</v>
      </c>
      <c r="D66" s="14">
        <v>15</v>
      </c>
      <c r="E66" s="4">
        <v>23.677</v>
      </c>
      <c r="F66" s="4">
        <v>27.61</v>
      </c>
      <c r="G66" s="4">
        <v>16.222999999999999</v>
      </c>
      <c r="H66" s="4">
        <v>29.427</v>
      </c>
      <c r="I66" s="4">
        <v>10.859</v>
      </c>
      <c r="J66" s="4">
        <v>10.209</v>
      </c>
      <c r="K66" s="4">
        <v>6.2709999999999999</v>
      </c>
      <c r="L66" s="4">
        <v>12.058999999999999</v>
      </c>
      <c r="M66" s="4">
        <v>9.1329999999999991</v>
      </c>
      <c r="N66" s="4">
        <v>15.099</v>
      </c>
      <c r="O66" s="4">
        <v>12.955</v>
      </c>
      <c r="P66" s="4">
        <v>11.734</v>
      </c>
      <c r="Q66" s="4">
        <v>37.027999999999999</v>
      </c>
      <c r="R66" s="4">
        <v>21.882999999999999</v>
      </c>
      <c r="S66" s="4">
        <v>14.263999999999999</v>
      </c>
      <c r="T66" s="4">
        <v>40.923000000000002</v>
      </c>
      <c r="U66" s="4">
        <v>7.2809999999999997</v>
      </c>
      <c r="V66" s="4">
        <v>12.163</v>
      </c>
      <c r="W66" s="4">
        <v>18.683</v>
      </c>
      <c r="X66" s="4">
        <v>17.908999999999999</v>
      </c>
      <c r="Y66" s="4">
        <v>15.256</v>
      </c>
      <c r="Z66" s="4">
        <v>20.445</v>
      </c>
      <c r="AA66" s="4">
        <v>8.2829999999999995</v>
      </c>
      <c r="AB66" s="4">
        <v>37.229999999999997</v>
      </c>
      <c r="AC66" s="4">
        <v>12.294</v>
      </c>
      <c r="AD66" s="4">
        <v>17.143999999999998</v>
      </c>
      <c r="AE66">
        <v>13.201000000000001</v>
      </c>
      <c r="AF66" s="4">
        <v>31.167999999999999</v>
      </c>
      <c r="AG66" s="4">
        <v>15.225</v>
      </c>
      <c r="AH66" s="4">
        <v>15.225</v>
      </c>
      <c r="ALQ66" s="4" t="e">
        <v>#N/A</v>
      </c>
    </row>
    <row r="67" spans="1:1005" ht="14.5" x14ac:dyDescent="0.35">
      <c r="A67" s="80">
        <v>48061</v>
      </c>
      <c r="B67" s="15">
        <v>8</v>
      </c>
      <c r="C67" s="13">
        <v>8</v>
      </c>
      <c r="D67" s="14">
        <v>8</v>
      </c>
      <c r="E67" s="4">
        <v>10.821999999999999</v>
      </c>
      <c r="F67" s="4">
        <v>13.494999999999999</v>
      </c>
      <c r="G67" s="4">
        <v>8.3580000000000005</v>
      </c>
      <c r="H67" s="4">
        <v>12.367000000000001</v>
      </c>
      <c r="I67" s="4">
        <v>7.1319999999999997</v>
      </c>
      <c r="J67" s="4">
        <v>7.0339999999999998</v>
      </c>
      <c r="K67" s="4">
        <v>4.3460000000000001</v>
      </c>
      <c r="L67" s="4">
        <v>6.6559999999999997</v>
      </c>
      <c r="M67" s="4">
        <v>5.9779999999999998</v>
      </c>
      <c r="N67" s="4">
        <v>8.8610000000000007</v>
      </c>
      <c r="O67" s="4">
        <v>8.0739999999999998</v>
      </c>
      <c r="P67" s="4">
        <v>7.4130000000000003</v>
      </c>
      <c r="Q67" s="4">
        <v>13.144</v>
      </c>
      <c r="R67" s="4">
        <v>9.6530000000000005</v>
      </c>
      <c r="S67" s="4">
        <v>9.0879999999999992</v>
      </c>
      <c r="T67" s="4">
        <v>14.573</v>
      </c>
      <c r="U67" s="4">
        <v>5.4429999999999996</v>
      </c>
      <c r="V67" s="4">
        <v>7.5919999999999996</v>
      </c>
      <c r="W67" s="4">
        <v>9.7799999999999994</v>
      </c>
      <c r="X67" s="4">
        <v>8.4920000000000009</v>
      </c>
      <c r="Y67" s="4">
        <v>8.3320000000000007</v>
      </c>
      <c r="Z67" s="4">
        <v>12.032999999999999</v>
      </c>
      <c r="AA67" s="4">
        <v>5.6669999999999998</v>
      </c>
      <c r="AB67" s="4">
        <v>13.315</v>
      </c>
      <c r="AC67" s="4">
        <v>7.444</v>
      </c>
      <c r="AD67" s="4">
        <v>8.2319999999999993</v>
      </c>
      <c r="AE67">
        <v>8.6869999999999994</v>
      </c>
      <c r="AF67" s="4">
        <v>12.243</v>
      </c>
      <c r="AG67" s="4">
        <v>7.75</v>
      </c>
      <c r="AH67" s="4">
        <v>7.75</v>
      </c>
      <c r="ALQ67" s="4" t="e">
        <v>#N/A</v>
      </c>
    </row>
    <row r="68" spans="1:1005" ht="14.5" x14ac:dyDescent="0.35">
      <c r="A68" s="80">
        <v>48092</v>
      </c>
      <c r="B68" s="15">
        <v>7</v>
      </c>
      <c r="C68" s="13">
        <v>7</v>
      </c>
      <c r="D68" s="14">
        <v>7</v>
      </c>
      <c r="E68" s="4">
        <v>8.1910000000000007</v>
      </c>
      <c r="F68" s="4">
        <v>9.1430000000000007</v>
      </c>
      <c r="G68" s="4">
        <v>5.9269999999999996</v>
      </c>
      <c r="H68" s="4">
        <v>7.7789999999999999</v>
      </c>
      <c r="I68" s="4">
        <v>5.5140000000000002</v>
      </c>
      <c r="J68" s="4">
        <v>5.2549999999999999</v>
      </c>
      <c r="K68" s="4">
        <v>3.657</v>
      </c>
      <c r="L68" s="4">
        <v>7.3049999999999997</v>
      </c>
      <c r="M68" s="4">
        <v>4.875</v>
      </c>
      <c r="N68" s="4">
        <v>5.91</v>
      </c>
      <c r="O68" s="4">
        <v>6.6619999999999999</v>
      </c>
      <c r="P68" s="4">
        <v>6.3970000000000002</v>
      </c>
      <c r="Q68" s="4">
        <v>8.35</v>
      </c>
      <c r="R68" s="4">
        <v>6.7869999999999999</v>
      </c>
      <c r="S68" s="4">
        <v>6.008</v>
      </c>
      <c r="T68" s="4">
        <v>8.4329999999999998</v>
      </c>
      <c r="U68" s="4">
        <v>4.7789999999999999</v>
      </c>
      <c r="V68" s="4">
        <v>6.5460000000000003</v>
      </c>
      <c r="W68" s="4">
        <v>9.1489999999999991</v>
      </c>
      <c r="X68" s="4">
        <v>6.47</v>
      </c>
      <c r="Y68" s="4">
        <v>6.0869999999999997</v>
      </c>
      <c r="Z68" s="4">
        <v>7.5279999999999996</v>
      </c>
      <c r="AA68" s="4">
        <v>4.7229999999999999</v>
      </c>
      <c r="AB68" s="4">
        <v>7.9710000000000001</v>
      </c>
      <c r="AC68" s="4">
        <v>7.3680000000000003</v>
      </c>
      <c r="AD68" s="4">
        <v>5.9390000000000001</v>
      </c>
      <c r="AE68">
        <v>6.6890000000000001</v>
      </c>
      <c r="AF68" s="4">
        <v>8.86</v>
      </c>
      <c r="AG68" s="4">
        <v>6.266</v>
      </c>
      <c r="AH68" s="4">
        <v>6.266</v>
      </c>
      <c r="ALQ68" s="4" t="e">
        <v>#N/A</v>
      </c>
    </row>
    <row r="69" spans="1:1005" ht="14.5" x14ac:dyDescent="0.35">
      <c r="A69" s="80"/>
      <c r="B69" s="15"/>
      <c r="C69" s="13"/>
      <c r="D69" s="14"/>
      <c r="ALQ69" s="4" t="e">
        <v>#N/A</v>
      </c>
    </row>
    <row r="70" spans="1:1005" ht="14.5" x14ac:dyDescent="0.35">
      <c r="A70" s="80"/>
      <c r="B70" s="15"/>
      <c r="C70" s="13"/>
      <c r="D70" s="14"/>
      <c r="ALQ70" s="4" t="e">
        <v>#N/A</v>
      </c>
    </row>
    <row r="71" spans="1:1005" ht="14.5" x14ac:dyDescent="0.35">
      <c r="A71" s="80"/>
      <c r="B71" s="15"/>
      <c r="C71" s="13"/>
      <c r="D71" s="14"/>
      <c r="ALQ71" s="4" t="e">
        <v>#N/A</v>
      </c>
    </row>
    <row r="72" spans="1:1005" ht="14.5" x14ac:dyDescent="0.35">
      <c r="A72" s="80"/>
      <c r="B72" s="15"/>
      <c r="C72" s="13"/>
      <c r="D72" s="14"/>
      <c r="ALQ72" s="4" t="e">
        <v>#N/A</v>
      </c>
    </row>
    <row r="73" spans="1:1005" ht="14.5" x14ac:dyDescent="0.35">
      <c r="A73" s="80"/>
      <c r="B73" s="15"/>
      <c r="C73" s="13"/>
      <c r="D73" s="14"/>
    </row>
    <row r="74" spans="1:1005" ht="14.5" x14ac:dyDescent="0.35">
      <c r="A74" s="80"/>
      <c r="B74" s="15"/>
      <c r="C74" s="13"/>
      <c r="D74" s="14"/>
    </row>
    <row r="75" spans="1:1005" ht="14.5" x14ac:dyDescent="0.35">
      <c r="A75" s="80"/>
      <c r="B75" s="15"/>
      <c r="C75" s="13"/>
      <c r="D75" s="14"/>
    </row>
    <row r="76" spans="1:1005" ht="14.5" x14ac:dyDescent="0.35">
      <c r="A76" s="80"/>
      <c r="B76" s="15"/>
      <c r="C76" s="13"/>
      <c r="D76" s="14"/>
    </row>
    <row r="77" spans="1:1005" ht="14.5" x14ac:dyDescent="0.35">
      <c r="A77" s="80"/>
      <c r="B77" s="15"/>
      <c r="C77" s="13"/>
      <c r="D77" s="14"/>
    </row>
    <row r="78" spans="1:1005" ht="14.5" x14ac:dyDescent="0.35">
      <c r="A78" s="80"/>
      <c r="B78" s="15"/>
      <c r="C78" s="13"/>
      <c r="D78" s="14"/>
    </row>
    <row r="79" spans="1:1005" ht="14.5" x14ac:dyDescent="0.35">
      <c r="A79" s="80"/>
      <c r="B79" s="15"/>
      <c r="C79" s="13"/>
      <c r="D79" s="14"/>
    </row>
    <row r="80" spans="1:1005" ht="14.5" x14ac:dyDescent="0.35">
      <c r="A80" s="80"/>
      <c r="B80" s="15"/>
      <c r="C80" s="13"/>
      <c r="D80" s="14"/>
    </row>
    <row r="81" spans="1:4" ht="12.75" customHeight="1" x14ac:dyDescent="0.35">
      <c r="A81" s="80"/>
      <c r="B81" s="18"/>
      <c r="C81" s="19"/>
      <c r="D81" s="20"/>
    </row>
    <row r="82" spans="1:4" ht="12.75" customHeight="1" x14ac:dyDescent="0.35">
      <c r="A82" s="80"/>
      <c r="B82" s="18"/>
      <c r="C82" s="19"/>
      <c r="D82" s="20"/>
    </row>
    <row r="83" spans="1:4" ht="12.75" customHeight="1" x14ac:dyDescent="0.35">
      <c r="A83" s="80"/>
      <c r="B83" s="18"/>
      <c r="C83" s="19"/>
      <c r="D83" s="20"/>
    </row>
    <row r="84" spans="1:4" ht="12.75" customHeight="1" x14ac:dyDescent="0.35">
      <c r="A84" s="80"/>
      <c r="B84" s="18"/>
      <c r="C84" s="19"/>
      <c r="D84" s="20"/>
    </row>
  </sheetData>
  <mergeCells count="1">
    <mergeCell ref="B1:A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91D1-FBE4-4FC0-995F-62E3F4AE585C}">
  <sheetPr codeName="Sheet13">
    <tabColor rgb="FFCCEBC5"/>
  </sheetPr>
  <dimension ref="A1:ALQ84"/>
  <sheetViews>
    <sheetView topLeftCell="A40" workbookViewId="0">
      <selection activeCell="D4" sqref="D4"/>
    </sheetView>
  </sheetViews>
  <sheetFormatPr defaultColWidth="18.6328125" defaultRowHeight="12.75" customHeight="1" x14ac:dyDescent="0.35"/>
  <cols>
    <col min="1" max="4" width="7.54296875" style="3" customWidth="1"/>
    <col min="5" max="5" width="7" customWidth="1"/>
    <col min="6" max="15" width="8" customWidth="1"/>
    <col min="16" max="19" width="7" customWidth="1"/>
    <col min="20" max="26" width="8" customWidth="1"/>
    <col min="27" max="30" width="7" customWidth="1"/>
    <col min="31" max="31" width="8.453125" style="4" customWidth="1"/>
    <col min="32" max="54" width="9.36328125" customWidth="1"/>
  </cols>
  <sheetData>
    <row r="1" spans="1:51" s="3" customFormat="1" ht="14.5" x14ac:dyDescent="0.35">
      <c r="A1" s="83"/>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row>
    <row r="2" spans="1:51" s="3" customFormat="1" ht="14.5" x14ac:dyDescent="0.35">
      <c r="A2" s="83"/>
      <c r="B2" s="85" t="s">
        <v>0</v>
      </c>
      <c r="C2" s="85" t="s">
        <v>1</v>
      </c>
      <c r="D2" s="85" t="s">
        <v>2</v>
      </c>
      <c r="E2" s="85">
        <v>1991</v>
      </c>
      <c r="F2" s="85">
        <v>1992</v>
      </c>
      <c r="G2" s="85">
        <v>1993</v>
      </c>
      <c r="H2" s="85">
        <v>1994</v>
      </c>
      <c r="I2" s="85">
        <v>1995</v>
      </c>
      <c r="J2" s="85">
        <v>1996</v>
      </c>
      <c r="K2" s="85">
        <v>1997</v>
      </c>
      <c r="L2" s="85">
        <v>1998</v>
      </c>
      <c r="M2" s="85">
        <v>1999</v>
      </c>
      <c r="N2" s="85">
        <v>2000</v>
      </c>
      <c r="O2" s="85">
        <v>2001</v>
      </c>
      <c r="P2" s="85">
        <v>2002</v>
      </c>
      <c r="Q2" s="85">
        <v>2003</v>
      </c>
      <c r="R2" s="85">
        <v>2004</v>
      </c>
      <c r="S2" s="85">
        <v>2005</v>
      </c>
      <c r="T2" s="85">
        <v>2006</v>
      </c>
      <c r="U2" s="85">
        <v>2007</v>
      </c>
      <c r="V2" s="85">
        <v>2008</v>
      </c>
      <c r="W2" s="85">
        <v>2009</v>
      </c>
      <c r="X2" s="85">
        <v>2010</v>
      </c>
      <c r="Y2" s="85">
        <v>2011</v>
      </c>
      <c r="Z2" s="85">
        <v>2012</v>
      </c>
      <c r="AA2" s="85">
        <v>2013</v>
      </c>
      <c r="AB2" s="85">
        <v>2014</v>
      </c>
      <c r="AC2" s="85">
        <v>2015</v>
      </c>
      <c r="AD2" s="85">
        <v>2016</v>
      </c>
      <c r="AE2" s="85">
        <v>2017</v>
      </c>
      <c r="AF2" s="85">
        <v>2018</v>
      </c>
      <c r="AG2" s="85">
        <v>2019</v>
      </c>
      <c r="AH2" s="85">
        <v>2020</v>
      </c>
    </row>
    <row r="3" spans="1:51" s="3" customFormat="1" ht="14.5" x14ac:dyDescent="0.35">
      <c r="A3" s="86"/>
      <c r="B3" s="87" t="s">
        <v>3</v>
      </c>
      <c r="C3" s="87" t="s">
        <v>4</v>
      </c>
      <c r="D3" s="87" t="s">
        <v>5</v>
      </c>
      <c r="E3" s="87" t="s">
        <v>6</v>
      </c>
      <c r="F3" s="87" t="s">
        <v>7</v>
      </c>
      <c r="G3" s="87" t="s">
        <v>8</v>
      </c>
      <c r="H3" s="87" t="s">
        <v>9</v>
      </c>
      <c r="I3" s="87" t="s">
        <v>10</v>
      </c>
      <c r="J3" s="87" t="s">
        <v>11</v>
      </c>
      <c r="K3" s="87" t="s">
        <v>12</v>
      </c>
      <c r="L3" s="87" t="s">
        <v>13</v>
      </c>
      <c r="M3" s="87" t="s">
        <v>14</v>
      </c>
      <c r="N3" s="87" t="s">
        <v>15</v>
      </c>
      <c r="O3" s="87" t="s">
        <v>16</v>
      </c>
      <c r="P3" s="87" t="s">
        <v>17</v>
      </c>
      <c r="Q3" s="87" t="s">
        <v>18</v>
      </c>
      <c r="R3" s="87" t="s">
        <v>19</v>
      </c>
      <c r="S3" s="87" t="s">
        <v>20</v>
      </c>
      <c r="T3" s="87" t="s">
        <v>21</v>
      </c>
      <c r="U3" s="87" t="s">
        <v>22</v>
      </c>
      <c r="V3" s="87" t="s">
        <v>23</v>
      </c>
      <c r="W3" s="87" t="s">
        <v>24</v>
      </c>
      <c r="X3" s="87" t="s">
        <v>25</v>
      </c>
      <c r="Y3" s="87" t="s">
        <v>26</v>
      </c>
      <c r="Z3" s="87" t="s">
        <v>27</v>
      </c>
      <c r="AA3" s="87" t="s">
        <v>28</v>
      </c>
      <c r="AB3" s="87" t="s">
        <v>29</v>
      </c>
      <c r="AC3" s="87" t="s">
        <v>30</v>
      </c>
      <c r="AD3" s="87" t="s">
        <v>31</v>
      </c>
      <c r="AE3" s="87" t="s">
        <v>32</v>
      </c>
      <c r="AF3" s="87" t="s">
        <v>33</v>
      </c>
      <c r="AG3" s="87" t="s">
        <v>34</v>
      </c>
      <c r="AH3" s="87" t="s">
        <v>35</v>
      </c>
    </row>
    <row r="4" spans="1:51" ht="14.75" customHeight="1" x14ac:dyDescent="0.35">
      <c r="A4" s="88">
        <v>46143</v>
      </c>
      <c r="B4" s="81">
        <v>53</v>
      </c>
      <c r="C4" s="82">
        <v>26</v>
      </c>
      <c r="D4" s="9">
        <v>36</v>
      </c>
      <c r="E4">
        <v>36.281999999999996</v>
      </c>
      <c r="F4">
        <v>49.222999999999999</v>
      </c>
      <c r="G4">
        <v>39.546999999999997</v>
      </c>
      <c r="H4">
        <v>37.106000000000002</v>
      </c>
      <c r="I4">
        <v>28.376999999999999</v>
      </c>
      <c r="J4">
        <v>34.767000000000003</v>
      </c>
      <c r="K4">
        <v>39.942999999999998</v>
      </c>
      <c r="L4">
        <v>32.17</v>
      </c>
      <c r="M4">
        <v>31.048999999999999</v>
      </c>
      <c r="N4">
        <v>36.21</v>
      </c>
      <c r="O4">
        <v>36.378</v>
      </c>
      <c r="P4">
        <v>31.135000000000002</v>
      </c>
      <c r="Q4">
        <v>37.621000000000002</v>
      </c>
      <c r="R4">
        <v>35.340000000000003</v>
      </c>
      <c r="S4">
        <v>32.725000000000001</v>
      </c>
      <c r="T4">
        <v>35.79</v>
      </c>
      <c r="U4">
        <v>45.819000000000003</v>
      </c>
      <c r="V4">
        <v>37.393999999999998</v>
      </c>
      <c r="W4">
        <v>39.5</v>
      </c>
      <c r="X4">
        <v>28.768000000000001</v>
      </c>
      <c r="Y4">
        <v>33.091999999999999</v>
      </c>
      <c r="Z4">
        <v>35.363</v>
      </c>
      <c r="AA4">
        <v>35.491</v>
      </c>
      <c r="AB4">
        <v>40.920999999999999</v>
      </c>
      <c r="AC4">
        <v>46.384999999999998</v>
      </c>
      <c r="AD4">
        <v>36.314999999999998</v>
      </c>
      <c r="AE4">
        <v>38.220999999999997</v>
      </c>
      <c r="AF4">
        <v>34.347999999999999</v>
      </c>
      <c r="AG4">
        <v>28.369</v>
      </c>
      <c r="AH4" s="4">
        <v>34.612000000000002</v>
      </c>
      <c r="AI4" s="4"/>
      <c r="AJ4" s="4"/>
      <c r="AK4" s="4"/>
      <c r="AL4" s="4"/>
      <c r="AM4" s="4"/>
      <c r="AN4" s="4"/>
      <c r="AO4" s="4"/>
      <c r="AP4" s="4"/>
      <c r="AQ4" s="4"/>
      <c r="AR4" s="4"/>
      <c r="AS4" s="4"/>
      <c r="AT4" s="4"/>
      <c r="AU4" s="4"/>
      <c r="AV4" s="4"/>
      <c r="AW4" s="4"/>
      <c r="AX4" s="4"/>
      <c r="AY4" s="4"/>
    </row>
    <row r="5" spans="1:51" ht="14.75" customHeight="1" x14ac:dyDescent="0.35">
      <c r="A5" s="88">
        <v>46174</v>
      </c>
      <c r="B5" s="34">
        <v>23</v>
      </c>
      <c r="C5" s="12">
        <v>12</v>
      </c>
      <c r="D5" s="11">
        <v>16</v>
      </c>
      <c r="E5">
        <v>22.532</v>
      </c>
      <c r="F5">
        <v>21.873999999999999</v>
      </c>
      <c r="G5">
        <v>19.134</v>
      </c>
      <c r="H5">
        <v>16.446000000000002</v>
      </c>
      <c r="I5">
        <v>35.710999999999999</v>
      </c>
      <c r="J5">
        <v>12.483000000000001</v>
      </c>
      <c r="K5">
        <v>22.024000000000001</v>
      </c>
      <c r="L5">
        <v>13.025</v>
      </c>
      <c r="M5">
        <v>23.382000000000001</v>
      </c>
      <c r="N5">
        <v>11.805999999999999</v>
      </c>
      <c r="O5">
        <v>11.541</v>
      </c>
      <c r="P5">
        <v>12.486000000000001</v>
      </c>
      <c r="Q5">
        <v>15.862</v>
      </c>
      <c r="R5">
        <v>10.821</v>
      </c>
      <c r="S5">
        <v>13.718999999999999</v>
      </c>
      <c r="T5">
        <v>12.294</v>
      </c>
      <c r="U5">
        <v>17.146000000000001</v>
      </c>
      <c r="V5">
        <v>18.707000000000001</v>
      </c>
      <c r="W5">
        <v>13.907</v>
      </c>
      <c r="X5">
        <v>13.943</v>
      </c>
      <c r="Y5">
        <v>27.704999999999998</v>
      </c>
      <c r="Z5">
        <v>11.163</v>
      </c>
      <c r="AA5">
        <v>13.939</v>
      </c>
      <c r="AB5">
        <v>18.445</v>
      </c>
      <c r="AC5">
        <v>60.704999999999998</v>
      </c>
      <c r="AD5">
        <v>21.39</v>
      </c>
      <c r="AE5">
        <v>16.138000000000002</v>
      </c>
      <c r="AF5">
        <v>11.858000000000001</v>
      </c>
      <c r="AG5">
        <v>33.444000000000003</v>
      </c>
      <c r="AH5" s="4">
        <v>11.75</v>
      </c>
      <c r="AI5" s="4"/>
      <c r="AJ5" s="4"/>
      <c r="AK5" s="4"/>
      <c r="AL5" s="4"/>
      <c r="AM5" s="4"/>
      <c r="AN5" s="4"/>
      <c r="AO5" s="4"/>
      <c r="AP5" s="4"/>
      <c r="AQ5" s="4"/>
      <c r="AR5" s="4"/>
      <c r="AS5" s="4"/>
      <c r="AT5" s="4"/>
      <c r="AU5" s="4"/>
      <c r="AV5" s="4"/>
      <c r="AW5" s="4"/>
      <c r="AX5" s="4"/>
      <c r="AY5" s="4"/>
    </row>
    <row r="6" spans="1:51" ht="14.75" customHeight="1" x14ac:dyDescent="0.35">
      <c r="A6" s="88">
        <v>46204</v>
      </c>
      <c r="B6" s="34">
        <v>10</v>
      </c>
      <c r="C6" s="12">
        <v>5</v>
      </c>
      <c r="D6" s="11">
        <v>7</v>
      </c>
      <c r="E6">
        <v>9.5820000000000007</v>
      </c>
      <c r="F6">
        <v>10.231999999999999</v>
      </c>
      <c r="G6">
        <v>6.9960000000000004</v>
      </c>
      <c r="H6">
        <v>6.98</v>
      </c>
      <c r="I6">
        <v>14.465999999999999</v>
      </c>
      <c r="J6">
        <v>7.2850000000000001</v>
      </c>
      <c r="K6">
        <v>9.8670000000000009</v>
      </c>
      <c r="L6">
        <v>8.0559999999999992</v>
      </c>
      <c r="M6">
        <v>19.350000000000001</v>
      </c>
      <c r="N6">
        <v>5.5229999999999997</v>
      </c>
      <c r="O6">
        <v>6.0190000000000001</v>
      </c>
      <c r="P6">
        <v>5.6929999999999996</v>
      </c>
      <c r="Q6">
        <v>6.9130000000000003</v>
      </c>
      <c r="R6">
        <v>6.5730000000000004</v>
      </c>
      <c r="S6">
        <v>6.35</v>
      </c>
      <c r="T6">
        <v>8.9610000000000003</v>
      </c>
      <c r="U6">
        <v>8.6359999999999992</v>
      </c>
      <c r="V6">
        <v>8.4060000000000006</v>
      </c>
      <c r="W6">
        <v>7.0039999999999996</v>
      </c>
      <c r="X6">
        <v>6.476</v>
      </c>
      <c r="Y6">
        <v>8.9689999999999994</v>
      </c>
      <c r="Z6">
        <v>6.827</v>
      </c>
      <c r="AA6">
        <v>6.9039999999999999</v>
      </c>
      <c r="AB6">
        <v>7.1639999999999997</v>
      </c>
      <c r="AC6">
        <v>16.402000000000001</v>
      </c>
      <c r="AD6">
        <v>6.9939999999999998</v>
      </c>
      <c r="AE6">
        <v>6.76</v>
      </c>
      <c r="AF6">
        <v>5.6070000000000002</v>
      </c>
      <c r="AG6">
        <v>9.0649999999999995</v>
      </c>
      <c r="AH6" s="4">
        <v>6.9279999999999999</v>
      </c>
      <c r="AI6" s="4"/>
      <c r="AJ6" s="4"/>
      <c r="AK6" s="4"/>
      <c r="AL6" s="4"/>
      <c r="AM6" s="4"/>
      <c r="AN6" s="4"/>
      <c r="AO6" s="4"/>
      <c r="AP6" s="4"/>
      <c r="AQ6" s="4"/>
      <c r="AR6" s="4"/>
      <c r="AS6" s="4"/>
      <c r="AT6" s="4"/>
      <c r="AU6" s="4"/>
      <c r="AV6" s="4"/>
      <c r="AW6" s="4"/>
      <c r="AX6" s="4"/>
      <c r="AY6" s="4"/>
    </row>
    <row r="7" spans="1:51" ht="14.75" customHeight="1" x14ac:dyDescent="0.35">
      <c r="A7" s="88">
        <v>46235</v>
      </c>
      <c r="B7" s="34">
        <v>11</v>
      </c>
      <c r="C7" s="12">
        <v>6</v>
      </c>
      <c r="D7" s="11">
        <v>7</v>
      </c>
      <c r="E7">
        <v>6.6619999999999999</v>
      </c>
      <c r="F7">
        <v>11.473000000000001</v>
      </c>
      <c r="G7">
        <v>7.7140000000000004</v>
      </c>
      <c r="H7">
        <v>6.0810000000000004</v>
      </c>
      <c r="I7">
        <v>8.5850000000000009</v>
      </c>
      <c r="J7">
        <v>5.6239999999999997</v>
      </c>
      <c r="K7">
        <v>11.643000000000001</v>
      </c>
      <c r="L7">
        <v>6.7089999999999996</v>
      </c>
      <c r="M7">
        <v>28.998999999999999</v>
      </c>
      <c r="N7">
        <v>5.444</v>
      </c>
      <c r="O7">
        <v>11.773999999999999</v>
      </c>
      <c r="P7">
        <v>4.7519999999999998</v>
      </c>
      <c r="Q7">
        <v>7.2910000000000004</v>
      </c>
      <c r="R7">
        <v>4.593</v>
      </c>
      <c r="S7">
        <v>8.0050000000000008</v>
      </c>
      <c r="T7">
        <v>8.4109999999999996</v>
      </c>
      <c r="U7">
        <v>20.585000000000001</v>
      </c>
      <c r="V7">
        <v>6.1289999999999996</v>
      </c>
      <c r="W7">
        <v>4.6529999999999996</v>
      </c>
      <c r="X7">
        <v>7.5629999999999997</v>
      </c>
      <c r="Y7">
        <v>6.0380000000000003</v>
      </c>
      <c r="Z7">
        <v>5.0090000000000003</v>
      </c>
      <c r="AA7">
        <v>8.1110000000000007</v>
      </c>
      <c r="AB7">
        <v>7.45</v>
      </c>
      <c r="AC7">
        <v>9.0069999999999997</v>
      </c>
      <c r="AD7">
        <v>8.4719999999999995</v>
      </c>
      <c r="AE7">
        <v>6.1260000000000003</v>
      </c>
      <c r="AF7">
        <v>4.2</v>
      </c>
      <c r="AG7">
        <v>4.7050000000000001</v>
      </c>
      <c r="AH7" s="4">
        <v>5.4219999999999997</v>
      </c>
      <c r="AI7" s="4"/>
      <c r="AJ7" s="4"/>
      <c r="AK7" s="4"/>
      <c r="AL7" s="4"/>
      <c r="AM7" s="4"/>
      <c r="AN7" s="4"/>
      <c r="AO7" s="4"/>
      <c r="AP7" s="4"/>
      <c r="AQ7" s="4"/>
      <c r="AR7" s="4"/>
      <c r="AS7" s="4"/>
      <c r="AT7" s="4"/>
      <c r="AU7" s="4"/>
      <c r="AV7" s="4"/>
      <c r="AW7" s="4"/>
      <c r="AX7" s="4"/>
      <c r="AY7" s="4"/>
    </row>
    <row r="8" spans="1:51" ht="14.75" customHeight="1" x14ac:dyDescent="0.35">
      <c r="A8" s="88">
        <v>46266</v>
      </c>
      <c r="B8" s="34">
        <v>17</v>
      </c>
      <c r="C8" s="12">
        <v>10</v>
      </c>
      <c r="D8" s="11">
        <v>8</v>
      </c>
      <c r="E8">
        <v>20.946000000000002</v>
      </c>
      <c r="F8">
        <v>10.265000000000001</v>
      </c>
      <c r="G8">
        <v>11.57</v>
      </c>
      <c r="H8">
        <v>11.101000000000001</v>
      </c>
      <c r="I8">
        <v>7.6349999999999998</v>
      </c>
      <c r="J8">
        <v>6.5289999999999999</v>
      </c>
      <c r="K8">
        <v>18.315000000000001</v>
      </c>
      <c r="L8">
        <v>6.9630000000000001</v>
      </c>
      <c r="M8">
        <v>22.422000000000001</v>
      </c>
      <c r="N8">
        <v>5.5640000000000001</v>
      </c>
      <c r="O8">
        <v>6.2670000000000003</v>
      </c>
      <c r="P8">
        <v>9.8040000000000003</v>
      </c>
      <c r="Q8">
        <v>17.212</v>
      </c>
      <c r="R8">
        <v>13.557</v>
      </c>
      <c r="S8">
        <v>6.7009999999999996</v>
      </c>
      <c r="T8">
        <v>10.097</v>
      </c>
      <c r="U8">
        <v>14.823</v>
      </c>
      <c r="V8">
        <v>8.657</v>
      </c>
      <c r="W8">
        <v>5.016</v>
      </c>
      <c r="X8">
        <v>6.915</v>
      </c>
      <c r="Y8">
        <v>5.923</v>
      </c>
      <c r="Z8">
        <v>4.5540000000000003</v>
      </c>
      <c r="AA8">
        <v>26.23</v>
      </c>
      <c r="AB8">
        <v>11.323</v>
      </c>
      <c r="AC8">
        <v>8.1539999999999999</v>
      </c>
      <c r="AD8">
        <v>7.8460000000000001</v>
      </c>
      <c r="AE8">
        <v>4.694</v>
      </c>
      <c r="AF8">
        <v>3.948</v>
      </c>
      <c r="AG8">
        <v>4.327</v>
      </c>
      <c r="AH8" s="4">
        <v>4.7910000000000004</v>
      </c>
      <c r="AI8" s="4"/>
      <c r="AJ8" s="4"/>
      <c r="AK8" s="4"/>
      <c r="AL8" s="4"/>
      <c r="AM8" s="4"/>
      <c r="AN8" s="4"/>
      <c r="AO8" s="4"/>
      <c r="AP8" s="4"/>
      <c r="AQ8" s="4"/>
      <c r="AR8" s="4"/>
      <c r="AS8" s="4"/>
      <c r="AT8" s="4"/>
      <c r="AU8" s="4"/>
      <c r="AV8" s="4"/>
      <c r="AW8" s="4"/>
      <c r="AX8" s="4"/>
      <c r="AY8" s="4"/>
    </row>
    <row r="9" spans="1:51" ht="14.75" customHeight="1" x14ac:dyDescent="0.35">
      <c r="A9" s="88">
        <v>46296</v>
      </c>
      <c r="B9" s="34">
        <v>17</v>
      </c>
      <c r="C9" s="12">
        <v>10</v>
      </c>
      <c r="D9" s="11">
        <v>9</v>
      </c>
      <c r="E9">
        <v>9.1010000000000009</v>
      </c>
      <c r="F9">
        <v>6.3940000000000001</v>
      </c>
      <c r="G9">
        <v>7.2380000000000004</v>
      </c>
      <c r="H9">
        <v>9.1959999999999997</v>
      </c>
      <c r="I9">
        <v>8.1359999999999992</v>
      </c>
      <c r="J9">
        <v>10.500999999999999</v>
      </c>
      <c r="K9">
        <v>23.561</v>
      </c>
      <c r="L9">
        <v>7.181</v>
      </c>
      <c r="M9">
        <v>10.542</v>
      </c>
      <c r="N9">
        <v>6.1849999999999996</v>
      </c>
      <c r="O9">
        <v>4.9320000000000004</v>
      </c>
      <c r="P9">
        <v>10.407</v>
      </c>
      <c r="Q9">
        <v>8.8390000000000004</v>
      </c>
      <c r="R9">
        <v>16.914000000000001</v>
      </c>
      <c r="S9">
        <v>15.163</v>
      </c>
      <c r="T9">
        <v>30.539000000000001</v>
      </c>
      <c r="U9">
        <v>14.676</v>
      </c>
      <c r="V9">
        <v>7.1210000000000004</v>
      </c>
      <c r="W9">
        <v>5.7709999999999999</v>
      </c>
      <c r="X9">
        <v>9.9209999999999994</v>
      </c>
      <c r="Y9">
        <v>8.5969999999999995</v>
      </c>
      <c r="Z9">
        <v>4.1680000000000001</v>
      </c>
      <c r="AA9">
        <v>16.492999999999999</v>
      </c>
      <c r="AB9">
        <v>20.513000000000002</v>
      </c>
      <c r="AC9">
        <v>9.0020000000000007</v>
      </c>
      <c r="AD9">
        <v>7.516</v>
      </c>
      <c r="AE9">
        <v>5.7939999999999996</v>
      </c>
      <c r="AF9">
        <v>4.9329999999999998</v>
      </c>
      <c r="AG9">
        <v>4.1669999999999998</v>
      </c>
      <c r="AH9" s="4">
        <v>4.8470000000000004</v>
      </c>
      <c r="AI9" s="4"/>
      <c r="AJ9" s="4"/>
      <c r="AK9" s="4"/>
      <c r="AL9" s="4"/>
      <c r="AM9" s="4"/>
      <c r="AN9" s="4"/>
      <c r="AO9" s="4"/>
      <c r="AP9" s="4"/>
      <c r="AQ9" s="4"/>
      <c r="AR9" s="4"/>
      <c r="AS9" s="4"/>
      <c r="AT9" s="4"/>
      <c r="AU9" s="4"/>
      <c r="AV9" s="4"/>
      <c r="AW9" s="4"/>
      <c r="AX9" s="4"/>
      <c r="AY9" s="4"/>
    </row>
    <row r="10" spans="1:51" ht="14.75" customHeight="1" x14ac:dyDescent="0.35">
      <c r="A10" s="88">
        <v>46327</v>
      </c>
      <c r="B10" s="34">
        <v>9</v>
      </c>
      <c r="C10" s="12">
        <v>8</v>
      </c>
      <c r="D10" s="11">
        <v>8</v>
      </c>
      <c r="E10">
        <v>5.7610000000000001</v>
      </c>
      <c r="F10">
        <v>4.9820000000000002</v>
      </c>
      <c r="G10">
        <v>4.9290000000000003</v>
      </c>
      <c r="H10">
        <v>6.7480000000000002</v>
      </c>
      <c r="I10">
        <v>6.165</v>
      </c>
      <c r="J10">
        <v>6.6260000000000003</v>
      </c>
      <c r="K10">
        <v>10.090999999999999</v>
      </c>
      <c r="L10">
        <v>6.375</v>
      </c>
      <c r="M10">
        <v>6.093</v>
      </c>
      <c r="N10">
        <v>4.7809999999999997</v>
      </c>
      <c r="O10">
        <v>4.3170000000000002</v>
      </c>
      <c r="P10">
        <v>6.2649999999999997</v>
      </c>
      <c r="Q10">
        <v>5.4429999999999996</v>
      </c>
      <c r="R10">
        <v>9.3469999999999995</v>
      </c>
      <c r="S10">
        <v>10.484999999999999</v>
      </c>
      <c r="T10">
        <v>12.746</v>
      </c>
      <c r="U10">
        <v>7.5039999999999996</v>
      </c>
      <c r="V10">
        <v>6.1680000000000001</v>
      </c>
      <c r="W10">
        <v>5.1260000000000003</v>
      </c>
      <c r="X10">
        <v>7.343</v>
      </c>
      <c r="Y10">
        <v>6.2880000000000003</v>
      </c>
      <c r="Z10">
        <v>3.6760000000000002</v>
      </c>
      <c r="AA10">
        <v>8.375</v>
      </c>
      <c r="AB10">
        <v>9.5690000000000008</v>
      </c>
      <c r="AC10">
        <v>6.6710000000000003</v>
      </c>
      <c r="AD10">
        <v>4.931</v>
      </c>
      <c r="AE10">
        <v>4.5010000000000003</v>
      </c>
      <c r="AF10">
        <v>4.5110000000000001</v>
      </c>
      <c r="AG10">
        <v>3.7330000000000001</v>
      </c>
      <c r="AH10" s="4">
        <v>5.2670000000000003</v>
      </c>
      <c r="AI10" s="4"/>
      <c r="AJ10" s="4"/>
      <c r="AK10" s="4"/>
      <c r="AL10" s="4"/>
      <c r="AM10" s="4"/>
      <c r="AN10" s="4"/>
      <c r="AO10" s="4"/>
      <c r="AP10" s="4"/>
      <c r="AQ10" s="4"/>
      <c r="AR10" s="4"/>
      <c r="AS10" s="4"/>
      <c r="AT10" s="4"/>
      <c r="AU10" s="4"/>
      <c r="AV10" s="4"/>
      <c r="AW10" s="4"/>
      <c r="AX10" s="4"/>
      <c r="AY10" s="4"/>
    </row>
    <row r="11" spans="1:51" ht="14.75" customHeight="1" x14ac:dyDescent="0.35">
      <c r="A11" s="88">
        <v>46357</v>
      </c>
      <c r="B11" s="34">
        <v>6</v>
      </c>
      <c r="C11" s="12">
        <v>6</v>
      </c>
      <c r="D11" s="11">
        <v>7</v>
      </c>
      <c r="E11">
        <v>4.7380000000000004</v>
      </c>
      <c r="F11">
        <v>4.3929999999999998</v>
      </c>
      <c r="G11">
        <v>4.2439999999999998</v>
      </c>
      <c r="H11">
        <v>4.7240000000000002</v>
      </c>
      <c r="I11">
        <v>5.1929999999999996</v>
      </c>
      <c r="J11">
        <v>4.9909999999999997</v>
      </c>
      <c r="K11">
        <v>6.157</v>
      </c>
      <c r="L11">
        <v>5.3979999999999997</v>
      </c>
      <c r="M11">
        <v>4.9630000000000001</v>
      </c>
      <c r="N11">
        <v>3.9950000000000001</v>
      </c>
      <c r="O11">
        <v>3.706</v>
      </c>
      <c r="P11">
        <v>4.8520000000000003</v>
      </c>
      <c r="Q11">
        <v>4.6559999999999997</v>
      </c>
      <c r="R11">
        <v>6.0039999999999996</v>
      </c>
      <c r="S11">
        <v>6.165</v>
      </c>
      <c r="T11">
        <v>7.2789999999999999</v>
      </c>
      <c r="U11">
        <v>5.7430000000000003</v>
      </c>
      <c r="V11">
        <v>4.9390000000000001</v>
      </c>
      <c r="W11">
        <v>3.9340000000000002</v>
      </c>
      <c r="X11">
        <v>4.82</v>
      </c>
      <c r="Y11">
        <v>4.8949999999999996</v>
      </c>
      <c r="Z11">
        <v>3.5979999999999999</v>
      </c>
      <c r="AA11">
        <v>5.8179999999999996</v>
      </c>
      <c r="AB11">
        <v>6.1989999999999998</v>
      </c>
      <c r="AC11">
        <v>5.4029999999999996</v>
      </c>
      <c r="AD11">
        <v>4.1130000000000004</v>
      </c>
      <c r="AE11">
        <v>4.0419999999999998</v>
      </c>
      <c r="AF11">
        <v>3.6720000000000002</v>
      </c>
      <c r="AG11">
        <v>3.5590000000000002</v>
      </c>
      <c r="AH11" s="4">
        <v>4.3419999999999996</v>
      </c>
      <c r="AI11" s="4"/>
      <c r="AJ11" s="4"/>
      <c r="AK11" s="4"/>
      <c r="AL11" s="4"/>
      <c r="AM11" s="4"/>
      <c r="AN11" s="4"/>
      <c r="AO11" s="4"/>
      <c r="AP11" s="4"/>
      <c r="AQ11" s="4"/>
      <c r="AR11" s="4"/>
      <c r="AS11" s="4"/>
      <c r="AT11" s="4"/>
      <c r="AU11" s="4"/>
      <c r="AV11" s="4"/>
      <c r="AW11" s="4"/>
      <c r="AX11" s="4"/>
      <c r="AY11" s="4"/>
    </row>
    <row r="12" spans="1:51" ht="14.75" customHeight="1" x14ac:dyDescent="0.35">
      <c r="A12" s="88">
        <v>46388</v>
      </c>
      <c r="B12" s="34">
        <v>6</v>
      </c>
      <c r="C12" s="12">
        <v>6</v>
      </c>
      <c r="D12" s="11">
        <v>6</v>
      </c>
      <c r="E12">
        <v>4.1479999999999997</v>
      </c>
      <c r="F12">
        <v>3.9260000000000002</v>
      </c>
      <c r="G12">
        <v>3.907</v>
      </c>
      <c r="H12">
        <v>4.0220000000000002</v>
      </c>
      <c r="I12">
        <v>4.2679999999999998</v>
      </c>
      <c r="J12">
        <v>4.093</v>
      </c>
      <c r="K12">
        <v>4.9249999999999998</v>
      </c>
      <c r="L12">
        <v>4.2460000000000004</v>
      </c>
      <c r="M12">
        <v>4.5389999999999997</v>
      </c>
      <c r="N12">
        <v>3.641</v>
      </c>
      <c r="O12">
        <v>3.3730000000000002</v>
      </c>
      <c r="P12">
        <v>4.1280000000000001</v>
      </c>
      <c r="Q12">
        <v>4.0110000000000001</v>
      </c>
      <c r="R12">
        <v>5.1100000000000003</v>
      </c>
      <c r="S12">
        <v>4.8170000000000002</v>
      </c>
      <c r="T12">
        <v>5.4169999999999998</v>
      </c>
      <c r="U12">
        <v>4.6779999999999999</v>
      </c>
      <c r="V12">
        <v>3.9710000000000001</v>
      </c>
      <c r="W12">
        <v>3.4260000000000002</v>
      </c>
      <c r="X12">
        <v>3.9220000000000002</v>
      </c>
      <c r="Y12">
        <v>4.5380000000000003</v>
      </c>
      <c r="Z12">
        <v>3.2879999999999998</v>
      </c>
      <c r="AA12">
        <v>4.9050000000000002</v>
      </c>
      <c r="AB12">
        <v>5.2110000000000003</v>
      </c>
      <c r="AC12">
        <v>4.5640000000000001</v>
      </c>
      <c r="AD12">
        <v>3.7360000000000002</v>
      </c>
      <c r="AE12">
        <v>3.5910000000000002</v>
      </c>
      <c r="AF12">
        <v>3.2639999999999998</v>
      </c>
      <c r="AG12">
        <v>3.3140000000000001</v>
      </c>
      <c r="AH12" s="4">
        <v>3.53</v>
      </c>
      <c r="AI12" s="4"/>
      <c r="AJ12" s="4"/>
      <c r="AK12" s="4"/>
      <c r="AL12" s="4"/>
      <c r="AM12" s="4"/>
      <c r="AN12" s="4"/>
      <c r="AO12" s="4"/>
      <c r="AP12" s="4"/>
      <c r="AQ12" s="4"/>
      <c r="AR12" s="4"/>
      <c r="AS12" s="4"/>
      <c r="AT12" s="4"/>
      <c r="AU12" s="4"/>
      <c r="AV12" s="4"/>
      <c r="AW12" s="4"/>
      <c r="AX12" s="4"/>
      <c r="AY12" s="4"/>
    </row>
    <row r="13" spans="1:51" ht="14.75" customHeight="1" x14ac:dyDescent="0.35">
      <c r="A13" s="88">
        <v>46419</v>
      </c>
      <c r="B13" s="34">
        <v>5</v>
      </c>
      <c r="C13" s="12">
        <v>5</v>
      </c>
      <c r="D13" s="11">
        <v>5</v>
      </c>
      <c r="E13">
        <v>3.6859999999999999</v>
      </c>
      <c r="F13">
        <v>3.246</v>
      </c>
      <c r="G13">
        <v>3.2320000000000002</v>
      </c>
      <c r="H13">
        <v>4.5919999999999996</v>
      </c>
      <c r="I13">
        <v>4.6230000000000002</v>
      </c>
      <c r="J13">
        <v>3.3370000000000002</v>
      </c>
      <c r="K13">
        <v>3.9620000000000002</v>
      </c>
      <c r="L13">
        <v>3.746</v>
      </c>
      <c r="M13">
        <v>4.1360000000000001</v>
      </c>
      <c r="N13">
        <v>2.9849999999999999</v>
      </c>
      <c r="O13">
        <v>2.9340000000000002</v>
      </c>
      <c r="P13">
        <v>3.9060000000000001</v>
      </c>
      <c r="Q13">
        <v>3.4159999999999999</v>
      </c>
      <c r="R13">
        <v>4.2930000000000001</v>
      </c>
      <c r="S13">
        <v>3.8620000000000001</v>
      </c>
      <c r="T13">
        <v>5.23</v>
      </c>
      <c r="U13">
        <v>3.669</v>
      </c>
      <c r="V13">
        <v>3.5070000000000001</v>
      </c>
      <c r="W13">
        <v>2.8210000000000002</v>
      </c>
      <c r="X13">
        <v>3.206</v>
      </c>
      <c r="Y13">
        <v>3.43</v>
      </c>
      <c r="Z13">
        <v>2.8879999999999999</v>
      </c>
      <c r="AA13">
        <v>4.7889999999999997</v>
      </c>
      <c r="AB13">
        <v>6.18</v>
      </c>
      <c r="AC13">
        <v>5.1660000000000004</v>
      </c>
      <c r="AD13">
        <v>3.7549999999999999</v>
      </c>
      <c r="AE13">
        <v>3.3759999999999999</v>
      </c>
      <c r="AF13">
        <v>2.7010000000000001</v>
      </c>
      <c r="AG13">
        <v>2.843</v>
      </c>
      <c r="AH13" s="4">
        <v>3.3650000000000002</v>
      </c>
      <c r="AI13" s="4"/>
      <c r="AJ13" s="4"/>
      <c r="AK13" s="4"/>
      <c r="AL13" s="4"/>
      <c r="AM13" s="4"/>
      <c r="AN13" s="4"/>
      <c r="AO13" s="4"/>
      <c r="AP13" s="4"/>
      <c r="AQ13" s="4"/>
      <c r="AR13" s="4"/>
      <c r="AS13" s="4"/>
      <c r="AT13" s="4"/>
      <c r="AU13" s="4"/>
      <c r="AV13" s="4"/>
      <c r="AW13" s="4"/>
      <c r="AX13" s="4"/>
      <c r="AY13" s="4"/>
    </row>
    <row r="14" spans="1:51" ht="14.75" customHeight="1" x14ac:dyDescent="0.35">
      <c r="A14" s="88">
        <v>46447</v>
      </c>
      <c r="B14" s="34">
        <v>11</v>
      </c>
      <c r="C14" s="12">
        <v>8</v>
      </c>
      <c r="D14" s="11">
        <v>10</v>
      </c>
      <c r="E14">
        <v>5.3040000000000003</v>
      </c>
      <c r="F14">
        <v>5.2930000000000001</v>
      </c>
      <c r="G14">
        <v>6.6769999999999996</v>
      </c>
      <c r="H14">
        <v>9.1969999999999992</v>
      </c>
      <c r="I14">
        <v>5.4279999999999999</v>
      </c>
      <c r="J14">
        <v>11.965</v>
      </c>
      <c r="K14">
        <v>6.38</v>
      </c>
      <c r="L14">
        <v>6.3959999999999999</v>
      </c>
      <c r="M14">
        <v>5.2830000000000004</v>
      </c>
      <c r="N14">
        <v>6.0069999999999997</v>
      </c>
      <c r="O14">
        <v>3.9790000000000001</v>
      </c>
      <c r="P14">
        <v>5.7590000000000003</v>
      </c>
      <c r="Q14">
        <v>11.269</v>
      </c>
      <c r="R14">
        <v>7.7549999999999999</v>
      </c>
      <c r="S14">
        <v>5.0730000000000004</v>
      </c>
      <c r="T14">
        <v>15.912000000000001</v>
      </c>
      <c r="U14">
        <v>4.609</v>
      </c>
      <c r="V14">
        <v>6.359</v>
      </c>
      <c r="W14">
        <v>3.226</v>
      </c>
      <c r="X14">
        <v>5.0369999999999999</v>
      </c>
      <c r="Y14">
        <v>7.1769999999999996</v>
      </c>
      <c r="Z14">
        <v>4.2169999999999996</v>
      </c>
      <c r="AA14">
        <v>7.3650000000000002</v>
      </c>
      <c r="AB14">
        <v>11.307</v>
      </c>
      <c r="AC14">
        <v>7.7759999999999998</v>
      </c>
      <c r="AD14">
        <v>10.414</v>
      </c>
      <c r="AE14">
        <v>4.0380000000000003</v>
      </c>
      <c r="AF14">
        <v>3.4089999999999998</v>
      </c>
      <c r="AG14">
        <v>4.21</v>
      </c>
      <c r="AH14" s="4">
        <v>3.5369999999999999</v>
      </c>
      <c r="AI14" s="4"/>
      <c r="AJ14" s="4"/>
      <c r="AK14" s="4"/>
      <c r="AL14" s="4"/>
      <c r="AM14" s="4"/>
      <c r="AN14" s="4"/>
      <c r="AO14" s="4"/>
      <c r="AP14" s="4"/>
      <c r="AQ14" s="4"/>
      <c r="AR14" s="4"/>
      <c r="AS14" s="4"/>
      <c r="AT14" s="4"/>
      <c r="AU14" s="4"/>
      <c r="AV14" s="4"/>
      <c r="AW14" s="4"/>
      <c r="AX14" s="4"/>
      <c r="AY14" s="4"/>
    </row>
    <row r="15" spans="1:51" ht="14.75" customHeight="1" x14ac:dyDescent="0.35">
      <c r="A15" s="88">
        <v>46478</v>
      </c>
      <c r="B15" s="34">
        <v>28</v>
      </c>
      <c r="C15" s="12">
        <v>20</v>
      </c>
      <c r="D15" s="11">
        <v>23</v>
      </c>
      <c r="E15">
        <v>31.138000000000002</v>
      </c>
      <c r="F15">
        <v>15.89</v>
      </c>
      <c r="G15">
        <v>23.388000000000002</v>
      </c>
      <c r="H15">
        <v>15.895</v>
      </c>
      <c r="I15">
        <v>15.103999999999999</v>
      </c>
      <c r="J15">
        <v>24.044</v>
      </c>
      <c r="K15">
        <v>12.67</v>
      </c>
      <c r="L15">
        <v>13.602</v>
      </c>
      <c r="M15">
        <v>24.573</v>
      </c>
      <c r="N15">
        <v>27.030999999999999</v>
      </c>
      <c r="O15">
        <v>14.205</v>
      </c>
      <c r="P15">
        <v>16.335999999999999</v>
      </c>
      <c r="Q15">
        <v>35.899000000000001</v>
      </c>
      <c r="R15">
        <v>27.911999999999999</v>
      </c>
      <c r="S15">
        <v>22.5</v>
      </c>
      <c r="T15">
        <v>25.114999999999998</v>
      </c>
      <c r="U15">
        <v>12.984</v>
      </c>
      <c r="V15">
        <v>14.473000000000001</v>
      </c>
      <c r="W15">
        <v>12.118</v>
      </c>
      <c r="X15">
        <v>13.288</v>
      </c>
      <c r="Y15">
        <v>30.306999999999999</v>
      </c>
      <c r="Z15">
        <v>8.7460000000000004</v>
      </c>
      <c r="AA15">
        <v>20.914999999999999</v>
      </c>
      <c r="AB15">
        <v>17.187999999999999</v>
      </c>
      <c r="AC15">
        <v>17.526</v>
      </c>
      <c r="AD15">
        <v>24.295000000000002</v>
      </c>
      <c r="AE15">
        <v>11.571</v>
      </c>
      <c r="AF15">
        <v>18.544</v>
      </c>
      <c r="AG15">
        <v>11.175000000000001</v>
      </c>
      <c r="AH15" s="4">
        <v>7.726</v>
      </c>
      <c r="AI15" s="4"/>
      <c r="AJ15" s="4"/>
      <c r="AK15" s="4"/>
      <c r="AL15" s="4"/>
      <c r="AM15" s="4"/>
      <c r="AN15" s="4"/>
      <c r="AO15" s="4"/>
      <c r="AP15" s="4"/>
      <c r="AQ15" s="4"/>
      <c r="AR15" s="4"/>
      <c r="AS15" s="4"/>
      <c r="AT15" s="4"/>
      <c r="AU15" s="4"/>
      <c r="AV15" s="4"/>
      <c r="AW15" s="4"/>
      <c r="AX15" s="4"/>
      <c r="AY15" s="4"/>
    </row>
    <row r="16" spans="1:51" ht="14.75" customHeight="1" x14ac:dyDescent="0.35">
      <c r="A16" s="88">
        <v>46508</v>
      </c>
      <c r="B16" s="34">
        <v>78</v>
      </c>
      <c r="C16" s="12">
        <v>56</v>
      </c>
      <c r="D16" s="11">
        <v>68</v>
      </c>
      <c r="E16">
        <v>80.334999999999994</v>
      </c>
      <c r="F16">
        <v>88.57</v>
      </c>
      <c r="G16">
        <v>69.557000000000002</v>
      </c>
      <c r="H16">
        <v>52.220999999999997</v>
      </c>
      <c r="I16">
        <v>62.345999999999997</v>
      </c>
      <c r="J16">
        <v>91.019000000000005</v>
      </c>
      <c r="K16">
        <v>61.378</v>
      </c>
      <c r="L16">
        <v>61.026000000000003</v>
      </c>
      <c r="M16">
        <v>62.844000000000001</v>
      </c>
      <c r="N16">
        <v>106.14</v>
      </c>
      <c r="O16">
        <v>25.204000000000001</v>
      </c>
      <c r="P16">
        <v>60.110999999999997</v>
      </c>
      <c r="Q16">
        <v>82.3</v>
      </c>
      <c r="R16">
        <v>111.021</v>
      </c>
      <c r="S16">
        <v>62.741</v>
      </c>
      <c r="T16">
        <v>76.403999999999996</v>
      </c>
      <c r="U16">
        <v>75.16</v>
      </c>
      <c r="V16">
        <v>89.87</v>
      </c>
      <c r="W16">
        <v>45.761000000000003</v>
      </c>
      <c r="X16">
        <v>49.789000000000001</v>
      </c>
      <c r="Y16">
        <v>60.779000000000003</v>
      </c>
      <c r="Z16">
        <v>39.448999999999998</v>
      </c>
      <c r="AA16">
        <v>63.323</v>
      </c>
      <c r="AB16">
        <v>47.258000000000003</v>
      </c>
      <c r="AC16">
        <v>51.902999999999999</v>
      </c>
      <c r="AD16">
        <v>59.628999999999998</v>
      </c>
      <c r="AE16">
        <v>33.298000000000002</v>
      </c>
      <c r="AF16">
        <v>59.142000000000003</v>
      </c>
      <c r="AG16">
        <v>57.070999999999998</v>
      </c>
      <c r="AH16" s="4">
        <v>46.947000000000003</v>
      </c>
      <c r="AI16" s="4"/>
      <c r="AJ16" s="4"/>
      <c r="AK16" s="4"/>
      <c r="AL16" s="4"/>
      <c r="AM16" s="4"/>
      <c r="AN16" s="4"/>
      <c r="AO16" s="4"/>
      <c r="AP16" s="4"/>
      <c r="AQ16" s="4"/>
      <c r="AR16" s="4"/>
      <c r="AS16" s="4"/>
      <c r="AT16" s="4"/>
      <c r="AU16" s="4"/>
      <c r="AV16" s="4"/>
      <c r="AW16" s="4"/>
      <c r="AX16" s="4"/>
      <c r="AY16" s="4"/>
    </row>
    <row r="17" spans="1:51" ht="14.75" customHeight="1" x14ac:dyDescent="0.35">
      <c r="A17" s="88">
        <v>46539</v>
      </c>
      <c r="B17" s="34">
        <v>84</v>
      </c>
      <c r="C17" s="12">
        <v>40</v>
      </c>
      <c r="D17" s="11">
        <v>62</v>
      </c>
      <c r="E17">
        <v>46.34</v>
      </c>
      <c r="F17">
        <v>105.762</v>
      </c>
      <c r="G17">
        <v>64.495000000000005</v>
      </c>
      <c r="H17">
        <v>121.33199999999999</v>
      </c>
      <c r="I17">
        <v>31.356000000000002</v>
      </c>
      <c r="J17">
        <v>118.33499999999999</v>
      </c>
      <c r="K17">
        <v>54.921999999999997</v>
      </c>
      <c r="L17">
        <v>101.396</v>
      </c>
      <c r="M17">
        <v>29.018999999999998</v>
      </c>
      <c r="N17">
        <v>64.447999999999993</v>
      </c>
      <c r="O17">
        <v>10.821999999999999</v>
      </c>
      <c r="P17">
        <v>42.941000000000003</v>
      </c>
      <c r="Q17">
        <v>46.121000000000002</v>
      </c>
      <c r="R17">
        <v>108.107</v>
      </c>
      <c r="S17">
        <v>32.704000000000001</v>
      </c>
      <c r="T17">
        <v>58.357999999999997</v>
      </c>
      <c r="U17">
        <v>98.203000000000003</v>
      </c>
      <c r="V17">
        <v>47.499000000000002</v>
      </c>
      <c r="W17">
        <v>61.347000000000001</v>
      </c>
      <c r="X17">
        <v>93.165000000000006</v>
      </c>
      <c r="Y17">
        <v>27.969000000000001</v>
      </c>
      <c r="Z17">
        <v>30.972000000000001</v>
      </c>
      <c r="AA17">
        <v>74.584000000000003</v>
      </c>
      <c r="AB17">
        <v>91.954999999999998</v>
      </c>
      <c r="AC17">
        <v>76.346000000000004</v>
      </c>
      <c r="AD17">
        <v>76.421999999999997</v>
      </c>
      <c r="AE17">
        <v>11.196</v>
      </c>
      <c r="AF17">
        <v>125.53400000000001</v>
      </c>
      <c r="AG17">
        <v>36.518999999999998</v>
      </c>
      <c r="AH17" s="4">
        <v>74.509</v>
      </c>
      <c r="AI17" s="4"/>
      <c r="AJ17" s="4"/>
      <c r="AK17" s="4"/>
      <c r="AL17" s="4"/>
      <c r="AM17" s="4"/>
      <c r="AN17" s="4"/>
      <c r="AO17" s="4"/>
      <c r="AP17" s="4"/>
      <c r="AQ17" s="4"/>
      <c r="AR17" s="4"/>
      <c r="AS17" s="4"/>
      <c r="AT17" s="4"/>
      <c r="AU17" s="4"/>
      <c r="AV17" s="4"/>
      <c r="AW17" s="4"/>
      <c r="AX17" s="4"/>
      <c r="AY17" s="4"/>
    </row>
    <row r="18" spans="1:51" ht="14.75" customHeight="1" x14ac:dyDescent="0.35">
      <c r="A18" s="88">
        <v>46569</v>
      </c>
      <c r="B18" s="34">
        <v>33</v>
      </c>
      <c r="C18" s="12">
        <v>13</v>
      </c>
      <c r="D18" s="11">
        <v>21</v>
      </c>
      <c r="E18">
        <v>18.832999999999998</v>
      </c>
      <c r="F18">
        <v>36.005000000000003</v>
      </c>
      <c r="G18">
        <v>14.731999999999999</v>
      </c>
      <c r="H18">
        <v>81.707999999999998</v>
      </c>
      <c r="I18">
        <v>12.262</v>
      </c>
      <c r="J18">
        <v>33.813000000000002</v>
      </c>
      <c r="K18">
        <v>24.911000000000001</v>
      </c>
      <c r="L18">
        <v>72.626000000000005</v>
      </c>
      <c r="M18">
        <v>8.7680000000000007</v>
      </c>
      <c r="N18">
        <v>19.158000000000001</v>
      </c>
      <c r="O18">
        <v>5.1820000000000004</v>
      </c>
      <c r="P18">
        <v>11.972</v>
      </c>
      <c r="Q18">
        <v>15.509</v>
      </c>
      <c r="R18">
        <v>37.695999999999998</v>
      </c>
      <c r="S18">
        <v>14.314</v>
      </c>
      <c r="T18">
        <v>18.7</v>
      </c>
      <c r="U18">
        <v>32.023000000000003</v>
      </c>
      <c r="V18">
        <v>15.500999999999999</v>
      </c>
      <c r="W18">
        <v>15.023</v>
      </c>
      <c r="X18">
        <v>29.837</v>
      </c>
      <c r="Y18">
        <v>11.58</v>
      </c>
      <c r="Z18">
        <v>10.949</v>
      </c>
      <c r="AA18">
        <v>17.658000000000001</v>
      </c>
      <c r="AB18">
        <v>23.556999999999999</v>
      </c>
      <c r="AC18">
        <v>15.997999999999999</v>
      </c>
      <c r="AD18">
        <v>18.727</v>
      </c>
      <c r="AE18">
        <v>5.1189999999999998</v>
      </c>
      <c r="AF18">
        <v>52.158000000000001</v>
      </c>
      <c r="AG18">
        <v>10.833</v>
      </c>
      <c r="AH18" s="4">
        <v>26.71</v>
      </c>
      <c r="AI18" s="4"/>
      <c r="AJ18" s="4"/>
      <c r="AK18" s="4"/>
      <c r="AL18" s="4"/>
      <c r="AM18" s="4"/>
      <c r="AN18" s="4"/>
      <c r="AO18" s="4"/>
      <c r="AP18" s="4"/>
      <c r="AQ18" s="4"/>
      <c r="AR18" s="4"/>
      <c r="AS18" s="4"/>
      <c r="AT18" s="4"/>
      <c r="AU18" s="4"/>
      <c r="AV18" s="4"/>
      <c r="AW18" s="4"/>
      <c r="AX18" s="4"/>
      <c r="AY18" s="4"/>
    </row>
    <row r="19" spans="1:51" ht="14.75" customHeight="1" x14ac:dyDescent="0.35">
      <c r="A19" s="88">
        <v>46600</v>
      </c>
      <c r="B19" s="34">
        <v>20</v>
      </c>
      <c r="C19" s="12">
        <v>12</v>
      </c>
      <c r="D19" s="11">
        <v>15</v>
      </c>
      <c r="E19">
        <v>16.244</v>
      </c>
      <c r="F19">
        <v>16.562999999999999</v>
      </c>
      <c r="G19">
        <v>9.0969999999999995</v>
      </c>
      <c r="H19">
        <v>23.498999999999999</v>
      </c>
      <c r="I19">
        <v>7.484</v>
      </c>
      <c r="J19">
        <v>24.013999999999999</v>
      </c>
      <c r="K19">
        <v>12.54</v>
      </c>
      <c r="L19">
        <v>44.521000000000001</v>
      </c>
      <c r="M19">
        <v>7.0869999999999997</v>
      </c>
      <c r="N19">
        <v>21.518000000000001</v>
      </c>
      <c r="O19">
        <v>4.3899999999999997</v>
      </c>
      <c r="P19">
        <v>9.7789999999999999</v>
      </c>
      <c r="Q19">
        <v>7.45</v>
      </c>
      <c r="R19">
        <v>19.856999999999999</v>
      </c>
      <c r="S19">
        <v>11.35</v>
      </c>
      <c r="T19">
        <v>28.753</v>
      </c>
      <c r="U19">
        <v>13.803000000000001</v>
      </c>
      <c r="V19">
        <v>6.8819999999999997</v>
      </c>
      <c r="W19">
        <v>11.842000000000001</v>
      </c>
      <c r="X19">
        <v>11.718999999999999</v>
      </c>
      <c r="Y19">
        <v>6.992</v>
      </c>
      <c r="Z19">
        <v>10.004</v>
      </c>
      <c r="AA19">
        <v>12.112</v>
      </c>
      <c r="AB19">
        <v>11.275</v>
      </c>
      <c r="AC19">
        <v>12.609</v>
      </c>
      <c r="AD19">
        <v>10.994999999999999</v>
      </c>
      <c r="AE19">
        <v>3.927</v>
      </c>
      <c r="AF19">
        <v>12.398999999999999</v>
      </c>
      <c r="AG19">
        <v>6.76</v>
      </c>
      <c r="AH19" s="4">
        <v>11.997999999999999</v>
      </c>
      <c r="AI19" s="4"/>
      <c r="AJ19" s="4"/>
      <c r="AK19" s="4"/>
      <c r="AL19" s="4"/>
      <c r="AM19" s="4"/>
      <c r="AN19" s="4"/>
      <c r="AO19" s="4"/>
      <c r="AP19" s="4"/>
      <c r="AQ19" s="4"/>
      <c r="AR19" s="4"/>
      <c r="AS19" s="4"/>
      <c r="AT19" s="4"/>
      <c r="AU19" s="4"/>
      <c r="AV19" s="4"/>
      <c r="AW19" s="4"/>
      <c r="AX19" s="4"/>
      <c r="AY19" s="4"/>
    </row>
    <row r="20" spans="1:51" ht="14.75" customHeight="1" x14ac:dyDescent="0.35">
      <c r="A20" s="88">
        <v>46631</v>
      </c>
      <c r="B20" s="34">
        <v>19</v>
      </c>
      <c r="C20" s="12">
        <v>11</v>
      </c>
      <c r="D20" s="11">
        <v>16</v>
      </c>
      <c r="E20">
        <v>12.683</v>
      </c>
      <c r="F20">
        <v>17.523</v>
      </c>
      <c r="G20">
        <v>14.276</v>
      </c>
      <c r="H20">
        <v>13.888</v>
      </c>
      <c r="I20">
        <v>7.6139999999999999</v>
      </c>
      <c r="J20">
        <v>24.946000000000002</v>
      </c>
      <c r="K20">
        <v>10.207000000000001</v>
      </c>
      <c r="L20">
        <v>27.236000000000001</v>
      </c>
      <c r="M20">
        <v>6.6970000000000001</v>
      </c>
      <c r="N20">
        <v>9.5709999999999997</v>
      </c>
      <c r="O20">
        <v>8.81</v>
      </c>
      <c r="P20">
        <v>20.085000000000001</v>
      </c>
      <c r="Q20">
        <v>17.251000000000001</v>
      </c>
      <c r="R20">
        <v>12.084</v>
      </c>
      <c r="S20">
        <v>11.952999999999999</v>
      </c>
      <c r="T20">
        <v>17.738</v>
      </c>
      <c r="U20">
        <v>13.193</v>
      </c>
      <c r="V20">
        <v>6.5060000000000002</v>
      </c>
      <c r="W20">
        <v>8.9280000000000008</v>
      </c>
      <c r="X20">
        <v>8.3650000000000002</v>
      </c>
      <c r="Y20">
        <v>5.5880000000000001</v>
      </c>
      <c r="Z20">
        <v>28.007999999999999</v>
      </c>
      <c r="AA20">
        <v>14.625999999999999</v>
      </c>
      <c r="AB20">
        <v>8.9290000000000003</v>
      </c>
      <c r="AC20">
        <v>10.106</v>
      </c>
      <c r="AD20">
        <v>6.6669999999999998</v>
      </c>
      <c r="AE20">
        <v>3.3279999999999998</v>
      </c>
      <c r="AF20">
        <v>6.9450000000000003</v>
      </c>
      <c r="AG20">
        <v>5.577</v>
      </c>
      <c r="AH20" s="4">
        <v>26.619</v>
      </c>
      <c r="AI20" s="4"/>
      <c r="AJ20" s="4"/>
      <c r="AK20" s="4"/>
      <c r="AL20" s="4"/>
      <c r="AM20" s="4"/>
      <c r="AN20" s="4"/>
      <c r="AO20" s="4"/>
      <c r="AP20" s="4"/>
      <c r="AQ20" s="4"/>
      <c r="AR20" s="4"/>
      <c r="AS20" s="4"/>
      <c r="AT20" s="4"/>
      <c r="AU20" s="4"/>
      <c r="AV20" s="4"/>
      <c r="AW20" s="4"/>
      <c r="AX20" s="4"/>
      <c r="AY20" s="4"/>
    </row>
    <row r="21" spans="1:51" ht="14.75" customHeight="1" x14ac:dyDescent="0.35">
      <c r="A21" s="88">
        <v>46661</v>
      </c>
      <c r="B21" s="34">
        <v>15</v>
      </c>
      <c r="C21" s="12">
        <v>10</v>
      </c>
      <c r="D21" s="11">
        <v>13</v>
      </c>
      <c r="E21">
        <v>7.585</v>
      </c>
      <c r="F21">
        <v>10.129</v>
      </c>
      <c r="G21">
        <v>11.06</v>
      </c>
      <c r="H21">
        <v>11.881</v>
      </c>
      <c r="I21">
        <v>11.789</v>
      </c>
      <c r="J21">
        <v>27.613</v>
      </c>
      <c r="K21">
        <v>9.5350000000000001</v>
      </c>
      <c r="L21">
        <v>12.178000000000001</v>
      </c>
      <c r="M21">
        <v>7.1239999999999997</v>
      </c>
      <c r="N21">
        <v>7.02</v>
      </c>
      <c r="O21">
        <v>9.3529999999999998</v>
      </c>
      <c r="P21">
        <v>9.8369999999999997</v>
      </c>
      <c r="Q21">
        <v>19.948</v>
      </c>
      <c r="R21">
        <v>20.507999999999999</v>
      </c>
      <c r="S21">
        <v>33.295000000000002</v>
      </c>
      <c r="T21">
        <v>16.257999999999999</v>
      </c>
      <c r="U21">
        <v>9.8759999999999994</v>
      </c>
      <c r="V21">
        <v>7.0659999999999998</v>
      </c>
      <c r="W21">
        <v>11.804</v>
      </c>
      <c r="X21">
        <v>10.698</v>
      </c>
      <c r="Y21">
        <v>4.8940000000000001</v>
      </c>
      <c r="Z21">
        <v>16.818000000000001</v>
      </c>
      <c r="AA21">
        <v>23.795999999999999</v>
      </c>
      <c r="AB21">
        <v>9.375</v>
      </c>
      <c r="AC21">
        <v>9.1969999999999992</v>
      </c>
      <c r="AD21">
        <v>7.6130000000000004</v>
      </c>
      <c r="AE21">
        <v>4.149</v>
      </c>
      <c r="AF21">
        <v>5.9939999999999998</v>
      </c>
      <c r="AG21">
        <v>5.46</v>
      </c>
      <c r="AH21" s="4">
        <v>10.359</v>
      </c>
      <c r="AI21" s="4"/>
      <c r="AJ21" s="4"/>
      <c r="AK21" s="4"/>
      <c r="AL21" s="4"/>
      <c r="AM21" s="4"/>
      <c r="AN21" s="4"/>
      <c r="AO21" s="4"/>
      <c r="AP21" s="4"/>
      <c r="AQ21" s="4"/>
      <c r="AR21" s="4"/>
      <c r="AS21" s="4"/>
      <c r="AT21" s="4"/>
      <c r="AU21" s="4"/>
      <c r="AV21" s="4"/>
      <c r="AW21" s="4"/>
      <c r="AX21" s="4"/>
      <c r="AY21" s="4"/>
    </row>
    <row r="22" spans="1:51" ht="14.75" customHeight="1" x14ac:dyDescent="0.35">
      <c r="A22" s="88">
        <v>46692</v>
      </c>
      <c r="B22" s="34">
        <v>10</v>
      </c>
      <c r="C22" s="12">
        <v>8</v>
      </c>
      <c r="D22" s="11">
        <v>9</v>
      </c>
      <c r="E22">
        <v>5.8860000000000001</v>
      </c>
      <c r="F22">
        <v>6.8689999999999998</v>
      </c>
      <c r="G22">
        <v>7.9809999999999999</v>
      </c>
      <c r="H22">
        <v>8.4320000000000004</v>
      </c>
      <c r="I22">
        <v>7.2720000000000002</v>
      </c>
      <c r="J22">
        <v>11.897</v>
      </c>
      <c r="K22">
        <v>8.1170000000000009</v>
      </c>
      <c r="L22">
        <v>7.1849999999999996</v>
      </c>
      <c r="M22">
        <v>5.476</v>
      </c>
      <c r="N22">
        <v>5.9720000000000004</v>
      </c>
      <c r="O22">
        <v>5.5259999999999998</v>
      </c>
      <c r="P22">
        <v>6.0380000000000003</v>
      </c>
      <c r="Q22">
        <v>10.936999999999999</v>
      </c>
      <c r="R22">
        <v>13.414</v>
      </c>
      <c r="S22">
        <v>13.472</v>
      </c>
      <c r="T22">
        <v>8.3469999999999995</v>
      </c>
      <c r="U22">
        <v>8.3140000000000001</v>
      </c>
      <c r="V22">
        <v>6.38</v>
      </c>
      <c r="W22">
        <v>8.5180000000000007</v>
      </c>
      <c r="X22">
        <v>7.7169999999999996</v>
      </c>
      <c r="Y22">
        <v>4.282</v>
      </c>
      <c r="Z22">
        <v>8.4290000000000003</v>
      </c>
      <c r="AA22">
        <v>10.93</v>
      </c>
      <c r="AB22">
        <v>6.8869999999999996</v>
      </c>
      <c r="AC22">
        <v>5.9989999999999997</v>
      </c>
      <c r="AD22">
        <v>5.8449999999999998</v>
      </c>
      <c r="AE22">
        <v>3.8490000000000002</v>
      </c>
      <c r="AF22">
        <v>5.2969999999999997</v>
      </c>
      <c r="AG22">
        <v>5.7990000000000004</v>
      </c>
      <c r="AH22" s="4">
        <v>6.5759999999999996</v>
      </c>
      <c r="AI22" s="4"/>
      <c r="AJ22" s="4"/>
      <c r="AK22" s="4"/>
      <c r="AL22" s="4"/>
      <c r="AM22" s="4"/>
      <c r="AN22" s="4"/>
      <c r="AO22" s="4"/>
      <c r="AP22" s="4"/>
      <c r="AQ22" s="4"/>
      <c r="AR22" s="4"/>
      <c r="AS22" s="4"/>
      <c r="AT22" s="4"/>
      <c r="AU22" s="4"/>
      <c r="AV22" s="4"/>
      <c r="AW22" s="4"/>
      <c r="AX22" s="4"/>
      <c r="AY22" s="4"/>
    </row>
    <row r="23" spans="1:51" ht="14.75" customHeight="1" x14ac:dyDescent="0.35">
      <c r="A23" s="88">
        <v>46722</v>
      </c>
      <c r="B23" s="34">
        <v>7</v>
      </c>
      <c r="C23" s="12">
        <v>7</v>
      </c>
      <c r="D23" s="11">
        <v>7</v>
      </c>
      <c r="E23">
        <v>5.1779999999999999</v>
      </c>
      <c r="F23">
        <v>5.9459999999999997</v>
      </c>
      <c r="G23">
        <v>5.6630000000000003</v>
      </c>
      <c r="H23">
        <v>6.9939999999999998</v>
      </c>
      <c r="I23">
        <v>5.4509999999999996</v>
      </c>
      <c r="J23">
        <v>7.5330000000000004</v>
      </c>
      <c r="K23">
        <v>6.7919999999999998</v>
      </c>
      <c r="L23">
        <v>5.9130000000000003</v>
      </c>
      <c r="M23">
        <v>4.6120000000000001</v>
      </c>
      <c r="N23">
        <v>5.141</v>
      </c>
      <c r="O23">
        <v>4.2060000000000004</v>
      </c>
      <c r="P23">
        <v>5.1539999999999999</v>
      </c>
      <c r="Q23">
        <v>7.1189999999999998</v>
      </c>
      <c r="R23">
        <v>8.1790000000000003</v>
      </c>
      <c r="S23">
        <v>7.702</v>
      </c>
      <c r="T23">
        <v>6.4489999999999998</v>
      </c>
      <c r="U23">
        <v>6.617</v>
      </c>
      <c r="V23">
        <v>4.8739999999999997</v>
      </c>
      <c r="W23">
        <v>5.593</v>
      </c>
      <c r="X23">
        <v>5.9820000000000002</v>
      </c>
      <c r="Y23">
        <v>4.1639999999999997</v>
      </c>
      <c r="Z23">
        <v>5.8179999999999996</v>
      </c>
      <c r="AA23">
        <v>7.1890000000000001</v>
      </c>
      <c r="AB23">
        <v>5.5579999999999998</v>
      </c>
      <c r="AC23">
        <v>5.01</v>
      </c>
      <c r="AD23">
        <v>5.4160000000000004</v>
      </c>
      <c r="AE23">
        <v>3.1030000000000002</v>
      </c>
      <c r="AF23">
        <v>5.032</v>
      </c>
      <c r="AG23">
        <v>4.7729999999999997</v>
      </c>
      <c r="AH23" s="4">
        <v>5.3869999999999996</v>
      </c>
      <c r="AI23" s="4"/>
      <c r="AJ23" s="4"/>
      <c r="AK23" s="4"/>
      <c r="AL23" s="4"/>
      <c r="AM23" s="4"/>
      <c r="AN23" s="4"/>
      <c r="AO23" s="4"/>
      <c r="AP23" s="4"/>
      <c r="AQ23" s="4"/>
      <c r="AR23" s="4"/>
      <c r="AS23" s="4"/>
      <c r="AT23" s="4"/>
      <c r="AU23" s="4"/>
      <c r="AV23" s="4"/>
      <c r="AW23" s="4"/>
      <c r="AX23" s="4"/>
      <c r="AY23" s="4"/>
    </row>
    <row r="24" spans="1:51" ht="14.75" customHeight="1" x14ac:dyDescent="0.35">
      <c r="A24" s="88">
        <v>46753</v>
      </c>
      <c r="B24" s="34">
        <v>6</v>
      </c>
      <c r="C24" s="12">
        <v>6</v>
      </c>
      <c r="D24" s="11">
        <v>6</v>
      </c>
      <c r="E24">
        <v>4.6239999999999997</v>
      </c>
      <c r="F24">
        <v>5.4480000000000004</v>
      </c>
      <c r="G24">
        <v>4.835</v>
      </c>
      <c r="H24">
        <v>5.8079999999999998</v>
      </c>
      <c r="I24">
        <v>4.476</v>
      </c>
      <c r="J24">
        <v>6.133</v>
      </c>
      <c r="K24">
        <v>5.3890000000000002</v>
      </c>
      <c r="L24">
        <v>5.4180000000000001</v>
      </c>
      <c r="M24">
        <v>4.1950000000000003</v>
      </c>
      <c r="N24">
        <v>4.6749999999999998</v>
      </c>
      <c r="O24">
        <v>3.556</v>
      </c>
      <c r="P24">
        <v>4.4489999999999998</v>
      </c>
      <c r="Q24">
        <v>6.1</v>
      </c>
      <c r="R24">
        <v>6.524</v>
      </c>
      <c r="S24">
        <v>5.7409999999999997</v>
      </c>
      <c r="T24">
        <v>5.2729999999999997</v>
      </c>
      <c r="U24">
        <v>5.3810000000000002</v>
      </c>
      <c r="V24">
        <v>4.2110000000000003</v>
      </c>
      <c r="W24">
        <v>4.5540000000000003</v>
      </c>
      <c r="X24">
        <v>5.4829999999999997</v>
      </c>
      <c r="Y24">
        <v>3.8</v>
      </c>
      <c r="Z24">
        <v>4.8899999999999997</v>
      </c>
      <c r="AA24">
        <v>6.06</v>
      </c>
      <c r="AB24">
        <v>4.694</v>
      </c>
      <c r="AC24">
        <v>4.5359999999999996</v>
      </c>
      <c r="AD24">
        <v>4.7229999999999999</v>
      </c>
      <c r="AE24">
        <v>2.754</v>
      </c>
      <c r="AF24">
        <v>4.6689999999999996</v>
      </c>
      <c r="AG24">
        <v>3.9049999999999998</v>
      </c>
      <c r="AH24" s="4">
        <v>4.7350000000000003</v>
      </c>
      <c r="AI24" s="4"/>
      <c r="AJ24" s="4"/>
      <c r="AK24" s="4"/>
      <c r="AL24" s="4"/>
      <c r="AM24" s="4"/>
      <c r="AN24" s="4"/>
      <c r="AO24" s="4"/>
      <c r="AP24" s="4"/>
      <c r="AQ24" s="4"/>
      <c r="AR24" s="4"/>
      <c r="AS24" s="4"/>
      <c r="AT24" s="4"/>
      <c r="AU24" s="4"/>
      <c r="AV24" s="4"/>
      <c r="AW24" s="4"/>
      <c r="AX24" s="4"/>
      <c r="AY24" s="4"/>
    </row>
    <row r="25" spans="1:51" ht="14.75" customHeight="1" x14ac:dyDescent="0.35">
      <c r="A25" s="88">
        <v>46784</v>
      </c>
      <c r="B25" s="34">
        <v>5</v>
      </c>
      <c r="C25" s="12">
        <v>5</v>
      </c>
      <c r="D25" s="11">
        <v>5</v>
      </c>
      <c r="E25">
        <v>3.952</v>
      </c>
      <c r="F25">
        <v>4.6520000000000001</v>
      </c>
      <c r="G25">
        <v>5.6550000000000002</v>
      </c>
      <c r="H25">
        <v>6.3410000000000002</v>
      </c>
      <c r="I25">
        <v>3.77</v>
      </c>
      <c r="J25">
        <v>5.12</v>
      </c>
      <c r="K25">
        <v>4.9349999999999996</v>
      </c>
      <c r="L25">
        <v>5.0810000000000004</v>
      </c>
      <c r="M25">
        <v>3.5670000000000002</v>
      </c>
      <c r="N25">
        <v>4.18</v>
      </c>
      <c r="O25">
        <v>3.52</v>
      </c>
      <c r="P25">
        <v>3.94</v>
      </c>
      <c r="Q25">
        <v>5.2809999999999997</v>
      </c>
      <c r="R25">
        <v>5.5170000000000003</v>
      </c>
      <c r="S25">
        <v>5.7709999999999999</v>
      </c>
      <c r="T25">
        <v>4.2889999999999997</v>
      </c>
      <c r="U25">
        <v>4.9029999999999996</v>
      </c>
      <c r="V25">
        <v>3.5750000000000002</v>
      </c>
      <c r="W25">
        <v>3.8410000000000002</v>
      </c>
      <c r="X25">
        <v>4.3019999999999996</v>
      </c>
      <c r="Y25">
        <v>3.4239999999999999</v>
      </c>
      <c r="Z25">
        <v>5.0030000000000001</v>
      </c>
      <c r="AA25">
        <v>7.2409999999999997</v>
      </c>
      <c r="AB25">
        <v>5.5410000000000004</v>
      </c>
      <c r="AC25">
        <v>4.63</v>
      </c>
      <c r="AD25">
        <v>4.4489999999999998</v>
      </c>
      <c r="AE25">
        <v>2.3580000000000001</v>
      </c>
      <c r="AF25">
        <v>4.1219999999999999</v>
      </c>
      <c r="AG25">
        <v>3.8159999999999998</v>
      </c>
      <c r="AH25" s="4">
        <v>4.3280000000000003</v>
      </c>
      <c r="AI25" s="4"/>
      <c r="AJ25" s="4"/>
      <c r="AK25" s="4"/>
      <c r="AL25" s="4"/>
      <c r="AM25" s="4"/>
      <c r="AN25" s="4"/>
      <c r="AO25" s="4"/>
      <c r="AP25" s="4"/>
      <c r="AQ25" s="4"/>
      <c r="AR25" s="4"/>
      <c r="AS25" s="4"/>
      <c r="AT25" s="4"/>
      <c r="AU25" s="4"/>
      <c r="AV25" s="4"/>
      <c r="AW25" s="4"/>
      <c r="AX25" s="4"/>
      <c r="AY25" s="4"/>
    </row>
    <row r="26" spans="1:51" ht="14.75" customHeight="1" x14ac:dyDescent="0.35">
      <c r="A26" s="88">
        <v>46813</v>
      </c>
      <c r="B26" s="34">
        <v>10</v>
      </c>
      <c r="C26" s="12">
        <v>10</v>
      </c>
      <c r="D26" s="11">
        <v>10</v>
      </c>
      <c r="E26">
        <v>6.258</v>
      </c>
      <c r="F26">
        <v>8.8320000000000007</v>
      </c>
      <c r="G26">
        <v>10.404</v>
      </c>
      <c r="H26">
        <v>7.0039999999999996</v>
      </c>
      <c r="I26">
        <v>12.819000000000001</v>
      </c>
      <c r="J26">
        <v>7.9349999999999996</v>
      </c>
      <c r="K26">
        <v>7.8789999999999996</v>
      </c>
      <c r="L26">
        <v>6.1989999999999998</v>
      </c>
      <c r="M26">
        <v>6.81</v>
      </c>
      <c r="N26">
        <v>5.4180000000000001</v>
      </c>
      <c r="O26">
        <v>5.2329999999999997</v>
      </c>
      <c r="P26">
        <v>12.234</v>
      </c>
      <c r="Q26">
        <v>8.9529999999999994</v>
      </c>
      <c r="R26">
        <v>6.734</v>
      </c>
      <c r="S26">
        <v>16.829999999999998</v>
      </c>
      <c r="T26">
        <v>5.2949999999999999</v>
      </c>
      <c r="U26">
        <v>8.0909999999999993</v>
      </c>
      <c r="V26">
        <v>3.9750000000000001</v>
      </c>
      <c r="W26">
        <v>5.7960000000000003</v>
      </c>
      <c r="X26">
        <v>8.3360000000000003</v>
      </c>
      <c r="Y26">
        <v>4.835</v>
      </c>
      <c r="Z26">
        <v>7.4029999999999996</v>
      </c>
      <c r="AA26">
        <v>13.204000000000001</v>
      </c>
      <c r="AB26">
        <v>7.9749999999999996</v>
      </c>
      <c r="AC26">
        <v>11.923</v>
      </c>
      <c r="AD26">
        <v>5.109</v>
      </c>
      <c r="AE26">
        <v>2.972</v>
      </c>
      <c r="AF26">
        <v>5.665</v>
      </c>
      <c r="AG26">
        <v>3.8769999999999998</v>
      </c>
      <c r="AH26" s="4">
        <v>6.2949999999999999</v>
      </c>
      <c r="AI26" s="4"/>
      <c r="AJ26" s="4"/>
      <c r="AK26" s="4"/>
      <c r="AL26" s="4"/>
      <c r="AM26" s="4"/>
      <c r="AN26" s="4"/>
      <c r="AO26" s="4"/>
      <c r="AP26" s="4"/>
      <c r="AQ26" s="4"/>
      <c r="AR26" s="4"/>
      <c r="AS26" s="4"/>
      <c r="AT26" s="4"/>
      <c r="AU26" s="4"/>
      <c r="AV26" s="4"/>
      <c r="AW26" s="4"/>
      <c r="AX26" s="4"/>
      <c r="AY26" s="4"/>
    </row>
    <row r="27" spans="1:51" ht="14.5" x14ac:dyDescent="0.35">
      <c r="A27" s="88">
        <v>46844</v>
      </c>
      <c r="B27" s="34">
        <v>23</v>
      </c>
      <c r="C27" s="12">
        <v>23</v>
      </c>
      <c r="D27" s="11">
        <v>23</v>
      </c>
      <c r="E27">
        <v>18.597000000000001</v>
      </c>
      <c r="F27">
        <v>27.588000000000001</v>
      </c>
      <c r="G27">
        <v>18.152000000000001</v>
      </c>
      <c r="H27">
        <v>18.172000000000001</v>
      </c>
      <c r="I27">
        <v>24.827999999999999</v>
      </c>
      <c r="J27">
        <v>15.606</v>
      </c>
      <c r="K27">
        <v>16.175999999999998</v>
      </c>
      <c r="L27">
        <v>26.954000000000001</v>
      </c>
      <c r="M27">
        <v>30.652999999999999</v>
      </c>
      <c r="N27">
        <v>16.312999999999999</v>
      </c>
      <c r="O27">
        <v>15.868</v>
      </c>
      <c r="P27">
        <v>37.966000000000001</v>
      </c>
      <c r="Q27">
        <v>30.893999999999998</v>
      </c>
      <c r="R27">
        <v>27.03</v>
      </c>
      <c r="S27">
        <v>27.184999999999999</v>
      </c>
      <c r="T27">
        <v>14.122</v>
      </c>
      <c r="U27">
        <v>18.277999999999999</v>
      </c>
      <c r="V27">
        <v>13.661</v>
      </c>
      <c r="W27">
        <v>14.583</v>
      </c>
      <c r="X27">
        <v>33.643999999999998</v>
      </c>
      <c r="Y27">
        <v>9.9239999999999995</v>
      </c>
      <c r="Z27">
        <v>21.010999999999999</v>
      </c>
      <c r="AA27">
        <v>18.402000000000001</v>
      </c>
      <c r="AB27">
        <v>17.757999999999999</v>
      </c>
      <c r="AC27">
        <v>25.786000000000001</v>
      </c>
      <c r="AD27">
        <v>13.776</v>
      </c>
      <c r="AE27">
        <v>18.690999999999999</v>
      </c>
      <c r="AF27">
        <v>13.429</v>
      </c>
      <c r="AG27">
        <v>8.109</v>
      </c>
      <c r="AH27" s="4">
        <v>34.947000000000003</v>
      </c>
      <c r="AI27" s="4"/>
      <c r="AJ27" s="4"/>
      <c r="AK27" s="4"/>
      <c r="AL27" s="4"/>
      <c r="AM27" s="4"/>
      <c r="AN27" s="4"/>
      <c r="AO27" s="4"/>
      <c r="AP27" s="4"/>
      <c r="AQ27" s="4"/>
      <c r="AR27" s="4"/>
      <c r="AS27" s="4"/>
      <c r="AT27" s="4"/>
      <c r="AU27" s="4"/>
      <c r="AV27" s="4"/>
      <c r="AW27" s="4"/>
      <c r="AX27" s="4"/>
      <c r="AY27" s="4"/>
    </row>
    <row r="28" spans="1:51" ht="14.75" customHeight="1" x14ac:dyDescent="0.35">
      <c r="A28" s="88">
        <v>46874</v>
      </c>
      <c r="B28" s="34">
        <v>68</v>
      </c>
      <c r="C28" s="12">
        <v>68</v>
      </c>
      <c r="D28" s="11">
        <v>68</v>
      </c>
      <c r="E28">
        <v>94.725999999999999</v>
      </c>
      <c r="F28">
        <v>76.983000000000004</v>
      </c>
      <c r="G28">
        <v>55.773000000000003</v>
      </c>
      <c r="H28">
        <v>67.191999999999993</v>
      </c>
      <c r="I28">
        <v>96.072999999999993</v>
      </c>
      <c r="J28">
        <v>66.727000000000004</v>
      </c>
      <c r="K28">
        <v>66.94</v>
      </c>
      <c r="L28">
        <v>65.028999999999996</v>
      </c>
      <c r="M28">
        <v>109.643</v>
      </c>
      <c r="N28">
        <v>27.402999999999999</v>
      </c>
      <c r="O28">
        <v>61.377000000000002</v>
      </c>
      <c r="P28">
        <v>85.867999999999995</v>
      </c>
      <c r="Q28">
        <v>118.125</v>
      </c>
      <c r="R28">
        <v>67.599000000000004</v>
      </c>
      <c r="S28">
        <v>78.183000000000007</v>
      </c>
      <c r="T28">
        <v>77.551000000000002</v>
      </c>
      <c r="U28">
        <v>95.659000000000006</v>
      </c>
      <c r="V28">
        <v>50.514000000000003</v>
      </c>
      <c r="W28">
        <v>53.728999999999999</v>
      </c>
      <c r="X28">
        <v>64.418000000000006</v>
      </c>
      <c r="Y28">
        <v>42.05</v>
      </c>
      <c r="Z28">
        <v>66.978999999999999</v>
      </c>
      <c r="AA28">
        <v>50.848999999999997</v>
      </c>
      <c r="AB28">
        <v>52.276000000000003</v>
      </c>
      <c r="AC28">
        <v>64.141000000000005</v>
      </c>
      <c r="AD28">
        <v>35.646000000000001</v>
      </c>
      <c r="AE28">
        <v>57.255000000000003</v>
      </c>
      <c r="AF28">
        <v>62.552999999999997</v>
      </c>
      <c r="AG28">
        <v>50.475000000000001</v>
      </c>
      <c r="AH28" s="4">
        <v>81.590999999999994</v>
      </c>
      <c r="AI28" s="4"/>
      <c r="AJ28" s="4"/>
      <c r="AK28" s="4"/>
      <c r="AL28" s="4"/>
      <c r="AM28" s="4"/>
      <c r="AN28" s="4"/>
      <c r="AO28" s="4"/>
      <c r="AP28" s="4"/>
      <c r="AQ28" s="4"/>
      <c r="AR28" s="4"/>
      <c r="AS28" s="4"/>
      <c r="AT28" s="4"/>
      <c r="AU28" s="4"/>
      <c r="AV28" s="4"/>
      <c r="AW28" s="4"/>
      <c r="AX28" s="4"/>
      <c r="AY28" s="4"/>
    </row>
    <row r="29" spans="1:51" ht="14.75" customHeight="1" x14ac:dyDescent="0.35">
      <c r="A29" s="88">
        <v>46905</v>
      </c>
      <c r="B29" s="34">
        <v>62</v>
      </c>
      <c r="C29" s="12">
        <v>62</v>
      </c>
      <c r="D29" s="11">
        <v>62</v>
      </c>
      <c r="E29">
        <v>105.158</v>
      </c>
      <c r="F29">
        <v>64.022999999999996</v>
      </c>
      <c r="G29">
        <v>126.03400000000001</v>
      </c>
      <c r="H29">
        <v>33.034999999999997</v>
      </c>
      <c r="I29">
        <v>117.443</v>
      </c>
      <c r="J29">
        <v>54.884999999999998</v>
      </c>
      <c r="K29">
        <v>104.2</v>
      </c>
      <c r="L29">
        <v>29.61</v>
      </c>
      <c r="M29">
        <v>63.396000000000001</v>
      </c>
      <c r="N29">
        <v>11.435</v>
      </c>
      <c r="O29">
        <v>40.170999999999999</v>
      </c>
      <c r="P29">
        <v>48.704999999999998</v>
      </c>
      <c r="Q29">
        <v>107.422</v>
      </c>
      <c r="R29">
        <v>33.213999999999999</v>
      </c>
      <c r="S29">
        <v>57.451999999999998</v>
      </c>
      <c r="T29">
        <v>99.412000000000006</v>
      </c>
      <c r="U29">
        <v>47.735999999999997</v>
      </c>
      <c r="V29">
        <v>61.642000000000003</v>
      </c>
      <c r="W29">
        <v>95.072000000000003</v>
      </c>
      <c r="X29">
        <v>29.408999999999999</v>
      </c>
      <c r="Y29">
        <v>31.183</v>
      </c>
      <c r="Z29">
        <v>72.183000000000007</v>
      </c>
      <c r="AA29">
        <v>92</v>
      </c>
      <c r="AB29">
        <v>76.590999999999994</v>
      </c>
      <c r="AC29">
        <v>76.664000000000001</v>
      </c>
      <c r="AD29">
        <v>11.585000000000001</v>
      </c>
      <c r="AE29">
        <v>127.41</v>
      </c>
      <c r="AF29">
        <v>38.155999999999999</v>
      </c>
      <c r="AG29">
        <v>75.647999999999996</v>
      </c>
      <c r="AH29" s="4">
        <v>46.28</v>
      </c>
      <c r="AI29" s="4"/>
      <c r="AJ29" s="4"/>
      <c r="AK29" s="4"/>
      <c r="AL29" s="4"/>
      <c r="AM29" s="4"/>
      <c r="AN29" s="4"/>
      <c r="AO29" s="4"/>
      <c r="AP29" s="4"/>
      <c r="AQ29" s="4"/>
      <c r="AR29" s="4"/>
      <c r="AS29" s="4"/>
      <c r="AT29" s="4"/>
      <c r="AU29" s="4"/>
      <c r="AV29" s="4"/>
      <c r="AW29" s="4"/>
      <c r="AX29" s="4"/>
      <c r="AY29" s="4"/>
    </row>
    <row r="30" spans="1:51" ht="14.75" customHeight="1" x14ac:dyDescent="0.35">
      <c r="A30" s="88">
        <v>46935</v>
      </c>
      <c r="B30" s="34">
        <v>21</v>
      </c>
      <c r="C30" s="12">
        <v>21</v>
      </c>
      <c r="D30" s="11">
        <v>21</v>
      </c>
      <c r="E30">
        <v>34.030999999999999</v>
      </c>
      <c r="F30">
        <v>14.647</v>
      </c>
      <c r="G30">
        <v>78.963999999999999</v>
      </c>
      <c r="H30">
        <v>12.919</v>
      </c>
      <c r="I30">
        <v>34.807000000000002</v>
      </c>
      <c r="J30">
        <v>24.937999999999999</v>
      </c>
      <c r="K30">
        <v>71.171999999999997</v>
      </c>
      <c r="L30">
        <v>8.9909999999999997</v>
      </c>
      <c r="M30">
        <v>18.96</v>
      </c>
      <c r="N30">
        <v>5.5620000000000003</v>
      </c>
      <c r="O30">
        <v>11.772</v>
      </c>
      <c r="P30">
        <v>16.263000000000002</v>
      </c>
      <c r="Q30">
        <v>35.878999999999998</v>
      </c>
      <c r="R30">
        <v>14.858000000000001</v>
      </c>
      <c r="S30">
        <v>18.532</v>
      </c>
      <c r="T30">
        <v>32.298999999999999</v>
      </c>
      <c r="U30">
        <v>15.414</v>
      </c>
      <c r="V30">
        <v>15.073</v>
      </c>
      <c r="W30">
        <v>29.129000000000001</v>
      </c>
      <c r="X30">
        <v>12.031000000000001</v>
      </c>
      <c r="Y30">
        <v>10.959</v>
      </c>
      <c r="Z30">
        <v>17.332999999999998</v>
      </c>
      <c r="AA30">
        <v>23.321999999999999</v>
      </c>
      <c r="AB30">
        <v>15.988</v>
      </c>
      <c r="AC30">
        <v>18.649000000000001</v>
      </c>
      <c r="AD30">
        <v>5.4039999999999999</v>
      </c>
      <c r="AE30">
        <v>49.143000000000001</v>
      </c>
      <c r="AF30">
        <v>11.282999999999999</v>
      </c>
      <c r="AG30">
        <v>26.132000000000001</v>
      </c>
      <c r="AH30" s="4">
        <v>18.855</v>
      </c>
      <c r="AI30" s="4"/>
      <c r="AJ30" s="4"/>
      <c r="AK30" s="4"/>
      <c r="AL30" s="4"/>
      <c r="AM30" s="4"/>
      <c r="AN30" s="4"/>
      <c r="AO30" s="4"/>
      <c r="AP30" s="4"/>
      <c r="AQ30" s="4"/>
      <c r="AR30" s="4"/>
      <c r="AS30" s="4"/>
      <c r="AT30" s="4"/>
      <c r="AU30" s="4"/>
      <c r="AV30" s="4"/>
      <c r="AW30" s="4"/>
      <c r="AX30" s="4"/>
      <c r="AY30" s="4"/>
    </row>
    <row r="31" spans="1:51" ht="14.75" customHeight="1" x14ac:dyDescent="0.35">
      <c r="A31" s="88">
        <v>46966</v>
      </c>
      <c r="B31" s="34">
        <v>15</v>
      </c>
      <c r="C31" s="12">
        <v>15</v>
      </c>
      <c r="D31" s="11">
        <v>15</v>
      </c>
      <c r="E31">
        <v>17.056999999999999</v>
      </c>
      <c r="F31">
        <v>9.4670000000000005</v>
      </c>
      <c r="G31">
        <v>23.186</v>
      </c>
      <c r="H31">
        <v>7.9480000000000004</v>
      </c>
      <c r="I31">
        <v>22.039000000000001</v>
      </c>
      <c r="J31">
        <v>12.669</v>
      </c>
      <c r="K31">
        <v>44.472999999999999</v>
      </c>
      <c r="L31">
        <v>7.343</v>
      </c>
      <c r="M31">
        <v>21.390999999999998</v>
      </c>
      <c r="N31">
        <v>4.7750000000000004</v>
      </c>
      <c r="O31">
        <v>9.593</v>
      </c>
      <c r="P31">
        <v>7.625</v>
      </c>
      <c r="Q31">
        <v>19.75</v>
      </c>
      <c r="R31">
        <v>11.92</v>
      </c>
      <c r="S31">
        <v>28.844000000000001</v>
      </c>
      <c r="T31">
        <v>13.916</v>
      </c>
      <c r="U31">
        <v>7.0919999999999996</v>
      </c>
      <c r="V31">
        <v>11.99</v>
      </c>
      <c r="W31">
        <v>11.46</v>
      </c>
      <c r="X31">
        <v>7.24</v>
      </c>
      <c r="Y31">
        <v>10.134</v>
      </c>
      <c r="Z31">
        <v>11.933</v>
      </c>
      <c r="AA31">
        <v>11.304</v>
      </c>
      <c r="AB31">
        <v>12.609</v>
      </c>
      <c r="AC31">
        <v>10.773</v>
      </c>
      <c r="AD31">
        <v>4.226</v>
      </c>
      <c r="AE31">
        <v>12.013</v>
      </c>
      <c r="AF31">
        <v>7.1689999999999996</v>
      </c>
      <c r="AG31">
        <v>11.882999999999999</v>
      </c>
      <c r="AH31" s="4">
        <v>16.553999999999998</v>
      </c>
      <c r="AI31" s="4"/>
      <c r="AJ31" s="4"/>
      <c r="AK31" s="4"/>
      <c r="AL31" s="4"/>
      <c r="AM31" s="4"/>
      <c r="AN31" s="4"/>
      <c r="AO31" s="4"/>
      <c r="AP31" s="4"/>
      <c r="AQ31" s="4"/>
      <c r="AR31" s="4"/>
      <c r="AS31" s="4"/>
      <c r="AT31" s="4"/>
      <c r="AU31" s="4"/>
      <c r="AV31" s="4"/>
      <c r="AW31" s="4"/>
      <c r="AX31" s="4"/>
      <c r="AY31" s="4"/>
    </row>
    <row r="32" spans="1:51" ht="14.75" customHeight="1" x14ac:dyDescent="0.35">
      <c r="A32" s="88">
        <v>46997</v>
      </c>
      <c r="B32" s="34">
        <v>16</v>
      </c>
      <c r="C32" s="12">
        <v>16</v>
      </c>
      <c r="D32" s="11">
        <v>16</v>
      </c>
      <c r="E32">
        <v>16.937999999999999</v>
      </c>
      <c r="F32">
        <v>14.747999999999999</v>
      </c>
      <c r="G32">
        <v>13.666</v>
      </c>
      <c r="H32">
        <v>8.0790000000000006</v>
      </c>
      <c r="I32">
        <v>25.314</v>
      </c>
      <c r="J32">
        <v>10.37</v>
      </c>
      <c r="K32">
        <v>26.951000000000001</v>
      </c>
      <c r="L32">
        <v>6.9109999999999996</v>
      </c>
      <c r="M32">
        <v>9.4420000000000002</v>
      </c>
      <c r="N32">
        <v>9.6280000000000001</v>
      </c>
      <c r="O32">
        <v>19.806000000000001</v>
      </c>
      <c r="P32">
        <v>17.471</v>
      </c>
      <c r="Q32">
        <v>12.125</v>
      </c>
      <c r="R32">
        <v>12.84</v>
      </c>
      <c r="S32">
        <v>17.817</v>
      </c>
      <c r="T32">
        <v>13.26</v>
      </c>
      <c r="U32">
        <v>6.7889999999999997</v>
      </c>
      <c r="V32">
        <v>8.891</v>
      </c>
      <c r="W32">
        <v>8.375</v>
      </c>
      <c r="X32">
        <v>5.7969999999999997</v>
      </c>
      <c r="Y32">
        <v>28.786999999999999</v>
      </c>
      <c r="Z32">
        <v>15.132999999999999</v>
      </c>
      <c r="AA32">
        <v>9.0129999999999999</v>
      </c>
      <c r="AB32">
        <v>10.106</v>
      </c>
      <c r="AC32">
        <v>6.7489999999999997</v>
      </c>
      <c r="AD32">
        <v>3.645</v>
      </c>
      <c r="AE32">
        <v>6.8159999999999998</v>
      </c>
      <c r="AF32">
        <v>5.9080000000000004</v>
      </c>
      <c r="AG32">
        <v>26.870999999999999</v>
      </c>
      <c r="AH32" s="4">
        <v>12.427</v>
      </c>
      <c r="AI32" s="4"/>
      <c r="AJ32" s="4"/>
      <c r="AK32" s="4"/>
      <c r="AL32" s="4"/>
      <c r="AM32" s="4"/>
      <c r="AN32" s="4"/>
      <c r="AO32" s="4"/>
      <c r="AP32" s="4"/>
      <c r="AQ32" s="4"/>
      <c r="AR32" s="4"/>
      <c r="AS32" s="4"/>
      <c r="AT32" s="4"/>
      <c r="AU32" s="4"/>
      <c r="AV32" s="4"/>
      <c r="AW32" s="4"/>
      <c r="AX32" s="4"/>
      <c r="AY32" s="4"/>
    </row>
    <row r="33" spans="1:51" ht="14.75" customHeight="1" x14ac:dyDescent="0.35">
      <c r="A33" s="88">
        <v>47027</v>
      </c>
      <c r="B33" s="34">
        <v>15</v>
      </c>
      <c r="C33" s="12">
        <v>10</v>
      </c>
      <c r="D33" s="11">
        <v>13</v>
      </c>
      <c r="E33">
        <v>10.016</v>
      </c>
      <c r="F33">
        <v>11.242000000000001</v>
      </c>
      <c r="G33">
        <v>11.734</v>
      </c>
      <c r="H33">
        <v>12.327</v>
      </c>
      <c r="I33">
        <v>26.843</v>
      </c>
      <c r="J33">
        <v>9.968</v>
      </c>
      <c r="K33">
        <v>11.968</v>
      </c>
      <c r="L33">
        <v>7.3609999999999998</v>
      </c>
      <c r="M33">
        <v>7.0529999999999999</v>
      </c>
      <c r="N33">
        <v>9.8030000000000008</v>
      </c>
      <c r="O33">
        <v>9.4580000000000002</v>
      </c>
      <c r="P33">
        <v>20.146999999999998</v>
      </c>
      <c r="Q33">
        <v>20.498999999999999</v>
      </c>
      <c r="R33">
        <v>33.978000000000002</v>
      </c>
      <c r="S33">
        <v>15.909000000000001</v>
      </c>
      <c r="T33">
        <v>9.9410000000000007</v>
      </c>
      <c r="U33">
        <v>7.33</v>
      </c>
      <c r="V33">
        <v>11.888</v>
      </c>
      <c r="W33">
        <v>10.868</v>
      </c>
      <c r="X33">
        <v>5.08</v>
      </c>
      <c r="Y33">
        <v>16.332999999999998</v>
      </c>
      <c r="Z33">
        <v>23.23</v>
      </c>
      <c r="AA33">
        <v>9.51</v>
      </c>
      <c r="AB33">
        <v>9.1980000000000004</v>
      </c>
      <c r="AC33">
        <v>7.641</v>
      </c>
      <c r="AD33">
        <v>4.548</v>
      </c>
      <c r="AE33">
        <v>5.9050000000000002</v>
      </c>
      <c r="AF33">
        <v>5.798</v>
      </c>
      <c r="AG33">
        <v>10.156000000000001</v>
      </c>
      <c r="AH33" s="4">
        <v>7.5529999999999999</v>
      </c>
      <c r="AI33" s="4"/>
      <c r="AJ33" s="4"/>
      <c r="AK33" s="4"/>
      <c r="AL33" s="4"/>
      <c r="AM33" s="4"/>
      <c r="AN33" s="4"/>
      <c r="AO33" s="4"/>
      <c r="AP33" s="4"/>
      <c r="AQ33" s="4"/>
      <c r="AR33" s="4"/>
      <c r="AS33" s="4"/>
      <c r="AT33" s="4"/>
      <c r="AU33" s="4"/>
      <c r="AV33" s="4"/>
      <c r="AW33" s="4"/>
      <c r="AX33" s="4"/>
      <c r="AY33" s="4"/>
    </row>
    <row r="34" spans="1:51" ht="14.75" customHeight="1" x14ac:dyDescent="0.35">
      <c r="A34" s="88">
        <v>47058</v>
      </c>
      <c r="B34" s="33">
        <v>10</v>
      </c>
      <c r="C34" s="8">
        <v>8</v>
      </c>
      <c r="D34" s="11">
        <v>9</v>
      </c>
      <c r="E34">
        <v>6.8230000000000004</v>
      </c>
      <c r="F34">
        <v>8.09</v>
      </c>
      <c r="G34">
        <v>8.3439999999999994</v>
      </c>
      <c r="H34">
        <v>7.7229999999999999</v>
      </c>
      <c r="I34">
        <v>11.618</v>
      </c>
      <c r="J34">
        <v>8.3149999999999995</v>
      </c>
      <c r="K34">
        <v>7.2009999999999996</v>
      </c>
      <c r="L34">
        <v>5.6660000000000004</v>
      </c>
      <c r="M34">
        <v>5.9180000000000001</v>
      </c>
      <c r="N34">
        <v>5.86</v>
      </c>
      <c r="O34">
        <v>5.875</v>
      </c>
      <c r="P34">
        <v>11.055999999999999</v>
      </c>
      <c r="Q34">
        <v>13.182</v>
      </c>
      <c r="R34">
        <v>13.483000000000001</v>
      </c>
      <c r="S34">
        <v>8.173</v>
      </c>
      <c r="T34">
        <v>8.3680000000000003</v>
      </c>
      <c r="U34">
        <v>6.55</v>
      </c>
      <c r="V34">
        <v>8.4619999999999997</v>
      </c>
      <c r="W34">
        <v>7.5940000000000003</v>
      </c>
      <c r="X34">
        <v>4.4459999999999997</v>
      </c>
      <c r="Y34">
        <v>8.3190000000000008</v>
      </c>
      <c r="Z34">
        <v>10.659000000000001</v>
      </c>
      <c r="AA34">
        <v>6.8650000000000002</v>
      </c>
      <c r="AB34">
        <v>6</v>
      </c>
      <c r="AC34">
        <v>5.8890000000000002</v>
      </c>
      <c r="AD34">
        <v>4.0880000000000001</v>
      </c>
      <c r="AE34">
        <v>5.2350000000000003</v>
      </c>
      <c r="AF34">
        <v>6.1360000000000001</v>
      </c>
      <c r="AG34">
        <v>6.5510000000000002</v>
      </c>
      <c r="AH34" s="4">
        <v>5.9139999999999997</v>
      </c>
      <c r="AI34" s="4"/>
      <c r="AJ34" s="4"/>
      <c r="AK34" s="4"/>
      <c r="AL34" s="4"/>
      <c r="AM34" s="4"/>
      <c r="AN34" s="4"/>
      <c r="AO34" s="4"/>
      <c r="AP34" s="4"/>
      <c r="AQ34" s="4"/>
      <c r="AR34" s="4"/>
      <c r="AS34" s="4"/>
      <c r="AT34" s="4"/>
      <c r="AU34" s="4"/>
      <c r="AV34" s="4"/>
      <c r="AW34" s="4"/>
      <c r="AX34" s="4"/>
      <c r="AY34" s="4"/>
    </row>
    <row r="35" spans="1:51" ht="14.75" customHeight="1" x14ac:dyDescent="0.35">
      <c r="A35" s="88">
        <v>47088</v>
      </c>
      <c r="B35" s="33">
        <v>7</v>
      </c>
      <c r="C35" s="8">
        <v>7</v>
      </c>
      <c r="D35" s="11">
        <v>7</v>
      </c>
      <c r="E35">
        <v>5.94</v>
      </c>
      <c r="F35">
        <v>5.8639999999999999</v>
      </c>
      <c r="G35">
        <v>6.9379999999999997</v>
      </c>
      <c r="H35">
        <v>5.8239999999999998</v>
      </c>
      <c r="I35">
        <v>7.4379999999999997</v>
      </c>
      <c r="J35">
        <v>6.9740000000000002</v>
      </c>
      <c r="K35">
        <v>5.9779999999999998</v>
      </c>
      <c r="L35">
        <v>4.7789999999999999</v>
      </c>
      <c r="M35">
        <v>5.1580000000000004</v>
      </c>
      <c r="N35">
        <v>4.4989999999999997</v>
      </c>
      <c r="O35">
        <v>5.0259999999999998</v>
      </c>
      <c r="P35">
        <v>7.2009999999999996</v>
      </c>
      <c r="Q35">
        <v>8.093</v>
      </c>
      <c r="R35">
        <v>7.8860000000000001</v>
      </c>
      <c r="S35">
        <v>6.4169999999999998</v>
      </c>
      <c r="T35">
        <v>6.6689999999999996</v>
      </c>
      <c r="U35">
        <v>5.0490000000000004</v>
      </c>
      <c r="V35">
        <v>5.63</v>
      </c>
      <c r="W35">
        <v>5.9480000000000004</v>
      </c>
      <c r="X35">
        <v>4.3230000000000004</v>
      </c>
      <c r="Y35">
        <v>5.7949999999999999</v>
      </c>
      <c r="Z35">
        <v>7.05</v>
      </c>
      <c r="AA35">
        <v>5.6180000000000003</v>
      </c>
      <c r="AB35">
        <v>5.01</v>
      </c>
      <c r="AC35">
        <v>5.4340000000000002</v>
      </c>
      <c r="AD35">
        <v>3.3450000000000002</v>
      </c>
      <c r="AE35">
        <v>4.9729999999999999</v>
      </c>
      <c r="AF35">
        <v>5.0759999999999996</v>
      </c>
      <c r="AG35">
        <v>5.3780000000000001</v>
      </c>
      <c r="AH35" s="4">
        <v>5.2080000000000002</v>
      </c>
      <c r="AI35" s="4"/>
      <c r="AJ35" s="4"/>
      <c r="AK35" s="4"/>
      <c r="AL35" s="4"/>
      <c r="AM35" s="4"/>
      <c r="AN35" s="4"/>
      <c r="AO35" s="4"/>
      <c r="AP35" s="4"/>
      <c r="AQ35" s="4"/>
      <c r="AR35" s="4"/>
      <c r="AS35" s="4"/>
      <c r="AT35" s="4"/>
      <c r="AU35" s="4"/>
      <c r="AV35" s="4"/>
      <c r="AW35" s="4"/>
      <c r="AX35" s="4"/>
      <c r="AY35" s="4"/>
    </row>
    <row r="36" spans="1:51" ht="14.5" x14ac:dyDescent="0.35">
      <c r="A36" s="88">
        <v>47119</v>
      </c>
      <c r="B36" s="33">
        <v>6</v>
      </c>
      <c r="C36" s="8">
        <v>6</v>
      </c>
      <c r="D36" s="14">
        <v>6</v>
      </c>
      <c r="E36">
        <v>5.46</v>
      </c>
      <c r="F36">
        <v>5.0410000000000004</v>
      </c>
      <c r="G36">
        <v>5.8109999999999999</v>
      </c>
      <c r="H36">
        <v>4.7919999999999998</v>
      </c>
      <c r="I36">
        <v>6.101</v>
      </c>
      <c r="J36">
        <v>5.5519999999999996</v>
      </c>
      <c r="K36">
        <v>5.5019999999999998</v>
      </c>
      <c r="L36">
        <v>4.3449999999999998</v>
      </c>
      <c r="M36">
        <v>4.6970000000000001</v>
      </c>
      <c r="N36">
        <v>3.8969999999999998</v>
      </c>
      <c r="O36">
        <v>4.3410000000000002</v>
      </c>
      <c r="P36">
        <v>6.173</v>
      </c>
      <c r="Q36">
        <v>6.5039999999999996</v>
      </c>
      <c r="R36">
        <v>5.9880000000000004</v>
      </c>
      <c r="S36">
        <v>5.2649999999999997</v>
      </c>
      <c r="T36">
        <v>5.4279999999999999</v>
      </c>
      <c r="U36">
        <v>4.3979999999999997</v>
      </c>
      <c r="V36">
        <v>4.617</v>
      </c>
      <c r="W36">
        <v>5.4980000000000002</v>
      </c>
      <c r="X36">
        <v>3.944</v>
      </c>
      <c r="Y36">
        <v>4.915</v>
      </c>
      <c r="Z36">
        <v>6.0149999999999997</v>
      </c>
      <c r="AA36">
        <v>4.7649999999999997</v>
      </c>
      <c r="AB36">
        <v>4.5369999999999999</v>
      </c>
      <c r="AC36">
        <v>4.7590000000000003</v>
      </c>
      <c r="AD36">
        <v>2.9809999999999999</v>
      </c>
      <c r="AE36" s="4">
        <v>4.6159999999999997</v>
      </c>
      <c r="AF36">
        <v>4.1660000000000004</v>
      </c>
      <c r="AG36">
        <v>4.7560000000000002</v>
      </c>
      <c r="AH36">
        <v>4.6619999999999999</v>
      </c>
      <c r="AI36" s="4"/>
      <c r="AJ36" s="4"/>
      <c r="AK36" s="4"/>
      <c r="AL36" s="4"/>
      <c r="AM36" s="4"/>
      <c r="AN36" s="4"/>
      <c r="AO36" s="4"/>
      <c r="AP36" s="4"/>
      <c r="AQ36" s="4"/>
      <c r="AR36" s="4"/>
      <c r="AS36" s="4"/>
      <c r="AT36" s="4"/>
      <c r="AU36" s="4"/>
      <c r="AV36" s="4"/>
      <c r="AW36" s="4"/>
      <c r="AX36" s="4"/>
      <c r="AY36" s="4"/>
    </row>
    <row r="37" spans="1:51" ht="14.5" x14ac:dyDescent="0.35">
      <c r="A37" s="88">
        <v>47150</v>
      </c>
      <c r="B37" s="15">
        <v>5</v>
      </c>
      <c r="C37" s="13">
        <v>5</v>
      </c>
      <c r="D37" s="14">
        <v>5</v>
      </c>
      <c r="E37">
        <v>4.5019999999999998</v>
      </c>
      <c r="F37">
        <v>5.7439999999999998</v>
      </c>
      <c r="G37">
        <v>6.1749999999999998</v>
      </c>
      <c r="H37">
        <v>3.9060000000000001</v>
      </c>
      <c r="I37">
        <v>4.931</v>
      </c>
      <c r="J37">
        <v>4.952</v>
      </c>
      <c r="K37">
        <v>4.992</v>
      </c>
      <c r="L37">
        <v>3.5649999999999999</v>
      </c>
      <c r="M37">
        <v>4.0609999999999999</v>
      </c>
      <c r="N37">
        <v>3.645</v>
      </c>
      <c r="O37">
        <v>3.7280000000000002</v>
      </c>
      <c r="P37">
        <v>5.1550000000000002</v>
      </c>
      <c r="Q37">
        <v>5.3390000000000004</v>
      </c>
      <c r="R37">
        <v>5.806</v>
      </c>
      <c r="S37">
        <v>4.1479999999999997</v>
      </c>
      <c r="T37">
        <v>4.76</v>
      </c>
      <c r="U37">
        <v>3.6179999999999999</v>
      </c>
      <c r="V37">
        <v>3.7759999999999998</v>
      </c>
      <c r="W37">
        <v>4.1790000000000003</v>
      </c>
      <c r="X37">
        <v>3.4340000000000002</v>
      </c>
      <c r="Y37">
        <v>4.875</v>
      </c>
      <c r="Z37">
        <v>6.9770000000000003</v>
      </c>
      <c r="AA37">
        <v>5.4660000000000002</v>
      </c>
      <c r="AB37">
        <v>4.4729999999999999</v>
      </c>
      <c r="AC37">
        <v>4.3520000000000003</v>
      </c>
      <c r="AD37">
        <v>2.472</v>
      </c>
      <c r="AE37" s="4">
        <v>3.9460000000000002</v>
      </c>
      <c r="AF37">
        <v>3.923</v>
      </c>
      <c r="AG37">
        <v>4.1790000000000003</v>
      </c>
      <c r="AH37">
        <v>3.855</v>
      </c>
      <c r="AI37" s="4"/>
      <c r="AJ37" s="4"/>
      <c r="AK37" s="4"/>
      <c r="AL37" s="4"/>
      <c r="AM37" s="4"/>
      <c r="AN37" s="4"/>
      <c r="AO37" s="4"/>
      <c r="AP37" s="4"/>
      <c r="AQ37" s="4"/>
      <c r="AR37" s="4"/>
      <c r="AS37" s="4"/>
      <c r="AT37" s="4"/>
      <c r="AU37" s="4"/>
      <c r="AV37" s="4"/>
      <c r="AW37" s="4"/>
      <c r="AX37" s="4"/>
      <c r="AY37" s="4"/>
    </row>
    <row r="38" spans="1:51" ht="14.5" x14ac:dyDescent="0.35">
      <c r="A38" s="88">
        <v>47178</v>
      </c>
      <c r="B38" s="15">
        <v>10</v>
      </c>
      <c r="C38" s="13">
        <v>10</v>
      </c>
      <c r="D38" s="14">
        <v>10</v>
      </c>
      <c r="E38">
        <v>8.8469999999999995</v>
      </c>
      <c r="F38">
        <v>10.746</v>
      </c>
      <c r="G38">
        <v>7.0279999999999996</v>
      </c>
      <c r="H38">
        <v>13.07</v>
      </c>
      <c r="I38">
        <v>7.9</v>
      </c>
      <c r="J38">
        <v>8.0589999999999993</v>
      </c>
      <c r="K38">
        <v>6.3029999999999999</v>
      </c>
      <c r="L38">
        <v>6.8369999999999997</v>
      </c>
      <c r="M38">
        <v>5.4480000000000004</v>
      </c>
      <c r="N38">
        <v>5.5839999999999996</v>
      </c>
      <c r="O38">
        <v>11.981999999999999</v>
      </c>
      <c r="P38">
        <v>9.0180000000000007</v>
      </c>
      <c r="Q38">
        <v>6.7519999999999998</v>
      </c>
      <c r="R38">
        <v>17.288</v>
      </c>
      <c r="S38">
        <v>5.2949999999999999</v>
      </c>
      <c r="T38">
        <v>8.1720000000000006</v>
      </c>
      <c r="U38">
        <v>4.1669999999999998</v>
      </c>
      <c r="V38">
        <v>5.8810000000000002</v>
      </c>
      <c r="W38">
        <v>8.3689999999999998</v>
      </c>
      <c r="X38">
        <v>4.84</v>
      </c>
      <c r="Y38">
        <v>7.3410000000000002</v>
      </c>
      <c r="Z38">
        <v>13.036</v>
      </c>
      <c r="AA38">
        <v>8.0739999999999998</v>
      </c>
      <c r="AB38">
        <v>11.616</v>
      </c>
      <c r="AC38">
        <v>5.1849999999999996</v>
      </c>
      <c r="AD38">
        <v>3.2130000000000001</v>
      </c>
      <c r="AE38" s="4">
        <v>5.6219999999999999</v>
      </c>
      <c r="AF38">
        <v>4.1139999999999999</v>
      </c>
      <c r="AG38">
        <v>6.3040000000000003</v>
      </c>
      <c r="AH38">
        <v>6.2949999999999999</v>
      </c>
      <c r="AI38" s="4"/>
      <c r="AJ38" s="4"/>
      <c r="AK38" s="4"/>
      <c r="AL38" s="4"/>
      <c r="AM38" s="4"/>
      <c r="AN38" s="4"/>
      <c r="AO38" s="4"/>
      <c r="AP38" s="4"/>
      <c r="AQ38" s="4"/>
      <c r="AR38" s="4"/>
      <c r="AS38" s="4"/>
      <c r="AT38" s="4"/>
      <c r="AU38" s="4"/>
      <c r="AV38" s="4"/>
      <c r="AW38" s="4"/>
      <c r="AX38" s="4"/>
      <c r="AY38" s="4"/>
    </row>
    <row r="39" spans="1:51" ht="14.5" x14ac:dyDescent="0.35">
      <c r="A39" s="88">
        <v>47209</v>
      </c>
      <c r="B39" s="15">
        <v>23</v>
      </c>
      <c r="C39" s="13">
        <v>23</v>
      </c>
      <c r="D39" s="14">
        <v>23</v>
      </c>
      <c r="E39">
        <v>27.503</v>
      </c>
      <c r="F39">
        <v>18.649000000000001</v>
      </c>
      <c r="G39">
        <v>18.108000000000001</v>
      </c>
      <c r="H39">
        <v>25.402999999999999</v>
      </c>
      <c r="I39">
        <v>15.478999999999999</v>
      </c>
      <c r="J39">
        <v>16.408999999999999</v>
      </c>
      <c r="K39">
        <v>26.83</v>
      </c>
      <c r="L39">
        <v>28.946000000000002</v>
      </c>
      <c r="M39">
        <v>16.210999999999999</v>
      </c>
      <c r="N39">
        <v>16.274000000000001</v>
      </c>
      <c r="O39">
        <v>37.466000000000001</v>
      </c>
      <c r="P39">
        <v>30.402000000000001</v>
      </c>
      <c r="Q39">
        <v>26.956</v>
      </c>
      <c r="R39">
        <v>27.584</v>
      </c>
      <c r="S39">
        <v>14.044</v>
      </c>
      <c r="T39">
        <v>17.027999999999999</v>
      </c>
      <c r="U39">
        <v>14.019</v>
      </c>
      <c r="V39">
        <v>14.638999999999999</v>
      </c>
      <c r="W39">
        <v>33.609000000000002</v>
      </c>
      <c r="X39">
        <v>9.5039999999999996</v>
      </c>
      <c r="Y39">
        <v>21.010999999999999</v>
      </c>
      <c r="Z39">
        <v>18.327999999999999</v>
      </c>
      <c r="AA39">
        <v>17.785</v>
      </c>
      <c r="AB39">
        <v>25.925999999999998</v>
      </c>
      <c r="AC39">
        <v>13.769</v>
      </c>
      <c r="AD39">
        <v>19.231999999999999</v>
      </c>
      <c r="AE39" s="4">
        <v>13.327</v>
      </c>
      <c r="AF39">
        <v>8.4719999999999995</v>
      </c>
      <c r="AG39">
        <v>34.78</v>
      </c>
      <c r="AH39">
        <v>18.596</v>
      </c>
      <c r="AI39" s="4"/>
      <c r="AJ39" s="4"/>
      <c r="AK39" s="4"/>
      <c r="AL39" s="4"/>
      <c r="AM39" s="4"/>
      <c r="AN39" s="4"/>
      <c r="AO39" s="4"/>
      <c r="AP39" s="4"/>
      <c r="AQ39" s="4"/>
      <c r="AR39" s="4"/>
      <c r="AS39" s="4"/>
      <c r="AT39" s="4"/>
      <c r="AU39" s="4"/>
      <c r="AV39" s="4"/>
      <c r="AW39" s="4"/>
      <c r="AX39" s="4"/>
      <c r="AY39" s="4"/>
    </row>
    <row r="40" spans="1:51" ht="14.5" x14ac:dyDescent="0.35">
      <c r="A40" s="88">
        <v>47239</v>
      </c>
      <c r="B40" s="15">
        <v>68</v>
      </c>
      <c r="C40" s="13">
        <v>68</v>
      </c>
      <c r="D40" s="14">
        <v>68</v>
      </c>
      <c r="E40">
        <v>76.915999999999997</v>
      </c>
      <c r="F40">
        <v>56.253</v>
      </c>
      <c r="G40">
        <v>67.203000000000003</v>
      </c>
      <c r="H40">
        <v>93.703000000000003</v>
      </c>
      <c r="I40">
        <v>66.605999999999995</v>
      </c>
      <c r="J40">
        <v>67.239999999999995</v>
      </c>
      <c r="K40">
        <v>64.956000000000003</v>
      </c>
      <c r="L40">
        <v>109.41200000000001</v>
      </c>
      <c r="M40">
        <v>27.382000000000001</v>
      </c>
      <c r="N40">
        <v>61.991</v>
      </c>
      <c r="O40">
        <v>85.563000000000002</v>
      </c>
      <c r="P40">
        <v>115.015</v>
      </c>
      <c r="Q40">
        <v>67.563000000000002</v>
      </c>
      <c r="R40">
        <v>78.524000000000001</v>
      </c>
      <c r="S40">
        <v>77.379000000000005</v>
      </c>
      <c r="T40">
        <v>95.149000000000001</v>
      </c>
      <c r="U40">
        <v>50.779000000000003</v>
      </c>
      <c r="V40">
        <v>53.896999999999998</v>
      </c>
      <c r="W40">
        <v>64.408000000000001</v>
      </c>
      <c r="X40">
        <v>41.633000000000003</v>
      </c>
      <c r="Y40">
        <v>67.06</v>
      </c>
      <c r="Z40">
        <v>50.753999999999998</v>
      </c>
      <c r="AA40">
        <v>52.369</v>
      </c>
      <c r="AB40">
        <v>62.100999999999999</v>
      </c>
      <c r="AC40">
        <v>35.640999999999998</v>
      </c>
      <c r="AD40">
        <v>57.975999999999999</v>
      </c>
      <c r="AE40" s="4">
        <v>62.384999999999998</v>
      </c>
      <c r="AF40">
        <v>49.197000000000003</v>
      </c>
      <c r="AG40">
        <v>81.513000000000005</v>
      </c>
      <c r="AH40">
        <v>94.671000000000006</v>
      </c>
      <c r="AI40" s="4"/>
      <c r="AJ40" s="4"/>
      <c r="AK40" s="4"/>
      <c r="AL40" s="4"/>
      <c r="AM40" s="4"/>
      <c r="AN40" s="4"/>
      <c r="AO40" s="4"/>
      <c r="AP40" s="4"/>
      <c r="AQ40" s="4"/>
      <c r="AR40" s="4"/>
      <c r="AS40" s="4"/>
      <c r="AT40" s="4"/>
      <c r="AU40" s="4"/>
      <c r="AV40" s="4"/>
      <c r="AW40" s="4"/>
      <c r="AX40" s="4"/>
      <c r="AY40" s="4"/>
    </row>
    <row r="41" spans="1:51" ht="14.5" x14ac:dyDescent="0.35">
      <c r="A41" s="88">
        <v>47270</v>
      </c>
      <c r="B41" s="15">
        <v>62</v>
      </c>
      <c r="C41" s="13">
        <v>62</v>
      </c>
      <c r="D41" s="14">
        <v>62</v>
      </c>
      <c r="E41">
        <v>63.975999999999999</v>
      </c>
      <c r="F41">
        <v>126.155</v>
      </c>
      <c r="G41">
        <v>33.033000000000001</v>
      </c>
      <c r="H41">
        <v>119.235</v>
      </c>
      <c r="I41">
        <v>54.829000000000001</v>
      </c>
      <c r="J41">
        <v>104.245</v>
      </c>
      <c r="K41">
        <v>29.634</v>
      </c>
      <c r="L41">
        <v>65.013999999999996</v>
      </c>
      <c r="M41">
        <v>11.445</v>
      </c>
      <c r="N41">
        <v>40.357999999999997</v>
      </c>
      <c r="O41">
        <v>48.643999999999998</v>
      </c>
      <c r="P41">
        <v>108.64100000000001</v>
      </c>
      <c r="Q41">
        <v>33.152999999999999</v>
      </c>
      <c r="R41">
        <v>57.445999999999998</v>
      </c>
      <c r="S41">
        <v>99.373999999999995</v>
      </c>
      <c r="T41">
        <v>48.573</v>
      </c>
      <c r="U41">
        <v>61.698999999999998</v>
      </c>
      <c r="V41">
        <v>95.117000000000004</v>
      </c>
      <c r="W41">
        <v>29.376999999999999</v>
      </c>
      <c r="X41">
        <v>32.003</v>
      </c>
      <c r="Y41">
        <v>72.230999999999995</v>
      </c>
      <c r="Z41">
        <v>91.950999999999993</v>
      </c>
      <c r="AA41">
        <v>76.603999999999999</v>
      </c>
      <c r="AB41">
        <v>77.641000000000005</v>
      </c>
      <c r="AC41">
        <v>11.617000000000001</v>
      </c>
      <c r="AD41">
        <v>127.739</v>
      </c>
      <c r="AE41" s="4">
        <v>38.101999999999997</v>
      </c>
      <c r="AF41">
        <v>76.117999999999995</v>
      </c>
      <c r="AG41">
        <v>46.262999999999998</v>
      </c>
      <c r="AH41">
        <v>105.13800000000001</v>
      </c>
      <c r="AI41" s="4"/>
      <c r="AJ41" s="4"/>
      <c r="AK41" s="4"/>
      <c r="AL41" s="4"/>
      <c r="AM41" s="4"/>
      <c r="AN41" s="4"/>
      <c r="AO41" s="4"/>
      <c r="AP41" s="4"/>
      <c r="AQ41" s="4"/>
      <c r="AR41" s="4"/>
      <c r="AS41" s="4"/>
      <c r="AT41" s="4"/>
      <c r="AU41" s="4"/>
      <c r="AV41" s="4"/>
      <c r="AW41" s="4"/>
      <c r="AX41" s="4"/>
      <c r="AY41" s="4"/>
    </row>
    <row r="42" spans="1:51" ht="14.5" x14ac:dyDescent="0.35">
      <c r="A42" s="88">
        <v>47300</v>
      </c>
      <c r="B42" s="15">
        <v>21</v>
      </c>
      <c r="C42" s="13">
        <v>21</v>
      </c>
      <c r="D42" s="14">
        <v>21</v>
      </c>
      <c r="E42">
        <v>14.65</v>
      </c>
      <c r="F42">
        <v>79.018000000000001</v>
      </c>
      <c r="G42">
        <v>12.93</v>
      </c>
      <c r="H42">
        <v>33.923999999999999</v>
      </c>
      <c r="I42">
        <v>24.907</v>
      </c>
      <c r="J42">
        <v>71.221999999999994</v>
      </c>
      <c r="K42">
        <v>9.0250000000000004</v>
      </c>
      <c r="L42">
        <v>19.286000000000001</v>
      </c>
      <c r="M42">
        <v>5.5819999999999999</v>
      </c>
      <c r="N42">
        <v>11.862</v>
      </c>
      <c r="O42">
        <v>16.233000000000001</v>
      </c>
      <c r="P42">
        <v>37.795999999999999</v>
      </c>
      <c r="Q42">
        <v>14.859</v>
      </c>
      <c r="R42">
        <v>18.600000000000001</v>
      </c>
      <c r="S42">
        <v>32.295000000000002</v>
      </c>
      <c r="T42">
        <v>15.906000000000001</v>
      </c>
      <c r="U42">
        <v>15.153</v>
      </c>
      <c r="V42">
        <v>29.134</v>
      </c>
      <c r="W42">
        <v>12.032999999999999</v>
      </c>
      <c r="X42">
        <v>11.148</v>
      </c>
      <c r="Y42">
        <v>17.337</v>
      </c>
      <c r="Z42">
        <v>23.305</v>
      </c>
      <c r="AA42">
        <v>16.013999999999999</v>
      </c>
      <c r="AB42">
        <v>18.888000000000002</v>
      </c>
      <c r="AC42">
        <v>5.4409999999999998</v>
      </c>
      <c r="AD42">
        <v>49.183999999999997</v>
      </c>
      <c r="AE42" s="4">
        <v>11.257999999999999</v>
      </c>
      <c r="AF42">
        <v>26.998000000000001</v>
      </c>
      <c r="AG42">
        <v>18.849</v>
      </c>
      <c r="AH42">
        <v>34.033999999999999</v>
      </c>
      <c r="AI42" s="4"/>
      <c r="AJ42" s="4"/>
      <c r="AK42" s="4"/>
      <c r="AL42" s="4"/>
      <c r="AM42" s="4"/>
      <c r="AN42" s="4"/>
      <c r="AO42" s="4"/>
      <c r="AP42" s="4"/>
      <c r="AQ42" s="4"/>
      <c r="AR42" s="4"/>
      <c r="AS42" s="4"/>
      <c r="AT42" s="4"/>
      <c r="AU42" s="4"/>
      <c r="AV42" s="4"/>
      <c r="AW42" s="4"/>
      <c r="AX42" s="4"/>
      <c r="AY42" s="4"/>
    </row>
    <row r="43" spans="1:51" ht="14.5" x14ac:dyDescent="0.35">
      <c r="A43" s="88">
        <v>47331</v>
      </c>
      <c r="B43" s="15">
        <v>15</v>
      </c>
      <c r="C43" s="13">
        <v>15</v>
      </c>
      <c r="D43" s="14">
        <v>15</v>
      </c>
      <c r="E43">
        <v>9.4700000000000006</v>
      </c>
      <c r="F43">
        <v>23.224</v>
      </c>
      <c r="G43">
        <v>7.9580000000000002</v>
      </c>
      <c r="H43">
        <v>24.1</v>
      </c>
      <c r="I43">
        <v>12.656000000000001</v>
      </c>
      <c r="J43">
        <v>44.576999999999998</v>
      </c>
      <c r="K43">
        <v>7.3730000000000002</v>
      </c>
      <c r="L43">
        <v>21.655000000000001</v>
      </c>
      <c r="M43">
        <v>4.7880000000000003</v>
      </c>
      <c r="N43">
        <v>9.6929999999999996</v>
      </c>
      <c r="O43">
        <v>7.5960000000000001</v>
      </c>
      <c r="P43">
        <v>19.905999999999999</v>
      </c>
      <c r="Q43">
        <v>11.917999999999999</v>
      </c>
      <c r="R43">
        <v>28.963000000000001</v>
      </c>
      <c r="S43">
        <v>13.91</v>
      </c>
      <c r="T43">
        <v>7.194</v>
      </c>
      <c r="U43">
        <v>12.074999999999999</v>
      </c>
      <c r="V43">
        <v>11.468</v>
      </c>
      <c r="W43">
        <v>7.2430000000000003</v>
      </c>
      <c r="X43">
        <v>10.231999999999999</v>
      </c>
      <c r="Y43">
        <v>11.933999999999999</v>
      </c>
      <c r="Z43">
        <v>11.289</v>
      </c>
      <c r="AA43">
        <v>12.638</v>
      </c>
      <c r="AB43">
        <v>11.12</v>
      </c>
      <c r="AC43">
        <v>4.2549999999999999</v>
      </c>
      <c r="AD43">
        <v>12.041</v>
      </c>
      <c r="AE43" s="4">
        <v>7.1440000000000001</v>
      </c>
      <c r="AF43">
        <v>12.16</v>
      </c>
      <c r="AG43">
        <v>16.547000000000001</v>
      </c>
      <c r="AH43">
        <v>17.056000000000001</v>
      </c>
      <c r="AI43" s="4"/>
      <c r="AJ43" s="4"/>
      <c r="AK43" s="4"/>
      <c r="AL43" s="4"/>
      <c r="AM43" s="4"/>
      <c r="AN43" s="4"/>
      <c r="AO43" s="4"/>
      <c r="AP43" s="4"/>
      <c r="AQ43" s="4"/>
      <c r="AR43" s="4"/>
      <c r="AS43" s="4"/>
      <c r="AT43" s="4"/>
      <c r="AU43" s="4"/>
      <c r="AV43" s="4"/>
      <c r="AW43" s="4"/>
      <c r="AX43" s="4"/>
      <c r="AY43" s="4"/>
    </row>
    <row r="44" spans="1:51" ht="14.5" x14ac:dyDescent="0.35">
      <c r="A44" s="88">
        <v>47362</v>
      </c>
      <c r="B44" s="15">
        <v>16</v>
      </c>
      <c r="C44" s="13">
        <v>16</v>
      </c>
      <c r="D44" s="14">
        <v>16</v>
      </c>
      <c r="E44">
        <v>14.755000000000001</v>
      </c>
      <c r="F44">
        <v>13.702999999999999</v>
      </c>
      <c r="G44">
        <v>8.093</v>
      </c>
      <c r="H44">
        <v>25.05</v>
      </c>
      <c r="I44">
        <v>10.362</v>
      </c>
      <c r="J44">
        <v>27.018999999999998</v>
      </c>
      <c r="K44">
        <v>6.94</v>
      </c>
      <c r="L44">
        <v>9.6509999999999998</v>
      </c>
      <c r="M44">
        <v>9.6449999999999996</v>
      </c>
      <c r="N44">
        <v>19.940000000000001</v>
      </c>
      <c r="O44">
        <v>17.434999999999999</v>
      </c>
      <c r="P44">
        <v>12.134</v>
      </c>
      <c r="Q44">
        <v>12.843</v>
      </c>
      <c r="R44">
        <v>17.911000000000001</v>
      </c>
      <c r="S44">
        <v>13.26</v>
      </c>
      <c r="T44">
        <v>6.8029999999999999</v>
      </c>
      <c r="U44">
        <v>8.9749999999999996</v>
      </c>
      <c r="V44">
        <v>8.3870000000000005</v>
      </c>
      <c r="W44">
        <v>5.8029999999999999</v>
      </c>
      <c r="X44">
        <v>28.411999999999999</v>
      </c>
      <c r="Y44">
        <v>15.137</v>
      </c>
      <c r="Z44">
        <v>9.0030000000000001</v>
      </c>
      <c r="AA44">
        <v>10.131</v>
      </c>
      <c r="AB44">
        <v>6.7629999999999999</v>
      </c>
      <c r="AC44">
        <v>3.6760000000000002</v>
      </c>
      <c r="AD44">
        <v>6.8410000000000002</v>
      </c>
      <c r="AE44" s="4">
        <v>5.8940000000000001</v>
      </c>
      <c r="AF44">
        <v>26.850999999999999</v>
      </c>
      <c r="AG44">
        <v>12.423999999999999</v>
      </c>
      <c r="AH44">
        <v>16.940000000000001</v>
      </c>
      <c r="AI44" s="4"/>
      <c r="AJ44" s="4"/>
      <c r="AK44" s="4"/>
      <c r="AL44" s="4"/>
      <c r="AM44" s="4"/>
      <c r="AN44" s="4"/>
      <c r="AO44" s="4"/>
      <c r="AP44" s="4"/>
      <c r="AQ44" s="4"/>
      <c r="AR44" s="4"/>
      <c r="AS44" s="4"/>
      <c r="AT44" s="4"/>
      <c r="AU44" s="4"/>
      <c r="AV44" s="4"/>
      <c r="AW44" s="4"/>
      <c r="AX44" s="4"/>
      <c r="AY44" s="4"/>
    </row>
    <row r="45" spans="1:51" ht="14.5" x14ac:dyDescent="0.35">
      <c r="A45" s="88">
        <v>47392</v>
      </c>
      <c r="B45" s="15">
        <v>15</v>
      </c>
      <c r="C45" s="13">
        <v>10</v>
      </c>
      <c r="D45" s="14">
        <v>13</v>
      </c>
      <c r="E45">
        <v>11.249000000000001</v>
      </c>
      <c r="F45">
        <v>11.766</v>
      </c>
      <c r="G45">
        <v>12.34</v>
      </c>
      <c r="H45">
        <v>27.68</v>
      </c>
      <c r="I45">
        <v>9.9610000000000003</v>
      </c>
      <c r="J45">
        <v>12.012</v>
      </c>
      <c r="K45">
        <v>7.3970000000000002</v>
      </c>
      <c r="L45">
        <v>7.0860000000000003</v>
      </c>
      <c r="M45">
        <v>9.8170000000000002</v>
      </c>
      <c r="N45">
        <v>9.5449999999999999</v>
      </c>
      <c r="O45">
        <v>20.114000000000001</v>
      </c>
      <c r="P45">
        <v>20.57</v>
      </c>
      <c r="Q45">
        <v>33.984000000000002</v>
      </c>
      <c r="R45">
        <v>15.988</v>
      </c>
      <c r="S45">
        <v>9.9410000000000007</v>
      </c>
      <c r="T45">
        <v>7.367</v>
      </c>
      <c r="U45">
        <v>11.97</v>
      </c>
      <c r="V45">
        <v>10.885</v>
      </c>
      <c r="W45">
        <v>5.0869999999999997</v>
      </c>
      <c r="X45">
        <v>17.021999999999998</v>
      </c>
      <c r="Y45">
        <v>23.234999999999999</v>
      </c>
      <c r="Z45">
        <v>9.5</v>
      </c>
      <c r="AA45">
        <v>9.2210000000000001</v>
      </c>
      <c r="AB45">
        <v>7.7140000000000004</v>
      </c>
      <c r="AC45">
        <v>4.5819999999999999</v>
      </c>
      <c r="AD45">
        <v>5.9290000000000003</v>
      </c>
      <c r="AE45" s="4">
        <v>5.782</v>
      </c>
      <c r="AF45">
        <v>10.478</v>
      </c>
      <c r="AG45">
        <v>7.5519999999999996</v>
      </c>
      <c r="AH45">
        <v>10.018000000000001</v>
      </c>
      <c r="AI45" s="4"/>
      <c r="AJ45" s="4"/>
      <c r="AK45" s="4"/>
      <c r="AL45" s="4"/>
      <c r="AM45" s="4"/>
      <c r="AN45" s="4"/>
      <c r="AO45" s="4"/>
      <c r="AP45" s="4"/>
      <c r="AQ45" s="4"/>
      <c r="AR45" s="4"/>
      <c r="AS45" s="4"/>
      <c r="AT45" s="4"/>
      <c r="AU45" s="4"/>
      <c r="AV45" s="4"/>
      <c r="AW45" s="4"/>
      <c r="AX45" s="4"/>
      <c r="AY45" s="4"/>
    </row>
    <row r="46" spans="1:51" ht="14.5" x14ac:dyDescent="0.35">
      <c r="A46" s="88">
        <v>47423</v>
      </c>
      <c r="B46" s="15">
        <v>10</v>
      </c>
      <c r="C46" s="13">
        <v>8</v>
      </c>
      <c r="D46" s="14">
        <v>9</v>
      </c>
      <c r="E46">
        <v>8.0969999999999995</v>
      </c>
      <c r="F46">
        <v>8.3710000000000004</v>
      </c>
      <c r="G46">
        <v>7.7359999999999998</v>
      </c>
      <c r="H46">
        <v>11.941000000000001</v>
      </c>
      <c r="I46">
        <v>8.3079999999999998</v>
      </c>
      <c r="J46">
        <v>7.2389999999999999</v>
      </c>
      <c r="K46">
        <v>5.694</v>
      </c>
      <c r="L46">
        <v>6.032</v>
      </c>
      <c r="M46">
        <v>5.8730000000000002</v>
      </c>
      <c r="N46">
        <v>5.952</v>
      </c>
      <c r="O46">
        <v>11.03</v>
      </c>
      <c r="P46">
        <v>13.452</v>
      </c>
      <c r="Q46">
        <v>13.489000000000001</v>
      </c>
      <c r="R46">
        <v>8.2379999999999995</v>
      </c>
      <c r="S46">
        <v>8.3680000000000003</v>
      </c>
      <c r="T46">
        <v>6.6369999999999996</v>
      </c>
      <c r="U46">
        <v>8.5280000000000005</v>
      </c>
      <c r="V46">
        <v>7.6059999999999999</v>
      </c>
      <c r="W46">
        <v>4.4530000000000003</v>
      </c>
      <c r="X46">
        <v>8.5549999999999997</v>
      </c>
      <c r="Y46">
        <v>10.662000000000001</v>
      </c>
      <c r="Z46">
        <v>6.8559999999999999</v>
      </c>
      <c r="AA46">
        <v>6.0190000000000001</v>
      </c>
      <c r="AB46">
        <v>5.9290000000000003</v>
      </c>
      <c r="AC46">
        <v>4.1150000000000002</v>
      </c>
      <c r="AD46">
        <v>5.2569999999999997</v>
      </c>
      <c r="AE46" s="4">
        <v>6.1189999999999998</v>
      </c>
      <c r="AF46">
        <v>6.6779999999999999</v>
      </c>
      <c r="AG46">
        <v>5.9130000000000003</v>
      </c>
      <c r="AH46">
        <v>6.8239999999999998</v>
      </c>
      <c r="AI46" s="4"/>
      <c r="AJ46" s="4"/>
      <c r="AK46" s="4"/>
      <c r="AL46" s="4"/>
      <c r="AM46" s="4"/>
      <c r="AN46" s="4"/>
      <c r="AO46" s="4"/>
      <c r="AP46" s="4"/>
      <c r="AQ46" s="4"/>
      <c r="AR46" s="4"/>
      <c r="AS46" s="4"/>
      <c r="AT46" s="4"/>
      <c r="AU46" s="4"/>
      <c r="AV46" s="4"/>
      <c r="AW46" s="4"/>
      <c r="AX46" s="4"/>
      <c r="AY46" s="4"/>
    </row>
    <row r="47" spans="1:51" ht="14.5" x14ac:dyDescent="0.35">
      <c r="A47" s="88">
        <v>47453</v>
      </c>
      <c r="B47" s="15">
        <v>7</v>
      </c>
      <c r="C47" s="13">
        <v>7</v>
      </c>
      <c r="D47" s="14">
        <v>7</v>
      </c>
      <c r="E47">
        <v>5.8710000000000004</v>
      </c>
      <c r="F47">
        <v>6.9630000000000001</v>
      </c>
      <c r="G47">
        <v>5.8360000000000003</v>
      </c>
      <c r="H47">
        <v>7.5739999999999998</v>
      </c>
      <c r="I47">
        <v>6.9690000000000003</v>
      </c>
      <c r="J47">
        <v>6.0140000000000002</v>
      </c>
      <c r="K47">
        <v>4.8029999999999999</v>
      </c>
      <c r="L47">
        <v>5.1980000000000004</v>
      </c>
      <c r="M47">
        <v>4.5110000000000001</v>
      </c>
      <c r="N47">
        <v>5.0999999999999996</v>
      </c>
      <c r="O47">
        <v>7.181</v>
      </c>
      <c r="P47">
        <v>8.2110000000000003</v>
      </c>
      <c r="Q47">
        <v>7.891</v>
      </c>
      <c r="R47">
        <v>6.4870000000000001</v>
      </c>
      <c r="S47">
        <v>6.6680000000000001</v>
      </c>
      <c r="T47">
        <v>5.1109999999999998</v>
      </c>
      <c r="U47">
        <v>5.6920000000000002</v>
      </c>
      <c r="V47">
        <v>5.9580000000000002</v>
      </c>
      <c r="W47">
        <v>4.33</v>
      </c>
      <c r="X47">
        <v>5.9189999999999996</v>
      </c>
      <c r="Y47">
        <v>7.0519999999999996</v>
      </c>
      <c r="Z47">
        <v>5.6109999999999998</v>
      </c>
      <c r="AA47">
        <v>5.0289999999999999</v>
      </c>
      <c r="AB47">
        <v>5.4980000000000002</v>
      </c>
      <c r="AC47">
        <v>3.3690000000000002</v>
      </c>
      <c r="AD47">
        <v>4.9939999999999998</v>
      </c>
      <c r="AE47" s="4">
        <v>5.0609999999999999</v>
      </c>
      <c r="AF47">
        <v>5.4779999999999998</v>
      </c>
      <c r="AG47">
        <v>5.2069999999999999</v>
      </c>
      <c r="AH47">
        <v>5.9409999999999998</v>
      </c>
      <c r="AI47" s="4"/>
      <c r="AJ47" s="4"/>
      <c r="AK47" s="4"/>
      <c r="AL47" s="4"/>
      <c r="AM47" s="4"/>
      <c r="AN47" s="4"/>
      <c r="AO47" s="4"/>
      <c r="AP47" s="4"/>
      <c r="AQ47" s="4"/>
      <c r="AR47" s="4"/>
      <c r="AS47" s="4"/>
      <c r="AT47" s="4"/>
      <c r="AU47" s="4"/>
      <c r="AV47" s="4"/>
      <c r="AW47" s="4"/>
      <c r="AX47" s="4"/>
      <c r="AY47" s="4"/>
    </row>
    <row r="48" spans="1:51" ht="14.5" x14ac:dyDescent="0.35">
      <c r="A48" s="88">
        <v>47484</v>
      </c>
      <c r="B48" s="15">
        <v>6</v>
      </c>
      <c r="C48" s="13">
        <v>6</v>
      </c>
      <c r="D48" s="14">
        <v>6</v>
      </c>
      <c r="E48">
        <v>5.0460000000000003</v>
      </c>
      <c r="F48">
        <v>5.835</v>
      </c>
      <c r="G48">
        <v>4.8019999999999996</v>
      </c>
      <c r="H48">
        <v>6.1719999999999997</v>
      </c>
      <c r="I48">
        <v>5.548</v>
      </c>
      <c r="J48">
        <v>5.5359999999999996</v>
      </c>
      <c r="K48">
        <v>4.3680000000000003</v>
      </c>
      <c r="L48">
        <v>4.7279999999999998</v>
      </c>
      <c r="M48">
        <v>3.9089999999999998</v>
      </c>
      <c r="N48">
        <v>4.4050000000000002</v>
      </c>
      <c r="O48">
        <v>6.1539999999999999</v>
      </c>
      <c r="P48">
        <v>6.5540000000000003</v>
      </c>
      <c r="Q48">
        <v>5.9930000000000003</v>
      </c>
      <c r="R48">
        <v>5.3289999999999997</v>
      </c>
      <c r="S48">
        <v>5.4269999999999996</v>
      </c>
      <c r="T48">
        <v>4.4279999999999999</v>
      </c>
      <c r="U48">
        <v>4.6749999999999998</v>
      </c>
      <c r="V48">
        <v>5.5069999999999997</v>
      </c>
      <c r="W48">
        <v>3.95</v>
      </c>
      <c r="X48">
        <v>4.9790000000000001</v>
      </c>
      <c r="Y48">
        <v>6.0170000000000003</v>
      </c>
      <c r="Z48">
        <v>4.7590000000000003</v>
      </c>
      <c r="AA48">
        <v>4.5540000000000003</v>
      </c>
      <c r="AB48">
        <v>4.7949999999999999</v>
      </c>
      <c r="AC48">
        <v>3.004</v>
      </c>
      <c r="AD48">
        <v>4.6369999999999996</v>
      </c>
      <c r="AE48" s="4">
        <v>4.1529999999999996</v>
      </c>
      <c r="AF48">
        <v>4.8179999999999996</v>
      </c>
      <c r="AG48">
        <v>4.6609999999999996</v>
      </c>
      <c r="AH48">
        <v>5.4619999999999997</v>
      </c>
      <c r="AI48" s="4"/>
      <c r="AJ48" s="4"/>
      <c r="AK48" s="4"/>
      <c r="AL48" s="4"/>
      <c r="AM48" s="4"/>
      <c r="AN48" s="4"/>
      <c r="AO48" s="4"/>
      <c r="AP48" s="4"/>
      <c r="AQ48" s="4"/>
      <c r="AR48" s="4"/>
      <c r="AS48" s="4"/>
      <c r="AT48" s="4"/>
      <c r="AU48" s="4"/>
      <c r="AV48" s="4"/>
      <c r="AW48" s="4"/>
      <c r="AX48" s="4"/>
      <c r="AY48" s="4"/>
    </row>
    <row r="49" spans="1:1005" ht="14.5" x14ac:dyDescent="0.35">
      <c r="A49" s="88">
        <v>47515</v>
      </c>
      <c r="B49" s="15">
        <v>5</v>
      </c>
      <c r="C49" s="13">
        <v>5</v>
      </c>
      <c r="D49" s="14">
        <v>5</v>
      </c>
      <c r="E49">
        <v>5.7519999999999998</v>
      </c>
      <c r="F49">
        <v>6.2030000000000003</v>
      </c>
      <c r="G49">
        <v>3.915</v>
      </c>
      <c r="H49">
        <v>4.9850000000000003</v>
      </c>
      <c r="I49">
        <v>4.9480000000000004</v>
      </c>
      <c r="J49">
        <v>5.0259999999999998</v>
      </c>
      <c r="K49">
        <v>3.585</v>
      </c>
      <c r="L49">
        <v>4.0810000000000004</v>
      </c>
      <c r="M49">
        <v>3.6549999999999998</v>
      </c>
      <c r="N49">
        <v>3.7839999999999998</v>
      </c>
      <c r="O49">
        <v>5.1420000000000003</v>
      </c>
      <c r="P49">
        <v>5.2939999999999996</v>
      </c>
      <c r="Q49">
        <v>5.8109999999999999</v>
      </c>
      <c r="R49">
        <v>4.1970000000000001</v>
      </c>
      <c r="S49">
        <v>4.76</v>
      </c>
      <c r="T49">
        <v>3.6379999999999999</v>
      </c>
      <c r="U49">
        <v>3.8260000000000001</v>
      </c>
      <c r="V49">
        <v>4.1859999999999999</v>
      </c>
      <c r="W49">
        <v>3.4390000000000001</v>
      </c>
      <c r="X49">
        <v>4.8440000000000003</v>
      </c>
      <c r="Y49">
        <v>6.9790000000000001</v>
      </c>
      <c r="Z49">
        <v>5.4589999999999996</v>
      </c>
      <c r="AA49">
        <v>4.49</v>
      </c>
      <c r="AB49">
        <v>4.3760000000000003</v>
      </c>
      <c r="AC49">
        <v>2.4910000000000001</v>
      </c>
      <c r="AD49">
        <v>3.964</v>
      </c>
      <c r="AE49" s="4">
        <v>3.9119999999999999</v>
      </c>
      <c r="AF49">
        <v>4.2350000000000003</v>
      </c>
      <c r="AG49">
        <v>3.8540000000000001</v>
      </c>
      <c r="AH49">
        <v>4.5030000000000001</v>
      </c>
      <c r="AI49" s="4"/>
      <c r="AJ49" s="4"/>
      <c r="AK49" s="4"/>
      <c r="AL49" s="4"/>
      <c r="AM49" s="4"/>
      <c r="AN49" s="4"/>
      <c r="AO49" s="4"/>
      <c r="AP49" s="4"/>
      <c r="AQ49" s="4"/>
      <c r="AR49" s="4"/>
      <c r="AS49" s="4"/>
      <c r="AT49" s="4"/>
      <c r="AU49" s="4"/>
      <c r="AV49" s="4"/>
      <c r="AW49" s="4"/>
      <c r="AX49" s="4"/>
      <c r="AY49" s="4"/>
    </row>
    <row r="50" spans="1:1005" ht="14.5" x14ac:dyDescent="0.35">
      <c r="A50" s="88">
        <v>47543</v>
      </c>
      <c r="B50" s="15">
        <v>10</v>
      </c>
      <c r="C50" s="13">
        <v>10</v>
      </c>
      <c r="D50" s="14">
        <v>10</v>
      </c>
      <c r="E50">
        <v>10.759</v>
      </c>
      <c r="F50">
        <v>7.0620000000000003</v>
      </c>
      <c r="G50">
        <v>13.095000000000001</v>
      </c>
      <c r="H50">
        <v>7.9560000000000004</v>
      </c>
      <c r="I50">
        <v>8.0549999999999997</v>
      </c>
      <c r="J50">
        <v>6.351</v>
      </c>
      <c r="K50">
        <v>6.8810000000000002</v>
      </c>
      <c r="L50">
        <v>5.3280000000000003</v>
      </c>
      <c r="M50">
        <v>5.5990000000000002</v>
      </c>
      <c r="N50">
        <v>12.11</v>
      </c>
      <c r="O50">
        <v>8.9949999999999992</v>
      </c>
      <c r="P50">
        <v>6.8029999999999999</v>
      </c>
      <c r="Q50">
        <v>17.295000000000002</v>
      </c>
      <c r="R50">
        <v>5.3689999999999998</v>
      </c>
      <c r="S50">
        <v>8.1720000000000006</v>
      </c>
      <c r="T50">
        <v>4.093</v>
      </c>
      <c r="U50">
        <v>5.9619999999999997</v>
      </c>
      <c r="V50">
        <v>8.3800000000000008</v>
      </c>
      <c r="W50">
        <v>4.8470000000000004</v>
      </c>
      <c r="X50">
        <v>7.4960000000000004</v>
      </c>
      <c r="Y50">
        <v>13.039</v>
      </c>
      <c r="Z50">
        <v>8.0649999999999995</v>
      </c>
      <c r="AA50">
        <v>11.654999999999999</v>
      </c>
      <c r="AB50">
        <v>5.1159999999999997</v>
      </c>
      <c r="AC50">
        <v>3.2360000000000002</v>
      </c>
      <c r="AD50">
        <v>5.6509999999999998</v>
      </c>
      <c r="AE50" s="4">
        <v>4.1020000000000003</v>
      </c>
      <c r="AF50">
        <v>6.1369999999999996</v>
      </c>
      <c r="AG50">
        <v>6.2939999999999996</v>
      </c>
      <c r="AH50">
        <v>8.8490000000000002</v>
      </c>
      <c r="AI50" s="4"/>
      <c r="AJ50" s="4"/>
      <c r="AK50" s="4"/>
      <c r="AL50" s="4"/>
      <c r="AM50" s="4"/>
      <c r="AN50" s="4"/>
      <c r="AO50" s="4"/>
      <c r="AP50" s="4"/>
      <c r="AQ50" s="4"/>
      <c r="AR50" s="4"/>
      <c r="AS50" s="4"/>
      <c r="AT50" s="4"/>
      <c r="AU50" s="4"/>
      <c r="AV50" s="4"/>
      <c r="AW50" s="4"/>
      <c r="AX50" s="4"/>
      <c r="AY50" s="4"/>
    </row>
    <row r="51" spans="1:1005" ht="14.5" x14ac:dyDescent="0.35">
      <c r="A51" s="88">
        <v>47574</v>
      </c>
      <c r="B51" s="15">
        <v>23</v>
      </c>
      <c r="C51" s="13">
        <v>23</v>
      </c>
      <c r="D51" s="14">
        <v>23</v>
      </c>
      <c r="E51">
        <v>18.669</v>
      </c>
      <c r="F51">
        <v>18.141999999999999</v>
      </c>
      <c r="G51">
        <v>25.431999999999999</v>
      </c>
      <c r="H51">
        <v>14.919</v>
      </c>
      <c r="I51">
        <v>16.402999999999999</v>
      </c>
      <c r="J51">
        <v>26.890999999999998</v>
      </c>
      <c r="K51">
        <v>29.007999999999999</v>
      </c>
      <c r="L51">
        <v>16.123999999999999</v>
      </c>
      <c r="M51">
        <v>16.288</v>
      </c>
      <c r="N51">
        <v>37.643000000000001</v>
      </c>
      <c r="O51">
        <v>30.349</v>
      </c>
      <c r="P51">
        <v>26.538</v>
      </c>
      <c r="Q51">
        <v>27.588999999999999</v>
      </c>
      <c r="R51">
        <v>14.196999999999999</v>
      </c>
      <c r="S51">
        <v>17.027999999999999</v>
      </c>
      <c r="T51">
        <v>13.91</v>
      </c>
      <c r="U51">
        <v>14.731999999999999</v>
      </c>
      <c r="V51">
        <v>33.628999999999998</v>
      </c>
      <c r="W51">
        <v>9.5120000000000005</v>
      </c>
      <c r="X51">
        <v>20.960999999999999</v>
      </c>
      <c r="Y51">
        <v>18.329999999999998</v>
      </c>
      <c r="Z51">
        <v>17.774000000000001</v>
      </c>
      <c r="AA51">
        <v>25.966000000000001</v>
      </c>
      <c r="AB51">
        <v>13.257999999999999</v>
      </c>
      <c r="AC51">
        <v>19.286999999999999</v>
      </c>
      <c r="AD51">
        <v>13.37</v>
      </c>
      <c r="AE51" s="4">
        <v>8.4540000000000006</v>
      </c>
      <c r="AF51">
        <v>33.043999999999997</v>
      </c>
      <c r="AG51">
        <v>18.593</v>
      </c>
      <c r="AH51">
        <v>27.510999999999999</v>
      </c>
      <c r="AI51" s="4"/>
      <c r="AJ51" s="4"/>
      <c r="AK51" s="4"/>
      <c r="AL51" s="4"/>
      <c r="AM51" s="4"/>
      <c r="AN51" s="4"/>
      <c r="AO51" s="4"/>
      <c r="AP51" s="4"/>
      <c r="AQ51" s="4"/>
      <c r="AR51" s="4"/>
      <c r="AS51" s="4"/>
      <c r="AT51" s="4"/>
      <c r="AU51" s="4"/>
      <c r="AV51" s="4"/>
      <c r="AW51" s="4"/>
      <c r="AX51" s="4"/>
      <c r="AY51" s="4"/>
    </row>
    <row r="52" spans="1:1005" ht="14.5" x14ac:dyDescent="0.35">
      <c r="A52" s="88">
        <v>47604</v>
      </c>
      <c r="B52" s="15">
        <v>68</v>
      </c>
      <c r="C52" s="13">
        <v>68</v>
      </c>
      <c r="D52" s="14">
        <v>68</v>
      </c>
      <c r="E52">
        <v>56.265000000000001</v>
      </c>
      <c r="F52">
        <v>67.224999999999994</v>
      </c>
      <c r="G52">
        <v>93.72</v>
      </c>
      <c r="H52">
        <v>65.025000000000006</v>
      </c>
      <c r="I52">
        <v>67.230999999999995</v>
      </c>
      <c r="J52">
        <v>64.984999999999999</v>
      </c>
      <c r="K52">
        <v>109.438</v>
      </c>
      <c r="L52">
        <v>27.303999999999998</v>
      </c>
      <c r="M52">
        <v>61.999000000000002</v>
      </c>
      <c r="N52">
        <v>85.656999999999996</v>
      </c>
      <c r="O52">
        <v>114.973</v>
      </c>
      <c r="P52">
        <v>66.903000000000006</v>
      </c>
      <c r="Q52">
        <v>78.528000000000006</v>
      </c>
      <c r="R52">
        <v>77.528999999999996</v>
      </c>
      <c r="S52">
        <v>95.147000000000006</v>
      </c>
      <c r="T52">
        <v>48.820999999999998</v>
      </c>
      <c r="U52">
        <v>53.985999999999997</v>
      </c>
      <c r="V52">
        <v>64.415999999999997</v>
      </c>
      <c r="W52">
        <v>41.637</v>
      </c>
      <c r="X52">
        <v>63.765999999999998</v>
      </c>
      <c r="Y52">
        <v>50.756999999999998</v>
      </c>
      <c r="Z52">
        <v>52.357999999999997</v>
      </c>
      <c r="AA52">
        <v>62.122999999999998</v>
      </c>
      <c r="AB52">
        <v>35.777000000000001</v>
      </c>
      <c r="AC52">
        <v>58.043999999999997</v>
      </c>
      <c r="AD52">
        <v>62.418999999999997</v>
      </c>
      <c r="AE52" s="4">
        <v>49.171999999999997</v>
      </c>
      <c r="AF52">
        <v>82.554000000000002</v>
      </c>
      <c r="AG52">
        <v>94.667000000000002</v>
      </c>
      <c r="AH52">
        <v>76.92</v>
      </c>
      <c r="AI52" s="4"/>
      <c r="AJ52" s="4"/>
      <c r="AK52" s="4"/>
      <c r="AL52" s="4"/>
      <c r="AM52" s="4"/>
      <c r="AN52" s="4"/>
      <c r="AO52" s="4"/>
      <c r="AP52" s="4"/>
      <c r="AQ52" s="4"/>
      <c r="AR52" s="4"/>
      <c r="AS52" s="4"/>
      <c r="AT52" s="4"/>
      <c r="AU52" s="4"/>
      <c r="AV52" s="4"/>
      <c r="AW52" s="4"/>
      <c r="AX52" s="4"/>
      <c r="AY52" s="4"/>
    </row>
    <row r="53" spans="1:1005" ht="14.5" x14ac:dyDescent="0.35">
      <c r="A53" s="88">
        <v>47635</v>
      </c>
      <c r="B53" s="15">
        <v>62</v>
      </c>
      <c r="C53" s="13">
        <v>62</v>
      </c>
      <c r="D53" s="14">
        <v>62</v>
      </c>
      <c r="E53">
        <v>126.157</v>
      </c>
      <c r="F53">
        <v>33.048000000000002</v>
      </c>
      <c r="G53">
        <v>119.24</v>
      </c>
      <c r="H53">
        <v>56.167999999999999</v>
      </c>
      <c r="I53">
        <v>104.241</v>
      </c>
      <c r="J53">
        <v>29.652999999999999</v>
      </c>
      <c r="K53">
        <v>65.024000000000001</v>
      </c>
      <c r="L53">
        <v>11.72</v>
      </c>
      <c r="M53">
        <v>40.363</v>
      </c>
      <c r="N53">
        <v>48.673000000000002</v>
      </c>
      <c r="O53">
        <v>108.63500000000001</v>
      </c>
      <c r="P53">
        <v>33.826999999999998</v>
      </c>
      <c r="Q53">
        <v>57.448999999999998</v>
      </c>
      <c r="R53">
        <v>99.415999999999997</v>
      </c>
      <c r="S53">
        <v>48.573</v>
      </c>
      <c r="T53">
        <v>63.2</v>
      </c>
      <c r="U53">
        <v>95.153999999999996</v>
      </c>
      <c r="V53">
        <v>29.381</v>
      </c>
      <c r="W53">
        <v>32.006</v>
      </c>
      <c r="X53">
        <v>74.911000000000001</v>
      </c>
      <c r="Y53">
        <v>91.951999999999998</v>
      </c>
      <c r="Z53">
        <v>76.599999999999994</v>
      </c>
      <c r="AA53">
        <v>77.649000000000001</v>
      </c>
      <c r="AB53">
        <v>11.872999999999999</v>
      </c>
      <c r="AC53">
        <v>127.751</v>
      </c>
      <c r="AD53">
        <v>38.116999999999997</v>
      </c>
      <c r="AE53" s="4">
        <v>76.105000000000004</v>
      </c>
      <c r="AF53">
        <v>46.820999999999998</v>
      </c>
      <c r="AG53">
        <v>105.137</v>
      </c>
      <c r="AH53">
        <v>63.976999999999997</v>
      </c>
      <c r="AI53" s="4"/>
      <c r="AJ53" s="4"/>
      <c r="AK53" s="4"/>
      <c r="AL53" s="4"/>
      <c r="AM53" s="4"/>
      <c r="AN53" s="4"/>
      <c r="AO53" s="4"/>
      <c r="AP53" s="4"/>
      <c r="AQ53" s="4"/>
      <c r="AR53" s="4"/>
      <c r="AS53" s="4"/>
      <c r="AT53" s="4"/>
      <c r="AU53" s="4"/>
      <c r="AV53" s="4"/>
      <c r="AW53" s="4"/>
      <c r="AX53" s="4"/>
      <c r="AY53" s="4"/>
    </row>
    <row r="54" spans="1:1005" ht="14.5" x14ac:dyDescent="0.35">
      <c r="A54" s="88">
        <v>47665</v>
      </c>
      <c r="B54" s="15">
        <v>21</v>
      </c>
      <c r="C54" s="13">
        <v>21</v>
      </c>
      <c r="D54" s="14">
        <v>21</v>
      </c>
      <c r="E54">
        <v>79.019000000000005</v>
      </c>
      <c r="F54">
        <v>12.943</v>
      </c>
      <c r="G54">
        <v>33.926000000000002</v>
      </c>
      <c r="H54">
        <v>25.38</v>
      </c>
      <c r="I54">
        <v>71.22</v>
      </c>
      <c r="J54">
        <v>9.0429999999999993</v>
      </c>
      <c r="K54">
        <v>19.294</v>
      </c>
      <c r="L54">
        <v>5.63</v>
      </c>
      <c r="M54">
        <v>11.868</v>
      </c>
      <c r="N54">
        <v>16.254000000000001</v>
      </c>
      <c r="O54">
        <v>37.795000000000002</v>
      </c>
      <c r="P54">
        <v>14.955</v>
      </c>
      <c r="Q54">
        <v>18.603000000000002</v>
      </c>
      <c r="R54">
        <v>32.320999999999998</v>
      </c>
      <c r="S54">
        <v>15.904999999999999</v>
      </c>
      <c r="T54">
        <v>15.351000000000001</v>
      </c>
      <c r="U54">
        <v>29.161000000000001</v>
      </c>
      <c r="V54">
        <v>12.036</v>
      </c>
      <c r="W54">
        <v>11.151</v>
      </c>
      <c r="X54">
        <v>17.670999999999999</v>
      </c>
      <c r="Y54">
        <v>23.305</v>
      </c>
      <c r="Z54">
        <v>16.010999999999999</v>
      </c>
      <c r="AA54">
        <v>18.893999999999998</v>
      </c>
      <c r="AB54">
        <v>5.4889999999999999</v>
      </c>
      <c r="AC54">
        <v>49.19</v>
      </c>
      <c r="AD54">
        <v>11.27</v>
      </c>
      <c r="AE54" s="4">
        <v>26.992000000000001</v>
      </c>
      <c r="AF54">
        <v>18.995000000000001</v>
      </c>
      <c r="AG54">
        <v>34.033999999999999</v>
      </c>
      <c r="AH54">
        <v>14.65</v>
      </c>
      <c r="AI54" s="4"/>
      <c r="AJ54" s="4"/>
      <c r="AK54" s="4"/>
      <c r="AL54" s="4"/>
      <c r="AM54" s="4"/>
      <c r="AN54" s="4"/>
      <c r="AO54" s="4"/>
      <c r="AP54" s="4"/>
      <c r="AQ54" s="4"/>
      <c r="AR54" s="4"/>
      <c r="AS54" s="4"/>
      <c r="AT54" s="4"/>
      <c r="AU54" s="4"/>
      <c r="AV54" s="4"/>
      <c r="AW54" s="4"/>
      <c r="AX54" s="4"/>
      <c r="AY54" s="4"/>
    </row>
    <row r="55" spans="1:1005" ht="14.5" x14ac:dyDescent="0.35">
      <c r="A55" s="88">
        <v>47696</v>
      </c>
      <c r="B55" s="15">
        <v>15</v>
      </c>
      <c r="C55" s="13">
        <v>15</v>
      </c>
      <c r="D55" s="14">
        <v>15</v>
      </c>
      <c r="E55">
        <v>23.225999999999999</v>
      </c>
      <c r="F55">
        <v>7.9710000000000001</v>
      </c>
      <c r="G55">
        <v>24.103000000000002</v>
      </c>
      <c r="H55">
        <v>12.846</v>
      </c>
      <c r="I55">
        <v>44.573999999999998</v>
      </c>
      <c r="J55">
        <v>7.391</v>
      </c>
      <c r="K55">
        <v>21.67</v>
      </c>
      <c r="L55">
        <v>4.8109999999999999</v>
      </c>
      <c r="M55">
        <v>9.6980000000000004</v>
      </c>
      <c r="N55">
        <v>7.6139999999999999</v>
      </c>
      <c r="O55">
        <v>19.904</v>
      </c>
      <c r="P55">
        <v>11.936999999999999</v>
      </c>
      <c r="Q55">
        <v>28.966999999999999</v>
      </c>
      <c r="R55">
        <v>13.93</v>
      </c>
      <c r="S55">
        <v>7.194</v>
      </c>
      <c r="T55">
        <v>12.137</v>
      </c>
      <c r="U55">
        <v>11.493</v>
      </c>
      <c r="V55">
        <v>7.2450000000000001</v>
      </c>
      <c r="W55">
        <v>10.234999999999999</v>
      </c>
      <c r="X55">
        <v>12.103</v>
      </c>
      <c r="Y55">
        <v>11.289</v>
      </c>
      <c r="Z55">
        <v>12.635</v>
      </c>
      <c r="AA55">
        <v>11.125</v>
      </c>
      <c r="AB55">
        <v>4.2670000000000003</v>
      </c>
      <c r="AC55">
        <v>12.045999999999999</v>
      </c>
      <c r="AD55">
        <v>7.1559999999999997</v>
      </c>
      <c r="AE55" s="4">
        <v>12.154</v>
      </c>
      <c r="AF55">
        <v>16.401</v>
      </c>
      <c r="AG55">
        <v>17.056000000000001</v>
      </c>
      <c r="AH55">
        <v>9.4700000000000006</v>
      </c>
      <c r="AI55" s="4"/>
      <c r="AJ55" s="4"/>
      <c r="AK55" s="4"/>
      <c r="AL55" s="4"/>
      <c r="AM55" s="4"/>
      <c r="AN55" s="4"/>
      <c r="AO55" s="4"/>
      <c r="AP55" s="4"/>
      <c r="AQ55" s="4"/>
      <c r="AR55" s="4"/>
      <c r="AS55" s="4"/>
      <c r="AT55" s="4"/>
      <c r="AU55" s="4"/>
      <c r="AV55" s="4"/>
      <c r="AW55" s="4"/>
      <c r="AX55" s="4"/>
      <c r="AY55" s="4"/>
    </row>
    <row r="56" spans="1:1005" ht="14.5" x14ac:dyDescent="0.35">
      <c r="A56" s="88">
        <v>47727</v>
      </c>
      <c r="B56" s="15">
        <v>16</v>
      </c>
      <c r="C56" s="13">
        <v>16</v>
      </c>
      <c r="D56" s="14">
        <v>16</v>
      </c>
      <c r="E56">
        <v>13.704000000000001</v>
      </c>
      <c r="F56">
        <v>8.1059999999999999</v>
      </c>
      <c r="G56">
        <v>25.053000000000001</v>
      </c>
      <c r="H56">
        <v>10.515000000000001</v>
      </c>
      <c r="I56">
        <v>27.016999999999999</v>
      </c>
      <c r="J56">
        <v>6.9560000000000004</v>
      </c>
      <c r="K56">
        <v>9.6590000000000007</v>
      </c>
      <c r="L56">
        <v>9.5239999999999991</v>
      </c>
      <c r="M56">
        <v>19.946999999999999</v>
      </c>
      <c r="N56">
        <v>17.459</v>
      </c>
      <c r="O56">
        <v>12.132999999999999</v>
      </c>
      <c r="P56">
        <v>12.519</v>
      </c>
      <c r="Q56">
        <v>17.914000000000001</v>
      </c>
      <c r="R56">
        <v>13.281000000000001</v>
      </c>
      <c r="S56">
        <v>6.8029999999999999</v>
      </c>
      <c r="T56">
        <v>9.1850000000000005</v>
      </c>
      <c r="U56">
        <v>8.41</v>
      </c>
      <c r="V56">
        <v>5.8049999999999997</v>
      </c>
      <c r="W56">
        <v>28.417000000000002</v>
      </c>
      <c r="X56">
        <v>14.617000000000001</v>
      </c>
      <c r="Y56">
        <v>9.0030000000000001</v>
      </c>
      <c r="Z56">
        <v>10.128</v>
      </c>
      <c r="AA56">
        <v>6.7679999999999998</v>
      </c>
      <c r="AB56">
        <v>3.681</v>
      </c>
      <c r="AC56">
        <v>6.8440000000000003</v>
      </c>
      <c r="AD56">
        <v>5.9039999999999999</v>
      </c>
      <c r="AE56" s="4">
        <v>26.844000000000001</v>
      </c>
      <c r="AF56">
        <v>12.804</v>
      </c>
      <c r="AG56">
        <v>16.940000000000001</v>
      </c>
      <c r="AH56">
        <v>14.755000000000001</v>
      </c>
      <c r="AI56" s="4"/>
      <c r="AJ56" s="4"/>
      <c r="AK56" s="4"/>
      <c r="AL56" s="4"/>
      <c r="AM56" s="4"/>
      <c r="AN56" s="4"/>
      <c r="AO56" s="4"/>
      <c r="AP56" s="4"/>
      <c r="AQ56" s="4"/>
      <c r="AR56" s="4"/>
      <c r="AS56" s="4"/>
      <c r="AT56" s="4"/>
      <c r="AU56" s="4"/>
      <c r="AV56" s="4"/>
      <c r="AW56" s="4"/>
      <c r="AX56" s="4"/>
      <c r="AY56" s="4"/>
    </row>
    <row r="57" spans="1:1005" ht="14.5" x14ac:dyDescent="0.35">
      <c r="A57" s="88">
        <v>47757</v>
      </c>
      <c r="B57" s="15">
        <v>15</v>
      </c>
      <c r="C57" s="13">
        <v>10</v>
      </c>
      <c r="D57" s="14">
        <v>13</v>
      </c>
      <c r="E57">
        <v>11.768000000000001</v>
      </c>
      <c r="F57">
        <v>12.353</v>
      </c>
      <c r="G57">
        <v>27.683</v>
      </c>
      <c r="H57">
        <v>9.8989999999999991</v>
      </c>
      <c r="I57">
        <v>12.012</v>
      </c>
      <c r="J57">
        <v>7.4169999999999998</v>
      </c>
      <c r="K57">
        <v>7.0919999999999996</v>
      </c>
      <c r="L57">
        <v>9.9559999999999995</v>
      </c>
      <c r="M57">
        <v>9.5500000000000007</v>
      </c>
      <c r="N57">
        <v>20.137</v>
      </c>
      <c r="O57">
        <v>20.568999999999999</v>
      </c>
      <c r="P57">
        <v>34.159999999999997</v>
      </c>
      <c r="Q57">
        <v>15.991</v>
      </c>
      <c r="R57">
        <v>9.9570000000000007</v>
      </c>
      <c r="S57">
        <v>7.367</v>
      </c>
      <c r="T57">
        <v>12.066000000000001</v>
      </c>
      <c r="U57">
        <v>10.916</v>
      </c>
      <c r="V57">
        <v>5.0890000000000004</v>
      </c>
      <c r="W57">
        <v>17.026</v>
      </c>
      <c r="X57">
        <v>23.788</v>
      </c>
      <c r="Y57">
        <v>9.5</v>
      </c>
      <c r="Z57">
        <v>9.2189999999999994</v>
      </c>
      <c r="AA57">
        <v>7.7190000000000003</v>
      </c>
      <c r="AB57">
        <v>4.5309999999999997</v>
      </c>
      <c r="AC57">
        <v>5.9320000000000004</v>
      </c>
      <c r="AD57">
        <v>5.7919999999999998</v>
      </c>
      <c r="AE57" s="4">
        <v>10.473000000000001</v>
      </c>
      <c r="AF57">
        <v>7.6749999999999998</v>
      </c>
      <c r="AG57">
        <v>10.018000000000001</v>
      </c>
      <c r="AH57">
        <v>11.25</v>
      </c>
      <c r="AI57" s="4"/>
      <c r="AJ57" s="4"/>
      <c r="AK57" s="4"/>
      <c r="AL57" s="4"/>
      <c r="AM57" s="4"/>
      <c r="AN57" s="4"/>
      <c r="AO57" s="4"/>
      <c r="AP57" s="4"/>
      <c r="AQ57" s="4"/>
      <c r="AR57" s="4"/>
      <c r="AS57" s="4"/>
      <c r="AT57" s="4"/>
      <c r="AU57" s="4"/>
      <c r="AV57" s="4"/>
      <c r="AW57" s="4"/>
      <c r="AX57" s="4"/>
      <c r="AY57" s="4"/>
    </row>
    <row r="58" spans="1:1005" ht="14.5" x14ac:dyDescent="0.35">
      <c r="A58" s="88">
        <v>47788</v>
      </c>
      <c r="B58" s="15">
        <v>10</v>
      </c>
      <c r="C58" s="13">
        <v>8</v>
      </c>
      <c r="D58" s="14">
        <v>9</v>
      </c>
      <c r="E58">
        <v>8.3719999999999999</v>
      </c>
      <c r="F58">
        <v>7.75</v>
      </c>
      <c r="G58">
        <v>11.943</v>
      </c>
      <c r="H58">
        <v>8.4730000000000008</v>
      </c>
      <c r="I58">
        <v>7.2380000000000004</v>
      </c>
      <c r="J58">
        <v>5.71</v>
      </c>
      <c r="K58">
        <v>6.0380000000000003</v>
      </c>
      <c r="L58">
        <v>5.9690000000000003</v>
      </c>
      <c r="M58">
        <v>5.9569999999999999</v>
      </c>
      <c r="N58">
        <v>11.048999999999999</v>
      </c>
      <c r="O58">
        <v>13.451000000000001</v>
      </c>
      <c r="P58">
        <v>13.869</v>
      </c>
      <c r="Q58">
        <v>8.24</v>
      </c>
      <c r="R58">
        <v>8.3810000000000002</v>
      </c>
      <c r="S58">
        <v>6.6369999999999996</v>
      </c>
      <c r="T58">
        <v>8.7170000000000005</v>
      </c>
      <c r="U58">
        <v>7.6280000000000001</v>
      </c>
      <c r="V58">
        <v>4.4550000000000001</v>
      </c>
      <c r="W58">
        <v>8.5579999999999998</v>
      </c>
      <c r="X58">
        <v>10.922000000000001</v>
      </c>
      <c r="Y58">
        <v>6.8559999999999999</v>
      </c>
      <c r="Z58">
        <v>6.0170000000000003</v>
      </c>
      <c r="AA58">
        <v>5.9329999999999998</v>
      </c>
      <c r="AB58">
        <v>4.1740000000000004</v>
      </c>
      <c r="AC58">
        <v>5.26</v>
      </c>
      <c r="AD58">
        <v>6.1289999999999996</v>
      </c>
      <c r="AE58" s="4">
        <v>6.6740000000000004</v>
      </c>
      <c r="AF58">
        <v>5.9649999999999999</v>
      </c>
      <c r="AG58">
        <v>6.8239999999999998</v>
      </c>
      <c r="AH58">
        <v>8.0969999999999995</v>
      </c>
      <c r="AI58" s="4"/>
      <c r="AJ58" s="4"/>
      <c r="AK58" s="4"/>
      <c r="AL58" s="4"/>
      <c r="AM58" s="4"/>
      <c r="AN58" s="4"/>
      <c r="AO58" s="4"/>
      <c r="AP58" s="4"/>
      <c r="AQ58" s="4"/>
      <c r="AR58" s="4"/>
      <c r="AS58" s="4"/>
      <c r="AT58" s="4"/>
      <c r="AU58" s="4"/>
      <c r="AV58" s="4"/>
      <c r="AW58" s="4"/>
      <c r="AX58" s="4"/>
      <c r="AY58" s="4"/>
    </row>
    <row r="59" spans="1:1005" ht="14.5" x14ac:dyDescent="0.35">
      <c r="A59" s="88">
        <v>47818</v>
      </c>
      <c r="B59" s="15">
        <v>7</v>
      </c>
      <c r="C59" s="13">
        <v>7</v>
      </c>
      <c r="D59" s="14">
        <v>7</v>
      </c>
      <c r="E59">
        <v>6.9640000000000004</v>
      </c>
      <c r="F59">
        <v>5.8470000000000004</v>
      </c>
      <c r="G59">
        <v>7.5759999999999996</v>
      </c>
      <c r="H59">
        <v>7.0670000000000002</v>
      </c>
      <c r="I59">
        <v>6.0129999999999999</v>
      </c>
      <c r="J59">
        <v>4.8170000000000002</v>
      </c>
      <c r="K59">
        <v>5.2030000000000003</v>
      </c>
      <c r="L59">
        <v>4.593</v>
      </c>
      <c r="M59">
        <v>5.1040000000000001</v>
      </c>
      <c r="N59">
        <v>7.1970000000000001</v>
      </c>
      <c r="O59">
        <v>8.2100000000000009</v>
      </c>
      <c r="P59">
        <v>8.0359999999999996</v>
      </c>
      <c r="Q59">
        <v>6.4889999999999999</v>
      </c>
      <c r="R59">
        <v>6.681</v>
      </c>
      <c r="S59">
        <v>5.1109999999999998</v>
      </c>
      <c r="T59">
        <v>5.7679999999999998</v>
      </c>
      <c r="U59">
        <v>5.9779999999999998</v>
      </c>
      <c r="V59">
        <v>4.3310000000000004</v>
      </c>
      <c r="W59">
        <v>5.9210000000000003</v>
      </c>
      <c r="X59">
        <v>7.181</v>
      </c>
      <c r="Y59">
        <v>5.6109999999999998</v>
      </c>
      <c r="Z59">
        <v>5.0270000000000001</v>
      </c>
      <c r="AA59">
        <v>5.5010000000000003</v>
      </c>
      <c r="AB59">
        <v>3.3889999999999998</v>
      </c>
      <c r="AC59">
        <v>4.9969999999999999</v>
      </c>
      <c r="AD59">
        <v>5.0709999999999997</v>
      </c>
      <c r="AE59" s="4">
        <v>5.4749999999999996</v>
      </c>
      <c r="AF59">
        <v>5.2489999999999997</v>
      </c>
      <c r="AG59">
        <v>5.9409999999999998</v>
      </c>
      <c r="AH59">
        <v>5.8710000000000004</v>
      </c>
      <c r="AI59" s="4"/>
      <c r="AJ59" s="4"/>
      <c r="AK59" s="4"/>
      <c r="AL59" s="4"/>
      <c r="AM59" s="4"/>
      <c r="AN59" s="4"/>
      <c r="AO59" s="4"/>
      <c r="AP59" s="4"/>
      <c r="AQ59" s="4"/>
      <c r="AR59" s="4"/>
      <c r="AS59" s="4"/>
      <c r="AT59" s="4"/>
      <c r="AU59" s="4"/>
      <c r="AV59" s="4"/>
      <c r="AW59" s="4"/>
      <c r="AX59" s="4"/>
      <c r="AY59" s="4"/>
    </row>
    <row r="60" spans="1:1005" ht="14.5" x14ac:dyDescent="0.35">
      <c r="A60" s="88">
        <v>47849</v>
      </c>
      <c r="B60" s="15">
        <v>6</v>
      </c>
      <c r="C60" s="13">
        <v>6</v>
      </c>
      <c r="D60" s="14">
        <v>6</v>
      </c>
      <c r="E60">
        <v>5.8360000000000003</v>
      </c>
      <c r="F60">
        <v>4.8109999999999999</v>
      </c>
      <c r="G60">
        <v>6.173</v>
      </c>
      <c r="H60">
        <v>5.6070000000000002</v>
      </c>
      <c r="I60">
        <v>5.5359999999999996</v>
      </c>
      <c r="J60">
        <v>4.38</v>
      </c>
      <c r="K60">
        <v>4.734</v>
      </c>
      <c r="L60">
        <v>3.9020000000000001</v>
      </c>
      <c r="M60">
        <v>4.4080000000000004</v>
      </c>
      <c r="N60">
        <v>6.17</v>
      </c>
      <c r="O60">
        <v>6.5529999999999999</v>
      </c>
      <c r="P60">
        <v>6.0430000000000001</v>
      </c>
      <c r="Q60">
        <v>5.3310000000000004</v>
      </c>
      <c r="R60">
        <v>5.4390000000000001</v>
      </c>
      <c r="S60">
        <v>4.4279999999999999</v>
      </c>
      <c r="T60">
        <v>4.71</v>
      </c>
      <c r="U60">
        <v>5.5259999999999998</v>
      </c>
      <c r="V60">
        <v>3.9510000000000001</v>
      </c>
      <c r="W60">
        <v>4.9809999999999999</v>
      </c>
      <c r="X60">
        <v>6.0529999999999999</v>
      </c>
      <c r="Y60">
        <v>4.7590000000000003</v>
      </c>
      <c r="Z60">
        <v>4.5519999999999996</v>
      </c>
      <c r="AA60">
        <v>4.7990000000000004</v>
      </c>
      <c r="AB60">
        <v>3.0129999999999999</v>
      </c>
      <c r="AC60">
        <v>4.6390000000000002</v>
      </c>
      <c r="AD60">
        <v>4.1609999999999996</v>
      </c>
      <c r="AE60" s="4">
        <v>4.8140000000000001</v>
      </c>
      <c r="AF60">
        <v>4.6879999999999997</v>
      </c>
      <c r="AG60">
        <v>5.4619999999999997</v>
      </c>
      <c r="AH60">
        <v>5.0469999999999997</v>
      </c>
      <c r="AI60" s="4"/>
      <c r="AJ60" s="4"/>
      <c r="AK60" s="4"/>
      <c r="AL60" s="4"/>
      <c r="AM60" s="4"/>
      <c r="AN60" s="4"/>
      <c r="AO60" s="4"/>
      <c r="AP60" s="4"/>
      <c r="AQ60" s="4"/>
      <c r="AR60" s="4"/>
      <c r="AS60" s="4"/>
      <c r="AT60" s="4"/>
      <c r="AU60" s="4"/>
      <c r="AV60" s="4"/>
      <c r="AW60" s="4"/>
      <c r="AX60" s="4"/>
      <c r="AY60" s="4"/>
    </row>
    <row r="61" spans="1:1005" ht="14.5" x14ac:dyDescent="0.35">
      <c r="A61" s="88">
        <v>47880</v>
      </c>
      <c r="B61" s="15">
        <v>5</v>
      </c>
      <c r="C61" s="13">
        <v>5</v>
      </c>
      <c r="D61" s="14">
        <v>5</v>
      </c>
      <c r="E61">
        <v>6.2050000000000001</v>
      </c>
      <c r="F61">
        <v>3.923</v>
      </c>
      <c r="G61">
        <v>4.9870000000000001</v>
      </c>
      <c r="H61">
        <v>4.931</v>
      </c>
      <c r="I61">
        <v>5.0250000000000004</v>
      </c>
      <c r="J61">
        <v>3.5950000000000002</v>
      </c>
      <c r="K61">
        <v>4.085</v>
      </c>
      <c r="L61">
        <v>3.7189999999999999</v>
      </c>
      <c r="M61">
        <v>3.7879999999999998</v>
      </c>
      <c r="N61">
        <v>5.1539999999999999</v>
      </c>
      <c r="O61">
        <v>5.2939999999999996</v>
      </c>
      <c r="P61">
        <v>5.8760000000000003</v>
      </c>
      <c r="Q61">
        <v>4.1989999999999998</v>
      </c>
      <c r="R61">
        <v>4.7720000000000002</v>
      </c>
      <c r="S61">
        <v>3.637</v>
      </c>
      <c r="T61">
        <v>3.8450000000000002</v>
      </c>
      <c r="U61">
        <v>4.2009999999999996</v>
      </c>
      <c r="V61">
        <v>3.44</v>
      </c>
      <c r="W61">
        <v>4.8460000000000001</v>
      </c>
      <c r="X61">
        <v>7.0279999999999996</v>
      </c>
      <c r="Y61">
        <v>5.4589999999999996</v>
      </c>
      <c r="Z61">
        <v>4.4880000000000004</v>
      </c>
      <c r="AA61">
        <v>4.3789999999999996</v>
      </c>
      <c r="AB61">
        <v>2.4969999999999999</v>
      </c>
      <c r="AC61">
        <v>3.9660000000000002</v>
      </c>
      <c r="AD61">
        <v>3.919</v>
      </c>
      <c r="AE61" s="4">
        <v>4.2309999999999999</v>
      </c>
      <c r="AF61">
        <v>3.8740000000000001</v>
      </c>
      <c r="AG61">
        <v>4.5030000000000001</v>
      </c>
      <c r="AH61">
        <v>5.7519999999999998</v>
      </c>
      <c r="AI61" s="4"/>
      <c r="AJ61" s="4"/>
      <c r="AK61" s="4"/>
      <c r="AL61" s="4"/>
      <c r="AM61" s="4"/>
      <c r="AN61" s="4"/>
      <c r="AO61" s="4"/>
      <c r="AP61" s="4"/>
      <c r="AQ61" s="4"/>
      <c r="AR61" s="4"/>
      <c r="AS61" s="4"/>
      <c r="AT61" s="4"/>
      <c r="AU61" s="4"/>
      <c r="AV61" s="4"/>
      <c r="AW61" s="4"/>
      <c r="AX61" s="4"/>
      <c r="AY61" s="4"/>
    </row>
    <row r="62" spans="1:1005" ht="14.5" x14ac:dyDescent="0.35">
      <c r="A62" s="88">
        <v>47908</v>
      </c>
      <c r="B62" s="15">
        <v>10</v>
      </c>
      <c r="C62" s="13">
        <v>10</v>
      </c>
      <c r="D62" s="14">
        <v>10</v>
      </c>
      <c r="E62">
        <v>7.0640000000000001</v>
      </c>
      <c r="F62">
        <v>13.119</v>
      </c>
      <c r="G62">
        <v>7.9589999999999996</v>
      </c>
      <c r="H62">
        <v>8.0169999999999995</v>
      </c>
      <c r="I62">
        <v>6.35</v>
      </c>
      <c r="J62">
        <v>6.9039999999999999</v>
      </c>
      <c r="K62">
        <v>5.3339999999999996</v>
      </c>
      <c r="L62">
        <v>5.5380000000000003</v>
      </c>
      <c r="M62">
        <v>12.117000000000001</v>
      </c>
      <c r="N62">
        <v>9.0150000000000006</v>
      </c>
      <c r="O62">
        <v>6.8019999999999996</v>
      </c>
      <c r="P62">
        <v>17.143000000000001</v>
      </c>
      <c r="Q62">
        <v>5.3710000000000004</v>
      </c>
      <c r="R62">
        <v>8.1920000000000002</v>
      </c>
      <c r="S62">
        <v>4.093</v>
      </c>
      <c r="T62">
        <v>5.85</v>
      </c>
      <c r="U62">
        <v>8.4120000000000008</v>
      </c>
      <c r="V62">
        <v>4.8490000000000002</v>
      </c>
      <c r="W62">
        <v>7.4980000000000002</v>
      </c>
      <c r="X62">
        <v>12.558</v>
      </c>
      <c r="Y62">
        <v>8.0649999999999995</v>
      </c>
      <c r="Z62">
        <v>11.651999999999999</v>
      </c>
      <c r="AA62">
        <v>5.12</v>
      </c>
      <c r="AB62">
        <v>3.1989999999999998</v>
      </c>
      <c r="AC62">
        <v>5.6539999999999999</v>
      </c>
      <c r="AD62">
        <v>4.1109999999999998</v>
      </c>
      <c r="AE62" s="4">
        <v>6.1319999999999997</v>
      </c>
      <c r="AF62">
        <v>6.2380000000000004</v>
      </c>
      <c r="AG62">
        <v>8.8490000000000002</v>
      </c>
      <c r="AH62">
        <v>10.759</v>
      </c>
      <c r="AI62" s="4"/>
      <c r="AJ62" s="4"/>
      <c r="AK62" s="4"/>
      <c r="AL62" s="4"/>
      <c r="AM62" s="4"/>
      <c r="AN62" s="4"/>
      <c r="AO62" s="4"/>
      <c r="AP62" s="4"/>
      <c r="AQ62" s="4"/>
      <c r="AR62" s="4"/>
      <c r="AS62" s="4"/>
      <c r="AT62" s="4"/>
      <c r="AU62" s="4"/>
      <c r="AV62" s="4"/>
      <c r="AW62" s="4"/>
      <c r="AX62" s="4"/>
      <c r="AY62" s="4"/>
    </row>
    <row r="63" spans="1:1005" ht="14.5" x14ac:dyDescent="0.35">
      <c r="A63" s="88">
        <v>47939</v>
      </c>
      <c r="B63" s="15">
        <v>23</v>
      </c>
      <c r="C63" s="13">
        <v>23</v>
      </c>
      <c r="D63" s="14">
        <v>23</v>
      </c>
      <c r="E63">
        <v>18.143000000000001</v>
      </c>
      <c r="F63">
        <v>25.460999999999999</v>
      </c>
      <c r="G63">
        <v>14.923</v>
      </c>
      <c r="H63">
        <v>15.778</v>
      </c>
      <c r="I63">
        <v>26.89</v>
      </c>
      <c r="J63">
        <v>29.04</v>
      </c>
      <c r="K63">
        <v>16.129000000000001</v>
      </c>
      <c r="L63">
        <v>15.852</v>
      </c>
      <c r="M63">
        <v>37.652999999999999</v>
      </c>
      <c r="N63">
        <v>30.4</v>
      </c>
      <c r="O63">
        <v>26.536000000000001</v>
      </c>
      <c r="P63">
        <v>26.170999999999999</v>
      </c>
      <c r="Q63">
        <v>14.201000000000001</v>
      </c>
      <c r="R63">
        <v>17.047000000000001</v>
      </c>
      <c r="S63">
        <v>13.909000000000001</v>
      </c>
      <c r="T63">
        <v>14.635</v>
      </c>
      <c r="U63">
        <v>33.649000000000001</v>
      </c>
      <c r="V63">
        <v>9.5139999999999993</v>
      </c>
      <c r="W63">
        <v>20.965</v>
      </c>
      <c r="X63">
        <v>18.314</v>
      </c>
      <c r="Y63">
        <v>17.774000000000001</v>
      </c>
      <c r="Z63">
        <v>25.962</v>
      </c>
      <c r="AA63">
        <v>13.262</v>
      </c>
      <c r="AB63">
        <v>17.882999999999999</v>
      </c>
      <c r="AC63">
        <v>13.375</v>
      </c>
      <c r="AD63">
        <v>8.4670000000000005</v>
      </c>
      <c r="AE63" s="4">
        <v>33.033000000000001</v>
      </c>
      <c r="AF63">
        <v>17.539000000000001</v>
      </c>
      <c r="AG63">
        <v>27.51</v>
      </c>
      <c r="AH63">
        <v>18.670000000000002</v>
      </c>
      <c r="AI63" s="4"/>
      <c r="AJ63" s="4"/>
      <c r="AK63" s="4"/>
      <c r="AL63" s="4"/>
      <c r="AM63" s="4"/>
      <c r="AN63" s="4"/>
      <c r="AO63" s="4"/>
      <c r="AP63" s="4"/>
      <c r="AQ63" s="4"/>
      <c r="AR63" s="4"/>
      <c r="AS63" s="4"/>
      <c r="AT63" s="4"/>
      <c r="AU63" s="4"/>
      <c r="AV63" s="4"/>
      <c r="AW63" s="4"/>
      <c r="AX63" s="4"/>
      <c r="AY63" s="4"/>
    </row>
    <row r="64" spans="1:1005" ht="14.5" x14ac:dyDescent="0.35">
      <c r="A64" s="88">
        <v>47969</v>
      </c>
      <c r="B64" s="15">
        <v>68</v>
      </c>
      <c r="C64" s="13">
        <v>68</v>
      </c>
      <c r="D64" s="14">
        <v>68</v>
      </c>
      <c r="E64">
        <v>67.224999999999994</v>
      </c>
      <c r="F64">
        <v>93.72</v>
      </c>
      <c r="G64">
        <v>65.025000000000006</v>
      </c>
      <c r="H64">
        <v>67.230999999999995</v>
      </c>
      <c r="I64">
        <v>64.984999999999999</v>
      </c>
      <c r="J64">
        <v>109.438</v>
      </c>
      <c r="K64">
        <v>27.303999999999998</v>
      </c>
      <c r="L64">
        <v>61.999000000000002</v>
      </c>
      <c r="M64">
        <v>85.656999999999996</v>
      </c>
      <c r="N64">
        <v>114.973</v>
      </c>
      <c r="O64">
        <v>66.903000000000006</v>
      </c>
      <c r="P64">
        <v>78.528000000000006</v>
      </c>
      <c r="Q64">
        <v>77.528999999999996</v>
      </c>
      <c r="R64">
        <v>95.147000000000006</v>
      </c>
      <c r="S64">
        <v>48.820999999999998</v>
      </c>
      <c r="T64">
        <v>53.985999999999997</v>
      </c>
      <c r="U64">
        <v>64.415999999999997</v>
      </c>
      <c r="V64">
        <v>41.637</v>
      </c>
      <c r="W64">
        <v>63.765999999999998</v>
      </c>
      <c r="X64">
        <v>50.756999999999998</v>
      </c>
      <c r="Y64">
        <v>52.357999999999997</v>
      </c>
      <c r="Z64">
        <v>62.122999999999998</v>
      </c>
      <c r="AA64">
        <v>35.777000000000001</v>
      </c>
      <c r="AB64">
        <v>58.043999999999997</v>
      </c>
      <c r="AC64">
        <v>62.418999999999997</v>
      </c>
      <c r="AD64">
        <v>49.171999999999997</v>
      </c>
      <c r="AE64" s="4">
        <v>82.554000000000002</v>
      </c>
      <c r="AF64">
        <v>94.667000000000002</v>
      </c>
      <c r="AG64">
        <v>76.92</v>
      </c>
      <c r="AH64">
        <v>76.92</v>
      </c>
      <c r="AI64" s="4"/>
      <c r="AJ64" s="4"/>
      <c r="AK64" s="4"/>
      <c r="AL64" s="4"/>
      <c r="AM64" s="4"/>
      <c r="AN64" s="4"/>
      <c r="AO64" s="4"/>
      <c r="AP64" s="4"/>
      <c r="AQ64" s="4"/>
      <c r="AR64" s="4"/>
      <c r="AS64" s="4"/>
      <c r="AT64" s="4"/>
      <c r="AU64" s="4"/>
      <c r="AV64" s="4"/>
      <c r="AW64" s="4"/>
      <c r="AX64" s="4"/>
      <c r="AY64" s="4"/>
      <c r="ALQ64" t="e">
        <v>#N/A</v>
      </c>
    </row>
    <row r="65" spans="1:1005" ht="14.5" x14ac:dyDescent="0.35">
      <c r="A65" s="88">
        <v>48000</v>
      </c>
      <c r="B65" s="15">
        <v>62</v>
      </c>
      <c r="C65" s="13">
        <v>62</v>
      </c>
      <c r="D65" s="14">
        <v>62</v>
      </c>
      <c r="E65">
        <v>33.048000000000002</v>
      </c>
      <c r="F65">
        <v>119.24</v>
      </c>
      <c r="G65">
        <v>56.167999999999999</v>
      </c>
      <c r="H65">
        <v>104.241</v>
      </c>
      <c r="I65">
        <v>29.652999999999999</v>
      </c>
      <c r="J65">
        <v>65.024000000000001</v>
      </c>
      <c r="K65">
        <v>11.72</v>
      </c>
      <c r="L65">
        <v>40.363</v>
      </c>
      <c r="M65">
        <v>48.673000000000002</v>
      </c>
      <c r="N65">
        <v>108.63500000000001</v>
      </c>
      <c r="O65">
        <v>33.826999999999998</v>
      </c>
      <c r="P65">
        <v>57.448999999999998</v>
      </c>
      <c r="Q65">
        <v>99.415999999999997</v>
      </c>
      <c r="R65">
        <v>48.573</v>
      </c>
      <c r="S65">
        <v>63.2</v>
      </c>
      <c r="T65">
        <v>95.153999999999996</v>
      </c>
      <c r="U65">
        <v>29.381</v>
      </c>
      <c r="V65">
        <v>32.006</v>
      </c>
      <c r="W65">
        <v>74.911000000000001</v>
      </c>
      <c r="X65">
        <v>91.951999999999998</v>
      </c>
      <c r="Y65">
        <v>76.599999999999994</v>
      </c>
      <c r="Z65">
        <v>77.649000000000001</v>
      </c>
      <c r="AA65">
        <v>11.872999999999999</v>
      </c>
      <c r="AB65">
        <v>127.751</v>
      </c>
      <c r="AC65">
        <v>38.116999999999997</v>
      </c>
      <c r="AD65">
        <v>76.105000000000004</v>
      </c>
      <c r="AE65" s="4">
        <v>46.820999999999998</v>
      </c>
      <c r="AF65">
        <v>105.137</v>
      </c>
      <c r="AG65">
        <v>63.976999999999997</v>
      </c>
      <c r="AH65">
        <v>63.976999999999997</v>
      </c>
      <c r="AI65" s="4"/>
      <c r="AJ65" s="4"/>
      <c r="AK65" s="4"/>
      <c r="AL65" s="4"/>
      <c r="AM65" s="4"/>
      <c r="AN65" s="4"/>
      <c r="AO65" s="4"/>
      <c r="AP65" s="4"/>
      <c r="AQ65" s="4"/>
      <c r="AR65" s="4"/>
      <c r="AS65" s="4"/>
      <c r="AT65" s="4"/>
      <c r="AU65" s="4"/>
      <c r="AV65" s="4"/>
      <c r="AW65" s="4"/>
      <c r="AX65" s="4"/>
      <c r="AY65" s="4"/>
      <c r="ALQ65" t="e">
        <v>#N/A</v>
      </c>
    </row>
    <row r="66" spans="1:1005" ht="14.5" x14ac:dyDescent="0.35">
      <c r="A66" s="88">
        <v>48030</v>
      </c>
      <c r="B66" s="15">
        <v>21</v>
      </c>
      <c r="C66" s="13">
        <v>21</v>
      </c>
      <c r="D66" s="14">
        <v>21</v>
      </c>
      <c r="E66">
        <v>12.943</v>
      </c>
      <c r="F66">
        <v>33.926000000000002</v>
      </c>
      <c r="G66">
        <v>25.38</v>
      </c>
      <c r="H66">
        <v>71.22</v>
      </c>
      <c r="I66">
        <v>9.0429999999999993</v>
      </c>
      <c r="J66">
        <v>19.294</v>
      </c>
      <c r="K66">
        <v>5.63</v>
      </c>
      <c r="L66">
        <v>11.868</v>
      </c>
      <c r="M66">
        <v>16.254000000000001</v>
      </c>
      <c r="N66">
        <v>37.795000000000002</v>
      </c>
      <c r="O66">
        <v>14.955</v>
      </c>
      <c r="P66">
        <v>18.603000000000002</v>
      </c>
      <c r="Q66">
        <v>32.320999999999998</v>
      </c>
      <c r="R66">
        <v>15.904999999999999</v>
      </c>
      <c r="S66">
        <v>15.351000000000001</v>
      </c>
      <c r="T66">
        <v>29.161000000000001</v>
      </c>
      <c r="U66">
        <v>12.036</v>
      </c>
      <c r="V66">
        <v>11.151</v>
      </c>
      <c r="W66">
        <v>17.670999999999999</v>
      </c>
      <c r="X66">
        <v>23.305</v>
      </c>
      <c r="Y66">
        <v>16.010999999999999</v>
      </c>
      <c r="Z66">
        <v>18.893999999999998</v>
      </c>
      <c r="AA66">
        <v>5.4889999999999999</v>
      </c>
      <c r="AB66">
        <v>49.19</v>
      </c>
      <c r="AC66">
        <v>11.27</v>
      </c>
      <c r="AD66">
        <v>26.992000000000001</v>
      </c>
      <c r="AE66" s="4">
        <v>18.995000000000001</v>
      </c>
      <c r="AF66">
        <v>34.033999999999999</v>
      </c>
      <c r="AG66">
        <v>14.65</v>
      </c>
      <c r="AH66">
        <v>14.65</v>
      </c>
      <c r="AI66" s="4"/>
      <c r="AJ66" s="4"/>
      <c r="AK66" s="4"/>
      <c r="AL66" s="4"/>
      <c r="AM66" s="4"/>
      <c r="AN66" s="4"/>
      <c r="AO66" s="4"/>
      <c r="AP66" s="4"/>
      <c r="AQ66" s="4"/>
      <c r="AR66" s="4"/>
      <c r="AS66" s="4"/>
      <c r="AT66" s="4"/>
      <c r="AU66" s="4"/>
      <c r="AV66" s="4"/>
      <c r="AW66" s="4"/>
      <c r="AX66" s="4"/>
      <c r="AY66" s="4"/>
      <c r="ALQ66" t="e">
        <v>#N/A</v>
      </c>
    </row>
    <row r="67" spans="1:1005" ht="14.5" x14ac:dyDescent="0.35">
      <c r="A67" s="88">
        <v>48061</v>
      </c>
      <c r="B67" s="15">
        <v>15</v>
      </c>
      <c r="C67" s="13">
        <v>15</v>
      </c>
      <c r="D67" s="14">
        <v>15</v>
      </c>
      <c r="E67">
        <v>7.9710000000000001</v>
      </c>
      <c r="F67">
        <v>24.103000000000002</v>
      </c>
      <c r="G67">
        <v>12.846</v>
      </c>
      <c r="H67">
        <v>44.573999999999998</v>
      </c>
      <c r="I67">
        <v>7.391</v>
      </c>
      <c r="J67">
        <v>21.67</v>
      </c>
      <c r="K67">
        <v>4.8109999999999999</v>
      </c>
      <c r="L67">
        <v>9.6980000000000004</v>
      </c>
      <c r="M67">
        <v>7.6139999999999999</v>
      </c>
      <c r="N67">
        <v>19.904</v>
      </c>
      <c r="O67">
        <v>11.936999999999999</v>
      </c>
      <c r="P67">
        <v>28.966999999999999</v>
      </c>
      <c r="Q67">
        <v>13.93</v>
      </c>
      <c r="R67">
        <v>7.194</v>
      </c>
      <c r="S67">
        <v>12.137</v>
      </c>
      <c r="T67">
        <v>11.493</v>
      </c>
      <c r="U67">
        <v>7.2450000000000001</v>
      </c>
      <c r="V67">
        <v>10.234999999999999</v>
      </c>
      <c r="W67">
        <v>12.103</v>
      </c>
      <c r="X67">
        <v>11.289</v>
      </c>
      <c r="Y67">
        <v>12.635</v>
      </c>
      <c r="Z67">
        <v>11.125</v>
      </c>
      <c r="AA67">
        <v>4.2670000000000003</v>
      </c>
      <c r="AB67">
        <v>12.045999999999999</v>
      </c>
      <c r="AC67">
        <v>7.1559999999999997</v>
      </c>
      <c r="AD67">
        <v>12.154</v>
      </c>
      <c r="AE67" s="4">
        <v>16.401</v>
      </c>
      <c r="AF67">
        <v>17.056000000000001</v>
      </c>
      <c r="AG67">
        <v>9.4700000000000006</v>
      </c>
      <c r="AH67">
        <v>9.4700000000000006</v>
      </c>
      <c r="AI67" s="4"/>
      <c r="AJ67" s="4"/>
      <c r="AK67" s="4"/>
      <c r="AL67" s="4"/>
      <c r="AM67" s="4"/>
      <c r="AN67" s="4"/>
      <c r="AO67" s="4"/>
      <c r="AP67" s="4"/>
      <c r="AQ67" s="4"/>
      <c r="AR67" s="4"/>
      <c r="AS67" s="4"/>
      <c r="AT67" s="4"/>
      <c r="AU67" s="4"/>
      <c r="AV67" s="4"/>
      <c r="AW67" s="4"/>
      <c r="AX67" s="4"/>
      <c r="AY67" s="4"/>
      <c r="ALQ67" t="e">
        <v>#N/A</v>
      </c>
    </row>
    <row r="68" spans="1:1005" ht="14.5" x14ac:dyDescent="0.35">
      <c r="A68" s="88">
        <v>48092</v>
      </c>
      <c r="B68" s="15">
        <v>16</v>
      </c>
      <c r="C68" s="13">
        <v>16</v>
      </c>
      <c r="D68" s="14">
        <v>16</v>
      </c>
      <c r="E68">
        <v>8.1059999999999999</v>
      </c>
      <c r="F68">
        <v>25.053000000000001</v>
      </c>
      <c r="G68">
        <v>10.515000000000001</v>
      </c>
      <c r="H68">
        <v>27.016999999999999</v>
      </c>
      <c r="I68">
        <v>6.9560000000000004</v>
      </c>
      <c r="J68">
        <v>9.6590000000000007</v>
      </c>
      <c r="K68">
        <v>9.5239999999999991</v>
      </c>
      <c r="L68">
        <v>19.946999999999999</v>
      </c>
      <c r="M68">
        <v>17.459</v>
      </c>
      <c r="N68">
        <v>12.132999999999999</v>
      </c>
      <c r="O68">
        <v>12.519</v>
      </c>
      <c r="P68">
        <v>17.914000000000001</v>
      </c>
      <c r="Q68">
        <v>13.281000000000001</v>
      </c>
      <c r="R68">
        <v>6.8029999999999999</v>
      </c>
      <c r="S68">
        <v>9.1850000000000005</v>
      </c>
      <c r="T68">
        <v>8.41</v>
      </c>
      <c r="U68">
        <v>5.8049999999999997</v>
      </c>
      <c r="V68">
        <v>28.417000000000002</v>
      </c>
      <c r="W68">
        <v>14.617000000000001</v>
      </c>
      <c r="X68">
        <v>9.0030000000000001</v>
      </c>
      <c r="Y68">
        <v>10.128</v>
      </c>
      <c r="Z68">
        <v>6.7679999999999998</v>
      </c>
      <c r="AA68">
        <v>3.681</v>
      </c>
      <c r="AB68">
        <v>6.8440000000000003</v>
      </c>
      <c r="AC68">
        <v>5.9039999999999999</v>
      </c>
      <c r="AD68">
        <v>26.844000000000001</v>
      </c>
      <c r="AE68" s="4">
        <v>12.804</v>
      </c>
      <c r="AF68">
        <v>16.940000000000001</v>
      </c>
      <c r="AG68">
        <v>14.755000000000001</v>
      </c>
      <c r="AH68">
        <v>14.755000000000001</v>
      </c>
      <c r="AI68" s="4"/>
      <c r="AJ68" s="4"/>
      <c r="AK68" s="4"/>
      <c r="AL68" s="4"/>
      <c r="AM68" s="4"/>
      <c r="AN68" s="4"/>
      <c r="AO68" s="4"/>
      <c r="AP68" s="4"/>
      <c r="AQ68" s="4"/>
      <c r="AR68" s="4"/>
      <c r="AS68" s="4"/>
      <c r="AT68" s="4"/>
      <c r="AU68" s="4"/>
      <c r="AV68" s="4"/>
      <c r="AW68" s="4"/>
      <c r="AX68" s="4"/>
      <c r="AY68" s="4"/>
      <c r="ALQ68" t="e">
        <v>#N/A</v>
      </c>
    </row>
    <row r="69" spans="1:1005" ht="14.5" x14ac:dyDescent="0.35">
      <c r="A69" s="88"/>
      <c r="B69" s="15"/>
      <c r="C69" s="13"/>
      <c r="D69" s="14"/>
      <c r="AI69" s="4"/>
      <c r="AJ69" s="4"/>
      <c r="AK69" s="4"/>
      <c r="AL69" s="4"/>
      <c r="AM69" s="4"/>
      <c r="AN69" s="4"/>
      <c r="AO69" s="4"/>
      <c r="AP69" s="4"/>
      <c r="AQ69" s="4"/>
      <c r="AR69" s="4"/>
      <c r="AS69" s="4"/>
      <c r="AT69" s="4"/>
      <c r="AU69" s="4"/>
      <c r="AV69" s="4"/>
      <c r="AW69" s="4"/>
      <c r="AX69" s="4"/>
      <c r="AY69" s="4"/>
      <c r="ALQ69" t="e">
        <v>#N/A</v>
      </c>
    </row>
    <row r="70" spans="1:1005" ht="14.5" x14ac:dyDescent="0.35">
      <c r="A70" s="88"/>
      <c r="B70" s="15"/>
      <c r="C70" s="13"/>
      <c r="D70" s="14"/>
      <c r="AI70" s="4"/>
      <c r="AJ70" s="4"/>
      <c r="AK70" s="4"/>
      <c r="AL70" s="4"/>
      <c r="AM70" s="4"/>
      <c r="AN70" s="4"/>
      <c r="AO70" s="4"/>
      <c r="AP70" s="4"/>
      <c r="AQ70" s="4"/>
      <c r="AR70" s="4"/>
      <c r="AS70" s="4"/>
      <c r="AT70" s="4"/>
      <c r="AU70" s="4"/>
      <c r="AV70" s="4"/>
      <c r="AW70" s="4"/>
      <c r="AX70" s="4"/>
      <c r="AY70" s="4"/>
      <c r="ALQ70" t="e">
        <v>#N/A</v>
      </c>
    </row>
    <row r="71" spans="1:1005" ht="14.5" x14ac:dyDescent="0.35">
      <c r="A71" s="88"/>
      <c r="B71" s="15"/>
      <c r="C71" s="13"/>
      <c r="D71" s="14"/>
      <c r="AI71" s="4"/>
      <c r="AJ71" s="4"/>
      <c r="AK71" s="4"/>
      <c r="AL71" s="4"/>
      <c r="AM71" s="4"/>
      <c r="AN71" s="4"/>
      <c r="AO71" s="4"/>
      <c r="AP71" s="4"/>
      <c r="AQ71" s="4"/>
      <c r="AR71" s="4"/>
      <c r="AS71" s="4"/>
      <c r="AT71" s="4"/>
      <c r="AU71" s="4"/>
      <c r="AV71" s="4"/>
      <c r="AW71" s="4"/>
      <c r="AX71" s="4"/>
      <c r="AY71" s="4"/>
      <c r="ALQ71" t="e">
        <v>#N/A</v>
      </c>
    </row>
    <row r="72" spans="1:1005" ht="14.5" x14ac:dyDescent="0.35">
      <c r="A72" s="88"/>
      <c r="B72" s="15"/>
      <c r="C72" s="13"/>
      <c r="D72" s="14"/>
      <c r="AI72" s="4"/>
      <c r="AJ72" s="4"/>
      <c r="AK72" s="4"/>
      <c r="AL72" s="4"/>
      <c r="AM72" s="4"/>
      <c r="AN72" s="4"/>
      <c r="AO72" s="4"/>
      <c r="AP72" s="4"/>
      <c r="AQ72" s="4"/>
      <c r="AR72" s="4"/>
      <c r="AS72" s="4"/>
      <c r="AT72" s="4"/>
      <c r="AU72" s="4"/>
      <c r="AV72" s="4"/>
      <c r="AW72" s="4"/>
      <c r="AX72" s="4"/>
      <c r="AY72" s="4"/>
      <c r="ALQ72" t="e">
        <v>#N/A</v>
      </c>
    </row>
    <row r="73" spans="1:1005" ht="14.5" x14ac:dyDescent="0.35">
      <c r="A73" s="88"/>
      <c r="B73" s="15"/>
      <c r="C73" s="13"/>
      <c r="D73" s="14"/>
      <c r="AI73" s="4"/>
      <c r="AJ73" s="4"/>
      <c r="AK73" s="4"/>
      <c r="AL73" s="4"/>
      <c r="AM73" s="4"/>
      <c r="AN73" s="4"/>
      <c r="AO73" s="4"/>
      <c r="AP73" s="4"/>
      <c r="AQ73" s="4"/>
      <c r="AR73" s="4"/>
      <c r="AS73" s="4"/>
      <c r="AT73" s="4"/>
      <c r="AU73" s="4"/>
      <c r="AV73" s="4"/>
      <c r="AW73" s="4"/>
      <c r="AX73" s="4"/>
      <c r="AY73" s="4"/>
    </row>
    <row r="74" spans="1:1005" ht="14.5" x14ac:dyDescent="0.35">
      <c r="A74" s="88"/>
      <c r="B74" s="15"/>
      <c r="C74" s="13"/>
      <c r="D74" s="14"/>
      <c r="AI74" s="4"/>
      <c r="AJ74" s="4"/>
      <c r="AK74" s="4"/>
      <c r="AL74" s="4"/>
      <c r="AM74" s="4"/>
      <c r="AN74" s="4"/>
      <c r="AO74" s="4"/>
      <c r="AP74" s="4"/>
      <c r="AQ74" s="4"/>
      <c r="AR74" s="4"/>
      <c r="AS74" s="4"/>
      <c r="AT74" s="4"/>
      <c r="AU74" s="4"/>
      <c r="AV74" s="4"/>
      <c r="AW74" s="4"/>
      <c r="AX74" s="4"/>
      <c r="AY74" s="4"/>
    </row>
    <row r="75" spans="1:1005" ht="14.5" x14ac:dyDescent="0.35">
      <c r="A75" s="88"/>
      <c r="B75" s="15"/>
      <c r="C75" s="13"/>
      <c r="D75" s="14"/>
      <c r="AI75" s="4"/>
      <c r="AJ75" s="4"/>
      <c r="AK75" s="4"/>
      <c r="AL75" s="4"/>
      <c r="AM75" s="4"/>
      <c r="AN75" s="4"/>
      <c r="AO75" s="4"/>
      <c r="AP75" s="4"/>
      <c r="AQ75" s="4"/>
      <c r="AR75" s="4"/>
      <c r="AS75" s="4"/>
      <c r="AT75" s="4"/>
      <c r="AU75" s="4"/>
      <c r="AV75" s="4"/>
      <c r="AW75" s="4"/>
      <c r="AX75" s="4"/>
      <c r="AY75" s="4"/>
    </row>
    <row r="76" spans="1:1005" ht="14.5" x14ac:dyDescent="0.35">
      <c r="A76" s="88"/>
      <c r="B76" s="15"/>
      <c r="C76" s="13"/>
      <c r="D76" s="14"/>
      <c r="AI76" s="4"/>
      <c r="AJ76" s="4"/>
      <c r="AK76" s="4"/>
      <c r="AL76" s="4"/>
      <c r="AM76" s="4"/>
      <c r="AN76" s="4"/>
      <c r="AO76" s="4"/>
      <c r="AP76" s="4"/>
      <c r="AQ76" s="4"/>
      <c r="AR76" s="4"/>
      <c r="AS76" s="4"/>
      <c r="AT76" s="4"/>
      <c r="AU76" s="4"/>
      <c r="AV76" s="4"/>
      <c r="AW76" s="4"/>
      <c r="AX76" s="4"/>
      <c r="AY76" s="4"/>
    </row>
    <row r="77" spans="1:1005" ht="14.5" x14ac:dyDescent="0.35">
      <c r="A77" s="88"/>
      <c r="B77" s="15"/>
      <c r="C77" s="13"/>
      <c r="D77" s="14"/>
      <c r="AI77" s="4"/>
      <c r="AJ77" s="4"/>
      <c r="AK77" s="4"/>
      <c r="AL77" s="4"/>
      <c r="AM77" s="4"/>
      <c r="AN77" s="4"/>
      <c r="AO77" s="4"/>
      <c r="AP77" s="4"/>
      <c r="AQ77" s="4"/>
      <c r="AR77" s="4"/>
      <c r="AS77" s="4"/>
      <c r="AT77" s="4"/>
      <c r="AU77" s="4"/>
      <c r="AV77" s="4"/>
      <c r="AW77" s="4"/>
      <c r="AX77" s="4"/>
      <c r="AY77" s="4"/>
    </row>
    <row r="78" spans="1:1005" ht="14.5" x14ac:dyDescent="0.35">
      <c r="A78" s="88"/>
      <c r="B78" s="15"/>
      <c r="C78" s="13"/>
      <c r="D78" s="14"/>
      <c r="AI78" s="4"/>
      <c r="AJ78" s="4"/>
      <c r="AK78" s="4"/>
      <c r="AL78" s="4"/>
      <c r="AM78" s="4"/>
      <c r="AN78" s="4"/>
      <c r="AO78" s="4"/>
      <c r="AP78" s="4"/>
      <c r="AQ78" s="4"/>
      <c r="AR78" s="4"/>
      <c r="AS78" s="4"/>
      <c r="AT78" s="4"/>
      <c r="AU78" s="4"/>
      <c r="AV78" s="4"/>
      <c r="AW78" s="4"/>
      <c r="AX78" s="4"/>
      <c r="AY78" s="4"/>
    </row>
    <row r="79" spans="1:1005" ht="14.5" x14ac:dyDescent="0.35">
      <c r="A79" s="88"/>
      <c r="B79" s="15"/>
      <c r="C79" s="13"/>
      <c r="D79" s="14"/>
      <c r="AI79" s="4"/>
      <c r="AJ79" s="4"/>
      <c r="AK79" s="4"/>
      <c r="AL79" s="4"/>
      <c r="AM79" s="4"/>
      <c r="AN79" s="4"/>
      <c r="AO79" s="4"/>
      <c r="AP79" s="4"/>
      <c r="AQ79" s="4"/>
      <c r="AR79" s="4"/>
      <c r="AS79" s="4"/>
      <c r="AT79" s="4"/>
      <c r="AU79" s="4"/>
      <c r="AV79" s="4"/>
      <c r="AW79" s="4"/>
      <c r="AX79" s="4"/>
      <c r="AY79" s="4"/>
    </row>
    <row r="80" spans="1:1005" ht="14.5" x14ac:dyDescent="0.35">
      <c r="A80" s="88"/>
      <c r="B80" s="15"/>
      <c r="C80" s="13"/>
      <c r="D80" s="14"/>
      <c r="AI80" s="4"/>
      <c r="AJ80" s="4"/>
      <c r="AK80" s="4"/>
      <c r="AL80" s="4"/>
      <c r="AM80" s="4"/>
      <c r="AN80" s="4"/>
      <c r="AO80" s="4"/>
      <c r="AP80" s="4"/>
      <c r="AQ80" s="4"/>
      <c r="AR80" s="4"/>
      <c r="AS80" s="4"/>
      <c r="AT80" s="4"/>
      <c r="AU80" s="4"/>
      <c r="AV80" s="4"/>
      <c r="AW80" s="4"/>
      <c r="AX80" s="4"/>
      <c r="AY80" s="4"/>
    </row>
    <row r="81" spans="1:4" ht="12.75" customHeight="1" x14ac:dyDescent="0.35">
      <c r="A81" s="88"/>
      <c r="B81" s="18"/>
      <c r="C81" s="19"/>
      <c r="D81" s="20"/>
    </row>
    <row r="82" spans="1:4" ht="12.75" customHeight="1" x14ac:dyDescent="0.35">
      <c r="A82" s="88"/>
      <c r="B82" s="18"/>
      <c r="C82" s="19"/>
      <c r="D82" s="20"/>
    </row>
    <row r="83" spans="1:4" ht="12.75" customHeight="1" x14ac:dyDescent="0.35">
      <c r="A83" s="88"/>
      <c r="B83" s="18"/>
      <c r="C83" s="19"/>
      <c r="D83" s="20"/>
    </row>
    <row r="84" spans="1:4" ht="12.75" customHeight="1" x14ac:dyDescent="0.35">
      <c r="A84" s="88"/>
      <c r="B84" s="18"/>
      <c r="C84" s="19"/>
      <c r="D84" s="20"/>
    </row>
  </sheetData>
  <mergeCells count="1">
    <mergeCell ref="B1:A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831B-A3B6-49A2-A0C0-D2A57A7B5207}">
  <sheetPr codeName="Sheet14">
    <tabColor theme="9" tint="0.39997558519241921"/>
  </sheetPr>
  <dimension ref="A1:ALQ84"/>
  <sheetViews>
    <sheetView topLeftCell="A37" zoomScale="90" zoomScaleNormal="90" workbookViewId="0">
      <selection activeCell="D4" sqref="D4"/>
    </sheetView>
  </sheetViews>
  <sheetFormatPr defaultColWidth="18.6328125" defaultRowHeight="12.75" customHeight="1" x14ac:dyDescent="0.35"/>
  <cols>
    <col min="1" max="54" width="9.36328125" customWidth="1"/>
  </cols>
  <sheetData>
    <row r="1" spans="1:51" ht="14.5" x14ac:dyDescent="0.35">
      <c r="A1" s="89"/>
      <c r="B1" s="90">
        <v>272.69029999999992</v>
      </c>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3"/>
      <c r="AJ1" s="3"/>
      <c r="AK1" s="3"/>
      <c r="AL1" s="3"/>
      <c r="AM1" s="3"/>
    </row>
    <row r="2" spans="1:51" ht="14.5" x14ac:dyDescent="0.35">
      <c r="A2" s="92"/>
      <c r="B2" s="93" t="s">
        <v>0</v>
      </c>
      <c r="C2" s="94" t="s">
        <v>1</v>
      </c>
      <c r="D2" s="94" t="s">
        <v>2</v>
      </c>
      <c r="E2" s="94">
        <v>1991</v>
      </c>
      <c r="F2" s="94">
        <v>1992</v>
      </c>
      <c r="G2" s="94">
        <v>1993</v>
      </c>
      <c r="H2" s="94">
        <v>1994</v>
      </c>
      <c r="I2" s="94">
        <v>1995</v>
      </c>
      <c r="J2" s="94">
        <v>1996</v>
      </c>
      <c r="K2" s="94">
        <v>1997</v>
      </c>
      <c r="L2" s="94">
        <v>1998</v>
      </c>
      <c r="M2" s="94">
        <v>1999</v>
      </c>
      <c r="N2" s="94">
        <v>2000</v>
      </c>
      <c r="O2" s="94">
        <v>2001</v>
      </c>
      <c r="P2" s="94">
        <v>2002</v>
      </c>
      <c r="Q2" s="94">
        <v>2003</v>
      </c>
      <c r="R2" s="94">
        <v>2004</v>
      </c>
      <c r="S2" s="94">
        <v>2005</v>
      </c>
      <c r="T2" s="94">
        <v>2006</v>
      </c>
      <c r="U2" s="94">
        <v>2007</v>
      </c>
      <c r="V2" s="94">
        <v>2008</v>
      </c>
      <c r="W2" s="94">
        <v>2009</v>
      </c>
      <c r="X2" s="94">
        <v>2010</v>
      </c>
      <c r="Y2" s="94">
        <v>2011</v>
      </c>
      <c r="Z2" s="94">
        <v>2012</v>
      </c>
      <c r="AA2" s="94">
        <v>2013</v>
      </c>
      <c r="AB2" s="94">
        <v>2014</v>
      </c>
      <c r="AC2" s="94">
        <v>2015</v>
      </c>
      <c r="AD2" s="94">
        <v>2016</v>
      </c>
      <c r="AE2" s="94">
        <v>2017</v>
      </c>
      <c r="AF2" s="94">
        <v>2018</v>
      </c>
      <c r="AG2" s="94">
        <v>2019</v>
      </c>
      <c r="AH2" s="94">
        <v>2020</v>
      </c>
      <c r="AI2" s="3"/>
      <c r="AJ2" s="3"/>
      <c r="AK2" s="3"/>
      <c r="AL2" s="3"/>
      <c r="AM2" s="3"/>
    </row>
    <row r="3" spans="1:51" ht="14.5" x14ac:dyDescent="0.35">
      <c r="A3" s="95"/>
      <c r="B3" s="96" t="s">
        <v>3</v>
      </c>
      <c r="C3" s="97" t="s">
        <v>4</v>
      </c>
      <c r="D3" s="97" t="s">
        <v>5</v>
      </c>
      <c r="E3" s="97" t="s">
        <v>6</v>
      </c>
      <c r="F3" s="97" t="s">
        <v>7</v>
      </c>
      <c r="G3" s="97" t="s">
        <v>8</v>
      </c>
      <c r="H3" s="97" t="s">
        <v>9</v>
      </c>
      <c r="I3" s="97" t="s">
        <v>10</v>
      </c>
      <c r="J3" s="97" t="s">
        <v>11</v>
      </c>
      <c r="K3" s="97" t="s">
        <v>12</v>
      </c>
      <c r="L3" s="97" t="s">
        <v>13</v>
      </c>
      <c r="M3" s="97" t="s">
        <v>14</v>
      </c>
      <c r="N3" s="97" t="s">
        <v>15</v>
      </c>
      <c r="O3" s="97" t="s">
        <v>16</v>
      </c>
      <c r="P3" s="97" t="s">
        <v>17</v>
      </c>
      <c r="Q3" s="97" t="s">
        <v>18</v>
      </c>
      <c r="R3" s="97" t="s">
        <v>19</v>
      </c>
      <c r="S3" s="97" t="s">
        <v>20</v>
      </c>
      <c r="T3" s="97" t="s">
        <v>21</v>
      </c>
      <c r="U3" s="97" t="s">
        <v>22</v>
      </c>
      <c r="V3" s="97" t="s">
        <v>23</v>
      </c>
      <c r="W3" s="97" t="s">
        <v>24</v>
      </c>
      <c r="X3" s="97" t="s">
        <v>25</v>
      </c>
      <c r="Y3" s="97" t="s">
        <v>26</v>
      </c>
      <c r="Z3" s="97" t="s">
        <v>27</v>
      </c>
      <c r="AA3" s="97" t="s">
        <v>28</v>
      </c>
      <c r="AB3" s="97" t="s">
        <v>29</v>
      </c>
      <c r="AC3" s="97" t="s">
        <v>30</v>
      </c>
      <c r="AD3" s="97" t="s">
        <v>31</v>
      </c>
      <c r="AE3" s="97" t="s">
        <v>32</v>
      </c>
      <c r="AF3" s="97" t="s">
        <v>33</v>
      </c>
      <c r="AG3" s="97" t="s">
        <v>34</v>
      </c>
      <c r="AH3" s="97" t="s">
        <v>35</v>
      </c>
      <c r="AI3" s="3"/>
      <c r="AJ3" s="3"/>
      <c r="AK3" s="3"/>
      <c r="AL3" s="3"/>
      <c r="AM3" s="3"/>
    </row>
    <row r="4" spans="1:51" ht="14.5" x14ac:dyDescent="0.35">
      <c r="A4" s="98">
        <v>46143</v>
      </c>
      <c r="B4" s="30">
        <v>365</v>
      </c>
      <c r="C4" s="31">
        <v>75</v>
      </c>
      <c r="D4" s="9">
        <v>160</v>
      </c>
      <c r="E4">
        <v>155.93700000000001</v>
      </c>
      <c r="F4">
        <v>176.75899999999999</v>
      </c>
      <c r="G4">
        <v>154.48099999999999</v>
      </c>
      <c r="H4">
        <v>145.51300000000001</v>
      </c>
      <c r="I4">
        <v>342.21499999999997</v>
      </c>
      <c r="J4">
        <v>146.23599999999999</v>
      </c>
      <c r="K4">
        <v>175.04599999999999</v>
      </c>
      <c r="L4">
        <v>146.99700000000001</v>
      </c>
      <c r="M4">
        <v>191.501</v>
      </c>
      <c r="N4">
        <v>174.374</v>
      </c>
      <c r="O4">
        <v>157.00299999999999</v>
      </c>
      <c r="P4">
        <v>113.996</v>
      </c>
      <c r="Q4">
        <v>194.02</v>
      </c>
      <c r="R4">
        <v>153.73500000000001</v>
      </c>
      <c r="S4">
        <v>183.333</v>
      </c>
      <c r="T4">
        <v>162.667</v>
      </c>
      <c r="U4">
        <v>160.01499999999999</v>
      </c>
      <c r="V4">
        <v>186.46600000000001</v>
      </c>
      <c r="W4">
        <v>164.99</v>
      </c>
      <c r="X4">
        <v>197.74299999999999</v>
      </c>
      <c r="Y4">
        <v>181.84899999999999</v>
      </c>
      <c r="Z4">
        <v>139.602</v>
      </c>
      <c r="AA4">
        <v>147.22999999999999</v>
      </c>
      <c r="AB4">
        <v>159.98500000000001</v>
      </c>
      <c r="AC4">
        <v>209.88499999999999</v>
      </c>
      <c r="AD4">
        <v>227.21199999999999</v>
      </c>
      <c r="AE4">
        <v>149.65600000000001</v>
      </c>
      <c r="AF4">
        <v>158.25700000000001</v>
      </c>
      <c r="AG4">
        <v>138.59399999999999</v>
      </c>
      <c r="AH4">
        <v>155.16300000000001</v>
      </c>
      <c r="AI4" s="4"/>
      <c r="AJ4" s="4"/>
      <c r="AK4" s="4"/>
      <c r="AL4" s="4"/>
      <c r="AM4" s="4"/>
      <c r="AN4" s="4"/>
      <c r="AO4" s="4"/>
      <c r="AP4" s="4"/>
      <c r="AQ4" s="4"/>
      <c r="AR4" s="4"/>
      <c r="AS4" s="4"/>
      <c r="AT4" s="4"/>
      <c r="AU4" s="4"/>
      <c r="AV4" s="4"/>
      <c r="AW4" s="4"/>
      <c r="AX4" s="4"/>
      <c r="AY4" s="4"/>
    </row>
    <row r="5" spans="1:51" ht="14.5" x14ac:dyDescent="0.35">
      <c r="A5" s="98">
        <v>46174</v>
      </c>
      <c r="B5" s="33">
        <v>132</v>
      </c>
      <c r="C5" s="8">
        <v>27</v>
      </c>
      <c r="D5" s="11">
        <v>58</v>
      </c>
      <c r="E5">
        <v>52.591000000000001</v>
      </c>
      <c r="F5">
        <v>52.256</v>
      </c>
      <c r="G5">
        <v>79.727000000000004</v>
      </c>
      <c r="H5">
        <v>21.381</v>
      </c>
      <c r="I5">
        <v>229.666</v>
      </c>
      <c r="J5">
        <v>47.137999999999998</v>
      </c>
      <c r="K5">
        <v>93.281000000000006</v>
      </c>
      <c r="L5">
        <v>93.941999999999993</v>
      </c>
      <c r="M5">
        <v>95.703999999999994</v>
      </c>
      <c r="N5">
        <v>49.64</v>
      </c>
      <c r="O5">
        <v>32.024000000000001</v>
      </c>
      <c r="P5">
        <v>33.801000000000002</v>
      </c>
      <c r="Q5">
        <v>78.662999999999997</v>
      </c>
      <c r="R5">
        <v>34.036999999999999</v>
      </c>
      <c r="S5">
        <v>122.438</v>
      </c>
      <c r="T5">
        <v>31.402999999999999</v>
      </c>
      <c r="U5">
        <v>32.067999999999998</v>
      </c>
      <c r="V5">
        <v>83.019000000000005</v>
      </c>
      <c r="W5">
        <v>63.956000000000003</v>
      </c>
      <c r="X5">
        <v>129.19999999999999</v>
      </c>
      <c r="Y5">
        <v>88.097999999999999</v>
      </c>
      <c r="Z5">
        <v>21.521000000000001</v>
      </c>
      <c r="AA5">
        <v>35.692</v>
      </c>
      <c r="AB5">
        <v>61.505000000000003</v>
      </c>
      <c r="AC5">
        <v>105.91</v>
      </c>
      <c r="AD5">
        <v>67.534999999999997</v>
      </c>
      <c r="AE5">
        <v>54.494999999999997</v>
      </c>
      <c r="AF5">
        <v>18.242000000000001</v>
      </c>
      <c r="AG5">
        <v>140.53800000000001</v>
      </c>
      <c r="AH5">
        <v>36.478999999999999</v>
      </c>
      <c r="AI5" s="4"/>
      <c r="AJ5" s="4"/>
      <c r="AK5" s="4"/>
      <c r="AL5" s="4"/>
      <c r="AM5" s="4"/>
      <c r="AN5" s="4"/>
      <c r="AO5" s="4"/>
      <c r="AP5" s="4"/>
      <c r="AQ5" s="4"/>
      <c r="AR5" s="4"/>
      <c r="AS5" s="4"/>
      <c r="AT5" s="4"/>
      <c r="AU5" s="4"/>
      <c r="AV5" s="4"/>
      <c r="AW5" s="4"/>
      <c r="AX5" s="4"/>
      <c r="AY5" s="4"/>
    </row>
    <row r="6" spans="1:51" ht="14.5" x14ac:dyDescent="0.35">
      <c r="A6" s="98">
        <v>46204</v>
      </c>
      <c r="B6" s="33">
        <v>7</v>
      </c>
      <c r="C6" s="8">
        <v>1</v>
      </c>
      <c r="D6" s="11">
        <v>3</v>
      </c>
      <c r="E6">
        <v>2.843</v>
      </c>
      <c r="F6">
        <v>3.4140000000000001</v>
      </c>
      <c r="G6">
        <v>4.9950000000000001</v>
      </c>
      <c r="H6">
        <v>2.4340000000000002</v>
      </c>
      <c r="I6">
        <v>37.045999999999999</v>
      </c>
      <c r="J6">
        <v>2.71</v>
      </c>
      <c r="K6">
        <v>4.3620000000000001</v>
      </c>
      <c r="L6">
        <v>12.456</v>
      </c>
      <c r="M6">
        <v>5.18</v>
      </c>
      <c r="N6">
        <v>2.6070000000000002</v>
      </c>
      <c r="O6">
        <v>2.4430000000000001</v>
      </c>
      <c r="P6">
        <v>2.46</v>
      </c>
      <c r="Q6">
        <v>2.9260000000000002</v>
      </c>
      <c r="R6">
        <v>3.0739999999999998</v>
      </c>
      <c r="S6">
        <v>7.4340000000000002</v>
      </c>
      <c r="T6">
        <v>2.4969999999999999</v>
      </c>
      <c r="U6">
        <v>2.4649999999999999</v>
      </c>
      <c r="V6">
        <v>4.62</v>
      </c>
      <c r="W6">
        <v>4.423</v>
      </c>
      <c r="X6">
        <v>8.8510000000000009</v>
      </c>
      <c r="Y6">
        <v>6.4740000000000002</v>
      </c>
      <c r="Z6">
        <v>2.4209999999999998</v>
      </c>
      <c r="AA6">
        <v>2.5</v>
      </c>
      <c r="AB6">
        <v>2.88</v>
      </c>
      <c r="AC6">
        <v>9.093</v>
      </c>
      <c r="AD6">
        <v>3.7959999999999998</v>
      </c>
      <c r="AE6">
        <v>2.7719999999999998</v>
      </c>
      <c r="AF6">
        <v>2.427</v>
      </c>
      <c r="AG6">
        <v>34.274999999999999</v>
      </c>
      <c r="AH6">
        <v>2.4660000000000002</v>
      </c>
      <c r="AI6" s="4"/>
      <c r="AJ6" s="4"/>
      <c r="AK6" s="4"/>
      <c r="AL6" s="4"/>
      <c r="AM6" s="4"/>
      <c r="AN6" s="4"/>
      <c r="AO6" s="4"/>
      <c r="AP6" s="4"/>
      <c r="AQ6" s="4"/>
      <c r="AR6" s="4"/>
      <c r="AS6" s="4"/>
      <c r="AT6" s="4"/>
      <c r="AU6" s="4"/>
      <c r="AV6" s="4"/>
      <c r="AW6" s="4"/>
      <c r="AX6" s="4"/>
      <c r="AY6" s="4"/>
    </row>
    <row r="7" spans="1:51" ht="14.5" x14ac:dyDescent="0.35">
      <c r="A7" s="98">
        <v>46235</v>
      </c>
      <c r="B7" s="33">
        <v>9</v>
      </c>
      <c r="C7" s="8">
        <v>6</v>
      </c>
      <c r="D7" s="11">
        <v>3</v>
      </c>
      <c r="E7">
        <v>2.8029999999999999</v>
      </c>
      <c r="F7">
        <v>3.4790000000000001</v>
      </c>
      <c r="G7">
        <v>3.004</v>
      </c>
      <c r="H7">
        <v>2.8</v>
      </c>
      <c r="I7">
        <v>7.79</v>
      </c>
      <c r="J7">
        <v>2.7229999999999999</v>
      </c>
      <c r="K7">
        <v>9.4410000000000007</v>
      </c>
      <c r="L7">
        <v>5.9269999999999996</v>
      </c>
      <c r="M7">
        <v>3.274</v>
      </c>
      <c r="N7">
        <v>2.6190000000000002</v>
      </c>
      <c r="O7">
        <v>2.996</v>
      </c>
      <c r="P7">
        <v>2.6520000000000001</v>
      </c>
      <c r="Q7">
        <v>2.754</v>
      </c>
      <c r="R7">
        <v>2.7469999999999999</v>
      </c>
      <c r="S7">
        <v>3.218</v>
      </c>
      <c r="T7">
        <v>2.7280000000000002</v>
      </c>
      <c r="U7">
        <v>2.6579999999999999</v>
      </c>
      <c r="V7">
        <v>3.1920000000000002</v>
      </c>
      <c r="W7">
        <v>3.2349999999999999</v>
      </c>
      <c r="X7">
        <v>3.891</v>
      </c>
      <c r="Y7">
        <v>3.2770000000000001</v>
      </c>
      <c r="Z7">
        <v>2.7069999999999999</v>
      </c>
      <c r="AA7">
        <v>2.6819999999999999</v>
      </c>
      <c r="AB7">
        <v>9.19</v>
      </c>
      <c r="AC7">
        <v>4.1079999999999997</v>
      </c>
      <c r="AD7">
        <v>3.016</v>
      </c>
      <c r="AE7">
        <v>2.702</v>
      </c>
      <c r="AF7">
        <v>2.6019999999999999</v>
      </c>
      <c r="AG7">
        <v>7.26</v>
      </c>
      <c r="AH7">
        <v>2.649</v>
      </c>
      <c r="AI7" s="4"/>
      <c r="AJ7" s="4"/>
      <c r="AK7" s="4"/>
      <c r="AL7" s="4"/>
      <c r="AM7" s="4"/>
      <c r="AN7" s="4"/>
      <c r="AO7" s="4"/>
      <c r="AP7" s="4"/>
      <c r="AQ7" s="4"/>
      <c r="AR7" s="4"/>
      <c r="AS7" s="4"/>
      <c r="AT7" s="4"/>
      <c r="AU7" s="4"/>
      <c r="AV7" s="4"/>
      <c r="AW7" s="4"/>
      <c r="AX7" s="4"/>
      <c r="AY7" s="4"/>
    </row>
    <row r="8" spans="1:51" ht="14.5" x14ac:dyDescent="0.35">
      <c r="A8" s="98">
        <v>46266</v>
      </c>
      <c r="B8" s="33">
        <v>11</v>
      </c>
      <c r="C8" s="8">
        <v>7</v>
      </c>
      <c r="D8" s="11">
        <v>4</v>
      </c>
      <c r="E8">
        <v>4.633</v>
      </c>
      <c r="F8">
        <v>3.3279999999999998</v>
      </c>
      <c r="G8">
        <v>4.266</v>
      </c>
      <c r="H8">
        <v>2.8149999999999999</v>
      </c>
      <c r="I8">
        <v>6.5389999999999997</v>
      </c>
      <c r="J8">
        <v>3.4849999999999999</v>
      </c>
      <c r="K8">
        <v>39.030999999999999</v>
      </c>
      <c r="L8">
        <v>3.4790000000000001</v>
      </c>
      <c r="M8">
        <v>4.0229999999999997</v>
      </c>
      <c r="N8">
        <v>7.0449999999999999</v>
      </c>
      <c r="O8">
        <v>3.149</v>
      </c>
      <c r="P8">
        <v>2.8919999999999999</v>
      </c>
      <c r="Q8">
        <v>5.45</v>
      </c>
      <c r="R8">
        <v>7.6429999999999998</v>
      </c>
      <c r="S8">
        <v>3.4580000000000002</v>
      </c>
      <c r="T8">
        <v>10.606</v>
      </c>
      <c r="U8">
        <v>6.391</v>
      </c>
      <c r="V8">
        <v>4.665</v>
      </c>
      <c r="W8">
        <v>2.9830000000000001</v>
      </c>
      <c r="X8">
        <v>3.589</v>
      </c>
      <c r="Y8">
        <v>7.585</v>
      </c>
      <c r="Z8">
        <v>2.4289999999999998</v>
      </c>
      <c r="AA8">
        <v>10.694000000000001</v>
      </c>
      <c r="AB8">
        <v>15.567</v>
      </c>
      <c r="AC8">
        <v>3.9769999999999999</v>
      </c>
      <c r="AD8">
        <v>3.177</v>
      </c>
      <c r="AE8">
        <v>3.0179999999999998</v>
      </c>
      <c r="AF8">
        <v>2.3290000000000002</v>
      </c>
      <c r="AG8">
        <v>4.7130000000000001</v>
      </c>
      <c r="AH8">
        <v>2.56</v>
      </c>
      <c r="AI8" s="4"/>
      <c r="AJ8" s="4"/>
      <c r="AK8" s="4"/>
      <c r="AL8" s="4"/>
      <c r="AM8" s="4"/>
      <c r="AN8" s="4"/>
      <c r="AO8" s="4"/>
      <c r="AP8" s="4"/>
      <c r="AQ8" s="4"/>
      <c r="AR8" s="4"/>
      <c r="AS8" s="4"/>
      <c r="AT8" s="4"/>
      <c r="AU8" s="4"/>
      <c r="AV8" s="4"/>
      <c r="AW8" s="4"/>
      <c r="AX8" s="4"/>
      <c r="AY8" s="4"/>
    </row>
    <row r="9" spans="1:51" ht="14.5" x14ac:dyDescent="0.35">
      <c r="A9" s="98">
        <v>46296</v>
      </c>
      <c r="B9" s="33">
        <v>32</v>
      </c>
      <c r="C9" s="8">
        <v>22</v>
      </c>
      <c r="D9" s="11">
        <v>14</v>
      </c>
      <c r="E9">
        <v>9.7159999999999993</v>
      </c>
      <c r="F9">
        <v>9.5</v>
      </c>
      <c r="G9">
        <v>23.992000000000001</v>
      </c>
      <c r="H9">
        <v>12.972</v>
      </c>
      <c r="I9">
        <v>30.268000000000001</v>
      </c>
      <c r="J9">
        <v>13.486000000000001</v>
      </c>
      <c r="K9">
        <v>61.927999999999997</v>
      </c>
      <c r="L9">
        <v>25.797000000000001</v>
      </c>
      <c r="M9">
        <v>11.055999999999999</v>
      </c>
      <c r="N9">
        <v>26.577999999999999</v>
      </c>
      <c r="O9">
        <v>11.355</v>
      </c>
      <c r="P9">
        <v>16.584</v>
      </c>
      <c r="Q9">
        <v>11.218</v>
      </c>
      <c r="R9">
        <v>27.091000000000001</v>
      </c>
      <c r="S9">
        <v>20.198</v>
      </c>
      <c r="T9">
        <v>35.264000000000003</v>
      </c>
      <c r="U9">
        <v>34.500999999999998</v>
      </c>
      <c r="V9">
        <v>11.256</v>
      </c>
      <c r="W9">
        <v>19.021000000000001</v>
      </c>
      <c r="X9">
        <v>15.15</v>
      </c>
      <c r="Y9">
        <v>18.524999999999999</v>
      </c>
      <c r="Z9">
        <v>9.43</v>
      </c>
      <c r="AA9">
        <v>35.892000000000003</v>
      </c>
      <c r="AB9">
        <v>23.228000000000002</v>
      </c>
      <c r="AC9">
        <v>10.693</v>
      </c>
      <c r="AD9">
        <v>12.079000000000001</v>
      </c>
      <c r="AE9">
        <v>27.619</v>
      </c>
      <c r="AF9">
        <v>17.388999999999999</v>
      </c>
      <c r="AG9">
        <v>12.68</v>
      </c>
      <c r="AH9">
        <v>16.143999999999998</v>
      </c>
      <c r="AI9" s="4"/>
      <c r="AJ9" s="4"/>
      <c r="AK9" s="4"/>
      <c r="AL9" s="4"/>
      <c r="AM9" s="4"/>
      <c r="AN9" s="4"/>
      <c r="AO9" s="4"/>
      <c r="AP9" s="4"/>
      <c r="AQ9" s="4"/>
      <c r="AR9" s="4"/>
      <c r="AS9" s="4"/>
      <c r="AT9" s="4"/>
      <c r="AU9" s="4"/>
      <c r="AV9" s="4"/>
      <c r="AW9" s="4"/>
      <c r="AX9" s="4"/>
      <c r="AY9" s="4"/>
    </row>
    <row r="10" spans="1:51" ht="14.5" x14ac:dyDescent="0.35">
      <c r="A10" s="98">
        <v>46327</v>
      </c>
      <c r="B10" s="33">
        <v>31</v>
      </c>
      <c r="C10" s="8">
        <v>28</v>
      </c>
      <c r="D10" s="11">
        <v>23</v>
      </c>
      <c r="E10">
        <v>17.324000000000002</v>
      </c>
      <c r="F10">
        <v>16.422000000000001</v>
      </c>
      <c r="G10">
        <v>22.593</v>
      </c>
      <c r="H10">
        <v>18.396999999999998</v>
      </c>
      <c r="I10">
        <v>29.382000000000001</v>
      </c>
      <c r="J10">
        <v>34.9</v>
      </c>
      <c r="K10">
        <v>29.954000000000001</v>
      </c>
      <c r="L10">
        <v>25.103999999999999</v>
      </c>
      <c r="M10">
        <v>15.391999999999999</v>
      </c>
      <c r="N10">
        <v>18.231000000000002</v>
      </c>
      <c r="O10">
        <v>17.498000000000001</v>
      </c>
      <c r="P10">
        <v>16.363</v>
      </c>
      <c r="Q10">
        <v>17.806000000000001</v>
      </c>
      <c r="R10">
        <v>34.401000000000003</v>
      </c>
      <c r="S10">
        <v>21.863</v>
      </c>
      <c r="T10">
        <v>33.093000000000004</v>
      </c>
      <c r="U10">
        <v>28.303000000000001</v>
      </c>
      <c r="V10">
        <v>18.001999999999999</v>
      </c>
      <c r="W10">
        <v>22.29</v>
      </c>
      <c r="X10">
        <v>36.176000000000002</v>
      </c>
      <c r="Y10">
        <v>21.88</v>
      </c>
      <c r="Z10">
        <v>16.388000000000002</v>
      </c>
      <c r="AA10">
        <v>32.078000000000003</v>
      </c>
      <c r="AB10">
        <v>22.966999999999999</v>
      </c>
      <c r="AC10">
        <v>18.7</v>
      </c>
      <c r="AD10">
        <v>16.855</v>
      </c>
      <c r="AE10">
        <v>22.114000000000001</v>
      </c>
      <c r="AF10">
        <v>20.099</v>
      </c>
      <c r="AG10">
        <v>19.795000000000002</v>
      </c>
      <c r="AH10">
        <v>26.701000000000001</v>
      </c>
      <c r="AI10" s="4"/>
      <c r="AJ10" s="4"/>
      <c r="AK10" s="4"/>
      <c r="AL10" s="4"/>
      <c r="AM10" s="4"/>
      <c r="AN10" s="4"/>
      <c r="AO10" s="4"/>
      <c r="AP10" s="4"/>
      <c r="AQ10" s="4"/>
      <c r="AR10" s="4"/>
      <c r="AS10" s="4"/>
      <c r="AT10" s="4"/>
      <c r="AU10" s="4"/>
      <c r="AV10" s="4"/>
      <c r="AW10" s="4"/>
      <c r="AX10" s="4"/>
      <c r="AY10" s="4"/>
    </row>
    <row r="11" spans="1:51" ht="14.5" x14ac:dyDescent="0.35">
      <c r="A11" s="98">
        <v>46357</v>
      </c>
      <c r="B11" s="33">
        <v>24</v>
      </c>
      <c r="C11" s="8">
        <v>25</v>
      </c>
      <c r="D11" s="11">
        <v>25</v>
      </c>
      <c r="E11">
        <v>15.564</v>
      </c>
      <c r="F11">
        <v>15.891999999999999</v>
      </c>
      <c r="G11">
        <v>16.454000000000001</v>
      </c>
      <c r="H11">
        <v>15.468999999999999</v>
      </c>
      <c r="I11">
        <v>31.094000000000001</v>
      </c>
      <c r="J11">
        <v>33.347000000000001</v>
      </c>
      <c r="K11">
        <v>20.395</v>
      </c>
      <c r="L11">
        <v>27.300999999999998</v>
      </c>
      <c r="M11">
        <v>15.438000000000001</v>
      </c>
      <c r="N11">
        <v>15.91</v>
      </c>
      <c r="O11">
        <v>15.257</v>
      </c>
      <c r="P11">
        <v>16.353999999999999</v>
      </c>
      <c r="Q11">
        <v>19.742000000000001</v>
      </c>
      <c r="R11">
        <v>19.327000000000002</v>
      </c>
      <c r="S11">
        <v>17.539000000000001</v>
      </c>
      <c r="T11">
        <v>22.407</v>
      </c>
      <c r="U11">
        <v>17.603999999999999</v>
      </c>
      <c r="V11">
        <v>17.712</v>
      </c>
      <c r="W11">
        <v>16.872</v>
      </c>
      <c r="X11">
        <v>24.684999999999999</v>
      </c>
      <c r="Y11">
        <v>17.925000000000001</v>
      </c>
      <c r="Z11">
        <v>16.242999999999999</v>
      </c>
      <c r="AA11">
        <v>20.52</v>
      </c>
      <c r="AB11">
        <v>21.481999999999999</v>
      </c>
      <c r="AC11">
        <v>19.006</v>
      </c>
      <c r="AD11">
        <v>16.103999999999999</v>
      </c>
      <c r="AE11">
        <v>21.382000000000001</v>
      </c>
      <c r="AF11">
        <v>15.427</v>
      </c>
      <c r="AG11">
        <v>21.184999999999999</v>
      </c>
      <c r="AH11">
        <v>20.626000000000001</v>
      </c>
      <c r="AI11" s="4"/>
      <c r="AJ11" s="4"/>
      <c r="AK11" s="4"/>
      <c r="AL11" s="4"/>
      <c r="AM11" s="4"/>
      <c r="AN11" s="4"/>
      <c r="AO11" s="4"/>
      <c r="AP11" s="4"/>
      <c r="AQ11" s="4"/>
      <c r="AR11" s="4"/>
      <c r="AS11" s="4"/>
      <c r="AT11" s="4"/>
      <c r="AU11" s="4"/>
      <c r="AV11" s="4"/>
      <c r="AW11" s="4"/>
      <c r="AX11" s="4"/>
      <c r="AY11" s="4"/>
    </row>
    <row r="12" spans="1:51" ht="14.5" x14ac:dyDescent="0.35">
      <c r="A12" s="98">
        <v>46388</v>
      </c>
      <c r="B12" s="33">
        <v>25</v>
      </c>
      <c r="C12" s="8">
        <v>25</v>
      </c>
      <c r="D12" s="11">
        <v>25</v>
      </c>
      <c r="E12">
        <v>14.766</v>
      </c>
      <c r="F12">
        <v>15.686</v>
      </c>
      <c r="G12">
        <v>15.132999999999999</v>
      </c>
      <c r="H12">
        <v>17.202999999999999</v>
      </c>
      <c r="I12">
        <v>22.768999999999998</v>
      </c>
      <c r="J12">
        <v>23.369</v>
      </c>
      <c r="K12">
        <v>19.07</v>
      </c>
      <c r="L12">
        <v>19.381</v>
      </c>
      <c r="M12">
        <v>18.715</v>
      </c>
      <c r="N12">
        <v>14.728999999999999</v>
      </c>
      <c r="O12">
        <v>14.135999999999999</v>
      </c>
      <c r="P12">
        <v>15.474</v>
      </c>
      <c r="Q12">
        <v>16.969000000000001</v>
      </c>
      <c r="R12">
        <v>23.131</v>
      </c>
      <c r="S12">
        <v>20.364999999999998</v>
      </c>
      <c r="T12">
        <v>17.902999999999999</v>
      </c>
      <c r="U12">
        <v>16.015000000000001</v>
      </c>
      <c r="V12">
        <v>16.838000000000001</v>
      </c>
      <c r="W12">
        <v>15.068</v>
      </c>
      <c r="X12">
        <v>22.013999999999999</v>
      </c>
      <c r="Y12">
        <v>18.448</v>
      </c>
      <c r="Z12">
        <v>14.638999999999999</v>
      </c>
      <c r="AA12">
        <v>17.350999999999999</v>
      </c>
      <c r="AB12">
        <v>19.094000000000001</v>
      </c>
      <c r="AC12">
        <v>17.707000000000001</v>
      </c>
      <c r="AD12">
        <v>15.593</v>
      </c>
      <c r="AE12">
        <v>18.850999999999999</v>
      </c>
      <c r="AF12">
        <v>14.416</v>
      </c>
      <c r="AG12">
        <v>18.006</v>
      </c>
      <c r="AH12">
        <v>16.86</v>
      </c>
      <c r="AI12" s="4"/>
      <c r="AJ12" s="4"/>
      <c r="AK12" s="4"/>
      <c r="AL12" s="4"/>
      <c r="AM12" s="4"/>
      <c r="AN12" s="4"/>
      <c r="AO12" s="4"/>
      <c r="AP12" s="4"/>
      <c r="AQ12" s="4"/>
      <c r="AR12" s="4"/>
      <c r="AS12" s="4"/>
      <c r="AT12" s="4"/>
      <c r="AU12" s="4"/>
      <c r="AV12" s="4"/>
      <c r="AW12" s="4"/>
      <c r="AX12" s="4"/>
      <c r="AY12" s="4"/>
    </row>
    <row r="13" spans="1:51" ht="14.5" x14ac:dyDescent="0.35">
      <c r="A13" s="98">
        <v>46419</v>
      </c>
      <c r="B13" s="33">
        <v>26</v>
      </c>
      <c r="C13" s="8">
        <v>25</v>
      </c>
      <c r="D13" s="11">
        <v>25</v>
      </c>
      <c r="E13">
        <v>14.375</v>
      </c>
      <c r="F13">
        <v>13.46</v>
      </c>
      <c r="G13">
        <v>13.659000000000001</v>
      </c>
      <c r="H13">
        <v>25.681999999999999</v>
      </c>
      <c r="I13">
        <v>26.811</v>
      </c>
      <c r="J13">
        <v>17.963000000000001</v>
      </c>
      <c r="K13">
        <v>19.663</v>
      </c>
      <c r="L13">
        <v>20.49</v>
      </c>
      <c r="M13">
        <v>26.71</v>
      </c>
      <c r="N13">
        <v>13.311</v>
      </c>
      <c r="O13">
        <v>12.33</v>
      </c>
      <c r="P13">
        <v>23.852</v>
      </c>
      <c r="Q13">
        <v>15.159000000000001</v>
      </c>
      <c r="R13">
        <v>25.565999999999999</v>
      </c>
      <c r="S13">
        <v>15.752000000000001</v>
      </c>
      <c r="T13">
        <v>20.661000000000001</v>
      </c>
      <c r="U13">
        <v>14.042999999999999</v>
      </c>
      <c r="V13">
        <v>19.356000000000002</v>
      </c>
      <c r="W13">
        <v>12.986000000000001</v>
      </c>
      <c r="X13">
        <v>17.960999999999999</v>
      </c>
      <c r="Y13">
        <v>16.356000000000002</v>
      </c>
      <c r="Z13">
        <v>13.643000000000001</v>
      </c>
      <c r="AA13">
        <v>18.385000000000002</v>
      </c>
      <c r="AB13">
        <v>38.085999999999999</v>
      </c>
      <c r="AC13">
        <v>19.617000000000001</v>
      </c>
      <c r="AD13">
        <v>34.749000000000002</v>
      </c>
      <c r="AE13">
        <v>23.14</v>
      </c>
      <c r="AF13">
        <v>14.141</v>
      </c>
      <c r="AG13">
        <v>15.597</v>
      </c>
      <c r="AH13">
        <v>16.157</v>
      </c>
      <c r="AI13" s="4"/>
      <c r="AJ13" s="4"/>
      <c r="AK13" s="4"/>
      <c r="AL13" s="4"/>
      <c r="AM13" s="4"/>
      <c r="AN13" s="4"/>
      <c r="AO13" s="4"/>
      <c r="AP13" s="4"/>
      <c r="AQ13" s="4"/>
      <c r="AR13" s="4"/>
      <c r="AS13" s="4"/>
      <c r="AT13" s="4"/>
      <c r="AU13" s="4"/>
      <c r="AV13" s="4"/>
      <c r="AW13" s="4"/>
      <c r="AX13" s="4"/>
      <c r="AY13" s="4"/>
    </row>
    <row r="14" spans="1:51" ht="14.5" x14ac:dyDescent="0.35">
      <c r="A14" s="98">
        <v>46447</v>
      </c>
      <c r="B14" s="33">
        <v>83</v>
      </c>
      <c r="C14" s="8">
        <v>65</v>
      </c>
      <c r="D14" s="11">
        <v>74</v>
      </c>
      <c r="E14">
        <v>54.527000000000001</v>
      </c>
      <c r="F14">
        <v>39.619</v>
      </c>
      <c r="G14">
        <v>56.66</v>
      </c>
      <c r="H14">
        <v>80.432000000000002</v>
      </c>
      <c r="I14">
        <v>55.838000000000001</v>
      </c>
      <c r="J14">
        <v>65.009</v>
      </c>
      <c r="K14">
        <v>59.040999999999997</v>
      </c>
      <c r="L14">
        <v>64.659000000000006</v>
      </c>
      <c r="M14">
        <v>50.155999999999999</v>
      </c>
      <c r="N14">
        <v>39.198</v>
      </c>
      <c r="O14">
        <v>22.065999999999999</v>
      </c>
      <c r="P14">
        <v>51.218000000000004</v>
      </c>
      <c r="Q14">
        <v>87.244</v>
      </c>
      <c r="R14">
        <v>43.408999999999999</v>
      </c>
      <c r="S14">
        <v>35.555999999999997</v>
      </c>
      <c r="T14">
        <v>105.196</v>
      </c>
      <c r="U14">
        <v>21.367999999999999</v>
      </c>
      <c r="V14">
        <v>74.736000000000004</v>
      </c>
      <c r="W14">
        <v>24.683</v>
      </c>
      <c r="X14">
        <v>48.195999999999998</v>
      </c>
      <c r="Y14">
        <v>62.08</v>
      </c>
      <c r="Z14">
        <v>34.287999999999997</v>
      </c>
      <c r="AA14">
        <v>57.411000000000001</v>
      </c>
      <c r="AB14">
        <v>71.852999999999994</v>
      </c>
      <c r="AC14">
        <v>59.683999999999997</v>
      </c>
      <c r="AD14">
        <v>126.78700000000001</v>
      </c>
      <c r="AE14">
        <v>45.451000000000001</v>
      </c>
      <c r="AF14">
        <v>25.274999999999999</v>
      </c>
      <c r="AG14">
        <v>50.374000000000002</v>
      </c>
      <c r="AH14">
        <v>35.642000000000003</v>
      </c>
      <c r="AI14" s="4"/>
      <c r="AJ14" s="4"/>
      <c r="AK14" s="4"/>
      <c r="AL14" s="4"/>
      <c r="AM14" s="4"/>
      <c r="AN14" s="4"/>
      <c r="AO14" s="4"/>
      <c r="AP14" s="4"/>
      <c r="AQ14" s="4"/>
      <c r="AR14" s="4"/>
      <c r="AS14" s="4"/>
      <c r="AT14" s="4"/>
      <c r="AU14" s="4"/>
      <c r="AV14" s="4"/>
      <c r="AW14" s="4"/>
      <c r="AX14" s="4"/>
      <c r="AY14" s="4"/>
    </row>
    <row r="15" spans="1:51" ht="14.5" x14ac:dyDescent="0.35">
      <c r="A15" s="98">
        <v>46478</v>
      </c>
      <c r="B15" s="33">
        <v>246</v>
      </c>
      <c r="C15" s="8">
        <v>165</v>
      </c>
      <c r="D15" s="11">
        <v>203</v>
      </c>
      <c r="E15">
        <v>153.45699999999999</v>
      </c>
      <c r="F15">
        <v>191.03200000000001</v>
      </c>
      <c r="G15">
        <v>184.45500000000001</v>
      </c>
      <c r="H15">
        <v>114.178</v>
      </c>
      <c r="I15">
        <v>296.161</v>
      </c>
      <c r="J15">
        <v>221.12899999999999</v>
      </c>
      <c r="K15">
        <v>220.38300000000001</v>
      </c>
      <c r="L15">
        <v>182.70099999999999</v>
      </c>
      <c r="M15">
        <v>178.666</v>
      </c>
      <c r="N15">
        <v>164.81899999999999</v>
      </c>
      <c r="O15">
        <v>113.59699999999999</v>
      </c>
      <c r="P15">
        <v>217.434</v>
      </c>
      <c r="Q15">
        <v>227.15899999999999</v>
      </c>
      <c r="R15">
        <v>182.03200000000001</v>
      </c>
      <c r="S15">
        <v>277.95999999999998</v>
      </c>
      <c r="T15">
        <v>187.00800000000001</v>
      </c>
      <c r="U15">
        <v>90.519000000000005</v>
      </c>
      <c r="V15">
        <v>224.27799999999999</v>
      </c>
      <c r="W15">
        <v>157.34899999999999</v>
      </c>
      <c r="X15">
        <v>314.63499999999999</v>
      </c>
      <c r="Y15">
        <v>188.04499999999999</v>
      </c>
      <c r="Z15">
        <v>104.194</v>
      </c>
      <c r="AA15">
        <v>223.85599999999999</v>
      </c>
      <c r="AB15">
        <v>129.34299999999999</v>
      </c>
      <c r="AC15">
        <v>251.17500000000001</v>
      </c>
      <c r="AD15">
        <v>187.98500000000001</v>
      </c>
      <c r="AE15">
        <v>121.04600000000001</v>
      </c>
      <c r="AF15">
        <v>198.499</v>
      </c>
      <c r="AG15">
        <v>172.77</v>
      </c>
      <c r="AH15">
        <v>120.476</v>
      </c>
      <c r="AI15" s="4"/>
      <c r="AJ15" s="4"/>
      <c r="AK15" s="4"/>
      <c r="AL15" s="4"/>
      <c r="AM15" s="4"/>
      <c r="AN15" s="4"/>
      <c r="AO15" s="4"/>
      <c r="AP15" s="4"/>
      <c r="AQ15" s="4"/>
      <c r="AR15" s="4"/>
      <c r="AS15" s="4"/>
      <c r="AT15" s="4"/>
      <c r="AU15" s="4"/>
      <c r="AV15" s="4"/>
      <c r="AW15" s="4"/>
      <c r="AX15" s="4"/>
      <c r="AY15" s="4"/>
    </row>
    <row r="16" spans="1:51" ht="14.5" x14ac:dyDescent="0.35">
      <c r="A16" s="98">
        <v>46508</v>
      </c>
      <c r="B16" s="33">
        <v>619</v>
      </c>
      <c r="C16" s="8">
        <v>412</v>
      </c>
      <c r="D16" s="11">
        <v>513</v>
      </c>
      <c r="E16">
        <v>333.024</v>
      </c>
      <c r="F16">
        <v>673.19</v>
      </c>
      <c r="G16">
        <v>393.50200000000001</v>
      </c>
      <c r="H16">
        <v>651.73</v>
      </c>
      <c r="I16">
        <v>728.42600000000004</v>
      </c>
      <c r="J16">
        <v>843.61</v>
      </c>
      <c r="K16">
        <v>609.64</v>
      </c>
      <c r="L16">
        <v>553.24699999999996</v>
      </c>
      <c r="M16">
        <v>492.983</v>
      </c>
      <c r="N16">
        <v>420.94799999999998</v>
      </c>
      <c r="O16">
        <v>177.60900000000001</v>
      </c>
      <c r="P16">
        <v>575.678</v>
      </c>
      <c r="Q16">
        <v>402.834</v>
      </c>
      <c r="R16">
        <v>538.87699999999995</v>
      </c>
      <c r="S16">
        <v>623.81299999999999</v>
      </c>
      <c r="T16">
        <v>397.74099999999999</v>
      </c>
      <c r="U16">
        <v>592.68899999999996</v>
      </c>
      <c r="V16">
        <v>661.22699999999998</v>
      </c>
      <c r="W16">
        <v>378.71800000000002</v>
      </c>
      <c r="X16">
        <v>818.61300000000006</v>
      </c>
      <c r="Y16">
        <v>204.26</v>
      </c>
      <c r="Z16">
        <v>335.827</v>
      </c>
      <c r="AA16">
        <v>552.23099999999999</v>
      </c>
      <c r="AB16">
        <v>333.86399999999998</v>
      </c>
      <c r="AC16">
        <v>631.38800000000003</v>
      </c>
      <c r="AD16">
        <v>443.20699999999999</v>
      </c>
      <c r="AE16">
        <v>351.07299999999998</v>
      </c>
      <c r="AF16">
        <v>453.23200000000003</v>
      </c>
      <c r="AG16">
        <v>502.58800000000002</v>
      </c>
      <c r="AH16">
        <v>401.01799999999997</v>
      </c>
      <c r="AI16" s="4"/>
      <c r="AJ16" s="4"/>
      <c r="AK16" s="4"/>
      <c r="AL16" s="4"/>
      <c r="AM16" s="4"/>
      <c r="AN16" s="4"/>
      <c r="AO16" s="4"/>
      <c r="AP16" s="4"/>
      <c r="AQ16" s="4"/>
      <c r="AR16" s="4"/>
      <c r="AS16" s="4"/>
      <c r="AT16" s="4"/>
      <c r="AU16" s="4"/>
      <c r="AV16" s="4"/>
      <c r="AW16" s="4"/>
      <c r="AX16" s="4"/>
      <c r="AY16" s="4"/>
    </row>
    <row r="17" spans="1:51" ht="14.5" x14ac:dyDescent="0.35">
      <c r="A17" s="98">
        <v>46539</v>
      </c>
      <c r="B17" s="33">
        <v>546</v>
      </c>
      <c r="C17" s="8">
        <v>226</v>
      </c>
      <c r="D17" s="11">
        <v>367</v>
      </c>
      <c r="E17">
        <v>125.637</v>
      </c>
      <c r="F17">
        <v>658.32</v>
      </c>
      <c r="G17">
        <v>168.309</v>
      </c>
      <c r="H17">
        <v>798.28700000000003</v>
      </c>
      <c r="I17">
        <v>563.63300000000004</v>
      </c>
      <c r="J17">
        <v>778.36300000000006</v>
      </c>
      <c r="K17">
        <v>419.89100000000002</v>
      </c>
      <c r="L17">
        <v>495.44099999999997</v>
      </c>
      <c r="M17">
        <v>265.35599999999999</v>
      </c>
      <c r="N17">
        <v>199.31399999999999</v>
      </c>
      <c r="O17">
        <v>109.807</v>
      </c>
      <c r="P17">
        <v>422.59100000000001</v>
      </c>
      <c r="Q17">
        <v>175.34200000000001</v>
      </c>
      <c r="R17">
        <v>429.87900000000002</v>
      </c>
      <c r="S17">
        <v>335.483</v>
      </c>
      <c r="T17">
        <v>134.619</v>
      </c>
      <c r="U17">
        <v>679.23900000000003</v>
      </c>
      <c r="V17">
        <v>483.29599999999999</v>
      </c>
      <c r="W17">
        <v>524.23599999999999</v>
      </c>
      <c r="X17">
        <v>1069.8879999999999</v>
      </c>
      <c r="Y17">
        <v>39.606000000000002</v>
      </c>
      <c r="Z17">
        <v>248.19399999999999</v>
      </c>
      <c r="AA17">
        <v>521.59799999999996</v>
      </c>
      <c r="AB17">
        <v>237.74</v>
      </c>
      <c r="AC17">
        <v>449.56799999999998</v>
      </c>
      <c r="AD17">
        <v>345.55500000000001</v>
      </c>
      <c r="AE17">
        <v>133.98400000000001</v>
      </c>
      <c r="AF17">
        <v>577.93799999999999</v>
      </c>
      <c r="AG17">
        <v>341.62</v>
      </c>
      <c r="AH17">
        <v>341.43400000000003</v>
      </c>
      <c r="AI17" s="4"/>
      <c r="AJ17" s="4"/>
      <c r="AK17" s="4"/>
      <c r="AL17" s="4"/>
      <c r="AM17" s="4"/>
      <c r="AN17" s="4"/>
      <c r="AO17" s="4"/>
      <c r="AP17" s="4"/>
      <c r="AQ17" s="4"/>
      <c r="AR17" s="4"/>
      <c r="AS17" s="4"/>
      <c r="AT17" s="4"/>
      <c r="AU17" s="4"/>
      <c r="AV17" s="4"/>
      <c r="AW17" s="4"/>
      <c r="AX17" s="4"/>
      <c r="AY17" s="4"/>
    </row>
    <row r="18" spans="1:51" ht="14.5" x14ac:dyDescent="0.35">
      <c r="A18" s="98">
        <v>46569</v>
      </c>
      <c r="B18" s="33">
        <v>135</v>
      </c>
      <c r="C18" s="8">
        <v>16</v>
      </c>
      <c r="D18" s="11">
        <v>60</v>
      </c>
      <c r="E18">
        <v>15.663</v>
      </c>
      <c r="F18">
        <v>170.17500000000001</v>
      </c>
      <c r="G18">
        <v>19.231000000000002</v>
      </c>
      <c r="H18">
        <v>288.36399999999998</v>
      </c>
      <c r="I18">
        <v>111.51600000000001</v>
      </c>
      <c r="J18">
        <v>144.43</v>
      </c>
      <c r="K18">
        <v>144.696</v>
      </c>
      <c r="L18">
        <v>100.919</v>
      </c>
      <c r="M18">
        <v>24.82</v>
      </c>
      <c r="N18">
        <v>20.559000000000001</v>
      </c>
      <c r="O18">
        <v>4.032</v>
      </c>
      <c r="P18">
        <v>63.161999999999999</v>
      </c>
      <c r="Q18">
        <v>23.625</v>
      </c>
      <c r="R18">
        <v>77.754000000000005</v>
      </c>
      <c r="S18">
        <v>45.953000000000003</v>
      </c>
      <c r="T18">
        <v>10.917999999999999</v>
      </c>
      <c r="U18">
        <v>185.07499999999999</v>
      </c>
      <c r="V18">
        <v>137.70500000000001</v>
      </c>
      <c r="W18">
        <v>97.561999999999998</v>
      </c>
      <c r="X18">
        <v>485.12799999999999</v>
      </c>
      <c r="Y18">
        <v>3.1179999999999999</v>
      </c>
      <c r="Z18">
        <v>31.454999999999998</v>
      </c>
      <c r="AA18">
        <v>103.676</v>
      </c>
      <c r="AB18">
        <v>32.055999999999997</v>
      </c>
      <c r="AC18">
        <v>73.224999999999994</v>
      </c>
      <c r="AD18">
        <v>55.832000000000001</v>
      </c>
      <c r="AE18">
        <v>8.734</v>
      </c>
      <c r="AF18">
        <v>223.358</v>
      </c>
      <c r="AG18">
        <v>42.813000000000002</v>
      </c>
      <c r="AH18">
        <v>57.143000000000001</v>
      </c>
      <c r="AI18" s="4"/>
      <c r="AJ18" s="4"/>
      <c r="AK18" s="4"/>
      <c r="AL18" s="4"/>
      <c r="AM18" s="4"/>
      <c r="AN18" s="4"/>
      <c r="AO18" s="4"/>
      <c r="AP18" s="4"/>
      <c r="AQ18" s="4"/>
      <c r="AR18" s="4"/>
      <c r="AS18" s="4"/>
      <c r="AT18" s="4"/>
      <c r="AU18" s="4"/>
      <c r="AV18" s="4"/>
      <c r="AW18" s="4"/>
      <c r="AX18" s="4"/>
      <c r="AY18" s="4"/>
    </row>
    <row r="19" spans="1:51" ht="14.5" x14ac:dyDescent="0.35">
      <c r="A19" s="98">
        <v>46600</v>
      </c>
      <c r="B19" s="33">
        <v>27</v>
      </c>
      <c r="C19" s="8">
        <v>11</v>
      </c>
      <c r="D19" s="11">
        <v>19</v>
      </c>
      <c r="E19">
        <v>5.8440000000000003</v>
      </c>
      <c r="F19">
        <v>29.161000000000001</v>
      </c>
      <c r="G19">
        <v>5.6879999999999997</v>
      </c>
      <c r="H19">
        <v>46.219000000000001</v>
      </c>
      <c r="I19">
        <v>20.738</v>
      </c>
      <c r="J19">
        <v>38.713999999999999</v>
      </c>
      <c r="K19">
        <v>29.677</v>
      </c>
      <c r="L19">
        <v>20.116</v>
      </c>
      <c r="M19">
        <v>6.3289999999999997</v>
      </c>
      <c r="N19">
        <v>7.7160000000000002</v>
      </c>
      <c r="O19">
        <v>2.7789999999999999</v>
      </c>
      <c r="P19">
        <v>12.747</v>
      </c>
      <c r="Q19">
        <v>6.415</v>
      </c>
      <c r="R19">
        <v>12.555999999999999</v>
      </c>
      <c r="S19">
        <v>13.316000000000001</v>
      </c>
      <c r="T19">
        <v>4.9139999999999997</v>
      </c>
      <c r="U19">
        <v>28.079000000000001</v>
      </c>
      <c r="V19">
        <v>24.722999999999999</v>
      </c>
      <c r="W19">
        <v>17.376999999999999</v>
      </c>
      <c r="X19">
        <v>72.561999999999998</v>
      </c>
      <c r="Y19">
        <v>2.7210000000000001</v>
      </c>
      <c r="Z19">
        <v>8.6980000000000004</v>
      </c>
      <c r="AA19">
        <v>35.156999999999996</v>
      </c>
      <c r="AB19">
        <v>7.556</v>
      </c>
      <c r="AC19">
        <v>16.823</v>
      </c>
      <c r="AD19">
        <v>11.558999999999999</v>
      </c>
      <c r="AE19">
        <v>3.5289999999999999</v>
      </c>
      <c r="AF19">
        <v>32.753</v>
      </c>
      <c r="AG19">
        <v>9.7070000000000007</v>
      </c>
      <c r="AH19">
        <v>12.032999999999999</v>
      </c>
      <c r="AI19" s="4"/>
      <c r="AJ19" s="4"/>
      <c r="AK19" s="4"/>
      <c r="AL19" s="4"/>
      <c r="AM19" s="4"/>
      <c r="AN19" s="4"/>
      <c r="AO19" s="4"/>
      <c r="AP19" s="4"/>
      <c r="AQ19" s="4"/>
      <c r="AR19" s="4"/>
      <c r="AS19" s="4"/>
      <c r="AT19" s="4"/>
      <c r="AU19" s="4"/>
      <c r="AV19" s="4"/>
      <c r="AW19" s="4"/>
      <c r="AX19" s="4"/>
      <c r="AY19" s="4"/>
    </row>
    <row r="20" spans="1:51" ht="14.5" x14ac:dyDescent="0.35">
      <c r="A20" s="98">
        <v>46631</v>
      </c>
      <c r="B20" s="33">
        <v>22</v>
      </c>
      <c r="C20" s="8">
        <v>7</v>
      </c>
      <c r="D20" s="11">
        <v>13</v>
      </c>
      <c r="E20">
        <v>6.2320000000000002</v>
      </c>
      <c r="F20">
        <v>19.286999999999999</v>
      </c>
      <c r="G20">
        <v>6.2220000000000004</v>
      </c>
      <c r="H20">
        <v>20.611999999999998</v>
      </c>
      <c r="I20">
        <v>16.138999999999999</v>
      </c>
      <c r="J20">
        <v>82.942999999999998</v>
      </c>
      <c r="K20">
        <v>13.670999999999999</v>
      </c>
      <c r="L20">
        <v>14.287000000000001</v>
      </c>
      <c r="M20">
        <v>14.708</v>
      </c>
      <c r="N20">
        <v>8.1219999999999999</v>
      </c>
      <c r="O20">
        <v>3.992</v>
      </c>
      <c r="P20">
        <v>15.063000000000001</v>
      </c>
      <c r="Q20">
        <v>15.206</v>
      </c>
      <c r="R20">
        <v>8.4179999999999993</v>
      </c>
      <c r="S20">
        <v>23.888999999999999</v>
      </c>
      <c r="T20">
        <v>12.590999999999999</v>
      </c>
      <c r="U20">
        <v>19.378</v>
      </c>
      <c r="V20">
        <v>13.988</v>
      </c>
      <c r="W20">
        <v>9.5289999999999999</v>
      </c>
      <c r="X20">
        <v>34.515000000000001</v>
      </c>
      <c r="Y20">
        <v>3.0630000000000002</v>
      </c>
      <c r="Z20">
        <v>20.890999999999998</v>
      </c>
      <c r="AA20">
        <v>33.113</v>
      </c>
      <c r="AB20">
        <v>6.7460000000000004</v>
      </c>
      <c r="AC20">
        <v>11.8</v>
      </c>
      <c r="AD20">
        <v>9.4659999999999993</v>
      </c>
      <c r="AE20">
        <v>4.5439999999999996</v>
      </c>
      <c r="AF20">
        <v>16.297000000000001</v>
      </c>
      <c r="AG20">
        <v>9.8179999999999996</v>
      </c>
      <c r="AH20">
        <v>12.366</v>
      </c>
      <c r="AI20" s="4"/>
      <c r="AJ20" s="4"/>
      <c r="AK20" s="4"/>
      <c r="AL20" s="4"/>
      <c r="AM20" s="4"/>
      <c r="AN20" s="4"/>
      <c r="AO20" s="4"/>
      <c r="AP20" s="4"/>
      <c r="AQ20" s="4"/>
      <c r="AR20" s="4"/>
      <c r="AS20" s="4"/>
      <c r="AT20" s="4"/>
      <c r="AU20" s="4"/>
      <c r="AV20" s="4"/>
      <c r="AW20" s="4"/>
      <c r="AX20" s="4"/>
      <c r="AY20" s="4"/>
    </row>
    <row r="21" spans="1:51" ht="14.5" x14ac:dyDescent="0.35">
      <c r="A21" s="98">
        <v>46661</v>
      </c>
      <c r="B21" s="33">
        <v>38</v>
      </c>
      <c r="C21" s="8">
        <v>18</v>
      </c>
      <c r="D21" s="11">
        <v>26</v>
      </c>
      <c r="E21">
        <v>11.366</v>
      </c>
      <c r="F21">
        <v>39.070999999999998</v>
      </c>
      <c r="G21">
        <v>16.968</v>
      </c>
      <c r="H21">
        <v>41.871000000000002</v>
      </c>
      <c r="I21">
        <v>24.611999999999998</v>
      </c>
      <c r="J21">
        <v>96.718999999999994</v>
      </c>
      <c r="K21">
        <v>38.808999999999997</v>
      </c>
      <c r="L21">
        <v>18.71</v>
      </c>
      <c r="M21">
        <v>32.790999999999997</v>
      </c>
      <c r="N21">
        <v>16.213999999999999</v>
      </c>
      <c r="O21">
        <v>16.832999999999998</v>
      </c>
      <c r="P21">
        <v>17.841000000000001</v>
      </c>
      <c r="Q21">
        <v>33.597999999999999</v>
      </c>
      <c r="R21">
        <v>26.349</v>
      </c>
      <c r="S21">
        <v>47.465000000000003</v>
      </c>
      <c r="T21">
        <v>41.256999999999998</v>
      </c>
      <c r="U21">
        <v>22.027999999999999</v>
      </c>
      <c r="V21">
        <v>32.039000000000001</v>
      </c>
      <c r="W21">
        <v>20.957999999999998</v>
      </c>
      <c r="X21">
        <v>37.768999999999998</v>
      </c>
      <c r="Y21">
        <v>9.2050000000000001</v>
      </c>
      <c r="Z21">
        <v>44.427999999999997</v>
      </c>
      <c r="AA21">
        <v>34.590000000000003</v>
      </c>
      <c r="AB21">
        <v>11.954000000000001</v>
      </c>
      <c r="AC21">
        <v>21.187000000000001</v>
      </c>
      <c r="AD21">
        <v>37.712000000000003</v>
      </c>
      <c r="AE21">
        <v>19.888999999999999</v>
      </c>
      <c r="AF21">
        <v>21.503</v>
      </c>
      <c r="AG21">
        <v>25.053000000000001</v>
      </c>
      <c r="AH21">
        <v>15.443</v>
      </c>
      <c r="AI21" s="4"/>
      <c r="AJ21" s="4"/>
      <c r="AK21" s="4"/>
      <c r="AL21" s="4"/>
      <c r="AM21" s="4"/>
      <c r="AN21" s="4"/>
      <c r="AO21" s="4"/>
      <c r="AP21" s="4"/>
      <c r="AQ21" s="4"/>
      <c r="AR21" s="4"/>
      <c r="AS21" s="4"/>
      <c r="AT21" s="4"/>
      <c r="AU21" s="4"/>
      <c r="AV21" s="4"/>
      <c r="AW21" s="4"/>
      <c r="AX21" s="4"/>
      <c r="AY21" s="4"/>
    </row>
    <row r="22" spans="1:51" ht="14.5" x14ac:dyDescent="0.35">
      <c r="A22" s="98">
        <v>46692</v>
      </c>
      <c r="B22" s="33">
        <v>37</v>
      </c>
      <c r="C22" s="8">
        <v>25</v>
      </c>
      <c r="D22" s="11">
        <v>30</v>
      </c>
      <c r="E22">
        <v>18.119</v>
      </c>
      <c r="F22">
        <v>33.069000000000003</v>
      </c>
      <c r="G22">
        <v>21.722999999999999</v>
      </c>
      <c r="H22">
        <v>37.915999999999997</v>
      </c>
      <c r="I22">
        <v>49.296999999999997</v>
      </c>
      <c r="J22">
        <v>47.139000000000003</v>
      </c>
      <c r="K22">
        <v>34.218000000000004</v>
      </c>
      <c r="L22">
        <v>22.257000000000001</v>
      </c>
      <c r="M22">
        <v>22.532</v>
      </c>
      <c r="N22">
        <v>22.227</v>
      </c>
      <c r="O22">
        <v>16.344999999999999</v>
      </c>
      <c r="P22">
        <v>23.991</v>
      </c>
      <c r="Q22">
        <v>40.094000000000001</v>
      </c>
      <c r="R22">
        <v>26.158000000000001</v>
      </c>
      <c r="S22">
        <v>42.67</v>
      </c>
      <c r="T22">
        <v>32.923999999999999</v>
      </c>
      <c r="U22">
        <v>27.84</v>
      </c>
      <c r="V22">
        <v>33.119999999999997</v>
      </c>
      <c r="W22">
        <v>42.494999999999997</v>
      </c>
      <c r="X22">
        <v>39.479999999999997</v>
      </c>
      <c r="Y22">
        <v>16.175999999999998</v>
      </c>
      <c r="Z22">
        <v>37.618000000000002</v>
      </c>
      <c r="AA22">
        <v>33.274999999999999</v>
      </c>
      <c r="AB22">
        <v>19.832000000000001</v>
      </c>
      <c r="AC22">
        <v>24.757999999999999</v>
      </c>
      <c r="AD22">
        <v>29.081</v>
      </c>
      <c r="AE22">
        <v>22.04</v>
      </c>
      <c r="AF22">
        <v>27.85</v>
      </c>
      <c r="AG22">
        <v>34.802</v>
      </c>
      <c r="AH22">
        <v>22.206</v>
      </c>
      <c r="AI22" s="4"/>
      <c r="AJ22" s="4"/>
      <c r="AK22" s="4"/>
      <c r="AL22" s="4"/>
      <c r="AM22" s="4"/>
      <c r="AN22" s="4"/>
      <c r="AO22" s="4"/>
      <c r="AP22" s="4"/>
      <c r="AQ22" s="4"/>
      <c r="AR22" s="4"/>
      <c r="AS22" s="4"/>
      <c r="AT22" s="4"/>
      <c r="AU22" s="4"/>
      <c r="AV22" s="4"/>
      <c r="AW22" s="4"/>
      <c r="AX22" s="4"/>
      <c r="AY22" s="4"/>
    </row>
    <row r="23" spans="1:51" ht="14.5" x14ac:dyDescent="0.35">
      <c r="A23" s="98">
        <v>46722</v>
      </c>
      <c r="B23" s="33">
        <v>25</v>
      </c>
      <c r="C23" s="8">
        <v>25</v>
      </c>
      <c r="D23" s="11">
        <v>25</v>
      </c>
      <c r="E23">
        <v>17.503</v>
      </c>
      <c r="F23">
        <v>25.899000000000001</v>
      </c>
      <c r="G23">
        <v>18.442</v>
      </c>
      <c r="H23">
        <v>38.991</v>
      </c>
      <c r="I23">
        <v>44.094999999999999</v>
      </c>
      <c r="J23">
        <v>31.908999999999999</v>
      </c>
      <c r="K23">
        <v>36.529000000000003</v>
      </c>
      <c r="L23">
        <v>22.126999999999999</v>
      </c>
      <c r="M23">
        <v>19.972999999999999</v>
      </c>
      <c r="N23">
        <v>19.34</v>
      </c>
      <c r="O23">
        <v>16.317</v>
      </c>
      <c r="P23">
        <v>25.715</v>
      </c>
      <c r="Q23">
        <v>23.120999999999999</v>
      </c>
      <c r="R23">
        <v>21.228999999999999</v>
      </c>
      <c r="S23">
        <v>29.192</v>
      </c>
      <c r="T23">
        <v>20.939</v>
      </c>
      <c r="U23">
        <v>26.86</v>
      </c>
      <c r="V23">
        <v>25.957999999999998</v>
      </c>
      <c r="W23">
        <v>29.132000000000001</v>
      </c>
      <c r="X23">
        <v>32.527000000000001</v>
      </c>
      <c r="Y23">
        <v>15.948</v>
      </c>
      <c r="Z23">
        <v>24.658999999999999</v>
      </c>
      <c r="AA23">
        <v>29.707999999999998</v>
      </c>
      <c r="AB23">
        <v>20.084</v>
      </c>
      <c r="AC23">
        <v>23.704000000000001</v>
      </c>
      <c r="AD23">
        <v>27.95</v>
      </c>
      <c r="AE23">
        <v>17.119</v>
      </c>
      <c r="AF23">
        <v>28.901</v>
      </c>
      <c r="AG23">
        <v>27.385000000000002</v>
      </c>
      <c r="AH23">
        <v>20.132000000000001</v>
      </c>
      <c r="AI23" s="4"/>
      <c r="AJ23" s="4"/>
      <c r="AK23" s="4"/>
      <c r="AL23" s="4"/>
      <c r="AM23" s="4"/>
      <c r="AN23" s="4"/>
      <c r="AO23" s="4"/>
      <c r="AP23" s="4"/>
      <c r="AQ23" s="4"/>
      <c r="AR23" s="4"/>
      <c r="AS23" s="4"/>
      <c r="AT23" s="4"/>
      <c r="AU23" s="4"/>
      <c r="AV23" s="4"/>
      <c r="AW23" s="4"/>
      <c r="AX23" s="4"/>
      <c r="AY23" s="4"/>
    </row>
    <row r="24" spans="1:51" ht="14.5" x14ac:dyDescent="0.35">
      <c r="A24" s="98">
        <v>46753</v>
      </c>
      <c r="B24" s="33">
        <v>25</v>
      </c>
      <c r="C24" s="8">
        <v>25</v>
      </c>
      <c r="D24" s="11">
        <v>25</v>
      </c>
      <c r="E24">
        <v>17.201000000000001</v>
      </c>
      <c r="F24">
        <v>24.018000000000001</v>
      </c>
      <c r="G24">
        <v>20.052</v>
      </c>
      <c r="H24">
        <v>29.222000000000001</v>
      </c>
      <c r="I24">
        <v>32.439</v>
      </c>
      <c r="J24">
        <v>29.702999999999999</v>
      </c>
      <c r="K24">
        <v>26.783000000000001</v>
      </c>
      <c r="L24">
        <v>25.262</v>
      </c>
      <c r="M24">
        <v>18.550999999999998</v>
      </c>
      <c r="N24">
        <v>17.97</v>
      </c>
      <c r="O24">
        <v>15.441000000000001</v>
      </c>
      <c r="P24">
        <v>22.443999999999999</v>
      </c>
      <c r="Q24">
        <v>26.966999999999999</v>
      </c>
      <c r="R24">
        <v>23.983000000000001</v>
      </c>
      <c r="S24">
        <v>23.931000000000001</v>
      </c>
      <c r="T24">
        <v>19.265000000000001</v>
      </c>
      <c r="U24">
        <v>25.515999999999998</v>
      </c>
      <c r="V24">
        <v>23.58</v>
      </c>
      <c r="W24">
        <v>25.984000000000002</v>
      </c>
      <c r="X24">
        <v>32.58</v>
      </c>
      <c r="Y24">
        <v>14.346</v>
      </c>
      <c r="Z24">
        <v>21.148</v>
      </c>
      <c r="AA24">
        <v>26.210999999999999</v>
      </c>
      <c r="AB24">
        <v>18.715</v>
      </c>
      <c r="AC24">
        <v>22.82</v>
      </c>
      <c r="AD24">
        <v>24.748000000000001</v>
      </c>
      <c r="AE24">
        <v>16.006</v>
      </c>
      <c r="AF24">
        <v>24.984000000000002</v>
      </c>
      <c r="AG24">
        <v>22.94</v>
      </c>
      <c r="AH24">
        <v>19.120999999999999</v>
      </c>
      <c r="AI24" s="4"/>
      <c r="AJ24" s="4"/>
      <c r="AK24" s="4"/>
      <c r="AL24" s="4"/>
      <c r="AM24" s="4"/>
      <c r="AN24" s="4"/>
      <c r="AO24" s="4"/>
      <c r="AP24" s="4"/>
      <c r="AQ24" s="4"/>
      <c r="AR24" s="4"/>
      <c r="AS24" s="4"/>
      <c r="AT24" s="4"/>
      <c r="AU24" s="4"/>
      <c r="AV24" s="4"/>
      <c r="AW24" s="4"/>
      <c r="AX24" s="4"/>
      <c r="AY24" s="4"/>
    </row>
    <row r="25" spans="1:51" ht="14.5" x14ac:dyDescent="0.35">
      <c r="A25" s="98">
        <v>46784</v>
      </c>
      <c r="B25" s="33">
        <v>25</v>
      </c>
      <c r="C25" s="8">
        <v>25</v>
      </c>
      <c r="D25" s="11">
        <v>25</v>
      </c>
      <c r="E25">
        <v>15.259</v>
      </c>
      <c r="F25">
        <v>22.164999999999999</v>
      </c>
      <c r="G25">
        <v>30.338000000000001</v>
      </c>
      <c r="H25">
        <v>34.845999999999997</v>
      </c>
      <c r="I25">
        <v>26.352</v>
      </c>
      <c r="J25">
        <v>30.776</v>
      </c>
      <c r="K25">
        <v>28.341999999999999</v>
      </c>
      <c r="L25">
        <v>34.140999999999998</v>
      </c>
      <c r="M25">
        <v>17.353999999999999</v>
      </c>
      <c r="N25">
        <v>16.192</v>
      </c>
      <c r="O25">
        <v>24.518000000000001</v>
      </c>
      <c r="P25">
        <v>20.9</v>
      </c>
      <c r="Q25">
        <v>30.138999999999999</v>
      </c>
      <c r="R25">
        <v>19.428000000000001</v>
      </c>
      <c r="S25">
        <v>27.576000000000001</v>
      </c>
      <c r="T25">
        <v>17.45</v>
      </c>
      <c r="U25">
        <v>28.838999999999999</v>
      </c>
      <c r="V25">
        <v>20.95</v>
      </c>
      <c r="W25">
        <v>22.172999999999998</v>
      </c>
      <c r="X25">
        <v>29.154</v>
      </c>
      <c r="Y25">
        <v>13.837999999999999</v>
      </c>
      <c r="Z25">
        <v>23.12</v>
      </c>
      <c r="AA25">
        <v>49.375999999999998</v>
      </c>
      <c r="AB25">
        <v>21.538</v>
      </c>
      <c r="AC25">
        <v>45.112000000000002</v>
      </c>
      <c r="AD25">
        <v>29.437999999999999</v>
      </c>
      <c r="AE25">
        <v>16.103999999999999</v>
      </c>
      <c r="AF25">
        <v>22.204000000000001</v>
      </c>
      <c r="AG25">
        <v>22.513999999999999</v>
      </c>
      <c r="AH25">
        <v>19.084</v>
      </c>
      <c r="AI25" s="4"/>
      <c r="AJ25" s="4"/>
      <c r="AK25" s="4"/>
      <c r="AL25" s="4"/>
      <c r="AM25" s="4"/>
      <c r="AN25" s="4"/>
      <c r="AO25" s="4"/>
      <c r="AP25" s="4"/>
      <c r="AQ25" s="4"/>
      <c r="AR25" s="4"/>
      <c r="AS25" s="4"/>
      <c r="AT25" s="4"/>
      <c r="AU25" s="4"/>
      <c r="AV25" s="4"/>
      <c r="AW25" s="4"/>
      <c r="AX25" s="4"/>
      <c r="AY25" s="4"/>
    </row>
    <row r="26" spans="1:51" ht="14.5" x14ac:dyDescent="0.35">
      <c r="A26" s="98">
        <v>46813</v>
      </c>
      <c r="B26" s="33">
        <v>74</v>
      </c>
      <c r="C26" s="8">
        <v>74</v>
      </c>
      <c r="D26" s="11">
        <v>74</v>
      </c>
      <c r="E26">
        <v>45.844999999999999</v>
      </c>
      <c r="F26">
        <v>74.616</v>
      </c>
      <c r="G26">
        <v>85.799000000000007</v>
      </c>
      <c r="H26">
        <v>64.923000000000002</v>
      </c>
      <c r="I26">
        <v>84.231999999999999</v>
      </c>
      <c r="J26">
        <v>83.087999999999994</v>
      </c>
      <c r="K26">
        <v>82.933999999999997</v>
      </c>
      <c r="L26">
        <v>59.927999999999997</v>
      </c>
      <c r="M26">
        <v>46.332999999999998</v>
      </c>
      <c r="N26">
        <v>26.933</v>
      </c>
      <c r="O26">
        <v>52.283000000000001</v>
      </c>
      <c r="P26">
        <v>102.81699999999999</v>
      </c>
      <c r="Q26">
        <v>49.716999999999999</v>
      </c>
      <c r="R26">
        <v>40.881</v>
      </c>
      <c r="S26">
        <v>134.40799999999999</v>
      </c>
      <c r="T26">
        <v>25.324000000000002</v>
      </c>
      <c r="U26">
        <v>92.411000000000001</v>
      </c>
      <c r="V26">
        <v>34.530999999999999</v>
      </c>
      <c r="W26">
        <v>54.933</v>
      </c>
      <c r="X26">
        <v>94.4</v>
      </c>
      <c r="Y26">
        <v>35.247</v>
      </c>
      <c r="Z26">
        <v>64.692999999999998</v>
      </c>
      <c r="AA26">
        <v>97.56</v>
      </c>
      <c r="AB26">
        <v>61.256</v>
      </c>
      <c r="AC26">
        <v>153.74700000000001</v>
      </c>
      <c r="AD26">
        <v>54.335000000000001</v>
      </c>
      <c r="AE26">
        <v>28.672999999999998</v>
      </c>
      <c r="AF26">
        <v>60.765999999999998</v>
      </c>
      <c r="AG26">
        <v>43.167000000000002</v>
      </c>
      <c r="AH26">
        <v>65.073999999999998</v>
      </c>
      <c r="AI26" s="4"/>
      <c r="AJ26" s="4"/>
      <c r="AK26" s="4"/>
      <c r="AL26" s="4"/>
      <c r="AM26" s="4"/>
      <c r="AN26" s="4"/>
      <c r="AO26" s="4"/>
      <c r="AP26" s="4"/>
      <c r="AQ26" s="4"/>
      <c r="AR26" s="4"/>
      <c r="AS26" s="4"/>
      <c r="AT26" s="4"/>
      <c r="AU26" s="4"/>
      <c r="AV26" s="4"/>
      <c r="AW26" s="4"/>
      <c r="AX26" s="4"/>
      <c r="AY26" s="4"/>
    </row>
    <row r="27" spans="1:51" ht="14.5" x14ac:dyDescent="0.35">
      <c r="A27" s="98">
        <v>46844</v>
      </c>
      <c r="B27" s="33">
        <v>203</v>
      </c>
      <c r="C27" s="8">
        <v>203</v>
      </c>
      <c r="D27" s="11">
        <v>203</v>
      </c>
      <c r="E27">
        <v>205.40199999999999</v>
      </c>
      <c r="F27">
        <v>249.30600000000001</v>
      </c>
      <c r="G27">
        <v>125.898</v>
      </c>
      <c r="H27">
        <v>337.58699999999999</v>
      </c>
      <c r="I27">
        <v>271.90499999999997</v>
      </c>
      <c r="J27">
        <v>287.30099999999999</v>
      </c>
      <c r="K27">
        <v>233.76599999999999</v>
      </c>
      <c r="L27">
        <v>207.66300000000001</v>
      </c>
      <c r="M27">
        <v>193.642</v>
      </c>
      <c r="N27">
        <v>128.97200000000001</v>
      </c>
      <c r="O27">
        <v>232.70099999999999</v>
      </c>
      <c r="P27">
        <v>263.40199999999999</v>
      </c>
      <c r="Q27">
        <v>212.09299999999999</v>
      </c>
      <c r="R27">
        <v>321.745</v>
      </c>
      <c r="S27">
        <v>235.69499999999999</v>
      </c>
      <c r="T27">
        <v>96.691000000000003</v>
      </c>
      <c r="U27">
        <v>285.13299999999998</v>
      </c>
      <c r="V27">
        <v>204.28299999999999</v>
      </c>
      <c r="W27">
        <v>352.09800000000001</v>
      </c>
      <c r="X27">
        <v>265.024</v>
      </c>
      <c r="Y27">
        <v>108.85299999999999</v>
      </c>
      <c r="Z27">
        <v>253.55600000000001</v>
      </c>
      <c r="AA27">
        <v>172.77099999999999</v>
      </c>
      <c r="AB27">
        <v>254.48</v>
      </c>
      <c r="AC27">
        <v>220.46100000000001</v>
      </c>
      <c r="AD27">
        <v>148.46</v>
      </c>
      <c r="AE27">
        <v>214.27</v>
      </c>
      <c r="AF27">
        <v>201.101</v>
      </c>
      <c r="AG27">
        <v>140.05799999999999</v>
      </c>
      <c r="AH27">
        <v>184.89099999999999</v>
      </c>
      <c r="AI27" s="4"/>
      <c r="AJ27" s="4"/>
      <c r="AK27" s="4"/>
      <c r="AL27" s="4"/>
      <c r="AM27" s="4"/>
      <c r="AN27" s="4"/>
      <c r="AO27" s="4"/>
      <c r="AP27" s="4"/>
      <c r="AQ27" s="4"/>
      <c r="AR27" s="4"/>
      <c r="AS27" s="4"/>
      <c r="AT27" s="4"/>
      <c r="AU27" s="4"/>
      <c r="AV27" s="4"/>
      <c r="AW27" s="4"/>
      <c r="AX27" s="4"/>
      <c r="AY27" s="4"/>
    </row>
    <row r="28" spans="1:51" ht="14.5" x14ac:dyDescent="0.35">
      <c r="A28" s="98">
        <v>46874</v>
      </c>
      <c r="B28" s="33">
        <v>513</v>
      </c>
      <c r="C28" s="8">
        <v>513</v>
      </c>
      <c r="D28" s="11">
        <v>513</v>
      </c>
      <c r="E28">
        <v>716.8</v>
      </c>
      <c r="F28">
        <v>458.85300000000001</v>
      </c>
      <c r="G28">
        <v>716.83799999999997</v>
      </c>
      <c r="H28">
        <v>798.49099999999999</v>
      </c>
      <c r="I28">
        <v>962.34</v>
      </c>
      <c r="J28">
        <v>695.26</v>
      </c>
      <c r="K28">
        <v>629.45299999999997</v>
      </c>
      <c r="L28">
        <v>541.98299999999995</v>
      </c>
      <c r="M28">
        <v>457.53199999999998</v>
      </c>
      <c r="N28">
        <v>205.637</v>
      </c>
      <c r="O28">
        <v>609.53499999999997</v>
      </c>
      <c r="P28">
        <v>441.233</v>
      </c>
      <c r="Q28">
        <v>582.37699999999995</v>
      </c>
      <c r="R28">
        <v>672.43700000000001</v>
      </c>
      <c r="S28">
        <v>429.51499999999999</v>
      </c>
      <c r="T28">
        <v>627.01099999999997</v>
      </c>
      <c r="U28">
        <v>767.29200000000003</v>
      </c>
      <c r="V28">
        <v>465.51299999999998</v>
      </c>
      <c r="W28">
        <v>903.66099999999994</v>
      </c>
      <c r="X28">
        <v>247.23500000000001</v>
      </c>
      <c r="Y28">
        <v>348.38799999999998</v>
      </c>
      <c r="Z28">
        <v>627.93499999999995</v>
      </c>
      <c r="AA28">
        <v>381.25700000000001</v>
      </c>
      <c r="AB28">
        <v>642.47900000000004</v>
      </c>
      <c r="AC28">
        <v>494.55500000000001</v>
      </c>
      <c r="AD28">
        <v>390.07100000000003</v>
      </c>
      <c r="AE28">
        <v>482.46800000000002</v>
      </c>
      <c r="AF28">
        <v>566.30100000000004</v>
      </c>
      <c r="AG28">
        <v>468.27800000000002</v>
      </c>
      <c r="AH28">
        <v>369.82900000000001</v>
      </c>
      <c r="AI28" s="4"/>
      <c r="AJ28" s="4"/>
      <c r="AK28" s="4"/>
      <c r="AL28" s="4"/>
      <c r="AM28" s="4"/>
      <c r="AN28" s="4"/>
      <c r="AO28" s="4"/>
      <c r="AP28" s="4"/>
      <c r="AQ28" s="4"/>
      <c r="AR28" s="4"/>
      <c r="AS28" s="4"/>
      <c r="AT28" s="4"/>
      <c r="AU28" s="4"/>
      <c r="AV28" s="4"/>
      <c r="AW28" s="4"/>
      <c r="AX28" s="4"/>
      <c r="AY28" s="4"/>
    </row>
    <row r="29" spans="1:51" ht="14.5" x14ac:dyDescent="0.35">
      <c r="A29" s="98">
        <v>46905</v>
      </c>
      <c r="B29" s="33">
        <v>367</v>
      </c>
      <c r="C29" s="8">
        <v>367</v>
      </c>
      <c r="D29" s="11">
        <v>367</v>
      </c>
      <c r="E29">
        <v>649.85299999999995</v>
      </c>
      <c r="F29">
        <v>172.69900000000001</v>
      </c>
      <c r="G29">
        <v>809.31899999999996</v>
      </c>
      <c r="H29">
        <v>577.74199999999996</v>
      </c>
      <c r="I29">
        <v>789.42100000000005</v>
      </c>
      <c r="J29">
        <v>429.05599999999998</v>
      </c>
      <c r="K29">
        <v>497.161</v>
      </c>
      <c r="L29">
        <v>272.02199999999999</v>
      </c>
      <c r="M29">
        <v>197.16200000000001</v>
      </c>
      <c r="N29">
        <v>112.18300000000001</v>
      </c>
      <c r="O29">
        <v>398.11</v>
      </c>
      <c r="P29">
        <v>182.53100000000001</v>
      </c>
      <c r="Q29">
        <v>432.77600000000001</v>
      </c>
      <c r="R29">
        <v>330.58</v>
      </c>
      <c r="S29">
        <v>135.416</v>
      </c>
      <c r="T29">
        <v>696.47</v>
      </c>
      <c r="U29">
        <v>491.78</v>
      </c>
      <c r="V29">
        <v>532.798</v>
      </c>
      <c r="W29">
        <v>1091.742</v>
      </c>
      <c r="X29">
        <v>49.003999999999998</v>
      </c>
      <c r="Y29">
        <v>241.75700000000001</v>
      </c>
      <c r="Z29">
        <v>505.94600000000003</v>
      </c>
      <c r="AA29">
        <v>241.417</v>
      </c>
      <c r="AB29">
        <v>452.72800000000001</v>
      </c>
      <c r="AC29">
        <v>348.63</v>
      </c>
      <c r="AD29">
        <v>133.49799999999999</v>
      </c>
      <c r="AE29">
        <v>592.35400000000004</v>
      </c>
      <c r="AF29">
        <v>354.399</v>
      </c>
      <c r="AG29">
        <v>348.35700000000003</v>
      </c>
      <c r="AH29">
        <v>122.364</v>
      </c>
      <c r="AI29" s="4"/>
      <c r="AJ29" s="4"/>
      <c r="AK29" s="4"/>
      <c r="AL29" s="4"/>
      <c r="AM29" s="4"/>
      <c r="AN29" s="4"/>
      <c r="AO29" s="4"/>
      <c r="AP29" s="4"/>
      <c r="AQ29" s="4"/>
      <c r="AR29" s="4"/>
      <c r="AS29" s="4"/>
      <c r="AT29" s="4"/>
      <c r="AU29" s="4"/>
      <c r="AV29" s="4"/>
      <c r="AW29" s="4"/>
      <c r="AX29" s="4"/>
      <c r="AY29" s="4"/>
    </row>
    <row r="30" spans="1:51" ht="14.5" x14ac:dyDescent="0.35">
      <c r="A30" s="98">
        <v>46935</v>
      </c>
      <c r="B30" s="33">
        <v>60</v>
      </c>
      <c r="C30" s="8">
        <v>60</v>
      </c>
      <c r="D30" s="11">
        <v>60</v>
      </c>
      <c r="E30">
        <v>160.75899999999999</v>
      </c>
      <c r="F30">
        <v>21.994</v>
      </c>
      <c r="G30">
        <v>278.79500000000002</v>
      </c>
      <c r="H30">
        <v>115.91800000000001</v>
      </c>
      <c r="I30">
        <v>138.624</v>
      </c>
      <c r="J30">
        <v>142.45599999999999</v>
      </c>
      <c r="K30">
        <v>97.933000000000007</v>
      </c>
      <c r="L30">
        <v>27.547000000000001</v>
      </c>
      <c r="M30">
        <v>21.114999999999998</v>
      </c>
      <c r="N30">
        <v>4.1790000000000003</v>
      </c>
      <c r="O30">
        <v>59.822000000000003</v>
      </c>
      <c r="P30">
        <v>27.314</v>
      </c>
      <c r="Q30">
        <v>73.822999999999993</v>
      </c>
      <c r="R30">
        <v>45.048999999999999</v>
      </c>
      <c r="S30">
        <v>12.161</v>
      </c>
      <c r="T30">
        <v>188.161</v>
      </c>
      <c r="U30">
        <v>134.56100000000001</v>
      </c>
      <c r="V30">
        <v>96.010999999999996</v>
      </c>
      <c r="W30">
        <v>466.745</v>
      </c>
      <c r="X30">
        <v>3.3210000000000002</v>
      </c>
      <c r="Y30">
        <v>29.745000000000001</v>
      </c>
      <c r="Z30">
        <v>99.497</v>
      </c>
      <c r="AA30">
        <v>33.801000000000002</v>
      </c>
      <c r="AB30">
        <v>73.783000000000001</v>
      </c>
      <c r="AC30">
        <v>56.1</v>
      </c>
      <c r="AD30">
        <v>9.1869999999999994</v>
      </c>
      <c r="AE30">
        <v>211.029</v>
      </c>
      <c r="AF30">
        <v>46.088999999999999</v>
      </c>
      <c r="AG30">
        <v>56.667999999999999</v>
      </c>
      <c r="AH30">
        <v>17.352</v>
      </c>
      <c r="AI30" s="4"/>
      <c r="AJ30" s="4"/>
      <c r="AK30" s="4"/>
      <c r="AL30" s="4"/>
      <c r="AM30" s="4"/>
      <c r="AN30" s="4"/>
      <c r="AO30" s="4"/>
      <c r="AP30" s="4"/>
      <c r="AQ30" s="4"/>
      <c r="AR30" s="4"/>
      <c r="AS30" s="4"/>
      <c r="AT30" s="4"/>
      <c r="AU30" s="4"/>
      <c r="AV30" s="4"/>
      <c r="AW30" s="4"/>
      <c r="AX30" s="4"/>
      <c r="AY30" s="4"/>
    </row>
    <row r="31" spans="1:51" ht="14.5" x14ac:dyDescent="0.35">
      <c r="A31" s="98">
        <v>46966</v>
      </c>
      <c r="B31" s="33">
        <v>19</v>
      </c>
      <c r="C31" s="8">
        <v>19</v>
      </c>
      <c r="D31" s="11">
        <v>19</v>
      </c>
      <c r="E31">
        <v>28.989000000000001</v>
      </c>
      <c r="F31">
        <v>9.2490000000000006</v>
      </c>
      <c r="G31">
        <v>44.594999999999999</v>
      </c>
      <c r="H31">
        <v>23.09</v>
      </c>
      <c r="I31">
        <v>40.773000000000003</v>
      </c>
      <c r="J31">
        <v>32.106000000000002</v>
      </c>
      <c r="K31">
        <v>22.259</v>
      </c>
      <c r="L31">
        <v>8.3059999999999992</v>
      </c>
      <c r="M31">
        <v>9.0449999999999999</v>
      </c>
      <c r="N31">
        <v>3.004</v>
      </c>
      <c r="O31">
        <v>12.717000000000001</v>
      </c>
      <c r="P31">
        <v>8.7840000000000007</v>
      </c>
      <c r="Q31">
        <v>13.664999999999999</v>
      </c>
      <c r="R31">
        <v>14.423999999999999</v>
      </c>
      <c r="S31">
        <v>7.0279999999999996</v>
      </c>
      <c r="T31">
        <v>29.013999999999999</v>
      </c>
      <c r="U31">
        <v>26.626000000000001</v>
      </c>
      <c r="V31">
        <v>20.818999999999999</v>
      </c>
      <c r="W31">
        <v>69.789000000000001</v>
      </c>
      <c r="X31">
        <v>6.1950000000000003</v>
      </c>
      <c r="Y31">
        <v>8.5220000000000002</v>
      </c>
      <c r="Z31">
        <v>37.642000000000003</v>
      </c>
      <c r="AA31">
        <v>9.8010000000000002</v>
      </c>
      <c r="AB31">
        <v>17.364999999999998</v>
      </c>
      <c r="AC31">
        <v>14.337999999999999</v>
      </c>
      <c r="AD31">
        <v>4.9219999999999997</v>
      </c>
      <c r="AE31">
        <v>31.686</v>
      </c>
      <c r="AF31">
        <v>12.034000000000001</v>
      </c>
      <c r="AG31">
        <v>13.8</v>
      </c>
      <c r="AH31">
        <v>7.7590000000000003</v>
      </c>
      <c r="AI31" s="4"/>
      <c r="AJ31" s="4"/>
      <c r="AK31" s="4"/>
      <c r="AL31" s="4"/>
      <c r="AM31" s="4"/>
      <c r="AN31" s="4"/>
      <c r="AO31" s="4"/>
      <c r="AP31" s="4"/>
      <c r="AQ31" s="4"/>
      <c r="AR31" s="4"/>
      <c r="AS31" s="4"/>
      <c r="AT31" s="4"/>
      <c r="AU31" s="4"/>
      <c r="AV31" s="4"/>
      <c r="AW31" s="4"/>
      <c r="AX31" s="4"/>
      <c r="AY31" s="4"/>
    </row>
    <row r="32" spans="1:51" ht="14.5" x14ac:dyDescent="0.35">
      <c r="A32" s="98">
        <v>46997</v>
      </c>
      <c r="B32" s="33">
        <v>13</v>
      </c>
      <c r="C32" s="8">
        <v>13</v>
      </c>
      <c r="D32" s="11">
        <v>13</v>
      </c>
      <c r="E32">
        <v>19.867000000000001</v>
      </c>
      <c r="F32">
        <v>9.6069999999999993</v>
      </c>
      <c r="G32">
        <v>21.093</v>
      </c>
      <c r="H32">
        <v>17.568000000000001</v>
      </c>
      <c r="I32">
        <v>88.307000000000002</v>
      </c>
      <c r="J32">
        <v>16.956</v>
      </c>
      <c r="K32">
        <v>17.206</v>
      </c>
      <c r="L32">
        <v>17.071999999999999</v>
      </c>
      <c r="M32">
        <v>9.3469999999999995</v>
      </c>
      <c r="N32">
        <v>5.2489999999999997</v>
      </c>
      <c r="O32">
        <v>15.308999999999999</v>
      </c>
      <c r="P32">
        <v>17.635000000000002</v>
      </c>
      <c r="Q32">
        <v>9.6539999999999999</v>
      </c>
      <c r="R32">
        <v>26.315000000000001</v>
      </c>
      <c r="S32">
        <v>15.601000000000001</v>
      </c>
      <c r="T32">
        <v>20.356000000000002</v>
      </c>
      <c r="U32">
        <v>16.556000000000001</v>
      </c>
      <c r="V32">
        <v>12.722</v>
      </c>
      <c r="W32">
        <v>35.332000000000001</v>
      </c>
      <c r="X32">
        <v>7.6660000000000004</v>
      </c>
      <c r="Y32">
        <v>21.677</v>
      </c>
      <c r="Z32">
        <v>32.92</v>
      </c>
      <c r="AA32">
        <v>8.8810000000000002</v>
      </c>
      <c r="AB32">
        <v>12.272</v>
      </c>
      <c r="AC32">
        <v>12.385</v>
      </c>
      <c r="AD32">
        <v>6.077</v>
      </c>
      <c r="AE32">
        <v>16.733000000000001</v>
      </c>
      <c r="AF32">
        <v>12.013</v>
      </c>
      <c r="AG32">
        <v>14.653</v>
      </c>
      <c r="AH32">
        <v>7.7549999999999999</v>
      </c>
      <c r="AI32" s="4"/>
      <c r="AJ32" s="4"/>
      <c r="AK32" s="4"/>
      <c r="AL32" s="4"/>
      <c r="AM32" s="4"/>
      <c r="AN32" s="4"/>
      <c r="AO32" s="4"/>
      <c r="AP32" s="4"/>
      <c r="AQ32" s="4"/>
      <c r="AR32" s="4"/>
      <c r="AS32" s="4"/>
      <c r="AT32" s="4"/>
      <c r="AU32" s="4"/>
      <c r="AV32" s="4"/>
      <c r="AW32" s="4"/>
      <c r="AX32" s="4"/>
      <c r="AY32" s="4"/>
    </row>
    <row r="33" spans="1:51" ht="14.5" x14ac:dyDescent="0.35">
      <c r="A33" s="98">
        <v>47027</v>
      </c>
      <c r="B33" s="33">
        <v>38</v>
      </c>
      <c r="C33" s="8">
        <v>18</v>
      </c>
      <c r="D33" s="11">
        <v>26</v>
      </c>
      <c r="E33">
        <v>40.146000000000001</v>
      </c>
      <c r="F33">
        <v>21.331</v>
      </c>
      <c r="G33">
        <v>42.573</v>
      </c>
      <c r="H33">
        <v>26.297000000000001</v>
      </c>
      <c r="I33">
        <v>96.534999999999997</v>
      </c>
      <c r="J33">
        <v>42.956000000000003</v>
      </c>
      <c r="K33">
        <v>21.126999999999999</v>
      </c>
      <c r="L33">
        <v>35.628999999999998</v>
      </c>
      <c r="M33">
        <v>17.774999999999999</v>
      </c>
      <c r="N33">
        <v>19.04</v>
      </c>
      <c r="O33">
        <v>18.042999999999999</v>
      </c>
      <c r="P33">
        <v>36.073999999999998</v>
      </c>
      <c r="Q33">
        <v>27.855</v>
      </c>
      <c r="R33">
        <v>47.932000000000002</v>
      </c>
      <c r="S33">
        <v>43.994999999999997</v>
      </c>
      <c r="T33">
        <v>22.997</v>
      </c>
      <c r="U33">
        <v>35.061999999999998</v>
      </c>
      <c r="V33">
        <v>25.452999999999999</v>
      </c>
      <c r="W33">
        <v>38.732999999999997</v>
      </c>
      <c r="X33">
        <v>15.957000000000001</v>
      </c>
      <c r="Y33">
        <v>44.587000000000003</v>
      </c>
      <c r="Z33">
        <v>35.868000000000002</v>
      </c>
      <c r="AA33">
        <v>14.936</v>
      </c>
      <c r="AB33">
        <v>21.739000000000001</v>
      </c>
      <c r="AC33">
        <v>41.262</v>
      </c>
      <c r="AD33">
        <v>22.925999999999998</v>
      </c>
      <c r="AE33">
        <v>22.388000000000002</v>
      </c>
      <c r="AF33">
        <v>27.821000000000002</v>
      </c>
      <c r="AG33">
        <v>18.042000000000002</v>
      </c>
      <c r="AH33">
        <v>13.41</v>
      </c>
      <c r="AI33" s="4"/>
      <c r="AJ33" s="4"/>
      <c r="AK33" s="4"/>
      <c r="AL33" s="4"/>
      <c r="AM33" s="4"/>
      <c r="AN33" s="4"/>
      <c r="AO33" s="4"/>
      <c r="AP33" s="4"/>
      <c r="AQ33" s="4"/>
      <c r="AR33" s="4"/>
      <c r="AS33" s="4"/>
      <c r="AT33" s="4"/>
      <c r="AU33" s="4"/>
      <c r="AV33" s="4"/>
      <c r="AW33" s="4"/>
      <c r="AX33" s="4"/>
      <c r="AY33" s="4"/>
    </row>
    <row r="34" spans="1:51" ht="14.5" x14ac:dyDescent="0.35">
      <c r="A34" s="98">
        <v>47058</v>
      </c>
      <c r="B34" s="33">
        <v>37</v>
      </c>
      <c r="C34" s="8">
        <v>25</v>
      </c>
      <c r="D34" s="11">
        <v>30</v>
      </c>
      <c r="E34">
        <v>32.786999999999999</v>
      </c>
      <c r="F34">
        <v>24.963999999999999</v>
      </c>
      <c r="G34">
        <v>38.69</v>
      </c>
      <c r="H34">
        <v>51.332999999999998</v>
      </c>
      <c r="I34">
        <v>47.726999999999997</v>
      </c>
      <c r="J34">
        <v>37.158999999999999</v>
      </c>
      <c r="K34">
        <v>24.47</v>
      </c>
      <c r="L34">
        <v>24.72</v>
      </c>
      <c r="M34">
        <v>23.300999999999998</v>
      </c>
      <c r="N34">
        <v>17.963999999999999</v>
      </c>
      <c r="O34">
        <v>24.256</v>
      </c>
      <c r="P34">
        <v>42.267000000000003</v>
      </c>
      <c r="Q34">
        <v>26.835000000000001</v>
      </c>
      <c r="R34">
        <v>43.137</v>
      </c>
      <c r="S34">
        <v>34.051000000000002</v>
      </c>
      <c r="T34">
        <v>28.588999999999999</v>
      </c>
      <c r="U34">
        <v>34.96</v>
      </c>
      <c r="V34">
        <v>45.295999999999999</v>
      </c>
      <c r="W34">
        <v>39.761000000000003</v>
      </c>
      <c r="X34">
        <v>22.288</v>
      </c>
      <c r="Y34">
        <v>36.475999999999999</v>
      </c>
      <c r="Z34">
        <v>33.764000000000003</v>
      </c>
      <c r="AA34">
        <v>22.231000000000002</v>
      </c>
      <c r="AB34">
        <v>25.102</v>
      </c>
      <c r="AC34">
        <v>31.885000000000002</v>
      </c>
      <c r="AD34">
        <v>23.856000000000002</v>
      </c>
      <c r="AE34">
        <v>28.282</v>
      </c>
      <c r="AF34">
        <v>37.091999999999999</v>
      </c>
      <c r="AG34">
        <v>24.14</v>
      </c>
      <c r="AH34">
        <v>19.827999999999999</v>
      </c>
      <c r="AI34" s="4"/>
      <c r="AJ34" s="4"/>
      <c r="AK34" s="4"/>
      <c r="AL34" s="4"/>
      <c r="AM34" s="4"/>
      <c r="AN34" s="4"/>
      <c r="AO34" s="4"/>
      <c r="AP34" s="4"/>
      <c r="AQ34" s="4"/>
      <c r="AR34" s="4"/>
      <c r="AS34" s="4"/>
      <c r="AT34" s="4"/>
      <c r="AU34" s="4"/>
      <c r="AV34" s="4"/>
      <c r="AW34" s="4"/>
      <c r="AX34" s="4"/>
      <c r="AY34" s="4"/>
    </row>
    <row r="35" spans="1:51" ht="14.5" x14ac:dyDescent="0.35">
      <c r="A35" s="98">
        <v>47088</v>
      </c>
      <c r="B35" s="33">
        <v>25</v>
      </c>
      <c r="C35" s="8">
        <v>25</v>
      </c>
      <c r="D35" s="11">
        <v>25</v>
      </c>
      <c r="E35">
        <v>26.170999999999999</v>
      </c>
      <c r="F35">
        <v>21.631</v>
      </c>
      <c r="G35">
        <v>38.854999999999997</v>
      </c>
      <c r="H35">
        <v>45.94</v>
      </c>
      <c r="I35">
        <v>33.209000000000003</v>
      </c>
      <c r="J35">
        <v>39.280999999999999</v>
      </c>
      <c r="K35">
        <v>24.216000000000001</v>
      </c>
      <c r="L35">
        <v>22.052</v>
      </c>
      <c r="M35">
        <v>20.324000000000002</v>
      </c>
      <c r="N35">
        <v>17.887</v>
      </c>
      <c r="O35">
        <v>25.603000000000002</v>
      </c>
      <c r="P35">
        <v>24.888000000000002</v>
      </c>
      <c r="Q35">
        <v>22.071999999999999</v>
      </c>
      <c r="R35">
        <v>29.512</v>
      </c>
      <c r="S35">
        <v>22.600999999999999</v>
      </c>
      <c r="T35">
        <v>27.516999999999999</v>
      </c>
      <c r="U35">
        <v>27.844999999999999</v>
      </c>
      <c r="V35">
        <v>32.070999999999998</v>
      </c>
      <c r="W35">
        <v>32.991999999999997</v>
      </c>
      <c r="X35">
        <v>21.905000000000001</v>
      </c>
      <c r="Y35">
        <v>24.178999999999998</v>
      </c>
      <c r="Z35">
        <v>30.536000000000001</v>
      </c>
      <c r="AA35">
        <v>22.300999999999998</v>
      </c>
      <c r="AB35">
        <v>23.960999999999999</v>
      </c>
      <c r="AC35">
        <v>29.760999999999999</v>
      </c>
      <c r="AD35">
        <v>19.109000000000002</v>
      </c>
      <c r="AE35">
        <v>29.042000000000002</v>
      </c>
      <c r="AF35">
        <v>29.481999999999999</v>
      </c>
      <c r="AG35">
        <v>21.966000000000001</v>
      </c>
      <c r="AH35">
        <v>19.006</v>
      </c>
      <c r="AI35" s="4"/>
      <c r="AJ35" s="4"/>
      <c r="AK35" s="4"/>
      <c r="AL35" s="4"/>
      <c r="AM35" s="4"/>
      <c r="AN35" s="4"/>
      <c r="AO35" s="4"/>
      <c r="AP35" s="4"/>
      <c r="AQ35" s="4"/>
      <c r="AR35" s="4"/>
      <c r="AS35" s="4"/>
      <c r="AT35" s="4"/>
      <c r="AU35" s="4"/>
      <c r="AV35" s="4"/>
      <c r="AW35" s="4"/>
      <c r="AX35" s="4"/>
      <c r="AY35" s="4"/>
    </row>
    <row r="36" spans="1:51" ht="14.5" x14ac:dyDescent="0.35">
      <c r="A36" s="98">
        <v>47119</v>
      </c>
      <c r="B36" s="33">
        <v>25</v>
      </c>
      <c r="C36" s="8">
        <v>25</v>
      </c>
      <c r="D36" s="11">
        <v>25</v>
      </c>
      <c r="E36">
        <v>24.28</v>
      </c>
      <c r="F36">
        <v>23.404</v>
      </c>
      <c r="G36">
        <v>29.448</v>
      </c>
      <c r="H36">
        <v>34.033999999999999</v>
      </c>
      <c r="I36">
        <v>31.064</v>
      </c>
      <c r="J36">
        <v>29.277999999999999</v>
      </c>
      <c r="K36">
        <v>27.844000000000001</v>
      </c>
      <c r="L36">
        <v>20.504000000000001</v>
      </c>
      <c r="M36">
        <v>18.928999999999998</v>
      </c>
      <c r="N36">
        <v>17.138999999999999</v>
      </c>
      <c r="O36">
        <v>22.425999999999998</v>
      </c>
      <c r="P36">
        <v>28.853999999999999</v>
      </c>
      <c r="Q36">
        <v>24.806000000000001</v>
      </c>
      <c r="R36">
        <v>24.558</v>
      </c>
      <c r="S36">
        <v>20.885000000000002</v>
      </c>
      <c r="T36">
        <v>26.132999999999999</v>
      </c>
      <c r="U36">
        <v>25.445</v>
      </c>
      <c r="V36">
        <v>28.501999999999999</v>
      </c>
      <c r="W36">
        <v>33.177999999999997</v>
      </c>
      <c r="X36">
        <v>19.93</v>
      </c>
      <c r="Y36">
        <v>20.962</v>
      </c>
      <c r="Z36">
        <v>27.276</v>
      </c>
      <c r="AA36">
        <v>20.853999999999999</v>
      </c>
      <c r="AB36">
        <v>23.058</v>
      </c>
      <c r="AC36">
        <v>27.073</v>
      </c>
      <c r="AD36">
        <v>17.913</v>
      </c>
      <c r="AE36">
        <v>25.257999999999999</v>
      </c>
      <c r="AF36">
        <v>24.837</v>
      </c>
      <c r="AG36">
        <v>20.907</v>
      </c>
      <c r="AH36">
        <v>18.68</v>
      </c>
      <c r="AI36" s="4"/>
      <c r="AJ36" s="4"/>
      <c r="AK36" s="4"/>
      <c r="AL36" s="4"/>
      <c r="AM36" s="4"/>
      <c r="AN36" s="4"/>
      <c r="AO36" s="4"/>
      <c r="AP36" s="4"/>
      <c r="AQ36" s="4"/>
      <c r="AR36" s="4"/>
      <c r="AS36" s="4"/>
      <c r="AT36" s="4"/>
      <c r="AU36" s="4"/>
      <c r="AV36" s="4"/>
      <c r="AW36" s="4"/>
      <c r="AX36" s="4"/>
      <c r="AY36" s="4"/>
    </row>
    <row r="37" spans="1:51" ht="14.5" x14ac:dyDescent="0.35">
      <c r="A37" s="98">
        <v>47150</v>
      </c>
      <c r="B37" s="33">
        <v>25</v>
      </c>
      <c r="C37" s="8">
        <v>25</v>
      </c>
      <c r="D37" s="11">
        <v>25</v>
      </c>
      <c r="E37">
        <v>21.651</v>
      </c>
      <c r="F37">
        <v>32.905000000000001</v>
      </c>
      <c r="G37">
        <v>34.204999999999998</v>
      </c>
      <c r="H37">
        <v>26.797999999999998</v>
      </c>
      <c r="I37">
        <v>31.07</v>
      </c>
      <c r="J37">
        <v>29.762</v>
      </c>
      <c r="K37">
        <v>35.305</v>
      </c>
      <c r="L37">
        <v>18.323</v>
      </c>
      <c r="M37">
        <v>16.475000000000001</v>
      </c>
      <c r="N37">
        <v>25.19</v>
      </c>
      <c r="O37">
        <v>20.288</v>
      </c>
      <c r="P37">
        <v>30.692</v>
      </c>
      <c r="Q37">
        <v>19.518000000000001</v>
      </c>
      <c r="R37">
        <v>27.407</v>
      </c>
      <c r="S37">
        <v>18.303000000000001</v>
      </c>
      <c r="T37">
        <v>27.673999999999999</v>
      </c>
      <c r="U37">
        <v>21.859000000000002</v>
      </c>
      <c r="V37">
        <v>23.81</v>
      </c>
      <c r="W37">
        <v>28.664999999999999</v>
      </c>
      <c r="X37">
        <v>18.157</v>
      </c>
      <c r="Y37">
        <v>22.234000000000002</v>
      </c>
      <c r="Z37">
        <v>49.16</v>
      </c>
      <c r="AA37">
        <v>22.873999999999999</v>
      </c>
      <c r="AB37">
        <v>43.481000000000002</v>
      </c>
      <c r="AC37">
        <v>30.960999999999999</v>
      </c>
      <c r="AD37">
        <v>17.245999999999999</v>
      </c>
      <c r="AE37">
        <v>21.745999999999999</v>
      </c>
      <c r="AF37">
        <v>23.210999999999999</v>
      </c>
      <c r="AG37">
        <v>20.047000000000001</v>
      </c>
      <c r="AH37">
        <v>16.024000000000001</v>
      </c>
      <c r="AI37" s="4"/>
      <c r="AJ37" s="4"/>
      <c r="AK37" s="4"/>
      <c r="AL37" s="4"/>
      <c r="AM37" s="4"/>
      <c r="AN37" s="4"/>
      <c r="AO37" s="4"/>
      <c r="AP37" s="4"/>
      <c r="AQ37" s="4"/>
      <c r="AR37" s="4"/>
      <c r="AS37" s="4"/>
      <c r="AT37" s="4"/>
      <c r="AU37" s="4"/>
      <c r="AV37" s="4"/>
      <c r="AW37" s="4"/>
      <c r="AX37" s="4"/>
      <c r="AY37" s="4"/>
    </row>
    <row r="38" spans="1:51" ht="14.5" x14ac:dyDescent="0.35">
      <c r="A38" s="98">
        <v>47178</v>
      </c>
      <c r="B38" s="33">
        <v>74</v>
      </c>
      <c r="C38" s="8">
        <v>74</v>
      </c>
      <c r="D38" s="11">
        <v>74</v>
      </c>
      <c r="E38">
        <v>74.811000000000007</v>
      </c>
      <c r="F38">
        <v>92.703999999999994</v>
      </c>
      <c r="G38">
        <v>65.373999999999995</v>
      </c>
      <c r="H38">
        <v>83.796999999999997</v>
      </c>
      <c r="I38">
        <v>84.647000000000006</v>
      </c>
      <c r="J38">
        <v>87.849000000000004</v>
      </c>
      <c r="K38">
        <v>63.372999999999998</v>
      </c>
      <c r="L38">
        <v>46.966999999999999</v>
      </c>
      <c r="M38">
        <v>28.004999999999999</v>
      </c>
      <c r="N38">
        <v>54.631999999999998</v>
      </c>
      <c r="O38">
        <v>102.645</v>
      </c>
      <c r="P38">
        <v>51.005000000000003</v>
      </c>
      <c r="Q38">
        <v>41.918999999999997</v>
      </c>
      <c r="R38">
        <v>135.59299999999999</v>
      </c>
      <c r="S38">
        <v>27.01</v>
      </c>
      <c r="T38">
        <v>92.9</v>
      </c>
      <c r="U38">
        <v>36.484999999999999</v>
      </c>
      <c r="V38">
        <v>59.024000000000001</v>
      </c>
      <c r="W38">
        <v>94.965999999999994</v>
      </c>
      <c r="X38">
        <v>40.448999999999998</v>
      </c>
      <c r="Y38">
        <v>64.02</v>
      </c>
      <c r="Z38">
        <v>98.691000000000003</v>
      </c>
      <c r="AA38">
        <v>64.73</v>
      </c>
      <c r="AB38">
        <v>150.21</v>
      </c>
      <c r="AC38">
        <v>57.951000000000001</v>
      </c>
      <c r="AD38">
        <v>30.719000000000001</v>
      </c>
      <c r="AE38">
        <v>61.218000000000004</v>
      </c>
      <c r="AF38">
        <v>44.786999999999999</v>
      </c>
      <c r="AG38">
        <v>68.260000000000005</v>
      </c>
      <c r="AH38">
        <v>47.890999999999998</v>
      </c>
      <c r="AI38" s="4"/>
      <c r="AJ38" s="4"/>
      <c r="AK38" s="4"/>
      <c r="AL38" s="4"/>
      <c r="AM38" s="4"/>
      <c r="AN38" s="4"/>
      <c r="AO38" s="4"/>
      <c r="AP38" s="4"/>
      <c r="AQ38" s="4"/>
      <c r="AR38" s="4"/>
      <c r="AS38" s="4"/>
      <c r="AT38" s="4"/>
      <c r="AU38" s="4"/>
      <c r="AV38" s="4"/>
      <c r="AW38" s="4"/>
      <c r="AX38" s="4"/>
      <c r="AY38" s="4"/>
    </row>
    <row r="39" spans="1:51" ht="14.5" x14ac:dyDescent="0.35">
      <c r="A39" s="98">
        <v>47209</v>
      </c>
      <c r="B39" s="33">
        <v>203</v>
      </c>
      <c r="C39" s="8">
        <v>203</v>
      </c>
      <c r="D39" s="11">
        <v>203</v>
      </c>
      <c r="E39">
        <v>248.803</v>
      </c>
      <c r="F39">
        <v>133.947</v>
      </c>
      <c r="G39">
        <v>337.30700000000002</v>
      </c>
      <c r="H39">
        <v>262.02199999999999</v>
      </c>
      <c r="I39">
        <v>288.51100000000002</v>
      </c>
      <c r="J39">
        <v>241.81899999999999</v>
      </c>
      <c r="K39">
        <v>213.399</v>
      </c>
      <c r="L39">
        <v>188.126</v>
      </c>
      <c r="M39">
        <v>131.77199999999999</v>
      </c>
      <c r="N39">
        <v>238.411</v>
      </c>
      <c r="O39">
        <v>263.14600000000002</v>
      </c>
      <c r="P39">
        <v>209.16499999999999</v>
      </c>
      <c r="Q39">
        <v>324.65899999999999</v>
      </c>
      <c r="R39">
        <v>237.22499999999999</v>
      </c>
      <c r="S39">
        <v>100.86</v>
      </c>
      <c r="T39">
        <v>270.22399999999999</v>
      </c>
      <c r="U39">
        <v>208.809</v>
      </c>
      <c r="V39">
        <v>364.81200000000001</v>
      </c>
      <c r="W39">
        <v>264.50799999999998</v>
      </c>
      <c r="X39">
        <v>116.417</v>
      </c>
      <c r="Y39">
        <v>250.80199999999999</v>
      </c>
      <c r="Z39">
        <v>173.55099999999999</v>
      </c>
      <c r="AA39">
        <v>264.16699999999997</v>
      </c>
      <c r="AB39">
        <v>219.411</v>
      </c>
      <c r="AC39">
        <v>153.756</v>
      </c>
      <c r="AD39">
        <v>220.78299999999999</v>
      </c>
      <c r="AE39">
        <v>201.88</v>
      </c>
      <c r="AF39">
        <v>143.06299999999999</v>
      </c>
      <c r="AG39">
        <v>189.58099999999999</v>
      </c>
      <c r="AH39">
        <v>210.166</v>
      </c>
      <c r="AI39" s="4"/>
      <c r="AJ39" s="4"/>
      <c r="AK39" s="4"/>
      <c r="AL39" s="4"/>
      <c r="AM39" s="4"/>
      <c r="AN39" s="4"/>
      <c r="AO39" s="4"/>
      <c r="AP39" s="4"/>
      <c r="AQ39" s="4"/>
      <c r="AR39" s="4"/>
      <c r="AS39" s="4"/>
      <c r="AT39" s="4"/>
      <c r="AU39" s="4"/>
      <c r="AV39" s="4"/>
      <c r="AW39" s="4"/>
      <c r="AX39" s="4"/>
      <c r="AY39" s="4"/>
    </row>
    <row r="40" spans="1:51" ht="14.5" x14ac:dyDescent="0.35">
      <c r="A40" s="98">
        <v>47239</v>
      </c>
      <c r="B40" s="33">
        <v>513</v>
      </c>
      <c r="C40" s="8">
        <v>513</v>
      </c>
      <c r="D40" s="11">
        <v>513</v>
      </c>
      <c r="E40">
        <v>459.05599999999998</v>
      </c>
      <c r="F40">
        <v>731.84199999999998</v>
      </c>
      <c r="G40">
        <v>797.32500000000005</v>
      </c>
      <c r="H40">
        <v>952.21699999999998</v>
      </c>
      <c r="I40">
        <v>697.23199999999997</v>
      </c>
      <c r="J40">
        <v>635.00900000000001</v>
      </c>
      <c r="K40">
        <v>545.35</v>
      </c>
      <c r="L40">
        <v>462.45699999999999</v>
      </c>
      <c r="M40">
        <v>207.43199999999999</v>
      </c>
      <c r="N40">
        <v>616.23199999999997</v>
      </c>
      <c r="O40">
        <v>441.09800000000001</v>
      </c>
      <c r="P40">
        <v>576.79100000000005</v>
      </c>
      <c r="Q40">
        <v>673.60299999999995</v>
      </c>
      <c r="R40">
        <v>430.435</v>
      </c>
      <c r="S40">
        <v>636.20000000000005</v>
      </c>
      <c r="T40">
        <v>758.97500000000002</v>
      </c>
      <c r="U40">
        <v>469.19200000000001</v>
      </c>
      <c r="V40">
        <v>915.346</v>
      </c>
      <c r="W40">
        <v>247.47499999999999</v>
      </c>
      <c r="X40">
        <v>358.55700000000002</v>
      </c>
      <c r="Y40">
        <v>625.93100000000004</v>
      </c>
      <c r="Z40">
        <v>382.47899999999998</v>
      </c>
      <c r="AA40">
        <v>651.85799999999995</v>
      </c>
      <c r="AB40">
        <v>484.28</v>
      </c>
      <c r="AC40">
        <v>392.43700000000001</v>
      </c>
      <c r="AD40">
        <v>489.47500000000002</v>
      </c>
      <c r="AE40">
        <v>565.78200000000004</v>
      </c>
      <c r="AF40">
        <v>457.91199999999998</v>
      </c>
      <c r="AG40">
        <v>372.50200000000001</v>
      </c>
      <c r="AH40">
        <v>725.43399999999997</v>
      </c>
      <c r="AI40" s="4"/>
      <c r="AJ40" s="4"/>
      <c r="AK40" s="4"/>
      <c r="AL40" s="4"/>
      <c r="AM40" s="4"/>
      <c r="AN40" s="4"/>
      <c r="AO40" s="4"/>
      <c r="AP40" s="4"/>
      <c r="AQ40" s="4"/>
      <c r="AR40" s="4"/>
      <c r="AS40" s="4"/>
      <c r="AT40" s="4"/>
      <c r="AU40" s="4"/>
      <c r="AV40" s="4"/>
      <c r="AW40" s="4"/>
      <c r="AX40" s="4"/>
      <c r="AY40" s="4"/>
    </row>
    <row r="41" spans="1:51" ht="14.5" x14ac:dyDescent="0.35">
      <c r="A41" s="98">
        <v>47270</v>
      </c>
      <c r="B41" s="33">
        <v>367</v>
      </c>
      <c r="C41" s="8">
        <v>367</v>
      </c>
      <c r="D41" s="11">
        <v>367</v>
      </c>
      <c r="E41">
        <v>172.73699999999999</v>
      </c>
      <c r="F41">
        <v>813.99</v>
      </c>
      <c r="G41">
        <v>577.61400000000003</v>
      </c>
      <c r="H41">
        <v>805.83199999999999</v>
      </c>
      <c r="I41">
        <v>429.84</v>
      </c>
      <c r="J41">
        <v>498.642</v>
      </c>
      <c r="K41">
        <v>273.38</v>
      </c>
      <c r="L41">
        <v>206.70599999999999</v>
      </c>
      <c r="M41">
        <v>112.693</v>
      </c>
      <c r="N41">
        <v>399.82299999999998</v>
      </c>
      <c r="O41">
        <v>182.45699999999999</v>
      </c>
      <c r="P41">
        <v>440.43099999999998</v>
      </c>
      <c r="Q41">
        <v>331.01299999999998</v>
      </c>
      <c r="R41">
        <v>135.42699999999999</v>
      </c>
      <c r="S41">
        <v>700.12699999999995</v>
      </c>
      <c r="T41">
        <v>502.95400000000001</v>
      </c>
      <c r="U41">
        <v>534.14099999999996</v>
      </c>
      <c r="V41">
        <v>1094.115</v>
      </c>
      <c r="W41">
        <v>49.180999999999997</v>
      </c>
      <c r="X41">
        <v>255.31800000000001</v>
      </c>
      <c r="Y41">
        <v>505.137</v>
      </c>
      <c r="Z41">
        <v>241.738</v>
      </c>
      <c r="AA41">
        <v>454.863</v>
      </c>
      <c r="AB41">
        <v>355.077</v>
      </c>
      <c r="AC41">
        <v>134.53899999999999</v>
      </c>
      <c r="AD41">
        <v>595.25599999999997</v>
      </c>
      <c r="AE41">
        <v>354.23</v>
      </c>
      <c r="AF41">
        <v>359.12799999999999</v>
      </c>
      <c r="AG41">
        <v>123.333</v>
      </c>
      <c r="AH41">
        <v>651.91200000000003</v>
      </c>
      <c r="AI41" s="4"/>
      <c r="AJ41" s="4"/>
      <c r="AK41" s="4"/>
      <c r="AL41" s="4"/>
      <c r="AM41" s="4"/>
      <c r="AN41" s="4"/>
      <c r="AO41" s="4"/>
      <c r="AP41" s="4"/>
      <c r="AQ41" s="4"/>
      <c r="AR41" s="4"/>
      <c r="AS41" s="4"/>
      <c r="AT41" s="4"/>
      <c r="AU41" s="4"/>
      <c r="AV41" s="4"/>
      <c r="AW41" s="4"/>
      <c r="AX41" s="4"/>
      <c r="AY41" s="4"/>
    </row>
    <row r="42" spans="1:51" ht="14.5" x14ac:dyDescent="0.35">
      <c r="A42" s="98">
        <v>47300</v>
      </c>
      <c r="B42" s="33">
        <v>60</v>
      </c>
      <c r="C42" s="8">
        <v>60</v>
      </c>
      <c r="D42" s="11">
        <v>60</v>
      </c>
      <c r="E42">
        <v>21.716000000000001</v>
      </c>
      <c r="F42">
        <v>279.77499999999998</v>
      </c>
      <c r="G42">
        <v>115.49</v>
      </c>
      <c r="H42">
        <v>148.47999999999999</v>
      </c>
      <c r="I42">
        <v>142.39099999999999</v>
      </c>
      <c r="J42">
        <v>98.23</v>
      </c>
      <c r="K42">
        <v>27.981999999999999</v>
      </c>
      <c r="L42">
        <v>23.058</v>
      </c>
      <c r="M42">
        <v>4.2290000000000001</v>
      </c>
      <c r="N42">
        <v>59.744999999999997</v>
      </c>
      <c r="O42">
        <v>26.934999999999999</v>
      </c>
      <c r="P42">
        <v>80.459999999999994</v>
      </c>
      <c r="Q42">
        <v>44.848999999999997</v>
      </c>
      <c r="R42">
        <v>11.987</v>
      </c>
      <c r="S42">
        <v>188.18799999999999</v>
      </c>
      <c r="T42">
        <v>141.304</v>
      </c>
      <c r="U42">
        <v>96.319000000000003</v>
      </c>
      <c r="V42">
        <v>467.142</v>
      </c>
      <c r="W42">
        <v>3.3079999999999998</v>
      </c>
      <c r="X42">
        <v>33.999000000000002</v>
      </c>
      <c r="Y42">
        <v>98.8</v>
      </c>
      <c r="Z42">
        <v>33.765000000000001</v>
      </c>
      <c r="AA42">
        <v>73.858000000000004</v>
      </c>
      <c r="AB42">
        <v>59.212000000000003</v>
      </c>
      <c r="AC42">
        <v>9.5519999999999996</v>
      </c>
      <c r="AD42">
        <v>211.46299999999999</v>
      </c>
      <c r="AE42">
        <v>45.7</v>
      </c>
      <c r="AF42">
        <v>60.896000000000001</v>
      </c>
      <c r="AG42">
        <v>17.789000000000001</v>
      </c>
      <c r="AH42">
        <v>160.50700000000001</v>
      </c>
      <c r="AI42" s="4"/>
      <c r="AJ42" s="4"/>
      <c r="AK42" s="4"/>
      <c r="AL42" s="4"/>
      <c r="AM42" s="4"/>
      <c r="AN42" s="4"/>
      <c r="AO42" s="4"/>
      <c r="AP42" s="4"/>
      <c r="AQ42" s="4"/>
      <c r="AR42" s="4"/>
      <c r="AS42" s="4"/>
      <c r="AT42" s="4"/>
      <c r="AU42" s="4"/>
      <c r="AV42" s="4"/>
      <c r="AW42" s="4"/>
      <c r="AX42" s="4"/>
      <c r="AY42" s="4"/>
    </row>
    <row r="43" spans="1:51" ht="14.5" x14ac:dyDescent="0.35">
      <c r="A43" s="98">
        <v>47331</v>
      </c>
      <c r="B43" s="33">
        <v>19</v>
      </c>
      <c r="C43" s="8">
        <v>19</v>
      </c>
      <c r="D43" s="11">
        <v>19</v>
      </c>
      <c r="E43">
        <v>9.19</v>
      </c>
      <c r="F43">
        <v>45.115000000000002</v>
      </c>
      <c r="G43">
        <v>22.937999999999999</v>
      </c>
      <c r="H43">
        <v>41.972999999999999</v>
      </c>
      <c r="I43">
        <v>32.325000000000003</v>
      </c>
      <c r="J43">
        <v>22.963000000000001</v>
      </c>
      <c r="K43">
        <v>9.0120000000000005</v>
      </c>
      <c r="L43">
        <v>9.7509999999999994</v>
      </c>
      <c r="M43">
        <v>3.097</v>
      </c>
      <c r="N43">
        <v>12.836</v>
      </c>
      <c r="O43">
        <v>8.6029999999999998</v>
      </c>
      <c r="P43">
        <v>14.521000000000001</v>
      </c>
      <c r="Q43">
        <v>14.509</v>
      </c>
      <c r="R43">
        <v>7.01</v>
      </c>
      <c r="S43">
        <v>29.146999999999998</v>
      </c>
      <c r="T43">
        <v>27.527000000000001</v>
      </c>
      <c r="U43">
        <v>21.492000000000001</v>
      </c>
      <c r="V43">
        <v>70.200999999999993</v>
      </c>
      <c r="W43">
        <v>6.3129999999999997</v>
      </c>
      <c r="X43">
        <v>10.81</v>
      </c>
      <c r="Y43">
        <v>37.313000000000002</v>
      </c>
      <c r="Z43">
        <v>9.968</v>
      </c>
      <c r="AA43">
        <v>17.565000000000001</v>
      </c>
      <c r="AB43">
        <v>14.585000000000001</v>
      </c>
      <c r="AC43">
        <v>5.5149999999999997</v>
      </c>
      <c r="AD43">
        <v>32.078000000000003</v>
      </c>
      <c r="AE43">
        <v>11.903</v>
      </c>
      <c r="AF43">
        <v>14.519</v>
      </c>
      <c r="AG43">
        <v>8.3829999999999991</v>
      </c>
      <c r="AH43">
        <v>28.911999999999999</v>
      </c>
      <c r="AI43" s="4"/>
      <c r="AJ43" s="4"/>
      <c r="AK43" s="4"/>
      <c r="AL43" s="4"/>
      <c r="AM43" s="4"/>
      <c r="AN43" s="4"/>
      <c r="AO43" s="4"/>
      <c r="AP43" s="4"/>
      <c r="AQ43" s="4"/>
      <c r="AR43" s="4"/>
      <c r="AS43" s="4"/>
      <c r="AT43" s="4"/>
      <c r="AU43" s="4"/>
      <c r="AV43" s="4"/>
      <c r="AW43" s="4"/>
      <c r="AX43" s="4"/>
      <c r="AY43" s="4"/>
    </row>
    <row r="44" spans="1:51" ht="14.5" x14ac:dyDescent="0.35">
      <c r="A44" s="98">
        <v>47362</v>
      </c>
      <c r="B44" s="33">
        <v>13</v>
      </c>
      <c r="C44" s="8">
        <v>13</v>
      </c>
      <c r="D44" s="11">
        <v>13</v>
      </c>
      <c r="E44">
        <v>9.6129999999999995</v>
      </c>
      <c r="F44">
        <v>21.613</v>
      </c>
      <c r="G44">
        <v>17.524000000000001</v>
      </c>
      <c r="H44">
        <v>86.257000000000005</v>
      </c>
      <c r="I44">
        <v>17.38</v>
      </c>
      <c r="J44">
        <v>18.013000000000002</v>
      </c>
      <c r="K44">
        <v>17.908999999999999</v>
      </c>
      <c r="L44">
        <v>9.9290000000000003</v>
      </c>
      <c r="M44">
        <v>5.5460000000000003</v>
      </c>
      <c r="N44">
        <v>15.52</v>
      </c>
      <c r="O44">
        <v>17.518999999999998</v>
      </c>
      <c r="P44">
        <v>10.022</v>
      </c>
      <c r="Q44">
        <v>26.49</v>
      </c>
      <c r="R44">
        <v>15.733000000000001</v>
      </c>
      <c r="S44">
        <v>20.536999999999999</v>
      </c>
      <c r="T44">
        <v>16.677</v>
      </c>
      <c r="U44">
        <v>13.391</v>
      </c>
      <c r="V44">
        <v>35.75</v>
      </c>
      <c r="W44">
        <v>7.8419999999999996</v>
      </c>
      <c r="X44">
        <v>23.434999999999999</v>
      </c>
      <c r="Y44">
        <v>32.664999999999999</v>
      </c>
      <c r="Z44">
        <v>9.08</v>
      </c>
      <c r="AA44">
        <v>12.569000000000001</v>
      </c>
      <c r="AB44">
        <v>12.159000000000001</v>
      </c>
      <c r="AC44">
        <v>6.7160000000000002</v>
      </c>
      <c r="AD44">
        <v>17.167999999999999</v>
      </c>
      <c r="AE44">
        <v>11.99</v>
      </c>
      <c r="AF44">
        <v>15.327</v>
      </c>
      <c r="AG44">
        <v>8.3629999999999995</v>
      </c>
      <c r="AH44">
        <v>19.952000000000002</v>
      </c>
      <c r="AI44" s="4"/>
      <c r="AJ44" s="4"/>
      <c r="AK44" s="4"/>
      <c r="AL44" s="4"/>
      <c r="AM44" s="4"/>
      <c r="AN44" s="4"/>
      <c r="AO44" s="4"/>
      <c r="AP44" s="4"/>
      <c r="AQ44" s="4"/>
      <c r="AR44" s="4"/>
      <c r="AS44" s="4"/>
      <c r="AT44" s="4"/>
      <c r="AU44" s="4"/>
      <c r="AV44" s="4"/>
      <c r="AW44" s="4"/>
      <c r="AX44" s="4"/>
      <c r="AY44" s="4"/>
    </row>
    <row r="45" spans="1:51" ht="14.5" x14ac:dyDescent="0.35">
      <c r="A45" s="98">
        <v>47392</v>
      </c>
      <c r="B45" s="33">
        <v>38</v>
      </c>
      <c r="C45" s="8">
        <v>18</v>
      </c>
      <c r="D45" s="11">
        <v>26</v>
      </c>
      <c r="E45">
        <v>21.285</v>
      </c>
      <c r="F45">
        <v>43.151000000000003</v>
      </c>
      <c r="G45">
        <v>26.225999999999999</v>
      </c>
      <c r="H45">
        <v>99.688999999999993</v>
      </c>
      <c r="I45">
        <v>43.25</v>
      </c>
      <c r="J45">
        <v>21.856000000000002</v>
      </c>
      <c r="K45">
        <v>36.420999999999999</v>
      </c>
      <c r="L45">
        <v>18.356999999999999</v>
      </c>
      <c r="M45">
        <v>19.390999999999998</v>
      </c>
      <c r="N45">
        <v>18.148</v>
      </c>
      <c r="O45">
        <v>35.902000000000001</v>
      </c>
      <c r="P45">
        <v>28.096</v>
      </c>
      <c r="Q45">
        <v>48.055</v>
      </c>
      <c r="R45">
        <v>44.131</v>
      </c>
      <c r="S45">
        <v>23.141999999999999</v>
      </c>
      <c r="T45">
        <v>34.683</v>
      </c>
      <c r="U45">
        <v>26.126000000000001</v>
      </c>
      <c r="V45">
        <v>39.087000000000003</v>
      </c>
      <c r="W45">
        <v>16.073</v>
      </c>
      <c r="X45">
        <v>47.37</v>
      </c>
      <c r="Y45">
        <v>35.593000000000004</v>
      </c>
      <c r="Z45">
        <v>15.116</v>
      </c>
      <c r="AA45">
        <v>21.945</v>
      </c>
      <c r="AB45">
        <v>41.029000000000003</v>
      </c>
      <c r="AC45">
        <v>24.024999999999999</v>
      </c>
      <c r="AD45">
        <v>22.872</v>
      </c>
      <c r="AE45">
        <v>27.73</v>
      </c>
      <c r="AF45">
        <v>18.381</v>
      </c>
      <c r="AG45">
        <v>14.021000000000001</v>
      </c>
      <c r="AH45">
        <v>40.197000000000003</v>
      </c>
      <c r="AI45" s="4"/>
      <c r="AJ45" s="4"/>
      <c r="AK45" s="4"/>
      <c r="AL45" s="4"/>
      <c r="AM45" s="4"/>
      <c r="AN45" s="4"/>
      <c r="AO45" s="4"/>
      <c r="AP45" s="4"/>
      <c r="AQ45" s="4"/>
      <c r="AR45" s="4"/>
      <c r="AS45" s="4"/>
      <c r="AT45" s="4"/>
      <c r="AU45" s="4"/>
      <c r="AV45" s="4"/>
      <c r="AW45" s="4"/>
      <c r="AX45" s="4"/>
      <c r="AY45" s="4"/>
    </row>
    <row r="46" spans="1:51" ht="14.5" x14ac:dyDescent="0.35">
      <c r="A46" s="98">
        <v>47423</v>
      </c>
      <c r="B46" s="33">
        <v>37</v>
      </c>
      <c r="C46" s="8">
        <v>25</v>
      </c>
      <c r="D46" s="11">
        <v>30</v>
      </c>
      <c r="E46">
        <v>25.053999999999998</v>
      </c>
      <c r="F46">
        <v>39.381999999999998</v>
      </c>
      <c r="G46">
        <v>51.396999999999998</v>
      </c>
      <c r="H46">
        <v>49.308999999999997</v>
      </c>
      <c r="I46">
        <v>37.643000000000001</v>
      </c>
      <c r="J46">
        <v>25.247</v>
      </c>
      <c r="K46">
        <v>25.521000000000001</v>
      </c>
      <c r="L46">
        <v>24.145</v>
      </c>
      <c r="M46">
        <v>18.391999999999999</v>
      </c>
      <c r="N46">
        <v>24.542000000000002</v>
      </c>
      <c r="O46">
        <v>42.255000000000003</v>
      </c>
      <c r="P46">
        <v>27.687999999999999</v>
      </c>
      <c r="Q46">
        <v>43.363999999999997</v>
      </c>
      <c r="R46">
        <v>34.277999999999999</v>
      </c>
      <c r="S46">
        <v>28.849</v>
      </c>
      <c r="T46">
        <v>35.460999999999999</v>
      </c>
      <c r="U46">
        <v>46.075000000000003</v>
      </c>
      <c r="V46">
        <v>40.219000000000001</v>
      </c>
      <c r="W46">
        <v>22.523</v>
      </c>
      <c r="X46">
        <v>40.1</v>
      </c>
      <c r="Y46">
        <v>33.670999999999999</v>
      </c>
      <c r="Z46">
        <v>22.579000000000001</v>
      </c>
      <c r="AA46">
        <v>25.417999999999999</v>
      </c>
      <c r="AB46">
        <v>31.783000000000001</v>
      </c>
      <c r="AC46">
        <v>24.934999999999999</v>
      </c>
      <c r="AD46">
        <v>28.814</v>
      </c>
      <c r="AE46">
        <v>37.155999999999999</v>
      </c>
      <c r="AF46">
        <v>25</v>
      </c>
      <c r="AG46">
        <v>20.594999999999999</v>
      </c>
      <c r="AH46">
        <v>32.944000000000003</v>
      </c>
      <c r="AI46" s="4"/>
      <c r="AJ46" s="4"/>
      <c r="AK46" s="4"/>
      <c r="AL46" s="4"/>
      <c r="AM46" s="4"/>
      <c r="AN46" s="4"/>
      <c r="AO46" s="4"/>
      <c r="AP46" s="4"/>
      <c r="AQ46" s="4"/>
      <c r="AR46" s="4"/>
      <c r="AS46" s="4"/>
      <c r="AT46" s="4"/>
      <c r="AU46" s="4"/>
      <c r="AV46" s="4"/>
      <c r="AW46" s="4"/>
      <c r="AX46" s="4"/>
      <c r="AY46" s="4"/>
    </row>
    <row r="47" spans="1:51" ht="14.5" x14ac:dyDescent="0.35">
      <c r="A47" s="98">
        <v>47453</v>
      </c>
      <c r="B47" s="33">
        <v>25</v>
      </c>
      <c r="C47" s="8">
        <v>25</v>
      </c>
      <c r="D47" s="11">
        <v>25</v>
      </c>
      <c r="E47">
        <v>21.763000000000002</v>
      </c>
      <c r="F47">
        <v>39.619</v>
      </c>
      <c r="G47">
        <v>46.075000000000003</v>
      </c>
      <c r="H47">
        <v>33.927999999999997</v>
      </c>
      <c r="I47">
        <v>39.808999999999997</v>
      </c>
      <c r="J47">
        <v>25.044</v>
      </c>
      <c r="K47">
        <v>22.831</v>
      </c>
      <c r="L47">
        <v>21.187000000000001</v>
      </c>
      <c r="M47">
        <v>18.364000000000001</v>
      </c>
      <c r="N47">
        <v>25.925000000000001</v>
      </c>
      <c r="O47">
        <v>24.931999999999999</v>
      </c>
      <c r="P47">
        <v>22.684999999999999</v>
      </c>
      <c r="Q47">
        <v>29.768000000000001</v>
      </c>
      <c r="R47">
        <v>22.885000000000002</v>
      </c>
      <c r="S47">
        <v>27.824000000000002</v>
      </c>
      <c r="T47">
        <v>28.184999999999999</v>
      </c>
      <c r="U47">
        <v>32.869</v>
      </c>
      <c r="V47">
        <v>33.494</v>
      </c>
      <c r="W47">
        <v>22.196000000000002</v>
      </c>
      <c r="X47">
        <v>26.849</v>
      </c>
      <c r="Y47">
        <v>30.475999999999999</v>
      </c>
      <c r="Z47">
        <v>22.693999999999999</v>
      </c>
      <c r="AA47">
        <v>24.338999999999999</v>
      </c>
      <c r="AB47">
        <v>30.495000000000001</v>
      </c>
      <c r="AC47">
        <v>20.190000000000001</v>
      </c>
      <c r="AD47">
        <v>29.628</v>
      </c>
      <c r="AE47">
        <v>29.585999999999999</v>
      </c>
      <c r="AF47">
        <v>22.785</v>
      </c>
      <c r="AG47">
        <v>19.78</v>
      </c>
      <c r="AH47">
        <v>26.356999999999999</v>
      </c>
      <c r="AI47" s="4"/>
      <c r="AJ47" s="4"/>
      <c r="AK47" s="4"/>
      <c r="AL47" s="4"/>
      <c r="AM47" s="4"/>
      <c r="AN47" s="4"/>
      <c r="AO47" s="4"/>
      <c r="AP47" s="4"/>
      <c r="AQ47" s="4"/>
      <c r="AR47" s="4"/>
      <c r="AS47" s="4"/>
      <c r="AT47" s="4"/>
      <c r="AU47" s="4"/>
      <c r="AV47" s="4"/>
      <c r="AW47" s="4"/>
      <c r="AX47" s="4"/>
      <c r="AY47" s="4"/>
    </row>
    <row r="48" spans="1:51" ht="14.5" x14ac:dyDescent="0.35">
      <c r="A48" s="98">
        <v>47484</v>
      </c>
      <c r="B48" s="33">
        <v>25</v>
      </c>
      <c r="C48" s="8">
        <v>25</v>
      </c>
      <c r="D48" s="11">
        <v>25</v>
      </c>
      <c r="E48">
        <v>23.53</v>
      </c>
      <c r="F48">
        <v>30.106000000000002</v>
      </c>
      <c r="G48">
        <v>34.154000000000003</v>
      </c>
      <c r="H48">
        <v>31.603999999999999</v>
      </c>
      <c r="I48">
        <v>29.734000000000002</v>
      </c>
      <c r="J48">
        <v>28.672999999999998</v>
      </c>
      <c r="K48">
        <v>21.238</v>
      </c>
      <c r="L48">
        <v>19.716000000000001</v>
      </c>
      <c r="M48">
        <v>17.59</v>
      </c>
      <c r="N48">
        <v>22.722000000000001</v>
      </c>
      <c r="O48">
        <v>28.899000000000001</v>
      </c>
      <c r="P48">
        <v>25.439</v>
      </c>
      <c r="Q48">
        <v>24.791</v>
      </c>
      <c r="R48">
        <v>21.149000000000001</v>
      </c>
      <c r="S48">
        <v>26.422000000000001</v>
      </c>
      <c r="T48">
        <v>25.667000000000002</v>
      </c>
      <c r="U48">
        <v>29.225000000000001</v>
      </c>
      <c r="V48">
        <v>33.655000000000001</v>
      </c>
      <c r="W48">
        <v>20.202999999999999</v>
      </c>
      <c r="X48">
        <v>23.17</v>
      </c>
      <c r="Y48">
        <v>27.222000000000001</v>
      </c>
      <c r="Z48">
        <v>21.22</v>
      </c>
      <c r="AA48">
        <v>23.414000000000001</v>
      </c>
      <c r="AB48">
        <v>27.259</v>
      </c>
      <c r="AC48">
        <v>18.946000000000002</v>
      </c>
      <c r="AD48">
        <v>25.800999999999998</v>
      </c>
      <c r="AE48">
        <v>24.931000000000001</v>
      </c>
      <c r="AF48">
        <v>21.632000000000001</v>
      </c>
      <c r="AG48">
        <v>19.428999999999998</v>
      </c>
      <c r="AH48">
        <v>24.452000000000002</v>
      </c>
      <c r="AI48" s="4"/>
      <c r="AJ48" s="4"/>
      <c r="AK48" s="4"/>
      <c r="AL48" s="4"/>
      <c r="AM48" s="4"/>
      <c r="AN48" s="4"/>
      <c r="AO48" s="4"/>
      <c r="AP48" s="4"/>
      <c r="AQ48" s="4"/>
      <c r="AR48" s="4"/>
      <c r="AS48" s="4"/>
      <c r="AT48" s="4"/>
      <c r="AU48" s="4"/>
      <c r="AV48" s="4"/>
      <c r="AW48" s="4"/>
      <c r="AX48" s="4"/>
      <c r="AY48" s="4"/>
    </row>
    <row r="49" spans="1:1005" ht="14.5" x14ac:dyDescent="0.35">
      <c r="A49" s="98">
        <v>47515</v>
      </c>
      <c r="B49" s="33">
        <v>25</v>
      </c>
      <c r="C49" s="8">
        <v>25</v>
      </c>
      <c r="D49" s="11">
        <v>25</v>
      </c>
      <c r="E49">
        <v>33.029000000000003</v>
      </c>
      <c r="F49">
        <v>34.877000000000002</v>
      </c>
      <c r="G49">
        <v>26.895</v>
      </c>
      <c r="H49">
        <v>31.039000000000001</v>
      </c>
      <c r="I49">
        <v>30.166</v>
      </c>
      <c r="J49">
        <v>36.113999999999997</v>
      </c>
      <c r="K49">
        <v>18.971</v>
      </c>
      <c r="L49">
        <v>17.094999999999999</v>
      </c>
      <c r="M49">
        <v>25.649000000000001</v>
      </c>
      <c r="N49">
        <v>20.544</v>
      </c>
      <c r="O49">
        <v>30.731000000000002</v>
      </c>
      <c r="P49">
        <v>19.954999999999998</v>
      </c>
      <c r="Q49">
        <v>27.625</v>
      </c>
      <c r="R49">
        <v>18.533000000000001</v>
      </c>
      <c r="S49">
        <v>27.93</v>
      </c>
      <c r="T49">
        <v>22.018000000000001</v>
      </c>
      <c r="U49">
        <v>24.417000000000002</v>
      </c>
      <c r="V49">
        <v>29.068999999999999</v>
      </c>
      <c r="W49">
        <v>18.388999999999999</v>
      </c>
      <c r="X49">
        <v>23.7</v>
      </c>
      <c r="Y49">
        <v>49.067999999999998</v>
      </c>
      <c r="Z49">
        <v>23.206</v>
      </c>
      <c r="AA49">
        <v>43.895000000000003</v>
      </c>
      <c r="AB49">
        <v>31.065000000000001</v>
      </c>
      <c r="AC49">
        <v>18.164000000000001</v>
      </c>
      <c r="AD49">
        <v>22.207000000000001</v>
      </c>
      <c r="AE49">
        <v>23.292000000000002</v>
      </c>
      <c r="AF49">
        <v>20.536999999999999</v>
      </c>
      <c r="AG49">
        <v>16.663</v>
      </c>
      <c r="AH49">
        <v>21.797000000000001</v>
      </c>
      <c r="AI49" s="4"/>
      <c r="AJ49" s="4"/>
      <c r="AK49" s="4"/>
      <c r="AL49" s="4"/>
      <c r="AM49" s="4"/>
      <c r="AN49" s="4"/>
      <c r="AO49" s="4"/>
      <c r="AP49" s="4"/>
      <c r="AQ49" s="4"/>
      <c r="AR49" s="4"/>
      <c r="AS49" s="4"/>
      <c r="AT49" s="4"/>
      <c r="AU49" s="4"/>
      <c r="AV49" s="4"/>
      <c r="AW49" s="4"/>
      <c r="AX49" s="4"/>
      <c r="AY49" s="4"/>
    </row>
    <row r="50" spans="1:1005" ht="14.5" x14ac:dyDescent="0.35">
      <c r="A50" s="98">
        <v>47543</v>
      </c>
      <c r="B50" s="33">
        <v>74</v>
      </c>
      <c r="C50" s="8">
        <v>74</v>
      </c>
      <c r="D50" s="11">
        <v>74</v>
      </c>
      <c r="E50">
        <v>92.948999999999998</v>
      </c>
      <c r="F50">
        <v>66.388999999999996</v>
      </c>
      <c r="G50">
        <v>83.966999999999999</v>
      </c>
      <c r="H50">
        <v>82.204999999999998</v>
      </c>
      <c r="I50">
        <v>88.525999999999996</v>
      </c>
      <c r="J50">
        <v>64.653000000000006</v>
      </c>
      <c r="K50">
        <v>48.19</v>
      </c>
      <c r="L50">
        <v>27.748999999999999</v>
      </c>
      <c r="M50">
        <v>55.448999999999998</v>
      </c>
      <c r="N50">
        <v>103.208</v>
      </c>
      <c r="O50">
        <v>51.04</v>
      </c>
      <c r="P50">
        <v>41.619</v>
      </c>
      <c r="Q50">
        <v>136.15299999999999</v>
      </c>
      <c r="R50">
        <v>27.271000000000001</v>
      </c>
      <c r="S50">
        <v>93.454999999999998</v>
      </c>
      <c r="T50">
        <v>35.844000000000001</v>
      </c>
      <c r="U50">
        <v>59.893999999999998</v>
      </c>
      <c r="V50">
        <v>95.641000000000005</v>
      </c>
      <c r="W50">
        <v>40.744999999999997</v>
      </c>
      <c r="X50">
        <v>67.233999999999995</v>
      </c>
      <c r="Y50">
        <v>98.545000000000002</v>
      </c>
      <c r="Z50">
        <v>65.254999999999995</v>
      </c>
      <c r="AA50">
        <v>151.12200000000001</v>
      </c>
      <c r="AB50">
        <v>56.963999999999999</v>
      </c>
      <c r="AC50">
        <v>31.92</v>
      </c>
      <c r="AD50">
        <v>61.933999999999997</v>
      </c>
      <c r="AE50">
        <v>44.89</v>
      </c>
      <c r="AF50">
        <v>67.103999999999999</v>
      </c>
      <c r="AG50">
        <v>49.188000000000002</v>
      </c>
      <c r="AH50">
        <v>75.061000000000007</v>
      </c>
      <c r="AI50" s="4"/>
      <c r="AJ50" s="4"/>
      <c r="AK50" s="4"/>
      <c r="AL50" s="4"/>
      <c r="AM50" s="4"/>
      <c r="AN50" s="4"/>
      <c r="AO50" s="4"/>
      <c r="AP50" s="4"/>
      <c r="AQ50" s="4"/>
      <c r="AR50" s="4"/>
      <c r="AS50" s="4"/>
      <c r="AT50" s="4"/>
      <c r="AU50" s="4"/>
      <c r="AV50" s="4"/>
      <c r="AW50" s="4"/>
      <c r="AX50" s="4"/>
      <c r="AY50" s="4"/>
    </row>
    <row r="51" spans="1:1005" ht="14.5" x14ac:dyDescent="0.35">
      <c r="A51" s="98">
        <v>47574</v>
      </c>
      <c r="B51" s="33">
        <v>203</v>
      </c>
      <c r="C51" s="8">
        <v>203</v>
      </c>
      <c r="D51" s="11">
        <v>203</v>
      </c>
      <c r="E51">
        <v>134.16200000000001</v>
      </c>
      <c r="F51">
        <v>340.005</v>
      </c>
      <c r="G51">
        <v>262.245</v>
      </c>
      <c r="H51">
        <v>280.947</v>
      </c>
      <c r="I51">
        <v>242.68600000000001</v>
      </c>
      <c r="J51">
        <v>215.126</v>
      </c>
      <c r="K51">
        <v>190.256</v>
      </c>
      <c r="L51">
        <v>130.97999999999999</v>
      </c>
      <c r="M51">
        <v>240.047</v>
      </c>
      <c r="N51">
        <v>263.91800000000001</v>
      </c>
      <c r="O51">
        <v>209.125</v>
      </c>
      <c r="P51">
        <v>318.25900000000001</v>
      </c>
      <c r="Q51">
        <v>237.65</v>
      </c>
      <c r="R51">
        <v>101.331</v>
      </c>
      <c r="S51">
        <v>271.20400000000001</v>
      </c>
      <c r="T51">
        <v>202.11699999999999</v>
      </c>
      <c r="U51">
        <v>367.06400000000002</v>
      </c>
      <c r="V51">
        <v>265.072</v>
      </c>
      <c r="W51">
        <v>116.782</v>
      </c>
      <c r="X51">
        <v>254.233</v>
      </c>
      <c r="Y51">
        <v>173.43100000000001</v>
      </c>
      <c r="Z51">
        <v>265.27999999999997</v>
      </c>
      <c r="AA51">
        <v>220.351</v>
      </c>
      <c r="AB51">
        <v>145.61799999999999</v>
      </c>
      <c r="AC51">
        <v>225.11699999999999</v>
      </c>
      <c r="AD51">
        <v>203.32499999999999</v>
      </c>
      <c r="AE51">
        <v>143.179</v>
      </c>
      <c r="AF51">
        <v>182.07900000000001</v>
      </c>
      <c r="AG51">
        <v>213.06200000000001</v>
      </c>
      <c r="AH51">
        <v>249.256</v>
      </c>
      <c r="AI51" s="4"/>
      <c r="AJ51" s="4"/>
      <c r="AK51" s="4"/>
      <c r="AL51" s="4"/>
      <c r="AM51" s="4"/>
      <c r="AN51" s="4"/>
      <c r="AO51" s="4"/>
      <c r="AP51" s="4"/>
      <c r="AQ51" s="4"/>
      <c r="AR51" s="4"/>
      <c r="AS51" s="4"/>
      <c r="AT51" s="4"/>
      <c r="AU51" s="4"/>
      <c r="AV51" s="4"/>
      <c r="AW51" s="4"/>
      <c r="AX51" s="4"/>
      <c r="AY51" s="4"/>
    </row>
    <row r="52" spans="1:1005" ht="14.5" x14ac:dyDescent="0.35">
      <c r="A52" s="98">
        <v>47604</v>
      </c>
      <c r="B52" s="33">
        <v>513</v>
      </c>
      <c r="C52" s="8">
        <v>513</v>
      </c>
      <c r="D52" s="11">
        <v>513</v>
      </c>
      <c r="E52">
        <v>732.13800000000003</v>
      </c>
      <c r="F52">
        <v>798.351</v>
      </c>
      <c r="G52">
        <v>952.45</v>
      </c>
      <c r="H52">
        <v>691.34799999999996</v>
      </c>
      <c r="I52">
        <v>635.62400000000002</v>
      </c>
      <c r="J52">
        <v>546.23299999999995</v>
      </c>
      <c r="K52">
        <v>463.56799999999998</v>
      </c>
      <c r="L52">
        <v>204.40600000000001</v>
      </c>
      <c r="M52">
        <v>617.75300000000004</v>
      </c>
      <c r="N52">
        <v>441.69600000000003</v>
      </c>
      <c r="O52">
        <v>576.77200000000005</v>
      </c>
      <c r="P52">
        <v>668.92899999999997</v>
      </c>
      <c r="Q52">
        <v>430.69900000000001</v>
      </c>
      <c r="R52">
        <v>637.52499999999998</v>
      </c>
      <c r="S52">
        <v>760.17600000000004</v>
      </c>
      <c r="T52">
        <v>447.04</v>
      </c>
      <c r="U52">
        <v>917.36800000000005</v>
      </c>
      <c r="V52">
        <v>247.81</v>
      </c>
      <c r="W52">
        <v>358.76499999999999</v>
      </c>
      <c r="X52">
        <v>600.62099999999998</v>
      </c>
      <c r="Y52">
        <v>382.38200000000001</v>
      </c>
      <c r="Z52">
        <v>652.66200000000003</v>
      </c>
      <c r="AA52">
        <v>485.16500000000002</v>
      </c>
      <c r="AB52">
        <v>392.63799999999998</v>
      </c>
      <c r="AC52">
        <v>491.791</v>
      </c>
      <c r="AD52">
        <v>566.97900000000004</v>
      </c>
      <c r="AE52">
        <v>457.99200000000002</v>
      </c>
      <c r="AF52">
        <v>371.35399999999998</v>
      </c>
      <c r="AG52">
        <v>727.91300000000001</v>
      </c>
      <c r="AH52">
        <v>459.50599999999997</v>
      </c>
      <c r="AI52" s="4"/>
      <c r="AJ52" s="4"/>
      <c r="AK52" s="4"/>
      <c r="AL52" s="4"/>
      <c r="AM52" s="4"/>
      <c r="AN52" s="4"/>
      <c r="AO52" s="4"/>
      <c r="AP52" s="4"/>
      <c r="AQ52" s="4"/>
      <c r="AR52" s="4"/>
      <c r="AS52" s="4"/>
      <c r="AT52" s="4"/>
      <c r="AU52" s="4"/>
      <c r="AV52" s="4"/>
      <c r="AW52" s="4"/>
      <c r="AX52" s="4"/>
      <c r="AY52" s="4"/>
    </row>
    <row r="53" spans="1:1005" ht="14.5" x14ac:dyDescent="0.35">
      <c r="A53" s="98">
        <v>47635</v>
      </c>
      <c r="B53" s="33">
        <v>367</v>
      </c>
      <c r="C53" s="8">
        <v>367</v>
      </c>
      <c r="D53" s="11">
        <v>367</v>
      </c>
      <c r="E53">
        <v>814.11</v>
      </c>
      <c r="F53">
        <v>578.11599999999999</v>
      </c>
      <c r="G53">
        <v>805.91399999999999</v>
      </c>
      <c r="H53">
        <v>438.35199999999998</v>
      </c>
      <c r="I53">
        <v>499.01</v>
      </c>
      <c r="J53">
        <v>273.86799999999999</v>
      </c>
      <c r="K53">
        <v>207.17699999999999</v>
      </c>
      <c r="L53">
        <v>118.14100000000001</v>
      </c>
      <c r="M53">
        <v>400.245</v>
      </c>
      <c r="N53">
        <v>182.62899999999999</v>
      </c>
      <c r="O53">
        <v>440.43200000000002</v>
      </c>
      <c r="P53">
        <v>341.79</v>
      </c>
      <c r="Q53">
        <v>135.554</v>
      </c>
      <c r="R53">
        <v>700.37599999999998</v>
      </c>
      <c r="S53">
        <v>503.22399999999999</v>
      </c>
      <c r="T53">
        <v>551.98900000000003</v>
      </c>
      <c r="U53">
        <v>1094.8140000000001</v>
      </c>
      <c r="V53">
        <v>49.378999999999998</v>
      </c>
      <c r="W53">
        <v>255.45500000000001</v>
      </c>
      <c r="X53">
        <v>533.89700000000005</v>
      </c>
      <c r="Y53">
        <v>241.702</v>
      </c>
      <c r="Z53">
        <v>455.04</v>
      </c>
      <c r="AA53">
        <v>355.32400000000001</v>
      </c>
      <c r="AB53">
        <v>141.12799999999999</v>
      </c>
      <c r="AC53">
        <v>596.23</v>
      </c>
      <c r="AD53">
        <v>354.596</v>
      </c>
      <c r="AE53">
        <v>359.20699999999999</v>
      </c>
      <c r="AF53">
        <v>131.53700000000001</v>
      </c>
      <c r="AG53">
        <v>652.67399999999998</v>
      </c>
      <c r="AH53">
        <v>172.84399999999999</v>
      </c>
      <c r="AI53" s="4"/>
      <c r="AJ53" s="4"/>
      <c r="AK53" s="4"/>
      <c r="AL53" s="4"/>
      <c r="AM53" s="4"/>
      <c r="AN53" s="4"/>
      <c r="AO53" s="4"/>
      <c r="AP53" s="4"/>
      <c r="AQ53" s="4"/>
      <c r="AR53" s="4"/>
      <c r="AS53" s="4"/>
      <c r="AT53" s="4"/>
      <c r="AU53" s="4"/>
      <c r="AV53" s="4"/>
      <c r="AW53" s="4"/>
      <c r="AX53" s="4"/>
      <c r="AY53" s="4"/>
    </row>
    <row r="54" spans="1:1005" ht="14.5" x14ac:dyDescent="0.35">
      <c r="A54" s="98">
        <v>47665</v>
      </c>
      <c r="B54" s="33">
        <v>60</v>
      </c>
      <c r="C54" s="8">
        <v>60</v>
      </c>
      <c r="D54" s="11">
        <v>60</v>
      </c>
      <c r="E54">
        <v>279.85300000000001</v>
      </c>
      <c r="F54">
        <v>115.82899999999999</v>
      </c>
      <c r="G54">
        <v>148.53399999999999</v>
      </c>
      <c r="H54">
        <v>149.54900000000001</v>
      </c>
      <c r="I54">
        <v>98.426000000000002</v>
      </c>
      <c r="J54">
        <v>28.367999999999999</v>
      </c>
      <c r="K54">
        <v>23.433</v>
      </c>
      <c r="L54">
        <v>4.5620000000000003</v>
      </c>
      <c r="M54">
        <v>59.862000000000002</v>
      </c>
      <c r="N54">
        <v>27.096</v>
      </c>
      <c r="O54">
        <v>80.480999999999995</v>
      </c>
      <c r="P54">
        <v>47.51</v>
      </c>
      <c r="Q54">
        <v>12.087999999999999</v>
      </c>
      <c r="R54">
        <v>188.346</v>
      </c>
      <c r="S54">
        <v>141.41200000000001</v>
      </c>
      <c r="T54">
        <v>102.985</v>
      </c>
      <c r="U54">
        <v>467.505</v>
      </c>
      <c r="V54">
        <v>3.3849999999999998</v>
      </c>
      <c r="W54">
        <v>34.122999999999998</v>
      </c>
      <c r="X54">
        <v>105.848</v>
      </c>
      <c r="Y54">
        <v>33.737000000000002</v>
      </c>
      <c r="Z54">
        <v>73.992999999999995</v>
      </c>
      <c r="AA54">
        <v>59.353999999999999</v>
      </c>
      <c r="AB54">
        <v>10.577999999999999</v>
      </c>
      <c r="AC54">
        <v>212.041</v>
      </c>
      <c r="AD54">
        <v>45.956000000000003</v>
      </c>
      <c r="AE54">
        <v>60.933</v>
      </c>
      <c r="AF54">
        <v>18.763999999999999</v>
      </c>
      <c r="AG54">
        <v>160.75800000000001</v>
      </c>
      <c r="AH54">
        <v>21.765000000000001</v>
      </c>
      <c r="AI54" s="4"/>
      <c r="AJ54" s="4"/>
      <c r="AK54" s="4"/>
      <c r="AL54" s="4"/>
      <c r="AM54" s="4"/>
      <c r="AN54" s="4"/>
      <c r="AO54" s="4"/>
      <c r="AP54" s="4"/>
      <c r="AQ54" s="4"/>
      <c r="AR54" s="4"/>
      <c r="AS54" s="4"/>
      <c r="AT54" s="4"/>
      <c r="AU54" s="4"/>
      <c r="AV54" s="4"/>
      <c r="AW54" s="4"/>
      <c r="AX54" s="4"/>
      <c r="AY54" s="4"/>
    </row>
    <row r="55" spans="1:1005" ht="14.5" x14ac:dyDescent="0.35">
      <c r="A55" s="98">
        <v>47696</v>
      </c>
      <c r="B55" s="33">
        <v>19</v>
      </c>
      <c r="C55" s="8">
        <v>19</v>
      </c>
      <c r="D55" s="11">
        <v>19</v>
      </c>
      <c r="E55">
        <v>45.165999999999997</v>
      </c>
      <c r="F55">
        <v>23.242000000000001</v>
      </c>
      <c r="G55">
        <v>42.027999999999999</v>
      </c>
      <c r="H55">
        <v>33.840000000000003</v>
      </c>
      <c r="I55">
        <v>23.152999999999999</v>
      </c>
      <c r="J55">
        <v>9.3740000000000006</v>
      </c>
      <c r="K55">
        <v>10.146000000000001</v>
      </c>
      <c r="L55">
        <v>3.2650000000000001</v>
      </c>
      <c r="M55">
        <v>12.936</v>
      </c>
      <c r="N55">
        <v>8.7420000000000009</v>
      </c>
      <c r="O55">
        <v>14.54</v>
      </c>
      <c r="P55">
        <v>14.781000000000001</v>
      </c>
      <c r="Q55">
        <v>7.0949999999999998</v>
      </c>
      <c r="R55">
        <v>29.263000000000002</v>
      </c>
      <c r="S55">
        <v>27.623000000000001</v>
      </c>
      <c r="T55">
        <v>22.07</v>
      </c>
      <c r="U55">
        <v>70.459999999999994</v>
      </c>
      <c r="V55">
        <v>6.5839999999999996</v>
      </c>
      <c r="W55">
        <v>10.944000000000001</v>
      </c>
      <c r="X55">
        <v>37.069000000000003</v>
      </c>
      <c r="Y55">
        <v>9.9529999999999994</v>
      </c>
      <c r="Z55">
        <v>17.702999999999999</v>
      </c>
      <c r="AA55">
        <v>14.747</v>
      </c>
      <c r="AB55">
        <v>5.6479999999999997</v>
      </c>
      <c r="AC55">
        <v>32.457999999999998</v>
      </c>
      <c r="AD55">
        <v>12.118</v>
      </c>
      <c r="AE55">
        <v>14.552</v>
      </c>
      <c r="AF55">
        <v>8.7780000000000005</v>
      </c>
      <c r="AG55">
        <v>29.113</v>
      </c>
      <c r="AH55">
        <v>9.2680000000000007</v>
      </c>
      <c r="AI55" s="4"/>
      <c r="AJ55" s="4"/>
      <c r="AK55" s="4"/>
      <c r="AL55" s="4"/>
      <c r="AM55" s="4"/>
      <c r="AN55" s="4"/>
      <c r="AO55" s="4"/>
      <c r="AP55" s="4"/>
      <c r="AQ55" s="4"/>
      <c r="AR55" s="4"/>
      <c r="AS55" s="4"/>
      <c r="AT55" s="4"/>
      <c r="AU55" s="4"/>
      <c r="AV55" s="4"/>
      <c r="AW55" s="4"/>
      <c r="AX55" s="4"/>
      <c r="AY55" s="4"/>
    </row>
    <row r="56" spans="1:1005" ht="14.5" x14ac:dyDescent="0.35">
      <c r="A56" s="98">
        <v>47727</v>
      </c>
      <c r="B56" s="33">
        <v>13</v>
      </c>
      <c r="C56" s="8">
        <v>13</v>
      </c>
      <c r="D56" s="11">
        <v>13</v>
      </c>
      <c r="E56">
        <v>21.652999999999999</v>
      </c>
      <c r="F56">
        <v>17.786000000000001</v>
      </c>
      <c r="G56">
        <v>86.313999999999993</v>
      </c>
      <c r="H56">
        <v>17.744</v>
      </c>
      <c r="I56">
        <v>18.22</v>
      </c>
      <c r="J56">
        <v>18.318999999999999</v>
      </c>
      <c r="K56">
        <v>10.275</v>
      </c>
      <c r="L56">
        <v>5.718</v>
      </c>
      <c r="M56">
        <v>15.622999999999999</v>
      </c>
      <c r="N56">
        <v>17.652999999999999</v>
      </c>
      <c r="O56">
        <v>10.042</v>
      </c>
      <c r="P56">
        <v>25.440999999999999</v>
      </c>
      <c r="Q56">
        <v>15.84</v>
      </c>
      <c r="R56">
        <v>20.652000000000001</v>
      </c>
      <c r="S56">
        <v>16.774000000000001</v>
      </c>
      <c r="T56">
        <v>13.585000000000001</v>
      </c>
      <c r="U56">
        <v>35.982999999999997</v>
      </c>
      <c r="V56">
        <v>8.0660000000000007</v>
      </c>
      <c r="W56">
        <v>23.581</v>
      </c>
      <c r="X56">
        <v>35.305</v>
      </c>
      <c r="Y56">
        <v>9.0709999999999997</v>
      </c>
      <c r="Z56">
        <v>12.702999999999999</v>
      </c>
      <c r="AA56">
        <v>12.301</v>
      </c>
      <c r="AB56">
        <v>6.72</v>
      </c>
      <c r="AC56">
        <v>17.550999999999998</v>
      </c>
      <c r="AD56">
        <v>12.212999999999999</v>
      </c>
      <c r="AE56">
        <v>15.368</v>
      </c>
      <c r="AF56">
        <v>8.59</v>
      </c>
      <c r="AG56">
        <v>20.161999999999999</v>
      </c>
      <c r="AH56">
        <v>9.6820000000000004</v>
      </c>
      <c r="AI56" s="4"/>
      <c r="AJ56" s="4"/>
      <c r="AK56" s="4"/>
      <c r="AL56" s="4"/>
      <c r="AM56" s="4"/>
      <c r="AN56" s="4"/>
      <c r="AO56" s="4"/>
      <c r="AP56" s="4"/>
      <c r="AQ56" s="4"/>
      <c r="AR56" s="4"/>
      <c r="AS56" s="4"/>
      <c r="AT56" s="4"/>
      <c r="AU56" s="4"/>
      <c r="AV56" s="4"/>
      <c r="AW56" s="4"/>
      <c r="AX56" s="4"/>
      <c r="AY56" s="4"/>
    </row>
    <row r="57" spans="1:1005" ht="14.5" x14ac:dyDescent="0.35">
      <c r="A57" s="98">
        <v>47757</v>
      </c>
      <c r="B57" s="33">
        <v>38</v>
      </c>
      <c r="C57" s="8">
        <v>18</v>
      </c>
      <c r="D57" s="11">
        <v>26</v>
      </c>
      <c r="E57">
        <v>43.195999999999998</v>
      </c>
      <c r="F57">
        <v>26.495000000000001</v>
      </c>
      <c r="G57">
        <v>99.741</v>
      </c>
      <c r="H57">
        <v>43.051000000000002</v>
      </c>
      <c r="I57">
        <v>22.062000000000001</v>
      </c>
      <c r="J57">
        <v>36.856000000000002</v>
      </c>
      <c r="K57">
        <v>18.738</v>
      </c>
      <c r="L57">
        <v>19.780999999999999</v>
      </c>
      <c r="M57">
        <v>18.245999999999999</v>
      </c>
      <c r="N57">
        <v>36.042999999999999</v>
      </c>
      <c r="O57">
        <v>28.117999999999999</v>
      </c>
      <c r="P57">
        <v>49.012</v>
      </c>
      <c r="Q57">
        <v>44.250999999999998</v>
      </c>
      <c r="R57">
        <v>23.254999999999999</v>
      </c>
      <c r="S57">
        <v>34.774000000000001</v>
      </c>
      <c r="T57">
        <v>25.350999999999999</v>
      </c>
      <c r="U57">
        <v>39.308</v>
      </c>
      <c r="V57">
        <v>16.309000000000001</v>
      </c>
      <c r="W57">
        <v>47.521999999999998</v>
      </c>
      <c r="X57">
        <v>36.703000000000003</v>
      </c>
      <c r="Y57">
        <v>15.090999999999999</v>
      </c>
      <c r="Z57">
        <v>22.085000000000001</v>
      </c>
      <c r="AA57">
        <v>41.183999999999997</v>
      </c>
      <c r="AB57">
        <v>23.681000000000001</v>
      </c>
      <c r="AC57">
        <v>23.276</v>
      </c>
      <c r="AD57">
        <v>27.99</v>
      </c>
      <c r="AE57">
        <v>18.422000000000001</v>
      </c>
      <c r="AF57">
        <v>14.292</v>
      </c>
      <c r="AG57">
        <v>40.427999999999997</v>
      </c>
      <c r="AH57">
        <v>21.358000000000001</v>
      </c>
      <c r="AI57" s="4"/>
      <c r="AJ57" s="4"/>
      <c r="AK57" s="4"/>
      <c r="AL57" s="4"/>
      <c r="AM57" s="4"/>
      <c r="AN57" s="4"/>
      <c r="AO57" s="4"/>
      <c r="AP57" s="4"/>
      <c r="AQ57" s="4"/>
      <c r="AR57" s="4"/>
      <c r="AS57" s="4"/>
      <c r="AT57" s="4"/>
      <c r="AU57" s="4"/>
      <c r="AV57" s="4"/>
      <c r="AW57" s="4"/>
      <c r="AX57" s="4"/>
      <c r="AY57" s="4"/>
    </row>
    <row r="58" spans="1:1005" ht="14.5" x14ac:dyDescent="0.35">
      <c r="A58" s="98">
        <v>47788</v>
      </c>
      <c r="B58" s="33">
        <v>37</v>
      </c>
      <c r="C58" s="8">
        <v>25</v>
      </c>
      <c r="D58" s="11">
        <v>30</v>
      </c>
      <c r="E58">
        <v>39.426000000000002</v>
      </c>
      <c r="F58">
        <v>51.689</v>
      </c>
      <c r="G58">
        <v>49.353000000000002</v>
      </c>
      <c r="H58">
        <v>38.061</v>
      </c>
      <c r="I58">
        <v>25.433</v>
      </c>
      <c r="J58">
        <v>25.885999999999999</v>
      </c>
      <c r="K58">
        <v>24.491</v>
      </c>
      <c r="L58">
        <v>18.878</v>
      </c>
      <c r="M58">
        <v>24.632999999999999</v>
      </c>
      <c r="N58">
        <v>42.396999999999998</v>
      </c>
      <c r="O58">
        <v>27.710999999999999</v>
      </c>
      <c r="P58">
        <v>44.15</v>
      </c>
      <c r="Q58">
        <v>34.381</v>
      </c>
      <c r="R58">
        <v>28.952999999999999</v>
      </c>
      <c r="S58">
        <v>35.542999999999999</v>
      </c>
      <c r="T58">
        <v>46.905999999999999</v>
      </c>
      <c r="U58">
        <v>40.417999999999999</v>
      </c>
      <c r="V58">
        <v>22.748000000000001</v>
      </c>
      <c r="W58">
        <v>40.231000000000002</v>
      </c>
      <c r="X58">
        <v>35.106999999999999</v>
      </c>
      <c r="Y58">
        <v>22.558</v>
      </c>
      <c r="Z58">
        <v>25.544</v>
      </c>
      <c r="AA58">
        <v>31.911999999999999</v>
      </c>
      <c r="AB58">
        <v>25.361999999999998</v>
      </c>
      <c r="AC58">
        <v>29.190999999999999</v>
      </c>
      <c r="AD58">
        <v>37.393000000000001</v>
      </c>
      <c r="AE58">
        <v>25.04</v>
      </c>
      <c r="AF58">
        <v>20.905999999999999</v>
      </c>
      <c r="AG58">
        <v>33.146000000000001</v>
      </c>
      <c r="AH58">
        <v>25.119</v>
      </c>
      <c r="AI58" s="4"/>
      <c r="AJ58" s="4"/>
      <c r="AK58" s="4"/>
      <c r="AL58" s="4"/>
      <c r="AM58" s="4"/>
      <c r="AN58" s="4"/>
      <c r="AO58" s="4"/>
      <c r="AP58" s="4"/>
      <c r="AQ58" s="4"/>
      <c r="AR58" s="4"/>
      <c r="AS58" s="4"/>
      <c r="AT58" s="4"/>
      <c r="AU58" s="4"/>
      <c r="AV58" s="4"/>
      <c r="AW58" s="4"/>
      <c r="AX58" s="4"/>
      <c r="AY58" s="4"/>
    </row>
    <row r="59" spans="1:1005" ht="14.5" x14ac:dyDescent="0.35">
      <c r="A59" s="98">
        <v>47818</v>
      </c>
      <c r="B59" s="33">
        <v>25</v>
      </c>
      <c r="C59" s="8">
        <v>25</v>
      </c>
      <c r="D59" s="11">
        <v>25</v>
      </c>
      <c r="E59">
        <v>39.662999999999997</v>
      </c>
      <c r="F59">
        <v>46.366</v>
      </c>
      <c r="G59">
        <v>33.97</v>
      </c>
      <c r="H59">
        <v>40.603999999999999</v>
      </c>
      <c r="I59">
        <v>25.224</v>
      </c>
      <c r="J59">
        <v>23.181999999999999</v>
      </c>
      <c r="K59">
        <v>21.523</v>
      </c>
      <c r="L59">
        <v>18.844999999999999</v>
      </c>
      <c r="M59">
        <v>26.013999999999999</v>
      </c>
      <c r="N59">
        <v>25.06</v>
      </c>
      <c r="O59">
        <v>22.707999999999998</v>
      </c>
      <c r="P59">
        <v>30.44</v>
      </c>
      <c r="Q59">
        <v>22.984000000000002</v>
      </c>
      <c r="R59">
        <v>27.925999999999998</v>
      </c>
      <c r="S59">
        <v>28.263999999999999</v>
      </c>
      <c r="T59">
        <v>33.143000000000001</v>
      </c>
      <c r="U59">
        <v>33.689</v>
      </c>
      <c r="V59">
        <v>22.414000000000001</v>
      </c>
      <c r="W59">
        <v>26.974</v>
      </c>
      <c r="X59">
        <v>31.545999999999999</v>
      </c>
      <c r="Y59">
        <v>22.672999999999998</v>
      </c>
      <c r="Z59">
        <v>24.463000000000001</v>
      </c>
      <c r="AA59">
        <v>30.616</v>
      </c>
      <c r="AB59">
        <v>20.286000000000001</v>
      </c>
      <c r="AC59">
        <v>29.998999999999999</v>
      </c>
      <c r="AD59">
        <v>29.815000000000001</v>
      </c>
      <c r="AE59">
        <v>22.824000000000002</v>
      </c>
      <c r="AF59">
        <v>20.186</v>
      </c>
      <c r="AG59">
        <v>26.547999999999998</v>
      </c>
      <c r="AH59">
        <v>21.826000000000001</v>
      </c>
      <c r="AI59" s="4"/>
      <c r="AJ59" s="4"/>
      <c r="AK59" s="4"/>
      <c r="AL59" s="4"/>
      <c r="AM59" s="4"/>
      <c r="AN59" s="4"/>
      <c r="AO59" s="4"/>
      <c r="AP59" s="4"/>
      <c r="AQ59" s="4"/>
      <c r="AR59" s="4"/>
      <c r="AS59" s="4"/>
      <c r="AT59" s="4"/>
      <c r="AU59" s="4"/>
      <c r="AV59" s="4"/>
      <c r="AW59" s="4"/>
      <c r="AX59" s="4"/>
      <c r="AY59" s="4"/>
    </row>
    <row r="60" spans="1:1005" ht="14.5" x14ac:dyDescent="0.35">
      <c r="A60" s="98">
        <v>47849</v>
      </c>
      <c r="B60" s="33">
        <v>25</v>
      </c>
      <c r="C60" s="8">
        <v>25</v>
      </c>
      <c r="D60" s="11">
        <v>25</v>
      </c>
      <c r="E60">
        <v>30.145</v>
      </c>
      <c r="F60">
        <v>34.408000000000001</v>
      </c>
      <c r="G60">
        <v>31.643000000000001</v>
      </c>
      <c r="H60">
        <v>30.103999999999999</v>
      </c>
      <c r="I60">
        <v>28.847999999999999</v>
      </c>
      <c r="J60">
        <v>21.568999999999999</v>
      </c>
      <c r="K60">
        <v>20.035</v>
      </c>
      <c r="L60">
        <v>17.832999999999998</v>
      </c>
      <c r="M60">
        <v>22.802</v>
      </c>
      <c r="N60">
        <v>29.027999999999999</v>
      </c>
      <c r="O60">
        <v>25.460999999999999</v>
      </c>
      <c r="P60">
        <v>25.053999999999998</v>
      </c>
      <c r="Q60">
        <v>21.242000000000001</v>
      </c>
      <c r="R60">
        <v>26.518999999999998</v>
      </c>
      <c r="S60">
        <v>25.74</v>
      </c>
      <c r="T60">
        <v>29.59</v>
      </c>
      <c r="U60">
        <v>33.841000000000001</v>
      </c>
      <c r="V60">
        <v>20.408999999999999</v>
      </c>
      <c r="W60">
        <v>23.286000000000001</v>
      </c>
      <c r="X60">
        <v>27.895</v>
      </c>
      <c r="Y60">
        <v>21.2</v>
      </c>
      <c r="Z60">
        <v>23.53</v>
      </c>
      <c r="AA60">
        <v>27.375</v>
      </c>
      <c r="AB60">
        <v>19.010000000000002</v>
      </c>
      <c r="AC60">
        <v>26.146999999999998</v>
      </c>
      <c r="AD60">
        <v>25.143000000000001</v>
      </c>
      <c r="AE60">
        <v>21.667999999999999</v>
      </c>
      <c r="AF60">
        <v>19.766999999999999</v>
      </c>
      <c r="AG60">
        <v>24.632000000000001</v>
      </c>
      <c r="AH60">
        <v>23.59</v>
      </c>
      <c r="AI60" s="4"/>
      <c r="AJ60" s="4"/>
      <c r="AK60" s="4"/>
      <c r="AL60" s="4"/>
      <c r="AM60" s="4"/>
      <c r="AN60" s="4"/>
      <c r="AO60" s="4"/>
      <c r="AP60" s="4"/>
      <c r="AQ60" s="4"/>
      <c r="AR60" s="4"/>
      <c r="AS60" s="4"/>
      <c r="AT60" s="4"/>
      <c r="AU60" s="4"/>
      <c r="AV60" s="4"/>
      <c r="AW60" s="4"/>
      <c r="AX60" s="4"/>
      <c r="AY60" s="4"/>
    </row>
    <row r="61" spans="1:1005" ht="14.5" x14ac:dyDescent="0.35">
      <c r="A61" s="98">
        <v>47880</v>
      </c>
      <c r="B61" s="33">
        <v>25</v>
      </c>
      <c r="C61" s="8">
        <v>25</v>
      </c>
      <c r="D61" s="11">
        <v>25</v>
      </c>
      <c r="E61">
        <v>34.914999999999999</v>
      </c>
      <c r="F61">
        <v>27.103999999999999</v>
      </c>
      <c r="G61">
        <v>31.073</v>
      </c>
      <c r="H61">
        <v>30.170999999999999</v>
      </c>
      <c r="I61">
        <v>36.277000000000001</v>
      </c>
      <c r="J61">
        <v>19.259</v>
      </c>
      <c r="K61">
        <v>17.37</v>
      </c>
      <c r="L61">
        <v>26.195</v>
      </c>
      <c r="M61">
        <v>20.614999999999998</v>
      </c>
      <c r="N61">
        <v>30.844999999999999</v>
      </c>
      <c r="O61">
        <v>19.974</v>
      </c>
      <c r="P61">
        <v>27.454000000000001</v>
      </c>
      <c r="Q61">
        <v>18.613</v>
      </c>
      <c r="R61">
        <v>28.015999999999998</v>
      </c>
      <c r="S61">
        <v>22.081</v>
      </c>
      <c r="T61">
        <v>24.405000000000001</v>
      </c>
      <c r="U61">
        <v>29.225999999999999</v>
      </c>
      <c r="V61">
        <v>18.565999999999999</v>
      </c>
      <c r="W61">
        <v>23.806000000000001</v>
      </c>
      <c r="X61">
        <v>49.947000000000003</v>
      </c>
      <c r="Y61">
        <v>23.187000000000001</v>
      </c>
      <c r="Z61">
        <v>44.018000000000001</v>
      </c>
      <c r="AA61">
        <v>31.172000000000001</v>
      </c>
      <c r="AB61">
        <v>18.157</v>
      </c>
      <c r="AC61">
        <v>22.503</v>
      </c>
      <c r="AD61">
        <v>23.478000000000002</v>
      </c>
      <c r="AE61">
        <v>20.57</v>
      </c>
      <c r="AF61">
        <v>16.920999999999999</v>
      </c>
      <c r="AG61">
        <v>21.952000000000002</v>
      </c>
      <c r="AH61">
        <v>33.087000000000003</v>
      </c>
      <c r="AI61" s="4"/>
      <c r="AJ61" s="4"/>
      <c r="AK61" s="4"/>
      <c r="AL61" s="4"/>
      <c r="AM61" s="4"/>
      <c r="AN61" s="4"/>
      <c r="AO61" s="4"/>
      <c r="AP61" s="4"/>
      <c r="AQ61" s="4"/>
      <c r="AR61" s="4"/>
      <c r="AS61" s="4"/>
      <c r="AT61" s="4"/>
      <c r="AU61" s="4"/>
      <c r="AV61" s="4"/>
      <c r="AW61" s="4"/>
      <c r="AX61" s="4"/>
      <c r="AY61" s="4"/>
    </row>
    <row r="62" spans="1:1005" ht="14.5" x14ac:dyDescent="0.35">
      <c r="A62" s="98">
        <v>47908</v>
      </c>
      <c r="B62" s="33">
        <v>74</v>
      </c>
      <c r="C62" s="8">
        <v>74</v>
      </c>
      <c r="D62" s="11">
        <v>74</v>
      </c>
      <c r="E62">
        <v>66.442999999999998</v>
      </c>
      <c r="F62">
        <v>84.37</v>
      </c>
      <c r="G62">
        <v>82.257000000000005</v>
      </c>
      <c r="H62">
        <v>86.870999999999995</v>
      </c>
      <c r="I62">
        <v>64.849999999999994</v>
      </c>
      <c r="J62">
        <v>48.609000000000002</v>
      </c>
      <c r="K62">
        <v>28.15</v>
      </c>
      <c r="L62">
        <v>54.996000000000002</v>
      </c>
      <c r="M62">
        <v>103.39400000000001</v>
      </c>
      <c r="N62">
        <v>51.186999999999998</v>
      </c>
      <c r="O62">
        <v>41.64</v>
      </c>
      <c r="P62">
        <v>132.941</v>
      </c>
      <c r="Q62">
        <v>27.361000000000001</v>
      </c>
      <c r="R62">
        <v>93.64</v>
      </c>
      <c r="S62">
        <v>35.918999999999997</v>
      </c>
      <c r="T62">
        <v>58.93</v>
      </c>
      <c r="U62">
        <v>95.853999999999999</v>
      </c>
      <c r="V62">
        <v>40.972000000000001</v>
      </c>
      <c r="W62">
        <v>67.39</v>
      </c>
      <c r="X62">
        <v>95.938999999999993</v>
      </c>
      <c r="Y62">
        <v>65.215999999999994</v>
      </c>
      <c r="Z62">
        <v>151.34399999999999</v>
      </c>
      <c r="AA62">
        <v>57.103999999999999</v>
      </c>
      <c r="AB62">
        <v>30.204000000000001</v>
      </c>
      <c r="AC62">
        <v>62.448999999999998</v>
      </c>
      <c r="AD62">
        <v>45.125</v>
      </c>
      <c r="AE62">
        <v>67.153000000000006</v>
      </c>
      <c r="AF62">
        <v>45.078000000000003</v>
      </c>
      <c r="AG62">
        <v>75.320999999999998</v>
      </c>
      <c r="AH62">
        <v>93.037000000000006</v>
      </c>
      <c r="AI62" s="4"/>
      <c r="AJ62" s="4"/>
      <c r="AK62" s="4"/>
      <c r="AL62" s="4"/>
      <c r="AM62" s="4"/>
      <c r="AN62" s="4"/>
      <c r="AO62" s="4"/>
      <c r="AP62" s="4"/>
      <c r="AQ62" s="4"/>
      <c r="AR62" s="4"/>
      <c r="AS62" s="4"/>
      <c r="AT62" s="4"/>
      <c r="AU62" s="4"/>
      <c r="AV62" s="4"/>
      <c r="AW62" s="4"/>
      <c r="AX62" s="4"/>
      <c r="AY62" s="4"/>
    </row>
    <row r="63" spans="1:1005" ht="14.5" x14ac:dyDescent="0.35">
      <c r="A63" s="98">
        <v>47939</v>
      </c>
      <c r="B63" s="33">
        <v>203</v>
      </c>
      <c r="C63" s="8">
        <v>203</v>
      </c>
      <c r="D63" s="11">
        <v>203</v>
      </c>
      <c r="E63">
        <v>340.10399999999998</v>
      </c>
      <c r="F63">
        <v>262.91000000000003</v>
      </c>
      <c r="G63">
        <v>281.01499999999999</v>
      </c>
      <c r="H63">
        <v>227.97399999999999</v>
      </c>
      <c r="I63">
        <v>215.36600000000001</v>
      </c>
      <c r="J63">
        <v>191.35400000000001</v>
      </c>
      <c r="K63">
        <v>131.72</v>
      </c>
      <c r="L63">
        <v>228.459</v>
      </c>
      <c r="M63">
        <v>264.12599999999998</v>
      </c>
      <c r="N63">
        <v>209.35</v>
      </c>
      <c r="O63">
        <v>318.24299999999999</v>
      </c>
      <c r="P63">
        <v>230.876</v>
      </c>
      <c r="Q63">
        <v>101.496</v>
      </c>
      <c r="R63">
        <v>271.68</v>
      </c>
      <c r="S63">
        <v>202.285</v>
      </c>
      <c r="T63">
        <v>356.15199999999999</v>
      </c>
      <c r="U63">
        <v>265.24299999999999</v>
      </c>
      <c r="V63">
        <v>117.069</v>
      </c>
      <c r="W63">
        <v>254.399</v>
      </c>
      <c r="X63">
        <v>172.87799999999999</v>
      </c>
      <c r="Y63">
        <v>265.12900000000002</v>
      </c>
      <c r="Z63">
        <v>220.541</v>
      </c>
      <c r="AA63">
        <v>145.798</v>
      </c>
      <c r="AB63">
        <v>216.12899999999999</v>
      </c>
      <c r="AC63">
        <v>204.703</v>
      </c>
      <c r="AD63">
        <v>143.56299999999999</v>
      </c>
      <c r="AE63">
        <v>182.125</v>
      </c>
      <c r="AF63">
        <v>204.34</v>
      </c>
      <c r="AG63">
        <v>249.548</v>
      </c>
      <c r="AH63">
        <v>134.25899999999999</v>
      </c>
      <c r="AI63" s="4"/>
      <c r="AJ63" s="4"/>
      <c r="AK63" s="4"/>
      <c r="AL63" s="4"/>
      <c r="AM63" s="4"/>
      <c r="AN63" s="4"/>
      <c r="AO63" s="4"/>
      <c r="AP63" s="4"/>
      <c r="AQ63" s="4"/>
      <c r="AR63" s="4"/>
      <c r="AS63" s="4"/>
      <c r="AT63" s="4"/>
      <c r="AU63" s="4"/>
      <c r="AV63" s="4"/>
      <c r="AW63" s="4"/>
      <c r="AX63" s="4"/>
      <c r="AY63" s="4"/>
    </row>
    <row r="64" spans="1:1005" ht="14.5" x14ac:dyDescent="0.35">
      <c r="A64" s="98">
        <v>47969</v>
      </c>
      <c r="B64" s="33">
        <v>513</v>
      </c>
      <c r="C64" s="8">
        <v>513</v>
      </c>
      <c r="D64" s="11">
        <v>513</v>
      </c>
      <c r="E64">
        <v>798.351</v>
      </c>
      <c r="F64">
        <v>952.45</v>
      </c>
      <c r="G64">
        <v>691.34799999999996</v>
      </c>
      <c r="H64">
        <v>635.62400000000002</v>
      </c>
      <c r="I64">
        <v>546.23299999999995</v>
      </c>
      <c r="J64">
        <v>463.56799999999998</v>
      </c>
      <c r="K64">
        <v>204.40600000000001</v>
      </c>
      <c r="L64">
        <v>617.75300000000004</v>
      </c>
      <c r="M64">
        <v>441.69600000000003</v>
      </c>
      <c r="N64">
        <v>576.77200000000005</v>
      </c>
      <c r="O64">
        <v>668.92899999999997</v>
      </c>
      <c r="P64">
        <v>430.69900000000001</v>
      </c>
      <c r="Q64">
        <v>637.52499999999998</v>
      </c>
      <c r="R64">
        <v>760.17600000000004</v>
      </c>
      <c r="S64">
        <v>447.04</v>
      </c>
      <c r="T64">
        <v>917.36800000000005</v>
      </c>
      <c r="U64">
        <v>247.81</v>
      </c>
      <c r="V64">
        <v>358.76499999999999</v>
      </c>
      <c r="W64">
        <v>600.62099999999998</v>
      </c>
      <c r="X64">
        <v>382.38200000000001</v>
      </c>
      <c r="Y64">
        <v>652.66200000000003</v>
      </c>
      <c r="Z64">
        <v>485.16500000000002</v>
      </c>
      <c r="AA64">
        <v>392.63799999999998</v>
      </c>
      <c r="AB64">
        <v>491.791</v>
      </c>
      <c r="AC64">
        <v>566.97900000000004</v>
      </c>
      <c r="AD64">
        <v>457.99200000000002</v>
      </c>
      <c r="AE64">
        <v>371.35399999999998</v>
      </c>
      <c r="AF64">
        <v>727.91300000000001</v>
      </c>
      <c r="AG64">
        <v>459.50599999999997</v>
      </c>
      <c r="AH64">
        <v>459.50599999999997</v>
      </c>
      <c r="AI64" s="4"/>
      <c r="AJ64" s="4"/>
      <c r="AK64" s="4"/>
      <c r="AL64" s="4"/>
      <c r="AM64" s="4"/>
      <c r="AN64" s="4"/>
      <c r="AO64" s="4"/>
      <c r="AP64" s="4"/>
      <c r="AQ64" s="4"/>
      <c r="AR64" s="4"/>
      <c r="AS64" s="4"/>
      <c r="AT64" s="4"/>
      <c r="AU64" s="4"/>
      <c r="AV64" s="4"/>
      <c r="AW64" s="4"/>
      <c r="AX64" s="4"/>
      <c r="AY64" s="4"/>
      <c r="ALQ64" t="e">
        <v>#N/A</v>
      </c>
    </row>
    <row r="65" spans="1:1005" ht="14.5" x14ac:dyDescent="0.35">
      <c r="A65" s="98">
        <v>48000</v>
      </c>
      <c r="B65" s="33">
        <v>367</v>
      </c>
      <c r="C65" s="8">
        <v>367</v>
      </c>
      <c r="D65" s="11">
        <v>367</v>
      </c>
      <c r="E65">
        <v>578.11599999999999</v>
      </c>
      <c r="F65">
        <v>805.91399999999999</v>
      </c>
      <c r="G65">
        <v>438.35199999999998</v>
      </c>
      <c r="H65">
        <v>499.01</v>
      </c>
      <c r="I65">
        <v>273.86799999999999</v>
      </c>
      <c r="J65">
        <v>207.17699999999999</v>
      </c>
      <c r="K65">
        <v>118.14100000000001</v>
      </c>
      <c r="L65">
        <v>400.245</v>
      </c>
      <c r="M65">
        <v>182.62899999999999</v>
      </c>
      <c r="N65">
        <v>440.43200000000002</v>
      </c>
      <c r="O65">
        <v>341.79</v>
      </c>
      <c r="P65">
        <v>135.554</v>
      </c>
      <c r="Q65">
        <v>700.37599999999998</v>
      </c>
      <c r="R65">
        <v>503.22399999999999</v>
      </c>
      <c r="S65">
        <v>551.98900000000003</v>
      </c>
      <c r="T65">
        <v>1094.8140000000001</v>
      </c>
      <c r="U65">
        <v>49.378999999999998</v>
      </c>
      <c r="V65">
        <v>255.45500000000001</v>
      </c>
      <c r="W65">
        <v>533.89700000000005</v>
      </c>
      <c r="X65">
        <v>241.702</v>
      </c>
      <c r="Y65">
        <v>455.04</v>
      </c>
      <c r="Z65">
        <v>355.32400000000001</v>
      </c>
      <c r="AA65">
        <v>141.12799999999999</v>
      </c>
      <c r="AB65">
        <v>596.23</v>
      </c>
      <c r="AC65">
        <v>354.596</v>
      </c>
      <c r="AD65">
        <v>359.20699999999999</v>
      </c>
      <c r="AE65">
        <v>131.53700000000001</v>
      </c>
      <c r="AF65">
        <v>652.67399999999998</v>
      </c>
      <c r="AG65">
        <v>172.84399999999999</v>
      </c>
      <c r="AH65">
        <v>172.84399999999999</v>
      </c>
      <c r="AI65" s="4"/>
      <c r="AJ65" s="4"/>
      <c r="AK65" s="4"/>
      <c r="AL65" s="4"/>
      <c r="AM65" s="4"/>
      <c r="AN65" s="4"/>
      <c r="AO65" s="4"/>
      <c r="AP65" s="4"/>
      <c r="AQ65" s="4"/>
      <c r="AR65" s="4"/>
      <c r="AS65" s="4"/>
      <c r="AT65" s="4"/>
      <c r="AU65" s="4"/>
      <c r="AV65" s="4"/>
      <c r="AW65" s="4"/>
      <c r="AX65" s="4"/>
      <c r="AY65" s="4"/>
      <c r="ALQ65" t="e">
        <v>#N/A</v>
      </c>
    </row>
    <row r="66" spans="1:1005" ht="14.5" x14ac:dyDescent="0.35">
      <c r="A66" s="98">
        <v>48030</v>
      </c>
      <c r="B66" s="33">
        <v>60</v>
      </c>
      <c r="C66" s="8">
        <v>60</v>
      </c>
      <c r="D66" s="11">
        <v>60</v>
      </c>
      <c r="E66">
        <v>115.82899999999999</v>
      </c>
      <c r="F66">
        <v>148.53399999999999</v>
      </c>
      <c r="G66">
        <v>149.54900000000001</v>
      </c>
      <c r="H66">
        <v>98.426000000000002</v>
      </c>
      <c r="I66">
        <v>28.367999999999999</v>
      </c>
      <c r="J66">
        <v>23.433</v>
      </c>
      <c r="K66">
        <v>4.5620000000000003</v>
      </c>
      <c r="L66">
        <v>59.862000000000002</v>
      </c>
      <c r="M66">
        <v>27.096</v>
      </c>
      <c r="N66">
        <v>80.480999999999995</v>
      </c>
      <c r="O66">
        <v>47.51</v>
      </c>
      <c r="P66">
        <v>12.087999999999999</v>
      </c>
      <c r="Q66">
        <v>188.346</v>
      </c>
      <c r="R66">
        <v>141.41200000000001</v>
      </c>
      <c r="S66">
        <v>102.985</v>
      </c>
      <c r="T66">
        <v>467.505</v>
      </c>
      <c r="U66">
        <v>3.3849999999999998</v>
      </c>
      <c r="V66">
        <v>34.122999999999998</v>
      </c>
      <c r="W66">
        <v>105.848</v>
      </c>
      <c r="X66">
        <v>33.737000000000002</v>
      </c>
      <c r="Y66">
        <v>73.992999999999995</v>
      </c>
      <c r="Z66">
        <v>59.353999999999999</v>
      </c>
      <c r="AA66">
        <v>10.577999999999999</v>
      </c>
      <c r="AB66">
        <v>212.041</v>
      </c>
      <c r="AC66">
        <v>45.956000000000003</v>
      </c>
      <c r="AD66">
        <v>60.933</v>
      </c>
      <c r="AE66">
        <v>18.763999999999999</v>
      </c>
      <c r="AF66">
        <v>160.75800000000001</v>
      </c>
      <c r="AG66">
        <v>21.765000000000001</v>
      </c>
      <c r="AH66">
        <v>21.765000000000001</v>
      </c>
      <c r="AI66" s="4"/>
      <c r="AJ66" s="4"/>
      <c r="AK66" s="4"/>
      <c r="AL66" s="4"/>
      <c r="AM66" s="4"/>
      <c r="AN66" s="4"/>
      <c r="AO66" s="4"/>
      <c r="AP66" s="4"/>
      <c r="AQ66" s="4"/>
      <c r="AR66" s="4"/>
      <c r="AS66" s="4"/>
      <c r="AT66" s="4"/>
      <c r="AU66" s="4"/>
      <c r="AV66" s="4"/>
      <c r="AW66" s="4"/>
      <c r="AX66" s="4"/>
      <c r="AY66" s="4"/>
      <c r="ALQ66" t="e">
        <v>#N/A</v>
      </c>
    </row>
    <row r="67" spans="1:1005" ht="14.5" x14ac:dyDescent="0.35">
      <c r="A67" s="98">
        <v>48061</v>
      </c>
      <c r="B67" s="33">
        <v>19</v>
      </c>
      <c r="C67" s="8">
        <v>19</v>
      </c>
      <c r="D67" s="11">
        <v>19</v>
      </c>
      <c r="E67">
        <v>23.242000000000001</v>
      </c>
      <c r="F67">
        <v>42.027999999999999</v>
      </c>
      <c r="G67">
        <v>33.840000000000003</v>
      </c>
      <c r="H67">
        <v>23.152999999999999</v>
      </c>
      <c r="I67">
        <v>9.3740000000000006</v>
      </c>
      <c r="J67">
        <v>10.146000000000001</v>
      </c>
      <c r="K67">
        <v>3.2650000000000001</v>
      </c>
      <c r="L67">
        <v>12.936</v>
      </c>
      <c r="M67">
        <v>8.7420000000000009</v>
      </c>
      <c r="N67">
        <v>14.54</v>
      </c>
      <c r="O67">
        <v>14.781000000000001</v>
      </c>
      <c r="P67">
        <v>7.0949999999999998</v>
      </c>
      <c r="Q67">
        <v>29.263000000000002</v>
      </c>
      <c r="R67">
        <v>27.623000000000001</v>
      </c>
      <c r="S67">
        <v>22.07</v>
      </c>
      <c r="T67">
        <v>70.459999999999994</v>
      </c>
      <c r="U67">
        <v>6.5839999999999996</v>
      </c>
      <c r="V67">
        <v>10.944000000000001</v>
      </c>
      <c r="W67">
        <v>37.069000000000003</v>
      </c>
      <c r="X67">
        <v>9.9529999999999994</v>
      </c>
      <c r="Y67">
        <v>17.702999999999999</v>
      </c>
      <c r="Z67">
        <v>14.747</v>
      </c>
      <c r="AA67">
        <v>5.6479999999999997</v>
      </c>
      <c r="AB67">
        <v>32.457999999999998</v>
      </c>
      <c r="AC67">
        <v>12.118</v>
      </c>
      <c r="AD67">
        <v>14.552</v>
      </c>
      <c r="AE67">
        <v>8.7780000000000005</v>
      </c>
      <c r="AF67">
        <v>29.113</v>
      </c>
      <c r="AG67">
        <v>9.2680000000000007</v>
      </c>
      <c r="AH67">
        <v>9.2680000000000007</v>
      </c>
      <c r="AI67" s="4"/>
      <c r="AJ67" s="4"/>
      <c r="AK67" s="4"/>
      <c r="AL67" s="4"/>
      <c r="AM67" s="4"/>
      <c r="AN67" s="4"/>
      <c r="AO67" s="4"/>
      <c r="AP67" s="4"/>
      <c r="AQ67" s="4"/>
      <c r="AR67" s="4"/>
      <c r="AS67" s="4"/>
      <c r="AT67" s="4"/>
      <c r="AU67" s="4"/>
      <c r="AV67" s="4"/>
      <c r="AW67" s="4"/>
      <c r="AX67" s="4"/>
      <c r="AY67" s="4"/>
      <c r="ALQ67" t="e">
        <v>#N/A</v>
      </c>
    </row>
    <row r="68" spans="1:1005" ht="14.5" x14ac:dyDescent="0.35">
      <c r="A68" s="98">
        <v>48092</v>
      </c>
      <c r="B68" s="33">
        <v>13</v>
      </c>
      <c r="C68" s="8">
        <v>13</v>
      </c>
      <c r="D68" s="11">
        <v>13</v>
      </c>
      <c r="E68">
        <v>17.786000000000001</v>
      </c>
      <c r="F68">
        <v>86.313999999999993</v>
      </c>
      <c r="G68">
        <v>17.744</v>
      </c>
      <c r="H68">
        <v>18.22</v>
      </c>
      <c r="I68">
        <v>18.318999999999999</v>
      </c>
      <c r="J68">
        <v>10.275</v>
      </c>
      <c r="K68">
        <v>5.718</v>
      </c>
      <c r="L68">
        <v>15.622999999999999</v>
      </c>
      <c r="M68">
        <v>17.652999999999999</v>
      </c>
      <c r="N68">
        <v>10.042</v>
      </c>
      <c r="O68">
        <v>25.440999999999999</v>
      </c>
      <c r="P68">
        <v>15.84</v>
      </c>
      <c r="Q68">
        <v>20.652000000000001</v>
      </c>
      <c r="R68">
        <v>16.774000000000001</v>
      </c>
      <c r="S68">
        <v>13.585000000000001</v>
      </c>
      <c r="T68">
        <v>35.982999999999997</v>
      </c>
      <c r="U68">
        <v>8.0660000000000007</v>
      </c>
      <c r="V68">
        <v>23.581</v>
      </c>
      <c r="W68">
        <v>35.305</v>
      </c>
      <c r="X68">
        <v>9.0709999999999997</v>
      </c>
      <c r="Y68">
        <v>12.702999999999999</v>
      </c>
      <c r="Z68">
        <v>12.301</v>
      </c>
      <c r="AA68">
        <v>6.72</v>
      </c>
      <c r="AB68">
        <v>17.550999999999998</v>
      </c>
      <c r="AC68">
        <v>12.212999999999999</v>
      </c>
      <c r="AD68">
        <v>15.368</v>
      </c>
      <c r="AE68">
        <v>8.59</v>
      </c>
      <c r="AF68">
        <v>20.161999999999999</v>
      </c>
      <c r="AG68">
        <v>9.6820000000000004</v>
      </c>
      <c r="AH68">
        <v>9.6820000000000004</v>
      </c>
      <c r="AI68" s="4"/>
      <c r="AJ68" s="4"/>
      <c r="AK68" s="4"/>
      <c r="AL68" s="4"/>
      <c r="AM68" s="4"/>
      <c r="AN68" s="4"/>
      <c r="AO68" s="4"/>
      <c r="AP68" s="4"/>
      <c r="AQ68" s="4"/>
      <c r="AR68" s="4"/>
      <c r="AS68" s="4"/>
      <c r="AT68" s="4"/>
      <c r="AU68" s="4"/>
      <c r="AV68" s="4"/>
      <c r="AW68" s="4"/>
      <c r="AX68" s="4"/>
      <c r="AY68" s="4"/>
      <c r="ALQ68" t="e">
        <v>#N/A</v>
      </c>
    </row>
    <row r="69" spans="1:1005" ht="14.5" x14ac:dyDescent="0.35">
      <c r="A69" s="98"/>
      <c r="B69" s="33"/>
      <c r="C69" s="8"/>
      <c r="D69" s="11"/>
      <c r="AI69" s="4"/>
      <c r="AJ69" s="4"/>
      <c r="AK69" s="4"/>
      <c r="AL69" s="4"/>
      <c r="AM69" s="4"/>
      <c r="AN69" s="4"/>
      <c r="AO69" s="4"/>
      <c r="AP69" s="4"/>
      <c r="AQ69" s="4"/>
      <c r="AR69" s="4"/>
      <c r="AS69" s="4"/>
      <c r="AT69" s="4"/>
      <c r="AU69" s="4"/>
      <c r="AV69" s="4"/>
      <c r="AW69" s="4"/>
      <c r="AX69" s="4"/>
      <c r="AY69" s="4"/>
      <c r="ALQ69" t="e">
        <v>#N/A</v>
      </c>
    </row>
    <row r="70" spans="1:1005" ht="14.5" x14ac:dyDescent="0.35">
      <c r="A70" s="98"/>
      <c r="B70" s="33"/>
      <c r="C70" s="8"/>
      <c r="D70" s="11"/>
      <c r="AI70" s="4"/>
      <c r="AJ70" s="4"/>
      <c r="AK70" s="4"/>
      <c r="AL70" s="4"/>
      <c r="AM70" s="4"/>
      <c r="AN70" s="4"/>
      <c r="AO70" s="4"/>
      <c r="AP70" s="4"/>
      <c r="AQ70" s="4"/>
      <c r="AR70" s="4"/>
      <c r="AS70" s="4"/>
      <c r="AT70" s="4"/>
      <c r="AU70" s="4"/>
      <c r="AV70" s="4"/>
      <c r="AW70" s="4"/>
      <c r="AX70" s="4"/>
      <c r="AY70" s="4"/>
      <c r="ALQ70" t="e">
        <v>#N/A</v>
      </c>
    </row>
    <row r="71" spans="1:1005" ht="14.5" x14ac:dyDescent="0.35">
      <c r="A71" s="98"/>
      <c r="B71" s="33"/>
      <c r="C71" s="8"/>
      <c r="D71" s="11"/>
      <c r="AI71" s="4"/>
      <c r="AJ71" s="4"/>
      <c r="AK71" s="4"/>
      <c r="AL71" s="4"/>
      <c r="AM71" s="4"/>
      <c r="AN71" s="4"/>
      <c r="AO71" s="4"/>
      <c r="AP71" s="4"/>
      <c r="AQ71" s="4"/>
      <c r="AR71" s="4"/>
      <c r="AS71" s="4"/>
      <c r="AT71" s="4"/>
      <c r="AU71" s="4"/>
      <c r="AV71" s="4"/>
      <c r="AW71" s="4"/>
      <c r="AX71" s="4"/>
      <c r="AY71" s="4"/>
      <c r="ALQ71" t="e">
        <v>#N/A</v>
      </c>
    </row>
    <row r="72" spans="1:1005" ht="14.5" x14ac:dyDescent="0.35">
      <c r="A72" s="99"/>
      <c r="B72" s="33"/>
      <c r="C72" s="8"/>
      <c r="D72" s="14"/>
      <c r="AI72" s="4"/>
      <c r="AJ72" s="4"/>
      <c r="AK72" s="4"/>
      <c r="AL72" s="4"/>
      <c r="AM72" s="4"/>
      <c r="AN72" s="4"/>
      <c r="AO72" s="4"/>
      <c r="AP72" s="4"/>
      <c r="AQ72" s="4"/>
      <c r="AR72" s="4"/>
      <c r="AS72" s="4"/>
      <c r="AT72" s="4"/>
      <c r="AU72" s="4"/>
      <c r="AV72" s="4"/>
      <c r="AW72" s="4"/>
      <c r="AX72" s="4"/>
      <c r="AY72" s="4"/>
      <c r="ALQ72" t="e">
        <v>#N/A</v>
      </c>
    </row>
    <row r="73" spans="1:1005" ht="14.5" x14ac:dyDescent="0.35">
      <c r="A73" s="99"/>
      <c r="B73" s="33"/>
      <c r="C73" s="8"/>
      <c r="D73" s="11"/>
      <c r="AI73" s="4"/>
      <c r="AJ73" s="4"/>
      <c r="AK73" s="4"/>
      <c r="AL73" s="4"/>
      <c r="AM73" s="4"/>
      <c r="AN73" s="4"/>
      <c r="AO73" s="4"/>
      <c r="AP73" s="4"/>
      <c r="AQ73" s="4"/>
      <c r="AR73" s="4"/>
      <c r="AS73" s="4"/>
      <c r="AT73" s="4"/>
      <c r="AU73" s="4"/>
      <c r="AV73" s="4"/>
      <c r="AW73" s="4"/>
      <c r="AX73" s="4"/>
      <c r="AY73" s="4"/>
    </row>
    <row r="74" spans="1:1005" ht="14.5" x14ac:dyDescent="0.35">
      <c r="A74" s="99"/>
      <c r="B74" s="33"/>
      <c r="C74" s="8"/>
      <c r="D74" s="11"/>
      <c r="AI74" s="4"/>
      <c r="AJ74" s="4"/>
      <c r="AK74" s="4"/>
      <c r="AL74" s="4"/>
      <c r="AM74" s="4"/>
      <c r="AN74" s="4"/>
      <c r="AO74" s="4"/>
      <c r="AP74" s="4"/>
      <c r="AQ74" s="4"/>
      <c r="AR74" s="4"/>
      <c r="AS74" s="4"/>
      <c r="AT74" s="4"/>
      <c r="AU74" s="4"/>
      <c r="AV74" s="4"/>
      <c r="AW74" s="4"/>
      <c r="AX74" s="4"/>
      <c r="AY74" s="4"/>
    </row>
    <row r="75" spans="1:1005" ht="14.5" x14ac:dyDescent="0.35">
      <c r="A75" s="99"/>
      <c r="B75" s="33"/>
      <c r="C75" s="8"/>
      <c r="D75" s="11"/>
      <c r="AI75" s="4"/>
      <c r="AJ75" s="4"/>
      <c r="AK75" s="4"/>
      <c r="AL75" s="4"/>
      <c r="AM75" s="4"/>
      <c r="AN75" s="4"/>
      <c r="AO75" s="4"/>
      <c r="AP75" s="4"/>
      <c r="AQ75" s="4"/>
      <c r="AR75" s="4"/>
      <c r="AS75" s="4"/>
      <c r="AT75" s="4"/>
      <c r="AU75" s="4"/>
      <c r="AV75" s="4"/>
      <c r="AW75" s="4"/>
      <c r="AX75" s="4"/>
      <c r="AY75" s="4"/>
    </row>
    <row r="76" spans="1:1005" ht="14.5" x14ac:dyDescent="0.35">
      <c r="A76" s="99"/>
      <c r="B76" s="33"/>
      <c r="C76" s="8"/>
      <c r="D76" s="11"/>
      <c r="AI76" s="4"/>
      <c r="AJ76" s="4"/>
      <c r="AK76" s="4"/>
      <c r="AL76" s="4"/>
      <c r="AM76" s="4"/>
      <c r="AN76" s="4"/>
      <c r="AO76" s="4"/>
      <c r="AP76" s="4"/>
      <c r="AQ76" s="4"/>
      <c r="AR76" s="4"/>
      <c r="AS76" s="4"/>
      <c r="AT76" s="4"/>
      <c r="AU76" s="4"/>
      <c r="AV76" s="4"/>
      <c r="AW76" s="4"/>
      <c r="AX76" s="4"/>
      <c r="AY76" s="4"/>
    </row>
    <row r="77" spans="1:1005" ht="14.5" x14ac:dyDescent="0.35">
      <c r="A77" s="99"/>
      <c r="B77" s="33"/>
      <c r="C77" s="8"/>
      <c r="D77" s="11"/>
      <c r="AI77" s="4"/>
      <c r="AJ77" s="4"/>
      <c r="AK77" s="4"/>
      <c r="AL77" s="4"/>
      <c r="AM77" s="4"/>
      <c r="AN77" s="4"/>
      <c r="AO77" s="4"/>
      <c r="AP77" s="4"/>
      <c r="AQ77" s="4"/>
      <c r="AR77" s="4"/>
      <c r="AS77" s="4"/>
      <c r="AT77" s="4"/>
      <c r="AU77" s="4"/>
      <c r="AV77" s="4"/>
      <c r="AW77" s="4"/>
      <c r="AX77" s="4"/>
      <c r="AY77" s="4"/>
    </row>
    <row r="78" spans="1:1005" ht="14.5" x14ac:dyDescent="0.35">
      <c r="A78" s="99"/>
      <c r="B78" s="33"/>
      <c r="C78" s="8"/>
      <c r="D78" s="11"/>
      <c r="AI78" s="4"/>
      <c r="AJ78" s="4"/>
      <c r="AK78" s="4"/>
      <c r="AL78" s="4"/>
      <c r="AM78" s="4"/>
      <c r="AN78" s="4"/>
      <c r="AO78" s="4"/>
      <c r="AP78" s="4"/>
      <c r="AQ78" s="4"/>
      <c r="AR78" s="4"/>
      <c r="AS78" s="4"/>
      <c r="AT78" s="4"/>
      <c r="AU78" s="4"/>
      <c r="AV78" s="4"/>
      <c r="AW78" s="4"/>
      <c r="AX78" s="4"/>
      <c r="AY78" s="4"/>
    </row>
    <row r="79" spans="1:1005" ht="14.5" x14ac:dyDescent="0.35">
      <c r="A79" s="99"/>
      <c r="B79" s="33"/>
      <c r="C79" s="8"/>
      <c r="D79" s="11"/>
      <c r="AI79" s="4"/>
      <c r="AJ79" s="4"/>
      <c r="AK79" s="4"/>
      <c r="AL79" s="4"/>
      <c r="AM79" s="4"/>
      <c r="AN79" s="4"/>
      <c r="AO79" s="4"/>
      <c r="AP79" s="4"/>
      <c r="AQ79" s="4"/>
      <c r="AR79" s="4"/>
      <c r="AS79" s="4"/>
      <c r="AT79" s="4"/>
      <c r="AU79" s="4"/>
      <c r="AV79" s="4"/>
      <c r="AW79" s="4"/>
      <c r="AX79" s="4"/>
      <c r="AY79" s="4"/>
    </row>
    <row r="80" spans="1:1005" ht="14.5" x14ac:dyDescent="0.35">
      <c r="A80" s="99"/>
      <c r="B80" s="33"/>
      <c r="C80" s="8"/>
      <c r="D80" s="11"/>
      <c r="AI80" s="4"/>
      <c r="AJ80" s="4"/>
      <c r="AK80" s="4"/>
      <c r="AL80" s="4"/>
      <c r="AM80" s="4"/>
      <c r="AN80" s="4"/>
      <c r="AO80" s="4"/>
      <c r="AP80" s="4"/>
      <c r="AQ80" s="4"/>
      <c r="AR80" s="4"/>
      <c r="AS80" s="4"/>
      <c r="AT80" s="4"/>
      <c r="AU80" s="4"/>
      <c r="AV80" s="4"/>
      <c r="AW80" s="4"/>
      <c r="AX80" s="4"/>
      <c r="AY80" s="4"/>
    </row>
    <row r="81" spans="1:4" ht="12.75" customHeight="1" x14ac:dyDescent="0.35">
      <c r="A81" s="99"/>
      <c r="B81" s="33"/>
      <c r="C81" s="8"/>
      <c r="D81" s="11"/>
    </row>
    <row r="82" spans="1:4" ht="12.75" customHeight="1" x14ac:dyDescent="0.35">
      <c r="A82" s="99"/>
      <c r="B82" s="33"/>
      <c r="C82" s="8"/>
      <c r="D82" s="11"/>
    </row>
    <row r="83" spans="1:4" ht="12.75" customHeight="1" x14ac:dyDescent="0.35">
      <c r="A83" s="99"/>
      <c r="B83" s="33"/>
      <c r="C83" s="8"/>
      <c r="D83" s="11"/>
    </row>
    <row r="84" spans="1:4" ht="12.75" customHeight="1" x14ac:dyDescent="0.35">
      <c r="A84" s="99"/>
      <c r="B84" s="33"/>
      <c r="C84" s="8"/>
      <c r="D84" s="11"/>
    </row>
  </sheetData>
  <mergeCells count="1">
    <mergeCell ref="B1:AH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B0A0-10BE-4A56-B1EA-1EC75FF22E8F}">
  <sheetPr codeName="Sheet19">
    <tabColor theme="6" tint="-0.249977111117893"/>
  </sheetPr>
  <dimension ref="A1:ALQ84"/>
  <sheetViews>
    <sheetView topLeftCell="A34" zoomScale="85" zoomScaleNormal="85" workbookViewId="0">
      <selection activeCell="D4" sqref="D4"/>
    </sheetView>
  </sheetViews>
  <sheetFormatPr defaultColWidth="18.6328125" defaultRowHeight="12.75" customHeight="1" x14ac:dyDescent="0.35"/>
  <cols>
    <col min="1" max="54" width="9.36328125" customWidth="1"/>
  </cols>
  <sheetData>
    <row r="1" spans="1:51" ht="14.5" x14ac:dyDescent="0.35">
      <c r="A1" s="100"/>
      <c r="B1" s="101">
        <v>10.892799999999999</v>
      </c>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3"/>
      <c r="AJ1" s="3"/>
      <c r="AK1" s="3"/>
      <c r="AL1" s="3"/>
      <c r="AM1" s="3"/>
    </row>
    <row r="2" spans="1:51" ht="14.5" x14ac:dyDescent="0.35">
      <c r="A2" s="100"/>
      <c r="B2" s="102" t="s">
        <v>0</v>
      </c>
      <c r="C2" s="102" t="s">
        <v>1</v>
      </c>
      <c r="D2" s="102" t="s">
        <v>2</v>
      </c>
      <c r="E2" s="102">
        <v>1991</v>
      </c>
      <c r="F2" s="102">
        <v>1992</v>
      </c>
      <c r="G2" s="102">
        <v>1993</v>
      </c>
      <c r="H2" s="102">
        <v>1994</v>
      </c>
      <c r="I2" s="102">
        <v>1995</v>
      </c>
      <c r="J2" s="102">
        <v>1996</v>
      </c>
      <c r="K2" s="102">
        <v>1997</v>
      </c>
      <c r="L2" s="102">
        <v>1998</v>
      </c>
      <c r="M2" s="102">
        <v>1999</v>
      </c>
      <c r="N2" s="102">
        <v>2000</v>
      </c>
      <c r="O2" s="102">
        <v>2001</v>
      </c>
      <c r="P2" s="102">
        <v>2002</v>
      </c>
      <c r="Q2" s="102">
        <v>2003</v>
      </c>
      <c r="R2" s="102">
        <v>2004</v>
      </c>
      <c r="S2" s="102">
        <v>2005</v>
      </c>
      <c r="T2" s="102">
        <v>2006</v>
      </c>
      <c r="U2" s="102">
        <v>2007</v>
      </c>
      <c r="V2" s="102">
        <v>2008</v>
      </c>
      <c r="W2" s="102">
        <v>2009</v>
      </c>
      <c r="X2" s="102">
        <v>2010</v>
      </c>
      <c r="Y2" s="102">
        <v>2011</v>
      </c>
      <c r="Z2" s="102">
        <v>2012</v>
      </c>
      <c r="AA2" s="102">
        <v>2013</v>
      </c>
      <c r="AB2" s="102">
        <v>2014</v>
      </c>
      <c r="AC2" s="102">
        <v>2015</v>
      </c>
      <c r="AD2" s="102">
        <v>2016</v>
      </c>
      <c r="AE2" s="102">
        <v>2017</v>
      </c>
      <c r="AF2" s="102">
        <v>2018</v>
      </c>
      <c r="AG2" s="102">
        <v>2019</v>
      </c>
      <c r="AH2" s="102">
        <v>2020</v>
      </c>
      <c r="AI2" s="3"/>
      <c r="AJ2" s="3"/>
      <c r="AK2" s="3"/>
      <c r="AL2" s="3"/>
      <c r="AM2" s="3"/>
    </row>
    <row r="3" spans="1:51" ht="14.5" x14ac:dyDescent="0.35">
      <c r="A3" s="103"/>
      <c r="B3" s="104" t="s">
        <v>3</v>
      </c>
      <c r="C3" s="104" t="s">
        <v>4</v>
      </c>
      <c r="D3" s="104" t="s">
        <v>5</v>
      </c>
      <c r="E3" s="104" t="s">
        <v>6</v>
      </c>
      <c r="F3" s="104" t="s">
        <v>7</v>
      </c>
      <c r="G3" s="104" t="s">
        <v>8</v>
      </c>
      <c r="H3" s="104" t="s">
        <v>9</v>
      </c>
      <c r="I3" s="104" t="s">
        <v>10</v>
      </c>
      <c r="J3" s="104" t="s">
        <v>11</v>
      </c>
      <c r="K3" s="104" t="s">
        <v>12</v>
      </c>
      <c r="L3" s="104" t="s">
        <v>13</v>
      </c>
      <c r="M3" s="104" t="s">
        <v>14</v>
      </c>
      <c r="N3" s="104" t="s">
        <v>15</v>
      </c>
      <c r="O3" s="104" t="s">
        <v>16</v>
      </c>
      <c r="P3" s="104" t="s">
        <v>17</v>
      </c>
      <c r="Q3" s="104" t="s">
        <v>18</v>
      </c>
      <c r="R3" s="104" t="s">
        <v>19</v>
      </c>
      <c r="S3" s="104" t="s">
        <v>20</v>
      </c>
      <c r="T3" s="104" t="s">
        <v>21</v>
      </c>
      <c r="U3" s="104" t="s">
        <v>22</v>
      </c>
      <c r="V3" s="104" t="s">
        <v>23</v>
      </c>
      <c r="W3" s="104" t="s">
        <v>24</v>
      </c>
      <c r="X3" s="104" t="s">
        <v>25</v>
      </c>
      <c r="Y3" s="104" t="s">
        <v>26</v>
      </c>
      <c r="Z3" s="104" t="s">
        <v>27</v>
      </c>
      <c r="AA3" s="104" t="s">
        <v>28</v>
      </c>
      <c r="AB3" s="104" t="s">
        <v>29</v>
      </c>
      <c r="AC3" s="104" t="s">
        <v>30</v>
      </c>
      <c r="AD3" s="104" t="s">
        <v>31</v>
      </c>
      <c r="AE3" s="104" t="s">
        <v>32</v>
      </c>
      <c r="AF3" s="104" t="s">
        <v>33</v>
      </c>
      <c r="AG3" s="104" t="s">
        <v>34</v>
      </c>
      <c r="AH3" s="104" t="s">
        <v>35</v>
      </c>
      <c r="AI3" s="3"/>
      <c r="AJ3" s="3"/>
      <c r="AK3" s="3"/>
      <c r="AL3" s="3"/>
      <c r="AM3" s="3"/>
    </row>
    <row r="4" spans="1:51" ht="14.5" x14ac:dyDescent="0.35">
      <c r="A4" s="105">
        <v>46143</v>
      </c>
      <c r="B4" s="106">
        <v>98</v>
      </c>
      <c r="C4" s="106">
        <v>46</v>
      </c>
      <c r="D4" s="107">
        <v>63</v>
      </c>
      <c r="E4" s="16">
        <v>43.942999999999998</v>
      </c>
      <c r="F4" s="16">
        <v>80.245000000000005</v>
      </c>
      <c r="G4" s="16">
        <v>70.72</v>
      </c>
      <c r="H4" s="16">
        <v>60.421999999999997</v>
      </c>
      <c r="I4" s="16">
        <v>36.49</v>
      </c>
      <c r="J4" s="16">
        <v>63.384</v>
      </c>
      <c r="K4" s="16">
        <v>62.65</v>
      </c>
      <c r="L4" s="16">
        <v>52.947000000000003</v>
      </c>
      <c r="M4" s="16">
        <v>49.878</v>
      </c>
      <c r="N4" s="16">
        <v>68.084999999999994</v>
      </c>
      <c r="O4" s="16">
        <v>69.025999999999996</v>
      </c>
      <c r="P4" s="16">
        <v>52.887</v>
      </c>
      <c r="Q4" s="16">
        <v>61.962000000000003</v>
      </c>
      <c r="R4" s="16">
        <v>61.473999999999997</v>
      </c>
      <c r="S4" s="16">
        <v>59.738</v>
      </c>
      <c r="T4" s="16">
        <v>63.344000000000001</v>
      </c>
      <c r="U4" s="16">
        <v>70.016000000000005</v>
      </c>
      <c r="V4" s="16">
        <v>64.442999999999998</v>
      </c>
      <c r="W4" s="16">
        <v>74.192999999999998</v>
      </c>
      <c r="X4" s="16">
        <v>45.271999999999998</v>
      </c>
      <c r="Y4" s="16">
        <v>63.655000000000001</v>
      </c>
      <c r="Z4" s="16">
        <v>64.379000000000005</v>
      </c>
      <c r="AA4" s="16">
        <v>60.804000000000002</v>
      </c>
      <c r="AB4" s="16">
        <v>62.691000000000003</v>
      </c>
      <c r="AC4" s="16">
        <v>70.888999999999996</v>
      </c>
      <c r="AD4" s="16">
        <v>55.597999999999999</v>
      </c>
      <c r="AE4" s="16">
        <v>66.385999999999996</v>
      </c>
      <c r="AF4" s="16">
        <v>63.308999999999997</v>
      </c>
      <c r="AG4" s="16">
        <v>43.125999999999998</v>
      </c>
      <c r="AH4" s="16">
        <v>63.323</v>
      </c>
      <c r="AI4" s="4"/>
      <c r="AJ4" s="4"/>
      <c r="AK4" s="4"/>
      <c r="AL4" s="4"/>
      <c r="AM4" s="4"/>
      <c r="AN4" s="4"/>
      <c r="AO4" s="4"/>
      <c r="AP4" s="4"/>
      <c r="AQ4" s="4"/>
      <c r="AR4" s="4"/>
      <c r="AS4" s="4"/>
      <c r="AT4" s="4"/>
      <c r="AU4" s="4"/>
      <c r="AV4" s="4"/>
      <c r="AW4" s="4"/>
      <c r="AX4" s="4"/>
      <c r="AY4" s="4"/>
    </row>
    <row r="5" spans="1:51" ht="14.5" x14ac:dyDescent="0.35">
      <c r="A5" s="105">
        <v>46174</v>
      </c>
      <c r="B5" s="106">
        <v>64</v>
      </c>
      <c r="C5" s="106">
        <v>30</v>
      </c>
      <c r="D5" s="107">
        <v>41</v>
      </c>
      <c r="E5" s="16">
        <v>59.384</v>
      </c>
      <c r="F5" s="16">
        <v>55.95</v>
      </c>
      <c r="G5" s="16">
        <v>49.863</v>
      </c>
      <c r="H5" s="16">
        <v>39.564</v>
      </c>
      <c r="I5" s="16">
        <v>90.62</v>
      </c>
      <c r="J5" s="16">
        <v>27.495999999999999</v>
      </c>
      <c r="K5" s="16">
        <v>67.201999999999998</v>
      </c>
      <c r="L5" s="16">
        <v>37.488999999999997</v>
      </c>
      <c r="M5" s="16">
        <v>64.143000000000001</v>
      </c>
      <c r="N5" s="16">
        <v>32.308</v>
      </c>
      <c r="O5" s="16">
        <v>30.763000000000002</v>
      </c>
      <c r="P5" s="16">
        <v>32.981000000000002</v>
      </c>
      <c r="Q5" s="16">
        <v>38.401000000000003</v>
      </c>
      <c r="R5" s="16">
        <v>27.21</v>
      </c>
      <c r="S5" s="16">
        <v>35.067999999999998</v>
      </c>
      <c r="T5" s="16">
        <v>33.457999999999998</v>
      </c>
      <c r="U5" s="16">
        <v>47.844000000000001</v>
      </c>
      <c r="V5" s="16">
        <v>49.865000000000002</v>
      </c>
      <c r="W5" s="16">
        <v>37.767000000000003</v>
      </c>
      <c r="X5" s="16">
        <v>42.436</v>
      </c>
      <c r="Y5" s="16">
        <v>74.980999999999995</v>
      </c>
      <c r="Z5" s="16">
        <v>26.402999999999999</v>
      </c>
      <c r="AA5" s="16">
        <v>34.679000000000002</v>
      </c>
      <c r="AB5" s="16">
        <v>51.89</v>
      </c>
      <c r="AC5" s="16">
        <v>146.298</v>
      </c>
      <c r="AD5" s="16">
        <v>62.718000000000004</v>
      </c>
      <c r="AE5" s="16">
        <v>45.337000000000003</v>
      </c>
      <c r="AF5" s="16">
        <v>28.201000000000001</v>
      </c>
      <c r="AG5" s="16">
        <v>87.716999999999999</v>
      </c>
      <c r="AH5" s="16">
        <v>39.173999999999999</v>
      </c>
      <c r="AI5" s="4"/>
      <c r="AJ5" s="4"/>
      <c r="AK5" s="4"/>
      <c r="AL5" s="4"/>
      <c r="AM5" s="4"/>
      <c r="AN5" s="4"/>
      <c r="AO5" s="4"/>
      <c r="AP5" s="4"/>
      <c r="AQ5" s="4"/>
      <c r="AR5" s="4"/>
      <c r="AS5" s="4"/>
      <c r="AT5" s="4"/>
      <c r="AU5" s="4"/>
      <c r="AV5" s="4"/>
      <c r="AW5" s="4"/>
      <c r="AX5" s="4"/>
      <c r="AY5" s="4"/>
    </row>
    <row r="6" spans="1:51" ht="14.5" x14ac:dyDescent="0.35">
      <c r="A6" s="105">
        <v>46204</v>
      </c>
      <c r="B6" s="106">
        <v>26</v>
      </c>
      <c r="C6" s="106">
        <v>12</v>
      </c>
      <c r="D6" s="107">
        <v>17</v>
      </c>
      <c r="E6" s="16">
        <v>24.283999999999999</v>
      </c>
      <c r="F6" s="16">
        <v>25.382999999999999</v>
      </c>
      <c r="G6" s="16">
        <v>18.047000000000001</v>
      </c>
      <c r="H6" s="16">
        <v>14.336</v>
      </c>
      <c r="I6" s="16">
        <v>47.707999999999998</v>
      </c>
      <c r="J6" s="16">
        <v>15.233000000000001</v>
      </c>
      <c r="K6" s="16">
        <v>20.7</v>
      </c>
      <c r="L6" s="16">
        <v>16.553000000000001</v>
      </c>
      <c r="M6" s="16">
        <v>34.688000000000002</v>
      </c>
      <c r="N6" s="16">
        <v>11.647</v>
      </c>
      <c r="O6" s="16">
        <v>15.228999999999999</v>
      </c>
      <c r="P6" s="16">
        <v>12.218</v>
      </c>
      <c r="Q6" s="16">
        <v>13.34</v>
      </c>
      <c r="R6" s="16">
        <v>12.659000000000001</v>
      </c>
      <c r="S6" s="16">
        <v>14.497</v>
      </c>
      <c r="T6" s="16">
        <v>25.013000000000002</v>
      </c>
      <c r="U6" s="16">
        <v>21.38</v>
      </c>
      <c r="V6" s="16">
        <v>17.751000000000001</v>
      </c>
      <c r="W6" s="16">
        <v>16.696999999999999</v>
      </c>
      <c r="X6" s="16">
        <v>15.95</v>
      </c>
      <c r="Y6" s="16">
        <v>23.966000000000001</v>
      </c>
      <c r="Z6" s="16">
        <v>11.82</v>
      </c>
      <c r="AA6" s="16">
        <v>16.98</v>
      </c>
      <c r="AB6" s="16">
        <v>17.02</v>
      </c>
      <c r="AC6" s="16">
        <v>41.51</v>
      </c>
      <c r="AD6" s="16">
        <v>19.751000000000001</v>
      </c>
      <c r="AE6" s="16">
        <v>17.074999999999999</v>
      </c>
      <c r="AF6" s="16">
        <v>12.535</v>
      </c>
      <c r="AG6" s="16">
        <v>24.007999999999999</v>
      </c>
      <c r="AH6" s="16">
        <v>16.809000000000001</v>
      </c>
      <c r="AI6" s="4"/>
      <c r="AJ6" s="4"/>
      <c r="AK6" s="4"/>
      <c r="AL6" s="4"/>
      <c r="AM6" s="4"/>
      <c r="AN6" s="4"/>
      <c r="AO6" s="4"/>
      <c r="AP6" s="4"/>
      <c r="AQ6" s="4"/>
      <c r="AR6" s="4"/>
      <c r="AS6" s="4"/>
      <c r="AT6" s="4"/>
      <c r="AU6" s="4"/>
      <c r="AV6" s="4"/>
      <c r="AW6" s="4"/>
      <c r="AX6" s="4"/>
      <c r="AY6" s="4"/>
    </row>
    <row r="7" spans="1:51" ht="14.5" x14ac:dyDescent="0.35">
      <c r="A7" s="105">
        <v>46235</v>
      </c>
      <c r="B7" s="106">
        <v>23</v>
      </c>
      <c r="C7" s="106">
        <v>12</v>
      </c>
      <c r="D7" s="107">
        <v>14</v>
      </c>
      <c r="E7" s="16">
        <v>16.512</v>
      </c>
      <c r="F7" s="16">
        <v>21.67</v>
      </c>
      <c r="G7" s="16">
        <v>13.968</v>
      </c>
      <c r="H7" s="16">
        <v>9.0609999999999999</v>
      </c>
      <c r="I7" s="16">
        <v>23.552</v>
      </c>
      <c r="J7" s="16">
        <v>11.404999999999999</v>
      </c>
      <c r="K7" s="16">
        <v>32.036999999999999</v>
      </c>
      <c r="L7" s="16">
        <v>12.657</v>
      </c>
      <c r="M7" s="16">
        <v>52.686999999999998</v>
      </c>
      <c r="N7" s="16">
        <v>11.381</v>
      </c>
      <c r="O7" s="16">
        <v>19.010000000000002</v>
      </c>
      <c r="P7" s="16">
        <v>8.9870000000000001</v>
      </c>
      <c r="Q7" s="16">
        <v>12.287000000000001</v>
      </c>
      <c r="R7" s="16">
        <v>9.1679999999999993</v>
      </c>
      <c r="S7" s="16">
        <v>13.983000000000001</v>
      </c>
      <c r="T7" s="16">
        <v>24.324999999999999</v>
      </c>
      <c r="U7" s="16">
        <v>26.178999999999998</v>
      </c>
      <c r="V7" s="16">
        <v>11.843999999999999</v>
      </c>
      <c r="W7" s="16">
        <v>10.003</v>
      </c>
      <c r="X7" s="16">
        <v>19.626999999999999</v>
      </c>
      <c r="Y7" s="16">
        <v>14.018000000000001</v>
      </c>
      <c r="Z7" s="16">
        <v>9.9260000000000002</v>
      </c>
      <c r="AA7" s="16">
        <v>22.481000000000002</v>
      </c>
      <c r="AB7" s="16">
        <v>16.431999999999999</v>
      </c>
      <c r="AC7" s="16">
        <v>21.172000000000001</v>
      </c>
      <c r="AD7" s="16">
        <v>20.382000000000001</v>
      </c>
      <c r="AE7" s="16">
        <v>14.016999999999999</v>
      </c>
      <c r="AF7" s="16">
        <v>8.2899999999999991</v>
      </c>
      <c r="AG7" s="16">
        <v>11.589</v>
      </c>
      <c r="AH7" s="16">
        <v>11.492000000000001</v>
      </c>
      <c r="AI7" s="4"/>
      <c r="AJ7" s="4"/>
      <c r="AK7" s="4"/>
      <c r="AL7" s="4"/>
      <c r="AM7" s="4"/>
      <c r="AN7" s="4"/>
      <c r="AO7" s="4"/>
      <c r="AP7" s="4"/>
      <c r="AQ7" s="4"/>
      <c r="AR7" s="4"/>
      <c r="AS7" s="4"/>
      <c r="AT7" s="4"/>
      <c r="AU7" s="4"/>
      <c r="AV7" s="4"/>
      <c r="AW7" s="4"/>
      <c r="AX7" s="4"/>
      <c r="AY7" s="4"/>
    </row>
    <row r="8" spans="1:51" ht="14.5" x14ac:dyDescent="0.35">
      <c r="A8" s="105">
        <v>46266</v>
      </c>
      <c r="B8" s="106">
        <v>27</v>
      </c>
      <c r="C8" s="106">
        <v>15</v>
      </c>
      <c r="D8" s="107">
        <v>17</v>
      </c>
      <c r="E8" s="16">
        <v>31.213000000000001</v>
      </c>
      <c r="F8" s="16">
        <v>17.212</v>
      </c>
      <c r="G8" s="16">
        <v>17.109000000000002</v>
      </c>
      <c r="H8" s="16">
        <v>21.363</v>
      </c>
      <c r="I8" s="16">
        <v>18.216999999999999</v>
      </c>
      <c r="J8" s="16">
        <v>15.97</v>
      </c>
      <c r="K8" s="16">
        <v>43.220999999999997</v>
      </c>
      <c r="L8" s="16">
        <v>13.393000000000001</v>
      </c>
      <c r="M8" s="16">
        <v>33.56</v>
      </c>
      <c r="N8" s="16">
        <v>11.805</v>
      </c>
      <c r="O8" s="16">
        <v>11.85</v>
      </c>
      <c r="P8" s="16">
        <v>21.469000000000001</v>
      </c>
      <c r="Q8" s="16">
        <v>27.623999999999999</v>
      </c>
      <c r="R8" s="16">
        <v>29.824999999999999</v>
      </c>
      <c r="S8" s="16">
        <v>11.771000000000001</v>
      </c>
      <c r="T8" s="16">
        <v>26.079000000000001</v>
      </c>
      <c r="U8" s="16">
        <v>27.454999999999998</v>
      </c>
      <c r="V8" s="16">
        <v>22.431000000000001</v>
      </c>
      <c r="W8" s="16">
        <v>9.5410000000000004</v>
      </c>
      <c r="X8" s="16">
        <v>12.568</v>
      </c>
      <c r="Y8" s="16">
        <v>12.548</v>
      </c>
      <c r="Z8" s="16">
        <v>9.1</v>
      </c>
      <c r="AA8" s="16">
        <v>41.066000000000003</v>
      </c>
      <c r="AB8" s="16">
        <v>28.27</v>
      </c>
      <c r="AC8" s="16">
        <v>14.545</v>
      </c>
      <c r="AD8" s="16">
        <v>16.890999999999998</v>
      </c>
      <c r="AE8" s="16">
        <v>10.692</v>
      </c>
      <c r="AF8" s="16">
        <v>8.41</v>
      </c>
      <c r="AG8" s="16">
        <v>9.1739999999999995</v>
      </c>
      <c r="AH8" s="16">
        <v>10.052</v>
      </c>
      <c r="AI8" s="4"/>
      <c r="AJ8" s="4"/>
      <c r="AK8" s="4"/>
      <c r="AL8" s="4"/>
      <c r="AM8" s="4"/>
      <c r="AN8" s="4"/>
      <c r="AO8" s="4"/>
      <c r="AP8" s="4"/>
      <c r="AQ8" s="4"/>
      <c r="AR8" s="4"/>
      <c r="AS8" s="4"/>
      <c r="AT8" s="4"/>
      <c r="AU8" s="4"/>
      <c r="AV8" s="4"/>
      <c r="AW8" s="4"/>
      <c r="AX8" s="4"/>
      <c r="AY8" s="4"/>
    </row>
    <row r="9" spans="1:51" ht="14.5" x14ac:dyDescent="0.35">
      <c r="A9" s="105">
        <v>46296</v>
      </c>
      <c r="B9" s="106">
        <v>30</v>
      </c>
      <c r="C9" s="106">
        <v>17</v>
      </c>
      <c r="D9" s="107">
        <v>18</v>
      </c>
      <c r="E9" s="16">
        <v>15.349</v>
      </c>
      <c r="F9" s="16">
        <v>12.151999999999999</v>
      </c>
      <c r="G9" s="16">
        <v>13.971</v>
      </c>
      <c r="H9" s="16">
        <v>20.974</v>
      </c>
      <c r="I9" s="16">
        <v>17.346</v>
      </c>
      <c r="J9" s="16">
        <v>31.811</v>
      </c>
      <c r="K9" s="16">
        <v>41.542999999999999</v>
      </c>
      <c r="L9" s="16">
        <v>15.561</v>
      </c>
      <c r="M9" s="16">
        <v>16.780999999999999</v>
      </c>
      <c r="N9" s="16">
        <v>14.943</v>
      </c>
      <c r="O9" s="16">
        <v>10.632999999999999</v>
      </c>
      <c r="P9" s="16">
        <v>24.263000000000002</v>
      </c>
      <c r="Q9" s="16">
        <v>15.651</v>
      </c>
      <c r="R9" s="16">
        <v>34.511000000000003</v>
      </c>
      <c r="S9" s="16">
        <v>28.946000000000002</v>
      </c>
      <c r="T9" s="16">
        <v>73.409000000000006</v>
      </c>
      <c r="U9" s="16">
        <v>29.053000000000001</v>
      </c>
      <c r="V9" s="16">
        <v>15.765000000000001</v>
      </c>
      <c r="W9" s="16">
        <v>12.061999999999999</v>
      </c>
      <c r="X9" s="16">
        <v>17.466000000000001</v>
      </c>
      <c r="Y9" s="16">
        <v>22.54</v>
      </c>
      <c r="Z9" s="16">
        <v>8.5830000000000002</v>
      </c>
      <c r="AA9" s="16">
        <v>30.965</v>
      </c>
      <c r="AB9" s="16">
        <v>37.558999999999997</v>
      </c>
      <c r="AC9" s="16">
        <v>18.847000000000001</v>
      </c>
      <c r="AD9" s="16">
        <v>13.689</v>
      </c>
      <c r="AE9" s="16">
        <v>11.904999999999999</v>
      </c>
      <c r="AF9" s="16">
        <v>11.553000000000001</v>
      </c>
      <c r="AG9" s="16">
        <v>8.9209999999999994</v>
      </c>
      <c r="AH9" s="16">
        <v>11.237</v>
      </c>
      <c r="AI9" s="4"/>
      <c r="AJ9" s="4"/>
      <c r="AK9" s="4"/>
      <c r="AL9" s="4"/>
      <c r="AM9" s="4"/>
      <c r="AN9" s="4"/>
      <c r="AO9" s="4"/>
      <c r="AP9" s="4"/>
      <c r="AQ9" s="4"/>
      <c r="AR9" s="4"/>
      <c r="AS9" s="4"/>
      <c r="AT9" s="4"/>
      <c r="AU9" s="4"/>
      <c r="AV9" s="4"/>
      <c r="AW9" s="4"/>
      <c r="AX9" s="4"/>
      <c r="AY9" s="4"/>
    </row>
    <row r="10" spans="1:51" ht="14.5" x14ac:dyDescent="0.35">
      <c r="A10" s="105">
        <v>46327</v>
      </c>
      <c r="B10" s="106">
        <v>18</v>
      </c>
      <c r="C10" s="106">
        <v>16</v>
      </c>
      <c r="D10" s="107">
        <v>16</v>
      </c>
      <c r="E10" s="16">
        <v>11.765000000000001</v>
      </c>
      <c r="F10" s="16">
        <v>10.628</v>
      </c>
      <c r="G10" s="16">
        <v>11.26</v>
      </c>
      <c r="H10" s="16">
        <v>16.234999999999999</v>
      </c>
      <c r="I10" s="16">
        <v>12.829000000000001</v>
      </c>
      <c r="J10" s="16">
        <v>17.123000000000001</v>
      </c>
      <c r="K10" s="16">
        <v>22.24</v>
      </c>
      <c r="L10" s="16">
        <v>14.68</v>
      </c>
      <c r="M10" s="16">
        <v>11.502000000000001</v>
      </c>
      <c r="N10" s="16">
        <v>12.087</v>
      </c>
      <c r="O10" s="16">
        <v>9.8610000000000007</v>
      </c>
      <c r="P10" s="16">
        <v>14.29</v>
      </c>
      <c r="Q10" s="16">
        <v>11.183</v>
      </c>
      <c r="R10" s="16">
        <v>21.016999999999999</v>
      </c>
      <c r="S10" s="16">
        <v>19.411000000000001</v>
      </c>
      <c r="T10" s="16">
        <v>28.585999999999999</v>
      </c>
      <c r="U10" s="16">
        <v>17.777999999999999</v>
      </c>
      <c r="V10" s="16">
        <v>12.993</v>
      </c>
      <c r="W10" s="16">
        <v>12.672000000000001</v>
      </c>
      <c r="X10" s="16">
        <v>15.708</v>
      </c>
      <c r="Y10" s="16">
        <v>17.2</v>
      </c>
      <c r="Z10" s="16">
        <v>8.1310000000000002</v>
      </c>
      <c r="AA10" s="16">
        <v>19.026</v>
      </c>
      <c r="AB10" s="16">
        <v>18.907</v>
      </c>
      <c r="AC10" s="16">
        <v>15.239000000000001</v>
      </c>
      <c r="AD10" s="16">
        <v>10.61</v>
      </c>
      <c r="AE10" s="16">
        <v>9.7609999999999992</v>
      </c>
      <c r="AF10" s="16">
        <v>10.324999999999999</v>
      </c>
      <c r="AG10" s="16">
        <v>8.6609999999999996</v>
      </c>
      <c r="AH10" s="16">
        <v>11.929</v>
      </c>
      <c r="AI10" s="4"/>
      <c r="AJ10" s="4"/>
      <c r="AK10" s="4"/>
      <c r="AL10" s="4"/>
      <c r="AM10" s="4"/>
      <c r="AN10" s="4"/>
      <c r="AO10" s="4"/>
      <c r="AP10" s="4"/>
      <c r="AQ10" s="4"/>
      <c r="AR10" s="4"/>
      <c r="AS10" s="4"/>
      <c r="AT10" s="4"/>
      <c r="AU10" s="4"/>
      <c r="AV10" s="4"/>
      <c r="AW10" s="4"/>
      <c r="AX10" s="4"/>
      <c r="AY10" s="4"/>
    </row>
    <row r="11" spans="1:51" ht="14.5" x14ac:dyDescent="0.35">
      <c r="A11" s="105">
        <v>46357</v>
      </c>
      <c r="B11" s="106">
        <v>15</v>
      </c>
      <c r="C11" s="106">
        <v>14</v>
      </c>
      <c r="D11" s="107">
        <v>15</v>
      </c>
      <c r="E11" s="16">
        <v>10.500999999999999</v>
      </c>
      <c r="F11" s="16">
        <v>9.9489999999999998</v>
      </c>
      <c r="G11" s="16">
        <v>10.29</v>
      </c>
      <c r="H11" s="16">
        <v>11.831</v>
      </c>
      <c r="I11" s="16">
        <v>11.502000000000001</v>
      </c>
      <c r="J11" s="16">
        <v>12.97</v>
      </c>
      <c r="K11" s="16">
        <v>14.436</v>
      </c>
      <c r="L11" s="16">
        <v>12.462999999999999</v>
      </c>
      <c r="M11" s="16">
        <v>10.372</v>
      </c>
      <c r="N11" s="16">
        <v>10.314</v>
      </c>
      <c r="O11" s="16">
        <v>9.0749999999999993</v>
      </c>
      <c r="P11" s="16">
        <v>11.473000000000001</v>
      </c>
      <c r="Q11" s="16">
        <v>10.734</v>
      </c>
      <c r="R11" s="16">
        <v>14.32</v>
      </c>
      <c r="S11" s="16">
        <v>12.945</v>
      </c>
      <c r="T11" s="16">
        <v>16.876999999999999</v>
      </c>
      <c r="U11" s="16">
        <v>13.92</v>
      </c>
      <c r="V11" s="16">
        <v>11.271000000000001</v>
      </c>
      <c r="W11" s="16">
        <v>10.15</v>
      </c>
      <c r="X11" s="16">
        <v>12.035</v>
      </c>
      <c r="Y11" s="16">
        <v>12.611000000000001</v>
      </c>
      <c r="Z11" s="16">
        <v>8.7170000000000005</v>
      </c>
      <c r="AA11" s="16">
        <v>14.259</v>
      </c>
      <c r="AB11" s="16">
        <v>14.334</v>
      </c>
      <c r="AC11" s="16">
        <v>12.63</v>
      </c>
      <c r="AD11" s="16">
        <v>10.227</v>
      </c>
      <c r="AE11" s="16">
        <v>9.4580000000000002</v>
      </c>
      <c r="AF11" s="16">
        <v>9.0299999999999994</v>
      </c>
      <c r="AG11" s="16">
        <v>9.3130000000000006</v>
      </c>
      <c r="AH11" s="16">
        <v>10.56</v>
      </c>
      <c r="AI11" s="4"/>
      <c r="AJ11" s="4"/>
      <c r="AK11" s="4"/>
      <c r="AL11" s="4"/>
      <c r="AM11" s="4"/>
      <c r="AN11" s="4"/>
      <c r="AO11" s="4"/>
      <c r="AP11" s="4"/>
      <c r="AQ11" s="4"/>
      <c r="AR11" s="4"/>
      <c r="AS11" s="4"/>
      <c r="AT11" s="4"/>
      <c r="AU11" s="4"/>
      <c r="AV11" s="4"/>
      <c r="AW11" s="4"/>
      <c r="AX11" s="4"/>
      <c r="AY11" s="4"/>
    </row>
    <row r="12" spans="1:51" ht="14.5" x14ac:dyDescent="0.35">
      <c r="A12" s="105">
        <v>46388</v>
      </c>
      <c r="B12" s="106">
        <v>13</v>
      </c>
      <c r="C12" s="106">
        <v>13</v>
      </c>
      <c r="D12" s="107">
        <v>13</v>
      </c>
      <c r="E12" s="16">
        <v>9.718</v>
      </c>
      <c r="F12" s="16">
        <v>9.5850000000000009</v>
      </c>
      <c r="G12" s="16">
        <v>9.9149999999999991</v>
      </c>
      <c r="H12" s="16">
        <v>10.468</v>
      </c>
      <c r="I12" s="16">
        <v>10.798</v>
      </c>
      <c r="J12" s="16">
        <v>10.977</v>
      </c>
      <c r="K12" s="16">
        <v>11.864000000000001</v>
      </c>
      <c r="L12" s="16">
        <v>10.625</v>
      </c>
      <c r="M12" s="16">
        <v>10.304</v>
      </c>
      <c r="N12" s="16">
        <v>9.7230000000000008</v>
      </c>
      <c r="O12" s="16">
        <v>9.0990000000000002</v>
      </c>
      <c r="P12" s="16">
        <v>10.45</v>
      </c>
      <c r="Q12" s="16">
        <v>9.8960000000000008</v>
      </c>
      <c r="R12" s="16">
        <v>13.253</v>
      </c>
      <c r="S12" s="16">
        <v>11.260999999999999</v>
      </c>
      <c r="T12" s="16">
        <v>12.847</v>
      </c>
      <c r="U12" s="16">
        <v>11.577999999999999</v>
      </c>
      <c r="V12" s="16">
        <v>10.226000000000001</v>
      </c>
      <c r="W12" s="16">
        <v>9.3119999999999994</v>
      </c>
      <c r="X12" s="16">
        <v>10.568</v>
      </c>
      <c r="Y12" s="16">
        <v>11.628</v>
      </c>
      <c r="Z12" s="16">
        <v>8.9670000000000005</v>
      </c>
      <c r="AA12" s="16">
        <v>12.252000000000001</v>
      </c>
      <c r="AB12" s="16">
        <v>12.337999999999999</v>
      </c>
      <c r="AC12" s="16">
        <v>11.098000000000001</v>
      </c>
      <c r="AD12" s="16">
        <v>10.291</v>
      </c>
      <c r="AE12" s="16">
        <v>9.2439999999999998</v>
      </c>
      <c r="AF12" s="16">
        <v>8.7460000000000004</v>
      </c>
      <c r="AG12" s="16">
        <v>9.18</v>
      </c>
      <c r="AH12" s="16">
        <v>9.5250000000000004</v>
      </c>
      <c r="AI12" s="4"/>
      <c r="AJ12" s="4"/>
      <c r="AK12" s="4"/>
      <c r="AL12" s="4"/>
      <c r="AM12" s="4"/>
      <c r="AN12" s="4"/>
      <c r="AO12" s="4"/>
      <c r="AP12" s="4"/>
      <c r="AQ12" s="4"/>
      <c r="AR12" s="4"/>
      <c r="AS12" s="4"/>
      <c r="AT12" s="4"/>
      <c r="AU12" s="4"/>
      <c r="AV12" s="4"/>
      <c r="AW12" s="4"/>
      <c r="AX12" s="4"/>
      <c r="AY12" s="4"/>
    </row>
    <row r="13" spans="1:51" ht="14.5" x14ac:dyDescent="0.35">
      <c r="A13" s="105">
        <v>46419</v>
      </c>
      <c r="B13" s="106">
        <v>12</v>
      </c>
      <c r="C13" s="106">
        <v>12</v>
      </c>
      <c r="D13" s="107">
        <v>12</v>
      </c>
      <c r="E13" s="16">
        <v>8.843</v>
      </c>
      <c r="F13" s="16">
        <v>8.657</v>
      </c>
      <c r="G13" s="16">
        <v>8.5470000000000006</v>
      </c>
      <c r="H13" s="16">
        <v>10.992000000000001</v>
      </c>
      <c r="I13" s="16">
        <v>11.67</v>
      </c>
      <c r="J13" s="16">
        <v>9.2870000000000008</v>
      </c>
      <c r="K13" s="16">
        <v>9.798</v>
      </c>
      <c r="L13" s="16">
        <v>9.9830000000000005</v>
      </c>
      <c r="M13" s="16">
        <v>9.8390000000000004</v>
      </c>
      <c r="N13" s="16">
        <v>8.4649999999999999</v>
      </c>
      <c r="O13" s="16">
        <v>8.1</v>
      </c>
      <c r="P13" s="16">
        <v>9.6010000000000009</v>
      </c>
      <c r="Q13" s="16">
        <v>8.968</v>
      </c>
      <c r="R13" s="16">
        <v>11.769</v>
      </c>
      <c r="S13" s="16">
        <v>9.1940000000000008</v>
      </c>
      <c r="T13" s="16">
        <v>12.069000000000001</v>
      </c>
      <c r="U13" s="16">
        <v>9.2949999999999999</v>
      </c>
      <c r="V13" s="16">
        <v>9.52</v>
      </c>
      <c r="W13" s="16">
        <v>7.9359999999999999</v>
      </c>
      <c r="X13" s="16">
        <v>9.01</v>
      </c>
      <c r="Y13" s="16">
        <v>9.218</v>
      </c>
      <c r="Z13" s="16">
        <v>8.7140000000000004</v>
      </c>
      <c r="AA13" s="16">
        <v>12.145</v>
      </c>
      <c r="AB13" s="16">
        <v>13.88</v>
      </c>
      <c r="AC13" s="16">
        <v>12.032</v>
      </c>
      <c r="AD13" s="16">
        <v>11.984</v>
      </c>
      <c r="AE13" s="16">
        <v>9.11</v>
      </c>
      <c r="AF13" s="16">
        <v>7.7469999999999999</v>
      </c>
      <c r="AG13" s="16">
        <v>8.2929999999999993</v>
      </c>
      <c r="AH13" s="16">
        <v>8.9009999999999998</v>
      </c>
      <c r="AI13" s="4"/>
      <c r="AJ13" s="4"/>
      <c r="AK13" s="4"/>
      <c r="AL13" s="4"/>
      <c r="AM13" s="4"/>
      <c r="AN13" s="4"/>
      <c r="AO13" s="4"/>
      <c r="AP13" s="4"/>
      <c r="AQ13" s="4"/>
      <c r="AR13" s="4"/>
      <c r="AS13" s="4"/>
      <c r="AT13" s="4"/>
      <c r="AU13" s="4"/>
      <c r="AV13" s="4"/>
      <c r="AW13" s="4"/>
      <c r="AX13" s="4"/>
      <c r="AY13" s="4"/>
    </row>
    <row r="14" spans="1:51" ht="14.5" x14ac:dyDescent="0.35">
      <c r="A14" s="105">
        <v>46447</v>
      </c>
      <c r="B14" s="106">
        <v>26</v>
      </c>
      <c r="C14" s="106">
        <v>18</v>
      </c>
      <c r="D14" s="107">
        <v>23</v>
      </c>
      <c r="E14" s="16">
        <v>13.516</v>
      </c>
      <c r="F14" s="16">
        <v>13.746</v>
      </c>
      <c r="G14" s="16">
        <v>15.599</v>
      </c>
      <c r="H14" s="16">
        <v>27.315999999999999</v>
      </c>
      <c r="I14" s="16">
        <v>14.525</v>
      </c>
      <c r="J14" s="16">
        <v>33.186999999999998</v>
      </c>
      <c r="K14" s="16">
        <v>16.013999999999999</v>
      </c>
      <c r="L14" s="16">
        <v>15.08</v>
      </c>
      <c r="M14" s="16">
        <v>13.269</v>
      </c>
      <c r="N14" s="16">
        <v>15.32</v>
      </c>
      <c r="O14" s="16">
        <v>10.686</v>
      </c>
      <c r="P14" s="16">
        <v>13.933</v>
      </c>
      <c r="Q14" s="16">
        <v>28.82</v>
      </c>
      <c r="R14" s="16">
        <v>22.856999999999999</v>
      </c>
      <c r="S14" s="16">
        <v>11.807</v>
      </c>
      <c r="T14" s="16">
        <v>42.182000000000002</v>
      </c>
      <c r="U14" s="16">
        <v>11.92</v>
      </c>
      <c r="V14" s="16">
        <v>16.350000000000001</v>
      </c>
      <c r="W14" s="16">
        <v>9.4239999999999995</v>
      </c>
      <c r="X14" s="16">
        <v>14.276</v>
      </c>
      <c r="Y14" s="16">
        <v>17.62</v>
      </c>
      <c r="Z14" s="16">
        <v>11.712999999999999</v>
      </c>
      <c r="AA14" s="16">
        <v>16.766999999999999</v>
      </c>
      <c r="AB14" s="16">
        <v>26.821999999999999</v>
      </c>
      <c r="AC14" s="16">
        <v>18.137</v>
      </c>
      <c r="AD14" s="16">
        <v>34.735999999999997</v>
      </c>
      <c r="AE14" s="16">
        <v>10.835000000000001</v>
      </c>
      <c r="AF14" s="16">
        <v>11.281000000000001</v>
      </c>
      <c r="AG14" s="16">
        <v>12.885</v>
      </c>
      <c r="AH14" s="16">
        <v>10.486000000000001</v>
      </c>
      <c r="AI14" s="4"/>
      <c r="AJ14" s="4"/>
      <c r="AK14" s="4"/>
      <c r="AL14" s="4"/>
      <c r="AM14" s="4"/>
      <c r="AN14" s="4"/>
      <c r="AO14" s="4"/>
      <c r="AP14" s="4"/>
      <c r="AQ14" s="4"/>
      <c r="AR14" s="4"/>
      <c r="AS14" s="4"/>
      <c r="AT14" s="4"/>
      <c r="AU14" s="4"/>
      <c r="AV14" s="4"/>
      <c r="AW14" s="4"/>
      <c r="AX14" s="4"/>
      <c r="AY14" s="4"/>
    </row>
    <row r="15" spans="1:51" ht="14.5" x14ac:dyDescent="0.35">
      <c r="A15" s="105">
        <v>46478</v>
      </c>
      <c r="B15" s="106">
        <v>61</v>
      </c>
      <c r="C15" s="106">
        <v>40</v>
      </c>
      <c r="D15" s="107">
        <v>51</v>
      </c>
      <c r="E15" s="16">
        <v>56.131</v>
      </c>
      <c r="F15" s="16">
        <v>40.959000000000003</v>
      </c>
      <c r="G15" s="16">
        <v>46.104999999999997</v>
      </c>
      <c r="H15" s="16">
        <v>32.853999999999999</v>
      </c>
      <c r="I15" s="16">
        <v>32.408999999999999</v>
      </c>
      <c r="J15" s="16">
        <v>61.171999999999997</v>
      </c>
      <c r="K15" s="16">
        <v>34.316000000000003</v>
      </c>
      <c r="L15" s="16">
        <v>34.155999999999999</v>
      </c>
      <c r="M15" s="16">
        <v>44.201999999999998</v>
      </c>
      <c r="N15" s="16">
        <v>53.643000000000001</v>
      </c>
      <c r="O15" s="16">
        <v>32.656999999999996</v>
      </c>
      <c r="P15" s="16">
        <v>35.064</v>
      </c>
      <c r="Q15" s="16">
        <v>83.081000000000003</v>
      </c>
      <c r="R15" s="16">
        <v>69.052999999999997</v>
      </c>
      <c r="S15" s="16">
        <v>40.518000000000001</v>
      </c>
      <c r="T15" s="16">
        <v>65.620999999999995</v>
      </c>
      <c r="U15" s="16">
        <v>31.02</v>
      </c>
      <c r="V15" s="16">
        <v>33.401000000000003</v>
      </c>
      <c r="W15" s="16">
        <v>23.588000000000001</v>
      </c>
      <c r="X15" s="16">
        <v>31.759</v>
      </c>
      <c r="Y15" s="16">
        <v>68.629000000000005</v>
      </c>
      <c r="Z15" s="16">
        <v>17.219000000000001</v>
      </c>
      <c r="AA15" s="16">
        <v>45.856999999999999</v>
      </c>
      <c r="AB15" s="16">
        <v>40.756999999999998</v>
      </c>
      <c r="AC15" s="16">
        <v>38.218000000000004</v>
      </c>
      <c r="AD15" s="16">
        <v>71.834999999999994</v>
      </c>
      <c r="AE15" s="16">
        <v>24.501999999999999</v>
      </c>
      <c r="AF15" s="16">
        <v>44.063000000000002</v>
      </c>
      <c r="AG15" s="16">
        <v>21.821999999999999</v>
      </c>
      <c r="AH15" s="16">
        <v>18.22</v>
      </c>
      <c r="AI15" s="4"/>
      <c r="AJ15" s="4"/>
      <c r="AK15" s="4"/>
      <c r="AL15" s="4"/>
      <c r="AM15" s="4"/>
      <c r="AN15" s="4"/>
      <c r="AO15" s="4"/>
      <c r="AP15" s="4"/>
      <c r="AQ15" s="4"/>
      <c r="AR15" s="4"/>
      <c r="AS15" s="4"/>
      <c r="AT15" s="4"/>
      <c r="AU15" s="4"/>
      <c r="AV15" s="4"/>
      <c r="AW15" s="4"/>
      <c r="AX15" s="4"/>
      <c r="AY15" s="4"/>
    </row>
    <row r="16" spans="1:51" ht="14.5" x14ac:dyDescent="0.35">
      <c r="A16" s="105">
        <v>46508</v>
      </c>
      <c r="B16" s="106">
        <v>158</v>
      </c>
      <c r="C16" s="106">
        <v>112</v>
      </c>
      <c r="D16" s="107">
        <v>135</v>
      </c>
      <c r="E16" s="16">
        <v>150.72200000000001</v>
      </c>
      <c r="F16" s="16">
        <v>200.09</v>
      </c>
      <c r="G16" s="16">
        <v>139.26499999999999</v>
      </c>
      <c r="H16" s="16">
        <v>95.046000000000006</v>
      </c>
      <c r="I16" s="16">
        <v>130.83699999999999</v>
      </c>
      <c r="J16" s="16">
        <v>189.40600000000001</v>
      </c>
      <c r="K16" s="16">
        <v>131.261</v>
      </c>
      <c r="L16" s="16">
        <v>133.91399999999999</v>
      </c>
      <c r="M16" s="16">
        <v>116.378</v>
      </c>
      <c r="N16" s="16">
        <v>219.137</v>
      </c>
      <c r="O16" s="16">
        <v>46.011000000000003</v>
      </c>
      <c r="P16" s="16">
        <v>110.932</v>
      </c>
      <c r="Q16" s="16">
        <v>142.815</v>
      </c>
      <c r="R16" s="16">
        <v>223.52199999999999</v>
      </c>
      <c r="S16" s="16">
        <v>114.13200000000001</v>
      </c>
      <c r="T16" s="16">
        <v>147.60300000000001</v>
      </c>
      <c r="U16" s="16">
        <v>173.613</v>
      </c>
      <c r="V16" s="16">
        <v>192.42699999999999</v>
      </c>
      <c r="W16" s="16">
        <v>75.540000000000006</v>
      </c>
      <c r="X16" s="16">
        <v>115.538</v>
      </c>
      <c r="Y16" s="16">
        <v>106.111</v>
      </c>
      <c r="Z16" s="16">
        <v>73.27</v>
      </c>
      <c r="AA16" s="16">
        <v>110.542</v>
      </c>
      <c r="AB16" s="16">
        <v>87.120999999999995</v>
      </c>
      <c r="AC16" s="16">
        <v>102.51600000000001</v>
      </c>
      <c r="AD16" s="16">
        <v>141.31899999999999</v>
      </c>
      <c r="AE16" s="16">
        <v>66.036000000000001</v>
      </c>
      <c r="AF16" s="16">
        <v>130.214</v>
      </c>
      <c r="AG16" s="16">
        <v>105.128</v>
      </c>
      <c r="AH16" s="16">
        <v>72.611999999999995</v>
      </c>
      <c r="AI16" s="4"/>
      <c r="AJ16" s="4"/>
      <c r="AK16" s="4"/>
      <c r="AL16" s="4"/>
      <c r="AM16" s="4"/>
      <c r="AN16" s="4"/>
      <c r="AO16" s="4"/>
      <c r="AP16" s="4"/>
      <c r="AQ16" s="4"/>
      <c r="AR16" s="4"/>
      <c r="AS16" s="4"/>
      <c r="AT16" s="4"/>
      <c r="AU16" s="4"/>
      <c r="AV16" s="4"/>
      <c r="AW16" s="4"/>
      <c r="AX16" s="4"/>
      <c r="AY16" s="4"/>
    </row>
    <row r="17" spans="1:51" ht="14.5" x14ac:dyDescent="0.35">
      <c r="A17" s="105">
        <v>46539</v>
      </c>
      <c r="B17" s="106">
        <v>186</v>
      </c>
      <c r="C17" s="106">
        <v>99</v>
      </c>
      <c r="D17" s="107">
        <v>144</v>
      </c>
      <c r="E17" s="16">
        <v>106.613</v>
      </c>
      <c r="F17" s="16">
        <v>224.52600000000001</v>
      </c>
      <c r="G17" s="16">
        <v>142.13900000000001</v>
      </c>
      <c r="H17" s="16">
        <v>249.065</v>
      </c>
      <c r="I17" s="16">
        <v>93.168999999999997</v>
      </c>
      <c r="J17" s="16">
        <v>251.54300000000001</v>
      </c>
      <c r="K17" s="16">
        <v>121.61799999999999</v>
      </c>
      <c r="L17" s="16">
        <v>207.62899999999999</v>
      </c>
      <c r="M17" s="16">
        <v>69.992000000000004</v>
      </c>
      <c r="N17" s="16">
        <v>124.47499999999999</v>
      </c>
      <c r="O17" s="16">
        <v>27.038</v>
      </c>
      <c r="P17" s="16">
        <v>89.207999999999998</v>
      </c>
      <c r="Q17" s="16">
        <v>92.569000000000003</v>
      </c>
      <c r="R17" s="16">
        <v>208.31899999999999</v>
      </c>
      <c r="S17" s="16">
        <v>78.664000000000001</v>
      </c>
      <c r="T17" s="16">
        <v>117.127</v>
      </c>
      <c r="U17" s="16">
        <v>207.82</v>
      </c>
      <c r="V17" s="16">
        <v>112.654</v>
      </c>
      <c r="W17" s="16">
        <v>137.32599999999999</v>
      </c>
      <c r="X17" s="16">
        <v>213.453</v>
      </c>
      <c r="Y17" s="16">
        <v>45.997999999999998</v>
      </c>
      <c r="Z17" s="16">
        <v>59.619</v>
      </c>
      <c r="AA17" s="16">
        <v>149.27099999999999</v>
      </c>
      <c r="AB17" s="16">
        <v>179.93700000000001</v>
      </c>
      <c r="AC17" s="16">
        <v>165.989</v>
      </c>
      <c r="AD17" s="16">
        <v>163.422</v>
      </c>
      <c r="AE17" s="16">
        <v>28.12</v>
      </c>
      <c r="AF17" s="16">
        <v>256.30200000000002</v>
      </c>
      <c r="AG17" s="16">
        <v>83.090999999999994</v>
      </c>
      <c r="AH17" s="16">
        <v>146.928</v>
      </c>
      <c r="AI17" s="4"/>
      <c r="AJ17" s="4"/>
      <c r="AK17" s="4"/>
      <c r="AL17" s="4"/>
      <c r="AM17" s="4"/>
      <c r="AN17" s="4"/>
      <c r="AO17" s="4"/>
      <c r="AP17" s="4"/>
      <c r="AQ17" s="4"/>
      <c r="AR17" s="4"/>
      <c r="AS17" s="4"/>
      <c r="AT17" s="4"/>
      <c r="AU17" s="4"/>
      <c r="AV17" s="4"/>
      <c r="AW17" s="4"/>
      <c r="AX17" s="4"/>
      <c r="AY17" s="4"/>
    </row>
    <row r="18" spans="1:51" ht="14.5" x14ac:dyDescent="0.35">
      <c r="A18" s="105">
        <v>46569</v>
      </c>
      <c r="B18" s="106">
        <v>79</v>
      </c>
      <c r="C18" s="106">
        <v>30</v>
      </c>
      <c r="D18" s="107">
        <v>51</v>
      </c>
      <c r="E18" s="16">
        <v>61.284999999999997</v>
      </c>
      <c r="F18" s="16">
        <v>85.393000000000001</v>
      </c>
      <c r="G18" s="16">
        <v>37.225000000000001</v>
      </c>
      <c r="H18" s="16">
        <v>207.643</v>
      </c>
      <c r="I18" s="16">
        <v>37.39</v>
      </c>
      <c r="J18" s="16">
        <v>91.653999999999996</v>
      </c>
      <c r="K18" s="16">
        <v>71.418000000000006</v>
      </c>
      <c r="L18" s="16">
        <v>144.232</v>
      </c>
      <c r="M18" s="16">
        <v>22.408000000000001</v>
      </c>
      <c r="N18" s="16">
        <v>52.07</v>
      </c>
      <c r="O18" s="16">
        <v>11.695</v>
      </c>
      <c r="P18" s="16">
        <v>27.373999999999999</v>
      </c>
      <c r="Q18" s="16">
        <v>35.435000000000002</v>
      </c>
      <c r="R18" s="16">
        <v>82.539000000000001</v>
      </c>
      <c r="S18" s="16">
        <v>46.075000000000003</v>
      </c>
      <c r="T18" s="16">
        <v>46.862000000000002</v>
      </c>
      <c r="U18" s="16">
        <v>80.394999999999996</v>
      </c>
      <c r="V18" s="16">
        <v>46.215000000000003</v>
      </c>
      <c r="W18" s="16">
        <v>40.591999999999999</v>
      </c>
      <c r="X18" s="16">
        <v>87.066000000000003</v>
      </c>
      <c r="Y18" s="16">
        <v>19.065999999999999</v>
      </c>
      <c r="Z18" s="16">
        <v>25.07</v>
      </c>
      <c r="AA18" s="16">
        <v>47.767000000000003</v>
      </c>
      <c r="AB18" s="16">
        <v>59.622999999999998</v>
      </c>
      <c r="AC18" s="16">
        <v>49.003999999999998</v>
      </c>
      <c r="AD18" s="16">
        <v>52.792000000000002</v>
      </c>
      <c r="AE18" s="16">
        <v>12.292</v>
      </c>
      <c r="AF18" s="16">
        <v>116.28400000000001</v>
      </c>
      <c r="AG18" s="16">
        <v>29.606000000000002</v>
      </c>
      <c r="AH18" s="16">
        <v>88.537000000000006</v>
      </c>
      <c r="AI18" s="4"/>
      <c r="AJ18" s="4"/>
      <c r="AK18" s="4"/>
      <c r="AL18" s="4"/>
      <c r="AM18" s="4"/>
      <c r="AN18" s="4"/>
      <c r="AO18" s="4"/>
      <c r="AP18" s="4"/>
      <c r="AQ18" s="4"/>
      <c r="AR18" s="4"/>
      <c r="AS18" s="4"/>
      <c r="AT18" s="4"/>
      <c r="AU18" s="4"/>
      <c r="AV18" s="4"/>
      <c r="AW18" s="4"/>
      <c r="AX18" s="4"/>
      <c r="AY18" s="4"/>
    </row>
    <row r="19" spans="1:51" ht="14.5" x14ac:dyDescent="0.35">
      <c r="A19" s="105">
        <v>46600</v>
      </c>
      <c r="B19" s="106">
        <v>39</v>
      </c>
      <c r="C19" s="106">
        <v>22</v>
      </c>
      <c r="D19" s="107">
        <v>29</v>
      </c>
      <c r="E19" s="16">
        <v>36.341000000000001</v>
      </c>
      <c r="F19" s="16">
        <v>38.061</v>
      </c>
      <c r="G19" s="16">
        <v>18.206</v>
      </c>
      <c r="H19" s="16">
        <v>71.251999999999995</v>
      </c>
      <c r="I19" s="16">
        <v>17.574000000000002</v>
      </c>
      <c r="J19" s="16">
        <v>70.656000000000006</v>
      </c>
      <c r="K19" s="16">
        <v>28.849</v>
      </c>
      <c r="L19" s="16">
        <v>89.168999999999997</v>
      </c>
      <c r="M19" s="16">
        <v>15.069000000000001</v>
      </c>
      <c r="N19" s="16">
        <v>35.786999999999999</v>
      </c>
      <c r="O19" s="16">
        <v>8.5559999999999992</v>
      </c>
      <c r="P19" s="16">
        <v>19.338000000000001</v>
      </c>
      <c r="Q19" s="16">
        <v>18.058</v>
      </c>
      <c r="R19" s="16">
        <v>40.087000000000003</v>
      </c>
      <c r="S19" s="16">
        <v>32.655000000000001</v>
      </c>
      <c r="T19" s="16">
        <v>39.594999999999999</v>
      </c>
      <c r="U19" s="16">
        <v>31.433</v>
      </c>
      <c r="V19" s="16">
        <v>20.131</v>
      </c>
      <c r="W19" s="16">
        <v>34.08</v>
      </c>
      <c r="X19" s="16">
        <v>28.574000000000002</v>
      </c>
      <c r="Y19" s="16">
        <v>12.992000000000001</v>
      </c>
      <c r="Z19" s="16">
        <v>26.106999999999999</v>
      </c>
      <c r="AA19" s="16">
        <v>30.779</v>
      </c>
      <c r="AB19" s="16">
        <v>24.843</v>
      </c>
      <c r="AC19" s="16">
        <v>33.542999999999999</v>
      </c>
      <c r="AD19" s="16">
        <v>30.643999999999998</v>
      </c>
      <c r="AE19" s="16">
        <v>7.8689999999999998</v>
      </c>
      <c r="AF19" s="16">
        <v>34.624000000000002</v>
      </c>
      <c r="AG19" s="16">
        <v>15.826000000000001</v>
      </c>
      <c r="AH19" s="16">
        <v>34.152999999999999</v>
      </c>
      <c r="AI19" s="4"/>
      <c r="AJ19" s="4"/>
      <c r="AK19" s="4"/>
      <c r="AL19" s="4"/>
      <c r="AM19" s="4"/>
      <c r="AN19" s="4"/>
      <c r="AO19" s="4"/>
      <c r="AP19" s="4"/>
      <c r="AQ19" s="4"/>
      <c r="AR19" s="4"/>
      <c r="AS19" s="4"/>
      <c r="AT19" s="4"/>
      <c r="AU19" s="4"/>
      <c r="AV19" s="4"/>
      <c r="AW19" s="4"/>
      <c r="AX19" s="4"/>
      <c r="AY19" s="4"/>
    </row>
    <row r="20" spans="1:51" ht="14.5" x14ac:dyDescent="0.35">
      <c r="A20" s="105">
        <v>46631</v>
      </c>
      <c r="B20" s="106">
        <v>33</v>
      </c>
      <c r="C20" s="106">
        <v>19</v>
      </c>
      <c r="D20" s="107">
        <v>26</v>
      </c>
      <c r="E20" s="16">
        <v>23.901</v>
      </c>
      <c r="F20" s="16">
        <v>31.478000000000002</v>
      </c>
      <c r="G20" s="16">
        <v>29.103999999999999</v>
      </c>
      <c r="H20" s="16">
        <v>36.832000000000001</v>
      </c>
      <c r="I20" s="16">
        <v>20.097000000000001</v>
      </c>
      <c r="J20" s="16">
        <v>62.311</v>
      </c>
      <c r="K20" s="16">
        <v>23.305</v>
      </c>
      <c r="L20" s="16">
        <v>45.15</v>
      </c>
      <c r="M20" s="16">
        <v>14.449</v>
      </c>
      <c r="N20" s="16">
        <v>18.523</v>
      </c>
      <c r="O20" s="16">
        <v>20.995999999999999</v>
      </c>
      <c r="P20" s="16">
        <v>34.011000000000003</v>
      </c>
      <c r="Q20" s="16">
        <v>40.67</v>
      </c>
      <c r="R20" s="16">
        <v>23.388000000000002</v>
      </c>
      <c r="S20" s="16">
        <v>31.285</v>
      </c>
      <c r="T20" s="16">
        <v>35.790999999999997</v>
      </c>
      <c r="U20" s="16">
        <v>36.618000000000002</v>
      </c>
      <c r="V20" s="16">
        <v>14.340999999999999</v>
      </c>
      <c r="W20" s="16">
        <v>17.949000000000002</v>
      </c>
      <c r="X20" s="16">
        <v>20.119</v>
      </c>
      <c r="Y20" s="16">
        <v>10.693</v>
      </c>
      <c r="Z20" s="16">
        <v>44.457000000000001</v>
      </c>
      <c r="AA20" s="16">
        <v>38.012</v>
      </c>
      <c r="AB20" s="16">
        <v>16.440000000000001</v>
      </c>
      <c r="AC20" s="16">
        <v>23.233000000000001</v>
      </c>
      <c r="AD20" s="16">
        <v>18.003</v>
      </c>
      <c r="AE20" s="16">
        <v>8.2149999999999999</v>
      </c>
      <c r="AF20" s="16">
        <v>17.885000000000002</v>
      </c>
      <c r="AG20" s="16">
        <v>11.590999999999999</v>
      </c>
      <c r="AH20" s="16">
        <v>43.283999999999999</v>
      </c>
      <c r="AI20" s="4"/>
      <c r="AJ20" s="4"/>
      <c r="AK20" s="4"/>
      <c r="AL20" s="4"/>
      <c r="AM20" s="4"/>
      <c r="AN20" s="4"/>
      <c r="AO20" s="4"/>
      <c r="AP20" s="4"/>
      <c r="AQ20" s="4"/>
      <c r="AR20" s="4"/>
      <c r="AS20" s="4"/>
      <c r="AT20" s="4"/>
      <c r="AU20" s="4"/>
      <c r="AV20" s="4"/>
      <c r="AW20" s="4"/>
      <c r="AX20" s="4"/>
      <c r="AY20" s="4"/>
    </row>
    <row r="21" spans="1:51" ht="14.5" x14ac:dyDescent="0.35">
      <c r="A21" s="105">
        <v>46661</v>
      </c>
      <c r="B21" s="106">
        <v>27</v>
      </c>
      <c r="C21" s="106">
        <v>19</v>
      </c>
      <c r="D21" s="107">
        <v>23</v>
      </c>
      <c r="E21" s="16">
        <v>15.305999999999999</v>
      </c>
      <c r="F21" s="16">
        <v>21.425000000000001</v>
      </c>
      <c r="G21" s="16">
        <v>25.655999999999999</v>
      </c>
      <c r="H21" s="16">
        <v>27.213000000000001</v>
      </c>
      <c r="I21" s="16">
        <v>36.533999999999999</v>
      </c>
      <c r="J21" s="16">
        <v>50.932000000000002</v>
      </c>
      <c r="K21" s="16">
        <v>22.798999999999999</v>
      </c>
      <c r="L21" s="16">
        <v>21.114999999999998</v>
      </c>
      <c r="M21" s="16">
        <v>17.257999999999999</v>
      </c>
      <c r="N21" s="16">
        <v>14.766999999999999</v>
      </c>
      <c r="O21" s="16">
        <v>22.87</v>
      </c>
      <c r="P21" s="16">
        <v>17.859000000000002</v>
      </c>
      <c r="Q21" s="16">
        <v>41.209000000000003</v>
      </c>
      <c r="R21" s="16">
        <v>40.51</v>
      </c>
      <c r="S21" s="16">
        <v>79.361999999999995</v>
      </c>
      <c r="T21" s="16">
        <v>33.511000000000003</v>
      </c>
      <c r="U21" s="16">
        <v>22.135999999999999</v>
      </c>
      <c r="V21" s="16">
        <v>16.032</v>
      </c>
      <c r="W21" s="16">
        <v>20.832999999999998</v>
      </c>
      <c r="X21" s="16">
        <v>28.475999999999999</v>
      </c>
      <c r="Y21" s="16">
        <v>9.5129999999999999</v>
      </c>
      <c r="Z21" s="16">
        <v>31.312000000000001</v>
      </c>
      <c r="AA21" s="16">
        <v>43.552</v>
      </c>
      <c r="AB21" s="16">
        <v>19.516999999999999</v>
      </c>
      <c r="AC21" s="16">
        <v>16.704999999999998</v>
      </c>
      <c r="AD21" s="16">
        <v>16.795999999999999</v>
      </c>
      <c r="AE21" s="16">
        <v>10.785</v>
      </c>
      <c r="AF21" s="16">
        <v>12.548</v>
      </c>
      <c r="AG21" s="16">
        <v>12.331</v>
      </c>
      <c r="AH21" s="16">
        <v>18.704000000000001</v>
      </c>
      <c r="AI21" s="4"/>
      <c r="AJ21" s="4"/>
      <c r="AK21" s="4"/>
      <c r="AL21" s="4"/>
      <c r="AM21" s="4"/>
      <c r="AN21" s="4"/>
      <c r="AO21" s="4"/>
      <c r="AP21" s="4"/>
      <c r="AQ21" s="4"/>
      <c r="AR21" s="4"/>
      <c r="AS21" s="4"/>
      <c r="AT21" s="4"/>
      <c r="AU21" s="4"/>
      <c r="AV21" s="4"/>
      <c r="AW21" s="4"/>
      <c r="AX21" s="4"/>
      <c r="AY21" s="4"/>
    </row>
    <row r="22" spans="1:51" ht="14.5" x14ac:dyDescent="0.35">
      <c r="A22" s="105">
        <v>46692</v>
      </c>
      <c r="B22" s="106">
        <v>20</v>
      </c>
      <c r="C22" s="106">
        <v>16</v>
      </c>
      <c r="D22" s="107">
        <v>18</v>
      </c>
      <c r="E22" s="16">
        <v>12.835000000000001</v>
      </c>
      <c r="F22" s="16">
        <v>16.059999999999999</v>
      </c>
      <c r="G22" s="16">
        <v>19.216999999999999</v>
      </c>
      <c r="H22" s="16">
        <v>18.219000000000001</v>
      </c>
      <c r="I22" s="16">
        <v>19.288</v>
      </c>
      <c r="J22" s="16">
        <v>27.126000000000001</v>
      </c>
      <c r="K22" s="16">
        <v>19.632000000000001</v>
      </c>
      <c r="L22" s="16">
        <v>14.558999999999999</v>
      </c>
      <c r="M22" s="16">
        <v>13.68</v>
      </c>
      <c r="N22" s="16">
        <v>12.891</v>
      </c>
      <c r="O22" s="16">
        <v>13.442</v>
      </c>
      <c r="P22" s="16">
        <v>12.532</v>
      </c>
      <c r="Q22" s="16">
        <v>24.977</v>
      </c>
      <c r="R22" s="16">
        <v>25.4</v>
      </c>
      <c r="S22" s="16">
        <v>30.239000000000001</v>
      </c>
      <c r="T22" s="16">
        <v>20.148</v>
      </c>
      <c r="U22" s="16">
        <v>17.222000000000001</v>
      </c>
      <c r="V22" s="16">
        <v>15.858000000000001</v>
      </c>
      <c r="W22" s="16">
        <v>17.777999999999999</v>
      </c>
      <c r="X22" s="16">
        <v>20.498999999999999</v>
      </c>
      <c r="Y22" s="16">
        <v>9.0340000000000007</v>
      </c>
      <c r="Z22" s="16">
        <v>19.036999999999999</v>
      </c>
      <c r="AA22" s="16">
        <v>21.38</v>
      </c>
      <c r="AB22" s="16">
        <v>15.609</v>
      </c>
      <c r="AC22" s="16">
        <v>12.734999999999999</v>
      </c>
      <c r="AD22" s="16">
        <v>13.202</v>
      </c>
      <c r="AE22" s="16">
        <v>9.7349999999999994</v>
      </c>
      <c r="AF22" s="16">
        <v>11.875</v>
      </c>
      <c r="AG22" s="16">
        <v>12.864000000000001</v>
      </c>
      <c r="AH22" s="16">
        <v>14.067</v>
      </c>
      <c r="AI22" s="4"/>
      <c r="AJ22" s="4"/>
      <c r="AK22" s="4"/>
      <c r="AL22" s="4"/>
      <c r="AM22" s="4"/>
      <c r="AN22" s="4"/>
      <c r="AO22" s="4"/>
      <c r="AP22" s="4"/>
      <c r="AQ22" s="4"/>
      <c r="AR22" s="4"/>
      <c r="AS22" s="4"/>
      <c r="AT22" s="4"/>
      <c r="AU22" s="4"/>
      <c r="AV22" s="4"/>
      <c r="AW22" s="4"/>
      <c r="AX22" s="4"/>
      <c r="AY22" s="4"/>
    </row>
    <row r="23" spans="1:51" ht="14.5" x14ac:dyDescent="0.35">
      <c r="A23" s="105">
        <v>46722</v>
      </c>
      <c r="B23" s="106">
        <v>15</v>
      </c>
      <c r="C23" s="106">
        <v>15</v>
      </c>
      <c r="D23" s="107">
        <v>15</v>
      </c>
      <c r="E23" s="16">
        <v>11.775</v>
      </c>
      <c r="F23" s="16">
        <v>14.403</v>
      </c>
      <c r="G23" s="16">
        <v>14.03</v>
      </c>
      <c r="H23" s="16">
        <v>15.57</v>
      </c>
      <c r="I23" s="16">
        <v>14.528</v>
      </c>
      <c r="J23" s="16">
        <v>18.238</v>
      </c>
      <c r="K23" s="16">
        <v>16.135000000000002</v>
      </c>
      <c r="L23" s="16">
        <v>13.054</v>
      </c>
      <c r="M23" s="16">
        <v>11.603</v>
      </c>
      <c r="N23" s="16">
        <v>11.613</v>
      </c>
      <c r="O23" s="16">
        <v>10.76</v>
      </c>
      <c r="P23" s="16">
        <v>11.88</v>
      </c>
      <c r="Q23" s="16">
        <v>17.146000000000001</v>
      </c>
      <c r="R23" s="16">
        <v>17.466000000000001</v>
      </c>
      <c r="S23" s="16">
        <v>17.887</v>
      </c>
      <c r="T23" s="16">
        <v>15.711</v>
      </c>
      <c r="U23" s="16">
        <v>14.802</v>
      </c>
      <c r="V23" s="16">
        <v>12.55</v>
      </c>
      <c r="W23" s="16">
        <v>13.446</v>
      </c>
      <c r="X23" s="16">
        <v>14.85</v>
      </c>
      <c r="Y23" s="16">
        <v>9.6470000000000002</v>
      </c>
      <c r="Z23" s="16">
        <v>14.183</v>
      </c>
      <c r="AA23" s="16">
        <v>16.34</v>
      </c>
      <c r="AB23" s="16">
        <v>12.920999999999999</v>
      </c>
      <c r="AC23" s="16">
        <v>12.055</v>
      </c>
      <c r="AD23" s="16">
        <v>12.422000000000001</v>
      </c>
      <c r="AE23" s="16">
        <v>8.516</v>
      </c>
      <c r="AF23" s="16">
        <v>12.43</v>
      </c>
      <c r="AG23" s="16">
        <v>11.307</v>
      </c>
      <c r="AH23" s="16">
        <v>12.196</v>
      </c>
      <c r="AI23" s="4"/>
      <c r="AJ23" s="4"/>
      <c r="AK23" s="4"/>
      <c r="AL23" s="4"/>
      <c r="AM23" s="4"/>
      <c r="AN23" s="4"/>
      <c r="AO23" s="4"/>
      <c r="AP23" s="4"/>
      <c r="AQ23" s="4"/>
      <c r="AR23" s="4"/>
      <c r="AS23" s="4"/>
      <c r="AT23" s="4"/>
      <c r="AU23" s="4"/>
      <c r="AV23" s="4"/>
      <c r="AW23" s="4"/>
      <c r="AX23" s="4"/>
      <c r="AY23" s="4"/>
    </row>
    <row r="24" spans="1:51" ht="14.5" x14ac:dyDescent="0.35">
      <c r="A24" s="105">
        <v>46753</v>
      </c>
      <c r="B24" s="106">
        <v>13</v>
      </c>
      <c r="C24" s="106">
        <v>13</v>
      </c>
      <c r="D24" s="107">
        <v>13</v>
      </c>
      <c r="E24" s="16">
        <v>11.188000000000001</v>
      </c>
      <c r="F24" s="16">
        <v>13.593</v>
      </c>
      <c r="G24" s="16">
        <v>12.363</v>
      </c>
      <c r="H24" s="16">
        <v>14.331</v>
      </c>
      <c r="I24" s="16">
        <v>12.257999999999999</v>
      </c>
      <c r="J24" s="16">
        <v>15.254</v>
      </c>
      <c r="K24" s="16">
        <v>13.536</v>
      </c>
      <c r="L24" s="16">
        <v>12.824999999999999</v>
      </c>
      <c r="M24" s="16">
        <v>10.861000000000001</v>
      </c>
      <c r="N24" s="16">
        <v>11.404999999999999</v>
      </c>
      <c r="O24" s="16">
        <v>9.8130000000000006</v>
      </c>
      <c r="P24" s="16">
        <v>10.875999999999999</v>
      </c>
      <c r="Q24" s="16">
        <v>15.817</v>
      </c>
      <c r="R24" s="16">
        <v>15.321</v>
      </c>
      <c r="S24" s="16">
        <v>13.651999999999999</v>
      </c>
      <c r="T24" s="16">
        <v>13.093999999999999</v>
      </c>
      <c r="U24" s="16">
        <v>13.369</v>
      </c>
      <c r="V24" s="16">
        <v>11.388</v>
      </c>
      <c r="W24" s="16">
        <v>11.733000000000001</v>
      </c>
      <c r="X24" s="16">
        <v>13.516</v>
      </c>
      <c r="Y24" s="16">
        <v>9.8610000000000007</v>
      </c>
      <c r="Z24" s="16">
        <v>12.151999999999999</v>
      </c>
      <c r="AA24" s="16">
        <v>14.004</v>
      </c>
      <c r="AB24" s="16">
        <v>11.353999999999999</v>
      </c>
      <c r="AC24" s="16">
        <v>11.920999999999999</v>
      </c>
      <c r="AD24" s="16">
        <v>11.967000000000001</v>
      </c>
      <c r="AE24" s="16">
        <v>8.2680000000000007</v>
      </c>
      <c r="AF24" s="16">
        <v>12.071</v>
      </c>
      <c r="AG24" s="16">
        <v>10.185</v>
      </c>
      <c r="AH24" s="16">
        <v>11.192</v>
      </c>
      <c r="AI24" s="4"/>
      <c r="AJ24" s="4"/>
      <c r="AK24" s="4"/>
      <c r="AL24" s="4"/>
      <c r="AM24" s="4"/>
      <c r="AN24" s="4"/>
      <c r="AO24" s="4"/>
      <c r="AP24" s="4"/>
      <c r="AQ24" s="4"/>
      <c r="AR24" s="4"/>
      <c r="AS24" s="4"/>
      <c r="AT24" s="4"/>
      <c r="AU24" s="4"/>
      <c r="AV24" s="4"/>
      <c r="AW24" s="4"/>
      <c r="AX24" s="4"/>
      <c r="AY24" s="4"/>
    </row>
    <row r="25" spans="1:51" ht="14.5" x14ac:dyDescent="0.35">
      <c r="A25" s="105">
        <v>46784</v>
      </c>
      <c r="B25" s="106">
        <v>12</v>
      </c>
      <c r="C25" s="106">
        <v>12</v>
      </c>
      <c r="D25" s="107">
        <v>12</v>
      </c>
      <c r="E25" s="16">
        <v>10.349</v>
      </c>
      <c r="F25" s="16">
        <v>11.997999999999999</v>
      </c>
      <c r="G25" s="16">
        <v>13.670999999999999</v>
      </c>
      <c r="H25" s="16">
        <v>16.102</v>
      </c>
      <c r="I25" s="16">
        <v>10.693</v>
      </c>
      <c r="J25" s="16">
        <v>13.061999999999999</v>
      </c>
      <c r="K25" s="16">
        <v>13.1</v>
      </c>
      <c r="L25" s="16">
        <v>12.531000000000001</v>
      </c>
      <c r="M25" s="16">
        <v>9.7550000000000008</v>
      </c>
      <c r="N25" s="16">
        <v>10.417</v>
      </c>
      <c r="O25" s="16">
        <v>9.3369999999999997</v>
      </c>
      <c r="P25" s="16">
        <v>10.395</v>
      </c>
      <c r="Q25" s="16">
        <v>14.425000000000001</v>
      </c>
      <c r="R25" s="16">
        <v>13.076000000000001</v>
      </c>
      <c r="S25" s="16">
        <v>13.288</v>
      </c>
      <c r="T25" s="16">
        <v>10.888999999999999</v>
      </c>
      <c r="U25" s="16">
        <v>12.907999999999999</v>
      </c>
      <c r="V25" s="16">
        <v>9.9830000000000005</v>
      </c>
      <c r="W25" s="16">
        <v>10.308</v>
      </c>
      <c r="X25" s="16">
        <v>10.994</v>
      </c>
      <c r="Y25" s="16">
        <v>9.8089999999999993</v>
      </c>
      <c r="Z25" s="16">
        <v>12.884</v>
      </c>
      <c r="AA25" s="16">
        <v>16.138000000000002</v>
      </c>
      <c r="AB25" s="16">
        <v>12.827</v>
      </c>
      <c r="AC25" s="16">
        <v>14.162000000000001</v>
      </c>
      <c r="AD25" s="16">
        <v>11.976000000000001</v>
      </c>
      <c r="AE25" s="16">
        <v>7.5940000000000003</v>
      </c>
      <c r="AF25" s="16">
        <v>11.176</v>
      </c>
      <c r="AG25" s="16">
        <v>9.8149999999999995</v>
      </c>
      <c r="AH25" s="16">
        <v>10.43</v>
      </c>
      <c r="AI25" s="4"/>
      <c r="AJ25" s="4"/>
      <c r="AK25" s="4"/>
      <c r="AL25" s="4"/>
      <c r="AM25" s="4"/>
      <c r="AN25" s="4"/>
      <c r="AO25" s="4"/>
      <c r="AP25" s="4"/>
      <c r="AQ25" s="4"/>
      <c r="AR25" s="4"/>
      <c r="AS25" s="4"/>
      <c r="AT25" s="4"/>
      <c r="AU25" s="4"/>
      <c r="AV25" s="4"/>
      <c r="AW25" s="4"/>
      <c r="AX25" s="4"/>
      <c r="AY25" s="4"/>
    </row>
    <row r="26" spans="1:51" ht="14.5" x14ac:dyDescent="0.35">
      <c r="A26" s="105">
        <v>46813</v>
      </c>
      <c r="B26" s="106">
        <v>23</v>
      </c>
      <c r="C26" s="106">
        <v>23</v>
      </c>
      <c r="D26" s="107">
        <v>23</v>
      </c>
      <c r="E26" s="16">
        <v>16.074999999999999</v>
      </c>
      <c r="F26" s="16">
        <v>21.600999999999999</v>
      </c>
      <c r="G26" s="16">
        <v>31.716999999999999</v>
      </c>
      <c r="H26" s="16">
        <v>19.027000000000001</v>
      </c>
      <c r="I26" s="16">
        <v>36.997999999999998</v>
      </c>
      <c r="J26" s="16">
        <v>21.670999999999999</v>
      </c>
      <c r="K26" s="16">
        <v>19.600000000000001</v>
      </c>
      <c r="L26" s="16">
        <v>16.555</v>
      </c>
      <c r="M26" s="16">
        <v>16.978000000000002</v>
      </c>
      <c r="N26" s="16">
        <v>13.509</v>
      </c>
      <c r="O26" s="16">
        <v>13.272</v>
      </c>
      <c r="P26" s="16">
        <v>31.65</v>
      </c>
      <c r="Q26" s="16">
        <v>26.808</v>
      </c>
      <c r="R26" s="16">
        <v>16.411000000000001</v>
      </c>
      <c r="S26" s="16">
        <v>45.582999999999998</v>
      </c>
      <c r="T26" s="16">
        <v>13.766999999999999</v>
      </c>
      <c r="U26" s="16">
        <v>21.388999999999999</v>
      </c>
      <c r="V26" s="16">
        <v>11.456</v>
      </c>
      <c r="W26" s="16">
        <v>15.98</v>
      </c>
      <c r="X26" s="16">
        <v>20.177</v>
      </c>
      <c r="Y26" s="16">
        <v>12.891999999999999</v>
      </c>
      <c r="Z26" s="16">
        <v>16.565000000000001</v>
      </c>
      <c r="AA26" s="16">
        <v>31.652000000000001</v>
      </c>
      <c r="AB26" s="16">
        <v>18.695</v>
      </c>
      <c r="AC26" s="16">
        <v>40.137</v>
      </c>
      <c r="AD26" s="16">
        <v>13.698</v>
      </c>
      <c r="AE26" s="16">
        <v>10.843999999999999</v>
      </c>
      <c r="AF26" s="16">
        <v>16.559000000000001</v>
      </c>
      <c r="AG26" s="16">
        <v>11.265000000000001</v>
      </c>
      <c r="AH26" s="16">
        <v>16.116</v>
      </c>
      <c r="AI26" s="4"/>
      <c r="AJ26" s="4"/>
      <c r="AK26" s="4"/>
      <c r="AL26" s="4"/>
      <c r="AM26" s="4"/>
      <c r="AN26" s="4"/>
      <c r="AO26" s="4"/>
      <c r="AP26" s="4"/>
      <c r="AQ26" s="4"/>
      <c r="AR26" s="4"/>
      <c r="AS26" s="4"/>
      <c r="AT26" s="4"/>
      <c r="AU26" s="4"/>
      <c r="AV26" s="4"/>
      <c r="AW26" s="4"/>
      <c r="AX26" s="4"/>
      <c r="AY26" s="4"/>
    </row>
    <row r="27" spans="1:51" ht="14.5" x14ac:dyDescent="0.35">
      <c r="A27" s="105">
        <v>46844</v>
      </c>
      <c r="B27" s="106">
        <v>51</v>
      </c>
      <c r="C27" s="106">
        <v>51</v>
      </c>
      <c r="D27" s="107">
        <v>51</v>
      </c>
      <c r="E27" s="16">
        <v>47.774000000000001</v>
      </c>
      <c r="F27" s="16">
        <v>58.668999999999997</v>
      </c>
      <c r="G27" s="16">
        <v>37.628</v>
      </c>
      <c r="H27" s="16">
        <v>40.116</v>
      </c>
      <c r="I27" s="16">
        <v>65.876000000000005</v>
      </c>
      <c r="J27" s="16">
        <v>45.720999999999997</v>
      </c>
      <c r="K27" s="16">
        <v>44.600999999999999</v>
      </c>
      <c r="L27" s="16">
        <v>51.46</v>
      </c>
      <c r="M27" s="16">
        <v>62.024999999999999</v>
      </c>
      <c r="N27" s="16">
        <v>37.881</v>
      </c>
      <c r="O27" s="16">
        <v>34.180999999999997</v>
      </c>
      <c r="P27" s="16">
        <v>89.171999999999997</v>
      </c>
      <c r="Q27" s="16">
        <v>78.260999999999996</v>
      </c>
      <c r="R27" s="16">
        <v>53.256</v>
      </c>
      <c r="S27" s="16">
        <v>71.427999999999997</v>
      </c>
      <c r="T27" s="16">
        <v>35.112000000000002</v>
      </c>
      <c r="U27" s="16">
        <v>44.668999999999997</v>
      </c>
      <c r="V27" s="16">
        <v>28.242000000000001</v>
      </c>
      <c r="W27" s="16">
        <v>36.539000000000001</v>
      </c>
      <c r="X27" s="16">
        <v>76.629000000000005</v>
      </c>
      <c r="Y27" s="16">
        <v>19.739000000000001</v>
      </c>
      <c r="Z27" s="16">
        <v>46.241</v>
      </c>
      <c r="AA27" s="16">
        <v>43.497999999999998</v>
      </c>
      <c r="AB27" s="16">
        <v>38.878999999999998</v>
      </c>
      <c r="AC27" s="16">
        <v>77.387</v>
      </c>
      <c r="AD27" s="16">
        <v>30.396000000000001</v>
      </c>
      <c r="AE27" s="16">
        <v>44.871000000000002</v>
      </c>
      <c r="AF27" s="16">
        <v>27.609000000000002</v>
      </c>
      <c r="AG27" s="16">
        <v>19.111999999999998</v>
      </c>
      <c r="AH27" s="16">
        <v>68.617999999999995</v>
      </c>
      <c r="AI27" s="4"/>
      <c r="AJ27" s="4"/>
      <c r="AK27" s="4"/>
      <c r="AL27" s="4"/>
      <c r="AM27" s="4"/>
      <c r="AN27" s="4"/>
      <c r="AO27" s="4"/>
      <c r="AP27" s="4"/>
      <c r="AQ27" s="4"/>
      <c r="AR27" s="4"/>
      <c r="AS27" s="4"/>
      <c r="AT27" s="4"/>
      <c r="AU27" s="4"/>
      <c r="AV27" s="4"/>
      <c r="AW27" s="4"/>
      <c r="AX27" s="4"/>
      <c r="AY27" s="4"/>
    </row>
    <row r="28" spans="1:51" ht="14.5" x14ac:dyDescent="0.35">
      <c r="A28" s="105">
        <v>46874</v>
      </c>
      <c r="B28" s="106">
        <v>135</v>
      </c>
      <c r="C28" s="106">
        <v>135</v>
      </c>
      <c r="D28" s="107">
        <v>135</v>
      </c>
      <c r="E28" s="16">
        <v>217.923</v>
      </c>
      <c r="F28" s="16">
        <v>158.81700000000001</v>
      </c>
      <c r="G28" s="16">
        <v>106.239</v>
      </c>
      <c r="H28" s="16">
        <v>143.27799999999999</v>
      </c>
      <c r="I28" s="16">
        <v>203.024</v>
      </c>
      <c r="J28" s="16">
        <v>147.70500000000001</v>
      </c>
      <c r="K28" s="16">
        <v>149.86199999999999</v>
      </c>
      <c r="L28" s="16">
        <v>124.563</v>
      </c>
      <c r="M28" s="16">
        <v>227.47399999999999</v>
      </c>
      <c r="N28" s="16">
        <v>51.625</v>
      </c>
      <c r="O28" s="16">
        <v>113.39400000000001</v>
      </c>
      <c r="P28" s="16">
        <v>148.96899999999999</v>
      </c>
      <c r="Q28" s="16">
        <v>239.71600000000001</v>
      </c>
      <c r="R28" s="16">
        <v>126.914</v>
      </c>
      <c r="S28" s="16">
        <v>150.23500000000001</v>
      </c>
      <c r="T28" s="16">
        <v>182.678</v>
      </c>
      <c r="U28" s="16">
        <v>210.72300000000001</v>
      </c>
      <c r="V28" s="16">
        <v>88.623999999999995</v>
      </c>
      <c r="W28" s="16">
        <v>127.842</v>
      </c>
      <c r="X28" s="16">
        <v>113.514</v>
      </c>
      <c r="Y28" s="16">
        <v>77.971999999999994</v>
      </c>
      <c r="Z28" s="16">
        <v>116.756</v>
      </c>
      <c r="AA28" s="16">
        <v>95.1</v>
      </c>
      <c r="AB28" s="16">
        <v>103.401</v>
      </c>
      <c r="AC28" s="16">
        <v>152.03</v>
      </c>
      <c r="AD28" s="16">
        <v>72.17</v>
      </c>
      <c r="AE28" s="16">
        <v>126.395</v>
      </c>
      <c r="AF28" s="16">
        <v>118.605</v>
      </c>
      <c r="AG28" s="16">
        <v>78.852000000000004</v>
      </c>
      <c r="AH28" s="16">
        <v>157.501</v>
      </c>
      <c r="AI28" s="4"/>
      <c r="AJ28" s="4"/>
      <c r="AK28" s="4"/>
      <c r="AL28" s="4"/>
      <c r="AM28" s="4"/>
      <c r="AN28" s="4"/>
      <c r="AO28" s="4"/>
      <c r="AP28" s="4"/>
      <c r="AQ28" s="4"/>
      <c r="AR28" s="4"/>
      <c r="AS28" s="4"/>
      <c r="AT28" s="4"/>
      <c r="AU28" s="4"/>
      <c r="AV28" s="4"/>
      <c r="AW28" s="4"/>
      <c r="AX28" s="4"/>
      <c r="AY28" s="4"/>
    </row>
    <row r="29" spans="1:51" ht="14.5" x14ac:dyDescent="0.35">
      <c r="A29" s="105">
        <v>46905</v>
      </c>
      <c r="B29" s="106">
        <v>144</v>
      </c>
      <c r="C29" s="106">
        <v>144</v>
      </c>
      <c r="D29" s="107">
        <v>144</v>
      </c>
      <c r="E29" s="16">
        <v>225.10400000000001</v>
      </c>
      <c r="F29" s="16">
        <v>144.18299999999999</v>
      </c>
      <c r="G29" s="16">
        <v>263.22800000000001</v>
      </c>
      <c r="H29" s="16">
        <v>98.183999999999997</v>
      </c>
      <c r="I29" s="16">
        <v>253.56200000000001</v>
      </c>
      <c r="J29" s="16">
        <v>125.089</v>
      </c>
      <c r="K29" s="16">
        <v>217.17599999999999</v>
      </c>
      <c r="L29" s="16">
        <v>73.218999999999994</v>
      </c>
      <c r="M29" s="16">
        <v>123.916</v>
      </c>
      <c r="N29" s="16">
        <v>28.552</v>
      </c>
      <c r="O29" s="16">
        <v>83.620999999999995</v>
      </c>
      <c r="P29" s="16">
        <v>96.010999999999996</v>
      </c>
      <c r="Q29" s="16">
        <v>208.72300000000001</v>
      </c>
      <c r="R29" s="16">
        <v>82.667000000000002</v>
      </c>
      <c r="S29" s="16">
        <v>117.506</v>
      </c>
      <c r="T29" s="16">
        <v>211.85499999999999</v>
      </c>
      <c r="U29" s="16">
        <v>116.148</v>
      </c>
      <c r="V29" s="16">
        <v>140.95099999999999</v>
      </c>
      <c r="W29" s="16">
        <v>217.88800000000001</v>
      </c>
      <c r="X29" s="16">
        <v>48.69</v>
      </c>
      <c r="Y29" s="16">
        <v>60.707000000000001</v>
      </c>
      <c r="Z29" s="16">
        <v>145.767</v>
      </c>
      <c r="AA29" s="16">
        <v>182.482</v>
      </c>
      <c r="AB29" s="16">
        <v>167.238</v>
      </c>
      <c r="AC29" s="16">
        <v>164.68700000000001</v>
      </c>
      <c r="AD29" s="16">
        <v>30.024000000000001</v>
      </c>
      <c r="AE29" s="16">
        <v>259.88</v>
      </c>
      <c r="AF29" s="16">
        <v>88.358999999999995</v>
      </c>
      <c r="AG29" s="16">
        <v>151.62899999999999</v>
      </c>
      <c r="AH29" s="16">
        <v>108.34099999999999</v>
      </c>
      <c r="AI29" s="4"/>
      <c r="AJ29" s="4"/>
      <c r="AK29" s="4"/>
      <c r="AL29" s="4"/>
      <c r="AM29" s="4"/>
      <c r="AN29" s="4"/>
      <c r="AO29" s="4"/>
      <c r="AP29" s="4"/>
      <c r="AQ29" s="4"/>
      <c r="AR29" s="4"/>
      <c r="AS29" s="4"/>
      <c r="AT29" s="4"/>
      <c r="AU29" s="4"/>
      <c r="AV29" s="4"/>
      <c r="AW29" s="4"/>
      <c r="AX29" s="4"/>
      <c r="AY29" s="4"/>
    </row>
    <row r="30" spans="1:51" ht="14.5" x14ac:dyDescent="0.35">
      <c r="A30" s="105">
        <v>46935</v>
      </c>
      <c r="B30" s="106">
        <v>51</v>
      </c>
      <c r="C30" s="106">
        <v>51</v>
      </c>
      <c r="D30" s="107">
        <v>51</v>
      </c>
      <c r="E30" s="16">
        <v>81.513999999999996</v>
      </c>
      <c r="F30" s="16">
        <v>37.468000000000004</v>
      </c>
      <c r="G30" s="16">
        <v>203.626</v>
      </c>
      <c r="H30" s="16">
        <v>39.622999999999998</v>
      </c>
      <c r="I30" s="16">
        <v>93.608000000000004</v>
      </c>
      <c r="J30" s="16">
        <v>70.774000000000001</v>
      </c>
      <c r="K30" s="16">
        <v>141.62700000000001</v>
      </c>
      <c r="L30" s="16">
        <v>23.518000000000001</v>
      </c>
      <c r="M30" s="16">
        <v>51.185000000000002</v>
      </c>
      <c r="N30" s="16">
        <v>12.47</v>
      </c>
      <c r="O30" s="16">
        <v>26.8</v>
      </c>
      <c r="P30" s="16">
        <v>36.527000000000001</v>
      </c>
      <c r="Q30" s="16">
        <v>79.760000000000005</v>
      </c>
      <c r="R30" s="16">
        <v>48.783000000000001</v>
      </c>
      <c r="S30" s="16">
        <v>46.515000000000001</v>
      </c>
      <c r="T30" s="16">
        <v>81.042000000000002</v>
      </c>
      <c r="U30" s="16">
        <v>45.546999999999997</v>
      </c>
      <c r="V30" s="16">
        <v>41.189</v>
      </c>
      <c r="W30" s="16">
        <v>85.03</v>
      </c>
      <c r="X30" s="16">
        <v>19.869</v>
      </c>
      <c r="Y30" s="16">
        <v>25.562999999999999</v>
      </c>
      <c r="Z30" s="16">
        <v>46.869</v>
      </c>
      <c r="AA30" s="16">
        <v>58.582000000000001</v>
      </c>
      <c r="AB30" s="16">
        <v>49.045999999999999</v>
      </c>
      <c r="AC30" s="16">
        <v>52.795000000000002</v>
      </c>
      <c r="AD30" s="16">
        <v>13.257999999999999</v>
      </c>
      <c r="AE30" s="16">
        <v>110.569</v>
      </c>
      <c r="AF30" s="16">
        <v>31.254999999999999</v>
      </c>
      <c r="AG30" s="16">
        <v>87.147999999999996</v>
      </c>
      <c r="AH30" s="16">
        <v>61.552999999999997</v>
      </c>
      <c r="AI30" s="4"/>
      <c r="AJ30" s="4"/>
      <c r="AK30" s="4"/>
      <c r="AL30" s="4"/>
      <c r="AM30" s="4"/>
      <c r="AN30" s="4"/>
      <c r="AO30" s="4"/>
      <c r="AP30" s="4"/>
      <c r="AQ30" s="4"/>
      <c r="AR30" s="4"/>
      <c r="AS30" s="4"/>
      <c r="AT30" s="4"/>
      <c r="AU30" s="4"/>
      <c r="AV30" s="4"/>
      <c r="AW30" s="4"/>
      <c r="AX30" s="4"/>
      <c r="AY30" s="4"/>
    </row>
    <row r="31" spans="1:51" ht="14.5" x14ac:dyDescent="0.35">
      <c r="A31" s="105">
        <v>46966</v>
      </c>
      <c r="B31" s="106">
        <v>29</v>
      </c>
      <c r="C31" s="106">
        <v>29</v>
      </c>
      <c r="D31" s="107">
        <v>29</v>
      </c>
      <c r="E31" s="16">
        <v>38.654000000000003</v>
      </c>
      <c r="F31" s="16">
        <v>19.138000000000002</v>
      </c>
      <c r="G31" s="16">
        <v>70.016999999999996</v>
      </c>
      <c r="H31" s="16">
        <v>19.097000000000001</v>
      </c>
      <c r="I31" s="16">
        <v>66.290000000000006</v>
      </c>
      <c r="J31" s="16">
        <v>29.547000000000001</v>
      </c>
      <c r="K31" s="16">
        <v>89.668000000000006</v>
      </c>
      <c r="L31" s="16">
        <v>16.082999999999998</v>
      </c>
      <c r="M31" s="16">
        <v>35.802</v>
      </c>
      <c r="N31" s="16">
        <v>9.5090000000000003</v>
      </c>
      <c r="O31" s="16">
        <v>19.163</v>
      </c>
      <c r="P31" s="16">
        <v>18.597000000000001</v>
      </c>
      <c r="Q31" s="16">
        <v>39.924999999999997</v>
      </c>
      <c r="R31" s="16">
        <v>33.781999999999996</v>
      </c>
      <c r="S31" s="16">
        <v>39.308999999999997</v>
      </c>
      <c r="T31" s="16">
        <v>31.768000000000001</v>
      </c>
      <c r="U31" s="16">
        <v>20.715</v>
      </c>
      <c r="V31" s="16">
        <v>34.33</v>
      </c>
      <c r="W31" s="16">
        <v>28.021999999999998</v>
      </c>
      <c r="X31" s="16">
        <v>13.675000000000001</v>
      </c>
      <c r="Y31" s="16">
        <v>26.463000000000001</v>
      </c>
      <c r="Z31" s="16">
        <v>30.241</v>
      </c>
      <c r="AA31" s="16">
        <v>24.824000000000002</v>
      </c>
      <c r="AB31" s="16">
        <v>33.585000000000001</v>
      </c>
      <c r="AC31" s="16">
        <v>30.053999999999998</v>
      </c>
      <c r="AD31" s="16">
        <v>9.0950000000000006</v>
      </c>
      <c r="AE31" s="16">
        <v>33.658000000000001</v>
      </c>
      <c r="AF31" s="16">
        <v>16.969000000000001</v>
      </c>
      <c r="AG31" s="16">
        <v>33.680999999999997</v>
      </c>
      <c r="AH31" s="16">
        <v>36.433</v>
      </c>
      <c r="AI31" s="4"/>
      <c r="AJ31" s="4"/>
      <c r="AK31" s="4"/>
      <c r="AL31" s="4"/>
      <c r="AM31" s="4"/>
      <c r="AN31" s="4"/>
      <c r="AO31" s="4"/>
      <c r="AP31" s="4"/>
      <c r="AQ31" s="4"/>
      <c r="AR31" s="4"/>
      <c r="AS31" s="4"/>
      <c r="AT31" s="4"/>
      <c r="AU31" s="4"/>
      <c r="AV31" s="4"/>
      <c r="AW31" s="4"/>
      <c r="AX31" s="4"/>
      <c r="AY31" s="4"/>
    </row>
    <row r="32" spans="1:51" ht="14.5" x14ac:dyDescent="0.35">
      <c r="A32" s="105">
        <v>46997</v>
      </c>
      <c r="B32" s="106">
        <v>26</v>
      </c>
      <c r="C32" s="106">
        <v>26</v>
      </c>
      <c r="D32" s="107">
        <v>26</v>
      </c>
      <c r="E32" s="16">
        <v>30.335000000000001</v>
      </c>
      <c r="F32" s="16">
        <v>30.701000000000001</v>
      </c>
      <c r="G32" s="16">
        <v>36.435000000000002</v>
      </c>
      <c r="H32" s="16">
        <v>21.548999999999999</v>
      </c>
      <c r="I32" s="16">
        <v>62.466999999999999</v>
      </c>
      <c r="J32" s="16">
        <v>23.974</v>
      </c>
      <c r="K32" s="16">
        <v>44.548999999999999</v>
      </c>
      <c r="L32" s="16">
        <v>15.292</v>
      </c>
      <c r="M32" s="16">
        <v>18.404</v>
      </c>
      <c r="N32" s="16">
        <v>22.773</v>
      </c>
      <c r="O32" s="16">
        <v>33.436999999999998</v>
      </c>
      <c r="P32" s="16">
        <v>41.173999999999999</v>
      </c>
      <c r="Q32" s="16">
        <v>23.635999999999999</v>
      </c>
      <c r="R32" s="16">
        <v>33.32</v>
      </c>
      <c r="S32" s="16">
        <v>36.100999999999999</v>
      </c>
      <c r="T32" s="16">
        <v>36.914000000000001</v>
      </c>
      <c r="U32" s="16">
        <v>15.007999999999999</v>
      </c>
      <c r="V32" s="16">
        <v>18.349</v>
      </c>
      <c r="W32" s="16">
        <v>20.074000000000002</v>
      </c>
      <c r="X32" s="16">
        <v>11.055</v>
      </c>
      <c r="Y32" s="16">
        <v>46.115000000000002</v>
      </c>
      <c r="Z32" s="16">
        <v>39.084000000000003</v>
      </c>
      <c r="AA32" s="16">
        <v>16.513999999999999</v>
      </c>
      <c r="AB32" s="16">
        <v>23.228999999999999</v>
      </c>
      <c r="AC32" s="16">
        <v>18.192</v>
      </c>
      <c r="AD32" s="16">
        <v>9.3490000000000002</v>
      </c>
      <c r="AE32" s="16">
        <v>17.398</v>
      </c>
      <c r="AF32" s="16">
        <v>12.59</v>
      </c>
      <c r="AG32" s="16">
        <v>43.387</v>
      </c>
      <c r="AH32" s="16">
        <v>23.792000000000002</v>
      </c>
      <c r="AI32" s="4"/>
      <c r="AJ32" s="4"/>
      <c r="AK32" s="4"/>
      <c r="AL32" s="4"/>
      <c r="AM32" s="4"/>
      <c r="AN32" s="4"/>
      <c r="AO32" s="4"/>
      <c r="AP32" s="4"/>
      <c r="AQ32" s="4"/>
      <c r="AR32" s="4"/>
      <c r="AS32" s="4"/>
      <c r="AT32" s="4"/>
      <c r="AU32" s="4"/>
      <c r="AV32" s="4"/>
      <c r="AW32" s="4"/>
      <c r="AX32" s="4"/>
      <c r="AY32" s="4"/>
    </row>
    <row r="33" spans="1:51" ht="14.5" x14ac:dyDescent="0.35">
      <c r="A33" s="105">
        <v>47027</v>
      </c>
      <c r="B33" s="106">
        <v>27</v>
      </c>
      <c r="C33" s="106">
        <v>19</v>
      </c>
      <c r="D33" s="107">
        <v>23</v>
      </c>
      <c r="E33" s="16">
        <v>21.443999999999999</v>
      </c>
      <c r="F33" s="16">
        <v>26.827000000000002</v>
      </c>
      <c r="G33" s="16">
        <v>26.832999999999998</v>
      </c>
      <c r="H33" s="16">
        <v>38.378999999999998</v>
      </c>
      <c r="I33" s="16">
        <v>50.273000000000003</v>
      </c>
      <c r="J33" s="16">
        <v>24.2</v>
      </c>
      <c r="K33" s="16">
        <v>21.210999999999999</v>
      </c>
      <c r="L33" s="16">
        <v>18.393000000000001</v>
      </c>
      <c r="M33" s="16">
        <v>14.971</v>
      </c>
      <c r="N33" s="16">
        <v>23.981000000000002</v>
      </c>
      <c r="O33" s="16">
        <v>17.274000000000001</v>
      </c>
      <c r="P33" s="16">
        <v>41.725000000000001</v>
      </c>
      <c r="Q33" s="16">
        <v>40.499000000000002</v>
      </c>
      <c r="R33" s="16">
        <v>81.906999999999996</v>
      </c>
      <c r="S33" s="16">
        <v>33.078000000000003</v>
      </c>
      <c r="T33" s="16">
        <v>22.356000000000002</v>
      </c>
      <c r="U33" s="16">
        <v>16.835000000000001</v>
      </c>
      <c r="V33" s="16">
        <v>21.584</v>
      </c>
      <c r="W33" s="16">
        <v>29.114999999999998</v>
      </c>
      <c r="X33" s="16">
        <v>9.9410000000000007</v>
      </c>
      <c r="Y33" s="16">
        <v>30.391999999999999</v>
      </c>
      <c r="Z33" s="16">
        <v>41.981999999999999</v>
      </c>
      <c r="AA33" s="16">
        <v>19.931999999999999</v>
      </c>
      <c r="AB33" s="16">
        <v>16.704999999999998</v>
      </c>
      <c r="AC33" s="16">
        <v>16.651</v>
      </c>
      <c r="AD33" s="16">
        <v>12.311</v>
      </c>
      <c r="AE33" s="16">
        <v>12.363</v>
      </c>
      <c r="AF33" s="16">
        <v>13.38</v>
      </c>
      <c r="AG33" s="16">
        <v>18.472000000000001</v>
      </c>
      <c r="AH33" s="16">
        <v>15.428000000000001</v>
      </c>
      <c r="AI33" s="4"/>
      <c r="AJ33" s="4"/>
      <c r="AK33" s="4"/>
      <c r="AL33" s="4"/>
      <c r="AM33" s="4"/>
      <c r="AN33" s="4"/>
      <c r="AO33" s="4"/>
      <c r="AP33" s="4"/>
      <c r="AQ33" s="4"/>
      <c r="AR33" s="4"/>
      <c r="AS33" s="4"/>
      <c r="AT33" s="4"/>
      <c r="AU33" s="4"/>
      <c r="AV33" s="4"/>
      <c r="AW33" s="4"/>
      <c r="AX33" s="4"/>
      <c r="AY33" s="4"/>
    </row>
    <row r="34" spans="1:51" ht="14.5" x14ac:dyDescent="0.35">
      <c r="A34" s="105">
        <v>47058</v>
      </c>
      <c r="B34" s="106">
        <v>20</v>
      </c>
      <c r="C34" s="106">
        <v>16</v>
      </c>
      <c r="D34" s="107">
        <v>18</v>
      </c>
      <c r="E34" s="16">
        <v>16.029</v>
      </c>
      <c r="F34" s="16">
        <v>19.95</v>
      </c>
      <c r="G34" s="16">
        <v>18.16</v>
      </c>
      <c r="H34" s="16">
        <v>20.821999999999999</v>
      </c>
      <c r="I34" s="16">
        <v>26.594000000000001</v>
      </c>
      <c r="J34" s="16">
        <v>20.492999999999999</v>
      </c>
      <c r="K34" s="16">
        <v>14.856</v>
      </c>
      <c r="L34" s="16">
        <v>14.53</v>
      </c>
      <c r="M34" s="16">
        <v>12.788</v>
      </c>
      <c r="N34" s="16">
        <v>14.241</v>
      </c>
      <c r="O34" s="16">
        <v>12.253</v>
      </c>
      <c r="P34" s="16">
        <v>25.256</v>
      </c>
      <c r="Q34" s="16">
        <v>25.155000000000001</v>
      </c>
      <c r="R34" s="16">
        <v>30.943999999999999</v>
      </c>
      <c r="S34" s="16">
        <v>19.742000000000001</v>
      </c>
      <c r="T34" s="16">
        <v>17.399000000000001</v>
      </c>
      <c r="U34" s="16">
        <v>16.518999999999998</v>
      </c>
      <c r="V34" s="16">
        <v>17.984999999999999</v>
      </c>
      <c r="W34" s="16">
        <v>20.263999999999999</v>
      </c>
      <c r="X34" s="16">
        <v>9.4390000000000001</v>
      </c>
      <c r="Y34" s="16">
        <v>19.169</v>
      </c>
      <c r="Z34" s="16">
        <v>20.940999999999999</v>
      </c>
      <c r="AA34" s="16">
        <v>15.657999999999999</v>
      </c>
      <c r="AB34" s="16">
        <v>12.738</v>
      </c>
      <c r="AC34" s="16">
        <v>13.336</v>
      </c>
      <c r="AD34" s="16">
        <v>10.709</v>
      </c>
      <c r="AE34" s="16">
        <v>11.792999999999999</v>
      </c>
      <c r="AF34" s="16">
        <v>13.869</v>
      </c>
      <c r="AG34" s="16">
        <v>14.124000000000001</v>
      </c>
      <c r="AH34" s="16">
        <v>13.015000000000001</v>
      </c>
      <c r="AI34" s="4"/>
      <c r="AJ34" s="4"/>
      <c r="AK34" s="4"/>
      <c r="AL34" s="4"/>
      <c r="AM34" s="4"/>
      <c r="AN34" s="4"/>
      <c r="AO34" s="4"/>
      <c r="AP34" s="4"/>
      <c r="AQ34" s="4"/>
      <c r="AR34" s="4"/>
      <c r="AS34" s="4"/>
      <c r="AT34" s="4"/>
      <c r="AU34" s="4"/>
      <c r="AV34" s="4"/>
      <c r="AW34" s="4"/>
      <c r="AX34" s="4"/>
      <c r="AY34" s="4"/>
    </row>
    <row r="35" spans="1:51" ht="14.5" x14ac:dyDescent="0.35">
      <c r="A35" s="105">
        <v>47088</v>
      </c>
      <c r="B35" s="106">
        <v>15</v>
      </c>
      <c r="C35" s="106">
        <v>15</v>
      </c>
      <c r="D35" s="107">
        <v>15</v>
      </c>
      <c r="E35" s="16">
        <v>14.457000000000001</v>
      </c>
      <c r="F35" s="16">
        <v>14.922000000000001</v>
      </c>
      <c r="G35" s="16">
        <v>15.625999999999999</v>
      </c>
      <c r="H35" s="16">
        <v>15.769</v>
      </c>
      <c r="I35" s="16">
        <v>18.106999999999999</v>
      </c>
      <c r="J35" s="16">
        <v>16.902999999999999</v>
      </c>
      <c r="K35" s="16">
        <v>13.414</v>
      </c>
      <c r="L35" s="16">
        <v>12.337</v>
      </c>
      <c r="M35" s="16">
        <v>11.709</v>
      </c>
      <c r="N35" s="16">
        <v>11.53</v>
      </c>
      <c r="O35" s="16">
        <v>11.644</v>
      </c>
      <c r="P35" s="16">
        <v>17.363</v>
      </c>
      <c r="Q35" s="16">
        <v>17.495000000000001</v>
      </c>
      <c r="R35" s="16">
        <v>18.864000000000001</v>
      </c>
      <c r="S35" s="16">
        <v>15.635999999999999</v>
      </c>
      <c r="T35" s="16">
        <v>14.974</v>
      </c>
      <c r="U35" s="16">
        <v>13.157</v>
      </c>
      <c r="V35" s="16">
        <v>13.898999999999999</v>
      </c>
      <c r="W35" s="16">
        <v>14.864000000000001</v>
      </c>
      <c r="X35" s="16">
        <v>10.058999999999999</v>
      </c>
      <c r="Y35" s="16">
        <v>14.292</v>
      </c>
      <c r="Z35" s="16">
        <v>16.061</v>
      </c>
      <c r="AA35" s="16">
        <v>13.089</v>
      </c>
      <c r="AB35" s="16">
        <v>12.058999999999999</v>
      </c>
      <c r="AC35" s="16">
        <v>12.568</v>
      </c>
      <c r="AD35" s="16">
        <v>9.4870000000000001</v>
      </c>
      <c r="AE35" s="16">
        <v>12.321</v>
      </c>
      <c r="AF35" s="16">
        <v>12.243</v>
      </c>
      <c r="AG35" s="16">
        <v>12.228999999999999</v>
      </c>
      <c r="AH35" s="16">
        <v>11.974</v>
      </c>
      <c r="AI35" s="4"/>
      <c r="AJ35" s="4"/>
      <c r="AK35" s="4"/>
      <c r="AL35" s="4"/>
      <c r="AM35" s="4"/>
      <c r="AN35" s="4"/>
      <c r="AO35" s="4"/>
      <c r="AP35" s="4"/>
      <c r="AQ35" s="4"/>
      <c r="AR35" s="4"/>
      <c r="AS35" s="4"/>
      <c r="AT35" s="4"/>
      <c r="AU35" s="4"/>
      <c r="AV35" s="4"/>
      <c r="AW35" s="4"/>
      <c r="AX35" s="4"/>
      <c r="AY35" s="4"/>
    </row>
    <row r="36" spans="1:51" ht="14.5" x14ac:dyDescent="0.35">
      <c r="A36" s="105">
        <v>47119</v>
      </c>
      <c r="B36" s="106">
        <v>13</v>
      </c>
      <c r="C36" s="106">
        <v>13</v>
      </c>
      <c r="D36" s="107">
        <v>13</v>
      </c>
      <c r="E36">
        <v>13.702999999999999</v>
      </c>
      <c r="F36">
        <v>13.228999999999999</v>
      </c>
      <c r="G36">
        <v>14.459</v>
      </c>
      <c r="H36">
        <v>13.314</v>
      </c>
      <c r="I36">
        <v>15.246</v>
      </c>
      <c r="J36">
        <v>14.321999999999999</v>
      </c>
      <c r="K36">
        <v>13.23</v>
      </c>
      <c r="L36">
        <v>11.526</v>
      </c>
      <c r="M36">
        <v>11.53</v>
      </c>
      <c r="N36">
        <v>10.619</v>
      </c>
      <c r="O36">
        <v>10.673</v>
      </c>
      <c r="P36">
        <v>16.033999999999999</v>
      </c>
      <c r="Q36">
        <v>15.44</v>
      </c>
      <c r="R36">
        <v>14.667</v>
      </c>
      <c r="S36">
        <v>13.085000000000001</v>
      </c>
      <c r="T36">
        <v>13.53</v>
      </c>
      <c r="U36">
        <v>12.031000000000001</v>
      </c>
      <c r="V36">
        <v>12.153</v>
      </c>
      <c r="W36">
        <v>13.596</v>
      </c>
      <c r="X36">
        <v>10.255000000000001</v>
      </c>
      <c r="Y36">
        <v>12.34</v>
      </c>
      <c r="Z36">
        <v>13.919</v>
      </c>
      <c r="AA36">
        <v>11.535</v>
      </c>
      <c r="AB36">
        <v>11.926</v>
      </c>
      <c r="AC36">
        <v>12.151</v>
      </c>
      <c r="AD36">
        <v>9.1809999999999992</v>
      </c>
      <c r="AE36">
        <v>11.972</v>
      </c>
      <c r="AF36">
        <v>11.019</v>
      </c>
      <c r="AG36">
        <v>11.282999999999999</v>
      </c>
      <c r="AH36">
        <v>11.407999999999999</v>
      </c>
      <c r="AI36" s="4"/>
      <c r="AJ36" s="4"/>
      <c r="AK36" s="4"/>
      <c r="AL36" s="4"/>
      <c r="AM36" s="4"/>
      <c r="AN36" s="4"/>
      <c r="AO36" s="4"/>
      <c r="AP36" s="4"/>
      <c r="AQ36" s="4"/>
      <c r="AR36" s="4"/>
      <c r="AS36" s="4"/>
      <c r="AT36" s="4"/>
      <c r="AU36" s="4"/>
      <c r="AV36" s="4"/>
      <c r="AW36" s="4"/>
      <c r="AX36" s="4"/>
      <c r="AY36" s="4"/>
    </row>
    <row r="37" spans="1:51" ht="14.5" x14ac:dyDescent="0.35">
      <c r="A37" s="105">
        <v>47150</v>
      </c>
      <c r="B37" s="106">
        <v>12</v>
      </c>
      <c r="C37" s="106">
        <v>12</v>
      </c>
      <c r="D37" s="107">
        <v>12</v>
      </c>
      <c r="E37">
        <v>11.667999999999999</v>
      </c>
      <c r="F37">
        <v>14.481999999999999</v>
      </c>
      <c r="G37">
        <v>15.808999999999999</v>
      </c>
      <c r="H37">
        <v>11.255000000000001</v>
      </c>
      <c r="I37">
        <v>12.651999999999999</v>
      </c>
      <c r="J37">
        <v>13.492000000000001</v>
      </c>
      <c r="K37">
        <v>12.513</v>
      </c>
      <c r="L37">
        <v>9.9819999999999993</v>
      </c>
      <c r="M37">
        <v>10.17</v>
      </c>
      <c r="N37">
        <v>9.7070000000000007</v>
      </c>
      <c r="O37">
        <v>9.9039999999999999</v>
      </c>
      <c r="P37">
        <v>14.151999999999999</v>
      </c>
      <c r="Q37">
        <v>12.811999999999999</v>
      </c>
      <c r="R37">
        <v>14.045999999999999</v>
      </c>
      <c r="S37">
        <v>10.55</v>
      </c>
      <c r="T37">
        <v>12.571</v>
      </c>
      <c r="U37">
        <v>10.212</v>
      </c>
      <c r="V37">
        <v>10.362</v>
      </c>
      <c r="W37">
        <v>10.724</v>
      </c>
      <c r="X37">
        <v>9.8559999999999999</v>
      </c>
      <c r="Y37">
        <v>12.683999999999999</v>
      </c>
      <c r="Z37">
        <v>15.491</v>
      </c>
      <c r="AA37">
        <v>12.688000000000001</v>
      </c>
      <c r="AB37">
        <v>13.689</v>
      </c>
      <c r="AC37">
        <v>11.73</v>
      </c>
      <c r="AD37">
        <v>8.1379999999999999</v>
      </c>
      <c r="AE37">
        <v>10.722</v>
      </c>
      <c r="AF37">
        <v>10.218999999999999</v>
      </c>
      <c r="AG37">
        <v>10.113</v>
      </c>
      <c r="AH37">
        <v>10.199999999999999</v>
      </c>
      <c r="AI37" s="4"/>
      <c r="AJ37" s="4"/>
      <c r="AK37" s="4"/>
      <c r="AL37" s="4"/>
      <c r="AM37" s="4"/>
      <c r="AN37" s="4"/>
      <c r="AO37" s="4"/>
      <c r="AP37" s="4"/>
      <c r="AQ37" s="4"/>
      <c r="AR37" s="4"/>
      <c r="AS37" s="4"/>
      <c r="AT37" s="4"/>
      <c r="AU37" s="4"/>
      <c r="AV37" s="4"/>
      <c r="AW37" s="4"/>
      <c r="AX37" s="4"/>
      <c r="AY37" s="4"/>
    </row>
    <row r="38" spans="1:51" ht="14.5" x14ac:dyDescent="0.35">
      <c r="A38" s="105">
        <v>47178</v>
      </c>
      <c r="B38" s="106">
        <v>23</v>
      </c>
      <c r="C38" s="106">
        <v>23</v>
      </c>
      <c r="D38" s="107">
        <v>23</v>
      </c>
      <c r="E38">
        <v>21.785</v>
      </c>
      <c r="F38">
        <v>33.881999999999998</v>
      </c>
      <c r="G38">
        <v>19.274000000000001</v>
      </c>
      <c r="H38">
        <v>38.722999999999999</v>
      </c>
      <c r="I38">
        <v>21.695</v>
      </c>
      <c r="J38">
        <v>20.39</v>
      </c>
      <c r="K38">
        <v>17.158999999999999</v>
      </c>
      <c r="L38">
        <v>17.890999999999998</v>
      </c>
      <c r="M38">
        <v>13.692</v>
      </c>
      <c r="N38">
        <v>14.198</v>
      </c>
      <c r="O38">
        <v>31.004000000000001</v>
      </c>
      <c r="P38">
        <v>26.844999999999999</v>
      </c>
      <c r="Q38">
        <v>16.664000000000001</v>
      </c>
      <c r="R38">
        <v>47.548000000000002</v>
      </c>
      <c r="S38">
        <v>13.815</v>
      </c>
      <c r="T38">
        <v>21.722999999999999</v>
      </c>
      <c r="U38">
        <v>12.15</v>
      </c>
      <c r="V38">
        <v>16.695</v>
      </c>
      <c r="W38">
        <v>20.355</v>
      </c>
      <c r="X38">
        <v>13.057</v>
      </c>
      <c r="Y38">
        <v>16.683</v>
      </c>
      <c r="Z38">
        <v>31.262</v>
      </c>
      <c r="AA38">
        <v>18.911000000000001</v>
      </c>
      <c r="AB38">
        <v>39</v>
      </c>
      <c r="AC38">
        <v>13.904</v>
      </c>
      <c r="AD38">
        <v>12.023999999999999</v>
      </c>
      <c r="AE38">
        <v>16.425000000000001</v>
      </c>
      <c r="AF38">
        <v>12.064</v>
      </c>
      <c r="AG38">
        <v>16.204000000000001</v>
      </c>
      <c r="AH38">
        <v>16.382000000000001</v>
      </c>
      <c r="AI38" s="4"/>
      <c r="AJ38" s="4"/>
      <c r="AK38" s="4"/>
      <c r="AL38" s="4"/>
      <c r="AM38" s="4"/>
      <c r="AN38" s="4"/>
      <c r="AO38" s="4"/>
      <c r="AP38" s="4"/>
      <c r="AQ38" s="4"/>
      <c r="AR38" s="4"/>
      <c r="AS38" s="4"/>
      <c r="AT38" s="4"/>
      <c r="AU38" s="4"/>
      <c r="AV38" s="4"/>
      <c r="AW38" s="4"/>
      <c r="AX38" s="4"/>
      <c r="AY38" s="4"/>
    </row>
    <row r="39" spans="1:51" ht="14.5" x14ac:dyDescent="0.35">
      <c r="A39" s="105">
        <v>47209</v>
      </c>
      <c r="B39" s="106">
        <v>51</v>
      </c>
      <c r="C39" s="106">
        <v>51</v>
      </c>
      <c r="D39" s="107">
        <v>51</v>
      </c>
      <c r="E39">
        <v>58.725000000000001</v>
      </c>
      <c r="F39">
        <v>39.582000000000001</v>
      </c>
      <c r="G39">
        <v>40.113999999999997</v>
      </c>
      <c r="H39">
        <v>67.902000000000001</v>
      </c>
      <c r="I39">
        <v>45.28</v>
      </c>
      <c r="J39">
        <v>45.779000000000003</v>
      </c>
      <c r="K39">
        <v>51.811</v>
      </c>
      <c r="L39">
        <v>59.177</v>
      </c>
      <c r="M39">
        <v>38.067</v>
      </c>
      <c r="N39">
        <v>35.753999999999998</v>
      </c>
      <c r="O39">
        <v>88.06</v>
      </c>
      <c r="P39">
        <v>77.137</v>
      </c>
      <c r="Q39">
        <v>53.57</v>
      </c>
      <c r="R39">
        <v>73.495000000000005</v>
      </c>
      <c r="S39">
        <v>35.145000000000003</v>
      </c>
      <c r="T39">
        <v>42.195</v>
      </c>
      <c r="U39">
        <v>29.66</v>
      </c>
      <c r="V39">
        <v>37.588000000000001</v>
      </c>
      <c r="W39">
        <v>76.72</v>
      </c>
      <c r="X39">
        <v>19.193000000000001</v>
      </c>
      <c r="Y39">
        <v>46.581000000000003</v>
      </c>
      <c r="Z39">
        <v>43.302999999999997</v>
      </c>
      <c r="AA39">
        <v>39.185000000000002</v>
      </c>
      <c r="AB39">
        <v>77.742000000000004</v>
      </c>
      <c r="AC39">
        <v>30.454000000000001</v>
      </c>
      <c r="AD39">
        <v>47.561</v>
      </c>
      <c r="AE39">
        <v>27.431000000000001</v>
      </c>
      <c r="AF39">
        <v>20.725000000000001</v>
      </c>
      <c r="AG39">
        <v>68.507999999999996</v>
      </c>
      <c r="AH39">
        <v>48.258000000000003</v>
      </c>
      <c r="AI39" s="4"/>
      <c r="AJ39" s="4"/>
      <c r="AK39" s="4"/>
      <c r="AL39" s="4"/>
      <c r="AM39" s="4"/>
      <c r="AN39" s="4"/>
      <c r="AO39" s="4"/>
      <c r="AP39" s="4"/>
      <c r="AQ39" s="4"/>
      <c r="AR39" s="4"/>
      <c r="AS39" s="4"/>
      <c r="AT39" s="4"/>
      <c r="AU39" s="4"/>
      <c r="AV39" s="4"/>
      <c r="AW39" s="4"/>
      <c r="AX39" s="4"/>
      <c r="AY39" s="4"/>
    </row>
    <row r="40" spans="1:51" ht="14.5" x14ac:dyDescent="0.35">
      <c r="A40" s="105">
        <v>47239</v>
      </c>
      <c r="B40" s="106">
        <v>135</v>
      </c>
      <c r="C40" s="106">
        <v>135</v>
      </c>
      <c r="D40" s="107">
        <v>135</v>
      </c>
      <c r="E40">
        <v>158.74199999999999</v>
      </c>
      <c r="F40">
        <v>107.842</v>
      </c>
      <c r="G40">
        <v>143.166</v>
      </c>
      <c r="H40">
        <v>199.5</v>
      </c>
      <c r="I40">
        <v>147.50399999999999</v>
      </c>
      <c r="J40">
        <v>151.44200000000001</v>
      </c>
      <c r="K40">
        <v>124.767</v>
      </c>
      <c r="L40">
        <v>228.62700000000001</v>
      </c>
      <c r="M40">
        <v>51.628999999999998</v>
      </c>
      <c r="N40">
        <v>115.53</v>
      </c>
      <c r="O40">
        <v>148.34200000000001</v>
      </c>
      <c r="P40">
        <v>234.15299999999999</v>
      </c>
      <c r="Q40">
        <v>127.021</v>
      </c>
      <c r="R40">
        <v>151.63800000000001</v>
      </c>
      <c r="S40">
        <v>182.48500000000001</v>
      </c>
      <c r="T40">
        <v>209.751</v>
      </c>
      <c r="U40">
        <v>89.629000000000005</v>
      </c>
      <c r="V40">
        <v>129.26599999999999</v>
      </c>
      <c r="W40">
        <v>113.542</v>
      </c>
      <c r="X40">
        <v>78.182000000000002</v>
      </c>
      <c r="Y40">
        <v>117.313</v>
      </c>
      <c r="Z40">
        <v>94.924999999999997</v>
      </c>
      <c r="AA40">
        <v>104.117</v>
      </c>
      <c r="AB40">
        <v>147.79300000000001</v>
      </c>
      <c r="AC40">
        <v>72.272999999999996</v>
      </c>
      <c r="AD40">
        <v>130.16800000000001</v>
      </c>
      <c r="AE40">
        <v>118.19</v>
      </c>
      <c r="AF40">
        <v>77.929000000000002</v>
      </c>
      <c r="AG40">
        <v>157.73699999999999</v>
      </c>
      <c r="AH40">
        <v>218.69200000000001</v>
      </c>
      <c r="AI40" s="4"/>
      <c r="AJ40" s="4"/>
      <c r="AK40" s="4"/>
      <c r="AL40" s="4"/>
      <c r="AM40" s="4"/>
      <c r="AN40" s="4"/>
      <c r="AO40" s="4"/>
      <c r="AP40" s="4"/>
      <c r="AQ40" s="4"/>
      <c r="AR40" s="4"/>
      <c r="AS40" s="4"/>
      <c r="AT40" s="4"/>
      <c r="AU40" s="4"/>
      <c r="AV40" s="4"/>
      <c r="AW40" s="4"/>
      <c r="AX40" s="4"/>
      <c r="AY40" s="4"/>
    </row>
    <row r="41" spans="1:51" ht="14.5" x14ac:dyDescent="0.35">
      <c r="A41" s="105">
        <v>47270</v>
      </c>
      <c r="B41" s="106">
        <v>144</v>
      </c>
      <c r="C41" s="106">
        <v>144</v>
      </c>
      <c r="D41" s="107">
        <v>144</v>
      </c>
      <c r="E41">
        <v>144.06299999999999</v>
      </c>
      <c r="F41">
        <v>264.22399999999999</v>
      </c>
      <c r="G41">
        <v>98.194999999999993</v>
      </c>
      <c r="H41">
        <v>256.73</v>
      </c>
      <c r="I41">
        <v>124.97</v>
      </c>
      <c r="J41">
        <v>217.53899999999999</v>
      </c>
      <c r="K41">
        <v>73.435000000000002</v>
      </c>
      <c r="L41">
        <v>126.97799999999999</v>
      </c>
      <c r="M41">
        <v>28.571000000000002</v>
      </c>
      <c r="N41">
        <v>84.384</v>
      </c>
      <c r="O41">
        <v>95.861000000000004</v>
      </c>
      <c r="P41">
        <v>211.54</v>
      </c>
      <c r="Q41">
        <v>82.549000000000007</v>
      </c>
      <c r="R41">
        <v>117.852</v>
      </c>
      <c r="S41">
        <v>211.72300000000001</v>
      </c>
      <c r="T41">
        <v>116.254</v>
      </c>
      <c r="U41">
        <v>141.37100000000001</v>
      </c>
      <c r="V41">
        <v>218.31800000000001</v>
      </c>
      <c r="W41">
        <v>48.646999999999998</v>
      </c>
      <c r="X41">
        <v>61.726999999999997</v>
      </c>
      <c r="Y41">
        <v>145.929</v>
      </c>
      <c r="Z41">
        <v>182.37899999999999</v>
      </c>
      <c r="AA41">
        <v>167.357</v>
      </c>
      <c r="AB41">
        <v>166.80699999999999</v>
      </c>
      <c r="AC41">
        <v>30.111999999999998</v>
      </c>
      <c r="AD41">
        <v>261.37400000000002</v>
      </c>
      <c r="AE41">
        <v>88.165999999999997</v>
      </c>
      <c r="AF41">
        <v>151.65600000000001</v>
      </c>
      <c r="AG41">
        <v>108.411</v>
      </c>
      <c r="AH41">
        <v>225.36199999999999</v>
      </c>
      <c r="AI41" s="4"/>
      <c r="AJ41" s="4"/>
      <c r="AK41" s="4"/>
      <c r="AL41" s="4"/>
      <c r="AM41" s="4"/>
      <c r="AN41" s="4"/>
      <c r="AO41" s="4"/>
      <c r="AP41" s="4"/>
      <c r="AQ41" s="4"/>
      <c r="AR41" s="4"/>
      <c r="AS41" s="4"/>
      <c r="AT41" s="4"/>
      <c r="AU41" s="4"/>
      <c r="AV41" s="4"/>
      <c r="AW41" s="4"/>
      <c r="AX41" s="4"/>
      <c r="AY41" s="4"/>
    </row>
    <row r="42" spans="1:51" ht="14.5" x14ac:dyDescent="0.35">
      <c r="A42" s="105">
        <v>47300</v>
      </c>
      <c r="B42" s="106">
        <v>51</v>
      </c>
      <c r="C42" s="106">
        <v>51</v>
      </c>
      <c r="D42" s="107">
        <v>51</v>
      </c>
      <c r="E42">
        <v>37.478000000000002</v>
      </c>
      <c r="F42">
        <v>203.899</v>
      </c>
      <c r="G42">
        <v>39.700000000000003</v>
      </c>
      <c r="H42">
        <v>92.478999999999999</v>
      </c>
      <c r="I42">
        <v>70.694999999999993</v>
      </c>
      <c r="J42">
        <v>141.83699999999999</v>
      </c>
      <c r="K42">
        <v>23.721</v>
      </c>
      <c r="L42">
        <v>52.703000000000003</v>
      </c>
      <c r="M42">
        <v>12.526</v>
      </c>
      <c r="N42">
        <v>27.082999999999998</v>
      </c>
      <c r="O42">
        <v>36.448</v>
      </c>
      <c r="P42">
        <v>83.233999999999995</v>
      </c>
      <c r="Q42">
        <v>48.750999999999998</v>
      </c>
      <c r="R42">
        <v>46.956000000000003</v>
      </c>
      <c r="S42">
        <v>80.995999999999995</v>
      </c>
      <c r="T42">
        <v>47.646000000000001</v>
      </c>
      <c r="U42">
        <v>41.527999999999999</v>
      </c>
      <c r="V42">
        <v>85.153000000000006</v>
      </c>
      <c r="W42">
        <v>19.898</v>
      </c>
      <c r="X42">
        <v>25.864000000000001</v>
      </c>
      <c r="Y42">
        <v>46.896999999999998</v>
      </c>
      <c r="Z42">
        <v>58.537999999999997</v>
      </c>
      <c r="AA42">
        <v>49.098999999999997</v>
      </c>
      <c r="AB42">
        <v>53.33</v>
      </c>
      <c r="AC42">
        <v>13.356999999999999</v>
      </c>
      <c r="AD42">
        <v>110.84</v>
      </c>
      <c r="AE42">
        <v>31.161999999999999</v>
      </c>
      <c r="AF42">
        <v>89.968000000000004</v>
      </c>
      <c r="AG42">
        <v>61.552999999999997</v>
      </c>
      <c r="AH42">
        <v>81.572999999999993</v>
      </c>
      <c r="AI42" s="4"/>
      <c r="AJ42" s="4"/>
      <c r="AK42" s="4"/>
      <c r="AL42" s="4"/>
      <c r="AM42" s="4"/>
      <c r="AN42" s="4"/>
      <c r="AO42" s="4"/>
      <c r="AP42" s="4"/>
      <c r="AQ42" s="4"/>
      <c r="AR42" s="4"/>
      <c r="AS42" s="4"/>
      <c r="AT42" s="4"/>
      <c r="AU42" s="4"/>
      <c r="AV42" s="4"/>
      <c r="AW42" s="4"/>
      <c r="AX42" s="4"/>
      <c r="AY42" s="4"/>
    </row>
    <row r="43" spans="1:51" ht="14.5" x14ac:dyDescent="0.35">
      <c r="A43" s="105">
        <v>47331</v>
      </c>
      <c r="B43" s="106">
        <v>29</v>
      </c>
      <c r="C43" s="106">
        <v>29</v>
      </c>
      <c r="D43" s="107">
        <v>29</v>
      </c>
      <c r="E43">
        <v>19.097000000000001</v>
      </c>
      <c r="F43">
        <v>70.165999999999997</v>
      </c>
      <c r="G43">
        <v>19.113</v>
      </c>
      <c r="H43">
        <v>71.206999999999994</v>
      </c>
      <c r="I43">
        <v>29.465</v>
      </c>
      <c r="J43">
        <v>89.91</v>
      </c>
      <c r="K43">
        <v>16.213000000000001</v>
      </c>
      <c r="L43">
        <v>36.279000000000003</v>
      </c>
      <c r="M43">
        <v>9.5169999999999995</v>
      </c>
      <c r="N43">
        <v>19.361999999999998</v>
      </c>
      <c r="O43">
        <v>18.484999999999999</v>
      </c>
      <c r="P43">
        <v>40.484999999999999</v>
      </c>
      <c r="Q43">
        <v>33.787999999999997</v>
      </c>
      <c r="R43">
        <v>39.712000000000003</v>
      </c>
      <c r="S43">
        <v>31.699000000000002</v>
      </c>
      <c r="T43">
        <v>21.097000000000001</v>
      </c>
      <c r="U43">
        <v>34.619</v>
      </c>
      <c r="V43">
        <v>28.077000000000002</v>
      </c>
      <c r="W43">
        <v>13.645</v>
      </c>
      <c r="X43">
        <v>26.887</v>
      </c>
      <c r="Y43">
        <v>30.213999999999999</v>
      </c>
      <c r="Z43">
        <v>24.736999999999998</v>
      </c>
      <c r="AA43">
        <v>33.604999999999997</v>
      </c>
      <c r="AB43">
        <v>30.983000000000001</v>
      </c>
      <c r="AC43">
        <v>9.1319999999999997</v>
      </c>
      <c r="AD43">
        <v>33.808</v>
      </c>
      <c r="AE43">
        <v>16.838999999999999</v>
      </c>
      <c r="AF43">
        <v>34.744999999999997</v>
      </c>
      <c r="AG43">
        <v>36.39</v>
      </c>
      <c r="AH43">
        <v>38.621000000000002</v>
      </c>
      <c r="AI43" s="4"/>
      <c r="AJ43" s="4"/>
      <c r="AK43" s="4"/>
      <c r="AL43" s="4"/>
      <c r="AM43" s="4"/>
      <c r="AN43" s="4"/>
      <c r="AO43" s="4"/>
      <c r="AP43" s="4"/>
      <c r="AQ43" s="4"/>
      <c r="AR43" s="4"/>
      <c r="AS43" s="4"/>
      <c r="AT43" s="4"/>
      <c r="AU43" s="4"/>
      <c r="AV43" s="4"/>
      <c r="AW43" s="4"/>
      <c r="AX43" s="4"/>
      <c r="AY43" s="4"/>
    </row>
    <row r="44" spans="1:51" ht="14.5" x14ac:dyDescent="0.35">
      <c r="A44" s="105">
        <v>47362</v>
      </c>
      <c r="B44" s="106">
        <v>26</v>
      </c>
      <c r="C44" s="106">
        <v>26</v>
      </c>
      <c r="D44" s="107">
        <v>26</v>
      </c>
      <c r="E44">
        <v>30.751999999999999</v>
      </c>
      <c r="F44">
        <v>36.655999999999999</v>
      </c>
      <c r="G44">
        <v>21.643000000000001</v>
      </c>
      <c r="H44">
        <v>62.789000000000001</v>
      </c>
      <c r="I44">
        <v>23.983000000000001</v>
      </c>
      <c r="J44">
        <v>44.792999999999999</v>
      </c>
      <c r="K44">
        <v>15.481999999999999</v>
      </c>
      <c r="L44">
        <v>18.891999999999999</v>
      </c>
      <c r="M44">
        <v>22.867999999999999</v>
      </c>
      <c r="N44">
        <v>33.816000000000003</v>
      </c>
      <c r="O44">
        <v>41.121000000000002</v>
      </c>
      <c r="P44">
        <v>23.564</v>
      </c>
      <c r="Q44">
        <v>33.411000000000001</v>
      </c>
      <c r="R44">
        <v>36.57</v>
      </c>
      <c r="S44">
        <v>36.932000000000002</v>
      </c>
      <c r="T44">
        <v>15.189</v>
      </c>
      <c r="U44">
        <v>18.672999999999998</v>
      </c>
      <c r="V44">
        <v>20.206</v>
      </c>
      <c r="W44">
        <v>11.12</v>
      </c>
      <c r="X44">
        <v>45.475000000000001</v>
      </c>
      <c r="Y44">
        <v>39.155000000000001</v>
      </c>
      <c r="Z44">
        <v>16.507999999999999</v>
      </c>
      <c r="AA44">
        <v>23.300999999999998</v>
      </c>
      <c r="AB44">
        <v>18.227</v>
      </c>
      <c r="AC44">
        <v>9.4570000000000007</v>
      </c>
      <c r="AD44">
        <v>17.571000000000002</v>
      </c>
      <c r="AE44">
        <v>12.56</v>
      </c>
      <c r="AF44">
        <v>43.976999999999997</v>
      </c>
      <c r="AG44">
        <v>23.818000000000001</v>
      </c>
      <c r="AH44">
        <v>30.372</v>
      </c>
      <c r="AI44" s="4"/>
      <c r="AJ44" s="4"/>
      <c r="AK44" s="4"/>
      <c r="AL44" s="4"/>
      <c r="AM44" s="4"/>
      <c r="AN44" s="4"/>
      <c r="AO44" s="4"/>
      <c r="AP44" s="4"/>
      <c r="AQ44" s="4"/>
      <c r="AR44" s="4"/>
      <c r="AS44" s="4"/>
      <c r="AT44" s="4"/>
      <c r="AU44" s="4"/>
      <c r="AV44" s="4"/>
      <c r="AW44" s="4"/>
      <c r="AX44" s="4"/>
      <c r="AY44" s="4"/>
    </row>
    <row r="45" spans="1:51" ht="14.5" x14ac:dyDescent="0.35">
      <c r="A45" s="105">
        <v>47392</v>
      </c>
      <c r="B45" s="106">
        <v>27</v>
      </c>
      <c r="C45" s="106">
        <v>19</v>
      </c>
      <c r="D45" s="107">
        <v>23</v>
      </c>
      <c r="E45">
        <v>26.867999999999999</v>
      </c>
      <c r="F45">
        <v>27.024999999999999</v>
      </c>
      <c r="G45">
        <v>38.478000000000002</v>
      </c>
      <c r="H45">
        <v>51.289000000000001</v>
      </c>
      <c r="I45">
        <v>24.202999999999999</v>
      </c>
      <c r="J45">
        <v>21.411000000000001</v>
      </c>
      <c r="K45">
        <v>18.600999999999999</v>
      </c>
      <c r="L45">
        <v>15.122999999999999</v>
      </c>
      <c r="M45">
        <v>24.062999999999999</v>
      </c>
      <c r="N45">
        <v>17.535</v>
      </c>
      <c r="O45">
        <v>41.646000000000001</v>
      </c>
      <c r="P45">
        <v>40.828000000000003</v>
      </c>
      <c r="Q45">
        <v>82.043999999999997</v>
      </c>
      <c r="R45">
        <v>33.484000000000002</v>
      </c>
      <c r="S45">
        <v>22.361999999999998</v>
      </c>
      <c r="T45">
        <v>16.91</v>
      </c>
      <c r="U45">
        <v>21.914999999999999</v>
      </c>
      <c r="V45">
        <v>29.268999999999998</v>
      </c>
      <c r="W45">
        <v>9.9949999999999992</v>
      </c>
      <c r="X45">
        <v>31.995999999999999</v>
      </c>
      <c r="Y45">
        <v>42.04</v>
      </c>
      <c r="Z45">
        <v>19.911000000000001</v>
      </c>
      <c r="AA45">
        <v>16.762</v>
      </c>
      <c r="AB45">
        <v>17.030999999999999</v>
      </c>
      <c r="AC45">
        <v>12.42</v>
      </c>
      <c r="AD45">
        <v>12.537000000000001</v>
      </c>
      <c r="AE45">
        <v>13.337999999999999</v>
      </c>
      <c r="AF45">
        <v>19.167999999999999</v>
      </c>
      <c r="AG45">
        <v>15.445</v>
      </c>
      <c r="AH45">
        <v>21.469000000000001</v>
      </c>
      <c r="AI45" s="4"/>
      <c r="AJ45" s="4"/>
      <c r="AK45" s="4"/>
      <c r="AL45" s="4"/>
      <c r="AM45" s="4"/>
      <c r="AN45" s="4"/>
      <c r="AO45" s="4"/>
      <c r="AP45" s="4"/>
      <c r="AQ45" s="4"/>
      <c r="AR45" s="4"/>
      <c r="AS45" s="4"/>
      <c r="AT45" s="4"/>
      <c r="AU45" s="4"/>
      <c r="AV45" s="4"/>
      <c r="AW45" s="4"/>
      <c r="AX45" s="4"/>
      <c r="AY45" s="4"/>
    </row>
    <row r="46" spans="1:51" ht="14.5" x14ac:dyDescent="0.35">
      <c r="A46" s="105">
        <v>47423</v>
      </c>
      <c r="B46" s="106">
        <v>20</v>
      </c>
      <c r="C46" s="106">
        <v>16</v>
      </c>
      <c r="D46" s="107">
        <v>18</v>
      </c>
      <c r="E46">
        <v>19.988</v>
      </c>
      <c r="F46">
        <v>18.324000000000002</v>
      </c>
      <c r="G46">
        <v>20.922000000000001</v>
      </c>
      <c r="H46">
        <v>27.390999999999998</v>
      </c>
      <c r="I46">
        <v>20.498999999999999</v>
      </c>
      <c r="J46">
        <v>15.034000000000001</v>
      </c>
      <c r="K46">
        <v>14.708</v>
      </c>
      <c r="L46">
        <v>13.212</v>
      </c>
      <c r="M46">
        <v>14.31</v>
      </c>
      <c r="N46">
        <v>12.478999999999999</v>
      </c>
      <c r="O46">
        <v>25.207000000000001</v>
      </c>
      <c r="P46">
        <v>25.643000000000001</v>
      </c>
      <c r="Q46">
        <v>31.029</v>
      </c>
      <c r="R46">
        <v>20.071999999999999</v>
      </c>
      <c r="S46">
        <v>17.402999999999999</v>
      </c>
      <c r="T46">
        <v>16.658999999999999</v>
      </c>
      <c r="U46">
        <v>18.271000000000001</v>
      </c>
      <c r="V46">
        <v>20.379000000000001</v>
      </c>
      <c r="W46">
        <v>9.4890000000000008</v>
      </c>
      <c r="X46">
        <v>19.556000000000001</v>
      </c>
      <c r="Y46">
        <v>20.981000000000002</v>
      </c>
      <c r="Z46">
        <v>15.641999999999999</v>
      </c>
      <c r="AA46">
        <v>12.79</v>
      </c>
      <c r="AB46">
        <v>13.41</v>
      </c>
      <c r="AC46">
        <v>10.8</v>
      </c>
      <c r="AD46">
        <v>11.954000000000001</v>
      </c>
      <c r="AE46">
        <v>13.829000000000001</v>
      </c>
      <c r="AF46">
        <v>14.519</v>
      </c>
      <c r="AG46">
        <v>13.032</v>
      </c>
      <c r="AH46">
        <v>16.05</v>
      </c>
      <c r="AI46" s="4"/>
      <c r="AJ46" s="4"/>
      <c r="AK46" s="4"/>
      <c r="AL46" s="4"/>
      <c r="AM46" s="4"/>
      <c r="AN46" s="4"/>
      <c r="AO46" s="4"/>
      <c r="AP46" s="4"/>
      <c r="AQ46" s="4"/>
      <c r="AR46" s="4"/>
      <c r="AS46" s="4"/>
      <c r="AT46" s="4"/>
      <c r="AU46" s="4"/>
      <c r="AV46" s="4"/>
      <c r="AW46" s="4"/>
      <c r="AX46" s="4"/>
      <c r="AY46" s="4"/>
    </row>
    <row r="47" spans="1:51" ht="14.5" x14ac:dyDescent="0.35">
      <c r="A47" s="105">
        <v>47453</v>
      </c>
      <c r="B47" s="106">
        <v>15</v>
      </c>
      <c r="C47" s="106">
        <v>15</v>
      </c>
      <c r="D47" s="107">
        <v>15</v>
      </c>
      <c r="E47">
        <v>14.96</v>
      </c>
      <c r="F47">
        <v>15.782999999999999</v>
      </c>
      <c r="G47">
        <v>15.848000000000001</v>
      </c>
      <c r="H47">
        <v>18.483000000000001</v>
      </c>
      <c r="I47">
        <v>16.908000000000001</v>
      </c>
      <c r="J47">
        <v>13.587</v>
      </c>
      <c r="K47">
        <v>12.5</v>
      </c>
      <c r="L47">
        <v>11.92</v>
      </c>
      <c r="M47">
        <v>11.595000000000001</v>
      </c>
      <c r="N47">
        <v>11.87</v>
      </c>
      <c r="O47">
        <v>17.321000000000002</v>
      </c>
      <c r="P47">
        <v>17.696999999999999</v>
      </c>
      <c r="Q47">
        <v>18.946999999999999</v>
      </c>
      <c r="R47">
        <v>16.003</v>
      </c>
      <c r="S47">
        <v>14.978999999999999</v>
      </c>
      <c r="T47">
        <v>13.318</v>
      </c>
      <c r="U47">
        <v>14.202999999999999</v>
      </c>
      <c r="V47">
        <v>14.97</v>
      </c>
      <c r="W47">
        <v>10.108000000000001</v>
      </c>
      <c r="X47">
        <v>14.615</v>
      </c>
      <c r="Y47">
        <v>16.102</v>
      </c>
      <c r="Z47">
        <v>13.074</v>
      </c>
      <c r="AA47">
        <v>12.11</v>
      </c>
      <c r="AB47">
        <v>12.622</v>
      </c>
      <c r="AC47">
        <v>9.5690000000000008</v>
      </c>
      <c r="AD47">
        <v>12.484</v>
      </c>
      <c r="AE47">
        <v>12.205</v>
      </c>
      <c r="AF47">
        <v>12.599</v>
      </c>
      <c r="AG47">
        <v>11.989000000000001</v>
      </c>
      <c r="AH47">
        <v>14.478</v>
      </c>
      <c r="AI47" s="4"/>
      <c r="AJ47" s="4"/>
      <c r="AK47" s="4"/>
      <c r="AL47" s="4"/>
      <c r="AM47" s="4"/>
      <c r="AN47" s="4"/>
      <c r="AO47" s="4"/>
      <c r="AP47" s="4"/>
      <c r="AQ47" s="4"/>
      <c r="AR47" s="4"/>
      <c r="AS47" s="4"/>
      <c r="AT47" s="4"/>
      <c r="AU47" s="4"/>
      <c r="AV47" s="4"/>
      <c r="AW47" s="4"/>
      <c r="AX47" s="4"/>
      <c r="AY47" s="4"/>
    </row>
    <row r="48" spans="1:51" ht="14.5" x14ac:dyDescent="0.35">
      <c r="A48" s="105">
        <v>47484</v>
      </c>
      <c r="B48" s="106">
        <v>13</v>
      </c>
      <c r="C48" s="106">
        <v>13</v>
      </c>
      <c r="D48" s="107">
        <v>13</v>
      </c>
      <c r="E48">
        <v>13.263</v>
      </c>
      <c r="F48">
        <v>14.616</v>
      </c>
      <c r="G48">
        <v>13.38</v>
      </c>
      <c r="H48">
        <v>15.488</v>
      </c>
      <c r="I48">
        <v>14.327</v>
      </c>
      <c r="J48">
        <v>13.403</v>
      </c>
      <c r="K48">
        <v>11.673</v>
      </c>
      <c r="L48">
        <v>11.704000000000001</v>
      </c>
      <c r="M48">
        <v>10.679</v>
      </c>
      <c r="N48">
        <v>10.875999999999999</v>
      </c>
      <c r="O48">
        <v>15.99</v>
      </c>
      <c r="P48">
        <v>15.56</v>
      </c>
      <c r="Q48">
        <v>14.746</v>
      </c>
      <c r="R48">
        <v>13.403</v>
      </c>
      <c r="S48">
        <v>13.535</v>
      </c>
      <c r="T48">
        <v>12.103999999999999</v>
      </c>
      <c r="U48">
        <v>12.425000000000001</v>
      </c>
      <c r="V48">
        <v>13.699</v>
      </c>
      <c r="W48">
        <v>10.327</v>
      </c>
      <c r="X48">
        <v>12.542999999999999</v>
      </c>
      <c r="Y48">
        <v>13.958</v>
      </c>
      <c r="Z48">
        <v>11.523</v>
      </c>
      <c r="AA48">
        <v>11.974</v>
      </c>
      <c r="AB48">
        <v>12.159000000000001</v>
      </c>
      <c r="AC48">
        <v>9.2579999999999991</v>
      </c>
      <c r="AD48">
        <v>12.122999999999999</v>
      </c>
      <c r="AE48">
        <v>10.984999999999999</v>
      </c>
      <c r="AF48">
        <v>11.557</v>
      </c>
      <c r="AG48">
        <v>11.422000000000001</v>
      </c>
      <c r="AH48">
        <v>13.724</v>
      </c>
      <c r="AI48" s="4"/>
      <c r="AJ48" s="4"/>
      <c r="AK48" s="4"/>
      <c r="AL48" s="4"/>
      <c r="AM48" s="4"/>
      <c r="AN48" s="4"/>
      <c r="AO48" s="4"/>
      <c r="AP48" s="4"/>
      <c r="AQ48" s="4"/>
      <c r="AR48" s="4"/>
      <c r="AS48" s="4"/>
      <c r="AT48" s="4"/>
      <c r="AU48" s="4"/>
      <c r="AV48" s="4"/>
      <c r="AW48" s="4"/>
      <c r="AX48" s="4"/>
      <c r="AY48" s="4"/>
    </row>
    <row r="49" spans="1:1005" ht="14.5" x14ac:dyDescent="0.35">
      <c r="A49" s="105">
        <v>47515</v>
      </c>
      <c r="B49" s="106">
        <v>12</v>
      </c>
      <c r="C49" s="106">
        <v>12</v>
      </c>
      <c r="D49" s="107">
        <v>12</v>
      </c>
      <c r="E49">
        <v>14.532</v>
      </c>
      <c r="F49">
        <v>16.027999999999999</v>
      </c>
      <c r="G49">
        <v>11.314</v>
      </c>
      <c r="H49">
        <v>12.834</v>
      </c>
      <c r="I49">
        <v>13.497999999999999</v>
      </c>
      <c r="J49">
        <v>12.701000000000001</v>
      </c>
      <c r="K49">
        <v>10.113</v>
      </c>
      <c r="L49">
        <v>10.308</v>
      </c>
      <c r="M49">
        <v>9.7629999999999999</v>
      </c>
      <c r="N49">
        <v>10.087999999999999</v>
      </c>
      <c r="O49">
        <v>14.113</v>
      </c>
      <c r="P49">
        <v>12.776999999999999</v>
      </c>
      <c r="Q49">
        <v>14.135</v>
      </c>
      <c r="R49">
        <v>10.808</v>
      </c>
      <c r="S49">
        <v>12.577</v>
      </c>
      <c r="T49">
        <v>10.257</v>
      </c>
      <c r="U49">
        <v>10.6</v>
      </c>
      <c r="V49">
        <v>10.805999999999999</v>
      </c>
      <c r="W49">
        <v>9.8970000000000002</v>
      </c>
      <c r="X49">
        <v>12.433999999999999</v>
      </c>
      <c r="Y49">
        <v>15.532999999999999</v>
      </c>
      <c r="Z49">
        <v>12.670999999999999</v>
      </c>
      <c r="AA49">
        <v>13.747999999999999</v>
      </c>
      <c r="AB49">
        <v>11.772</v>
      </c>
      <c r="AC49">
        <v>8.2050000000000001</v>
      </c>
      <c r="AD49">
        <v>10.856999999999999</v>
      </c>
      <c r="AE49">
        <v>10.186999999999999</v>
      </c>
      <c r="AF49">
        <v>10.385</v>
      </c>
      <c r="AG49">
        <v>10.212</v>
      </c>
      <c r="AH49">
        <v>11.685</v>
      </c>
      <c r="AI49" s="4"/>
      <c r="AJ49" s="4"/>
      <c r="AK49" s="4"/>
      <c r="AL49" s="4"/>
      <c r="AM49" s="4"/>
      <c r="AN49" s="4"/>
      <c r="AO49" s="4"/>
      <c r="AP49" s="4"/>
      <c r="AQ49" s="4"/>
      <c r="AR49" s="4"/>
      <c r="AS49" s="4"/>
      <c r="AT49" s="4"/>
      <c r="AU49" s="4"/>
      <c r="AV49" s="4"/>
      <c r="AW49" s="4"/>
      <c r="AX49" s="4"/>
      <c r="AY49" s="4"/>
    </row>
    <row r="50" spans="1:1005" ht="14.5" x14ac:dyDescent="0.35">
      <c r="A50" s="105">
        <v>47543</v>
      </c>
      <c r="B50" s="106">
        <v>23</v>
      </c>
      <c r="C50" s="106">
        <v>23</v>
      </c>
      <c r="D50" s="107">
        <v>23</v>
      </c>
      <c r="E50">
        <v>34.005000000000003</v>
      </c>
      <c r="F50">
        <v>19.545999999999999</v>
      </c>
      <c r="G50">
        <v>38.908999999999999</v>
      </c>
      <c r="H50">
        <v>21.968</v>
      </c>
      <c r="I50">
        <v>20.393000000000001</v>
      </c>
      <c r="J50">
        <v>17.463000000000001</v>
      </c>
      <c r="K50">
        <v>18.158000000000001</v>
      </c>
      <c r="L50">
        <v>13.356999999999999</v>
      </c>
      <c r="M50">
        <v>14.28</v>
      </c>
      <c r="N50">
        <v>31.402999999999999</v>
      </c>
      <c r="O50">
        <v>26.788</v>
      </c>
      <c r="P50">
        <v>16.649999999999999</v>
      </c>
      <c r="Q50">
        <v>47.677</v>
      </c>
      <c r="R50">
        <v>14.298</v>
      </c>
      <c r="S50">
        <v>21.733000000000001</v>
      </c>
      <c r="T50">
        <v>11.988</v>
      </c>
      <c r="U50">
        <v>17.16</v>
      </c>
      <c r="V50">
        <v>20.518999999999998</v>
      </c>
      <c r="W50">
        <v>13.116</v>
      </c>
      <c r="X50">
        <v>17.271000000000001</v>
      </c>
      <c r="Y50">
        <v>31.324000000000002</v>
      </c>
      <c r="Z50">
        <v>18.888000000000002</v>
      </c>
      <c r="AA50">
        <v>39.155000000000001</v>
      </c>
      <c r="AB50">
        <v>13.801</v>
      </c>
      <c r="AC50">
        <v>12.121</v>
      </c>
      <c r="AD50">
        <v>16.68</v>
      </c>
      <c r="AE50">
        <v>12.023</v>
      </c>
      <c r="AF50">
        <v>16.071999999999999</v>
      </c>
      <c r="AG50">
        <v>16.404</v>
      </c>
      <c r="AH50">
        <v>21.852</v>
      </c>
      <c r="AI50" s="4"/>
      <c r="AJ50" s="4"/>
      <c r="AK50" s="4"/>
      <c r="AL50" s="4"/>
      <c r="AM50" s="4"/>
      <c r="AN50" s="4"/>
      <c r="AO50" s="4"/>
      <c r="AP50" s="4"/>
      <c r="AQ50" s="4"/>
      <c r="AR50" s="4"/>
      <c r="AS50" s="4"/>
      <c r="AT50" s="4"/>
      <c r="AU50" s="4"/>
      <c r="AV50" s="4"/>
      <c r="AW50" s="4"/>
      <c r="AX50" s="4"/>
      <c r="AY50" s="4"/>
    </row>
    <row r="51" spans="1:1005" ht="14.5" x14ac:dyDescent="0.35">
      <c r="A51" s="105">
        <v>47574</v>
      </c>
      <c r="B51" s="106">
        <v>51</v>
      </c>
      <c r="C51" s="106">
        <v>51</v>
      </c>
      <c r="D51" s="107">
        <v>51</v>
      </c>
      <c r="E51">
        <v>39.655999999999999</v>
      </c>
      <c r="F51">
        <v>40.317</v>
      </c>
      <c r="G51">
        <v>68.066000000000003</v>
      </c>
      <c r="H51">
        <v>44.369</v>
      </c>
      <c r="I51">
        <v>45.783999999999999</v>
      </c>
      <c r="J51">
        <v>52.09</v>
      </c>
      <c r="K51">
        <v>59.441000000000003</v>
      </c>
      <c r="L51">
        <v>37.82</v>
      </c>
      <c r="M51">
        <v>35.835000000000001</v>
      </c>
      <c r="N51">
        <v>88.832999999999998</v>
      </c>
      <c r="O51">
        <v>76.945999999999998</v>
      </c>
      <c r="P51">
        <v>52.402000000000001</v>
      </c>
      <c r="Q51">
        <v>73.587000000000003</v>
      </c>
      <c r="R51">
        <v>35.950000000000003</v>
      </c>
      <c r="S51">
        <v>42.206000000000003</v>
      </c>
      <c r="T51">
        <v>29.28</v>
      </c>
      <c r="U51">
        <v>38.061</v>
      </c>
      <c r="V51">
        <v>76.897999999999996</v>
      </c>
      <c r="W51">
        <v>19.251999999999999</v>
      </c>
      <c r="X51">
        <v>46.75</v>
      </c>
      <c r="Y51">
        <v>43.350999999999999</v>
      </c>
      <c r="Z51">
        <v>39.155000000000001</v>
      </c>
      <c r="AA51">
        <v>77.891000000000005</v>
      </c>
      <c r="AB51">
        <v>29.292000000000002</v>
      </c>
      <c r="AC51">
        <v>47.832000000000001</v>
      </c>
      <c r="AD51">
        <v>27.687999999999999</v>
      </c>
      <c r="AE51">
        <v>20.666</v>
      </c>
      <c r="AF51">
        <v>64.739999999999995</v>
      </c>
      <c r="AG51">
        <v>48.302</v>
      </c>
      <c r="AH51">
        <v>58.776000000000003</v>
      </c>
      <c r="AI51" s="4"/>
      <c r="AJ51" s="4"/>
      <c r="AK51" s="4"/>
      <c r="AL51" s="4"/>
      <c r="AM51" s="4"/>
      <c r="AN51" s="4"/>
      <c r="AO51" s="4"/>
      <c r="AP51" s="4"/>
      <c r="AQ51" s="4"/>
      <c r="AR51" s="4"/>
      <c r="AS51" s="4"/>
      <c r="AT51" s="4"/>
      <c r="AU51" s="4"/>
      <c r="AV51" s="4"/>
      <c r="AW51" s="4"/>
      <c r="AX51" s="4"/>
      <c r="AY51" s="4"/>
    </row>
    <row r="52" spans="1:1005" ht="14.5" x14ac:dyDescent="0.35">
      <c r="A52" s="105">
        <v>47604</v>
      </c>
      <c r="B52" s="106">
        <v>135</v>
      </c>
      <c r="C52" s="106">
        <v>135</v>
      </c>
      <c r="D52" s="107">
        <v>135</v>
      </c>
      <c r="E52">
        <v>107.88800000000001</v>
      </c>
      <c r="F52">
        <v>143.30099999999999</v>
      </c>
      <c r="G52">
        <v>199.58500000000001</v>
      </c>
      <c r="H52">
        <v>144.35300000000001</v>
      </c>
      <c r="I52">
        <v>151.44499999999999</v>
      </c>
      <c r="J52">
        <v>124.916</v>
      </c>
      <c r="K52">
        <v>228.834</v>
      </c>
      <c r="L52">
        <v>51.151000000000003</v>
      </c>
      <c r="M52">
        <v>115.61199999999999</v>
      </c>
      <c r="N52">
        <v>148.80799999999999</v>
      </c>
      <c r="O52">
        <v>234.05500000000001</v>
      </c>
      <c r="P52">
        <v>126.15600000000001</v>
      </c>
      <c r="Q52">
        <v>151.70500000000001</v>
      </c>
      <c r="R52">
        <v>183.149</v>
      </c>
      <c r="S52">
        <v>209.75899999999999</v>
      </c>
      <c r="T52">
        <v>85.186000000000007</v>
      </c>
      <c r="U52">
        <v>129.71700000000001</v>
      </c>
      <c r="V52">
        <v>113.63800000000001</v>
      </c>
      <c r="W52">
        <v>78.209000000000003</v>
      </c>
      <c r="X52">
        <v>111.721</v>
      </c>
      <c r="Y52">
        <v>95.001999999999995</v>
      </c>
      <c r="Z52">
        <v>104.08</v>
      </c>
      <c r="AA52">
        <v>147.90700000000001</v>
      </c>
      <c r="AB52">
        <v>72.626999999999995</v>
      </c>
      <c r="AC52">
        <v>130.46199999999999</v>
      </c>
      <c r="AD52">
        <v>118.47199999999999</v>
      </c>
      <c r="AE52">
        <v>77.853999999999999</v>
      </c>
      <c r="AF52">
        <v>159.761</v>
      </c>
      <c r="AG52">
        <v>218.76499999999999</v>
      </c>
      <c r="AH52">
        <v>158.77000000000001</v>
      </c>
      <c r="AI52" s="4"/>
      <c r="AJ52" s="4"/>
      <c r="AK52" s="4"/>
      <c r="AL52" s="4"/>
      <c r="AM52" s="4"/>
      <c r="AN52" s="4"/>
      <c r="AO52" s="4"/>
      <c r="AP52" s="4"/>
      <c r="AQ52" s="4"/>
      <c r="AR52" s="4"/>
      <c r="AS52" s="4"/>
      <c r="AT52" s="4"/>
      <c r="AU52" s="4"/>
      <c r="AV52" s="4"/>
      <c r="AW52" s="4"/>
      <c r="AX52" s="4"/>
      <c r="AY52" s="4"/>
    </row>
    <row r="53" spans="1:1005" ht="14.5" x14ac:dyDescent="0.35">
      <c r="A53" s="105">
        <v>47635</v>
      </c>
      <c r="B53" s="106">
        <v>144</v>
      </c>
      <c r="C53" s="106">
        <v>144</v>
      </c>
      <c r="D53" s="107">
        <v>144</v>
      </c>
      <c r="E53">
        <v>264.24099999999999</v>
      </c>
      <c r="F53">
        <v>98.292000000000002</v>
      </c>
      <c r="G53">
        <v>256.75400000000002</v>
      </c>
      <c r="H53">
        <v>126.37</v>
      </c>
      <c r="I53">
        <v>217.535</v>
      </c>
      <c r="J53">
        <v>73.542000000000002</v>
      </c>
      <c r="K53">
        <v>127.059</v>
      </c>
      <c r="L53">
        <v>29.722000000000001</v>
      </c>
      <c r="M53">
        <v>84.427999999999997</v>
      </c>
      <c r="N53">
        <v>95.998000000000005</v>
      </c>
      <c r="O53">
        <v>211.51900000000001</v>
      </c>
      <c r="P53">
        <v>83.313000000000002</v>
      </c>
      <c r="Q53">
        <v>117.896</v>
      </c>
      <c r="R53">
        <v>211.93299999999999</v>
      </c>
      <c r="S53">
        <v>116.25700000000001</v>
      </c>
      <c r="T53">
        <v>144.35900000000001</v>
      </c>
      <c r="U53">
        <v>218.49199999999999</v>
      </c>
      <c r="V53">
        <v>48.706000000000003</v>
      </c>
      <c r="W53">
        <v>61.750999999999998</v>
      </c>
      <c r="X53">
        <v>150.309</v>
      </c>
      <c r="Y53">
        <v>182.41399999999999</v>
      </c>
      <c r="Z53">
        <v>167.34700000000001</v>
      </c>
      <c r="AA53">
        <v>166.83</v>
      </c>
      <c r="AB53">
        <v>30.646000000000001</v>
      </c>
      <c r="AC53">
        <v>261.46100000000001</v>
      </c>
      <c r="AD53">
        <v>88.289000000000001</v>
      </c>
      <c r="AE53">
        <v>151.61600000000001</v>
      </c>
      <c r="AF53">
        <v>109.489</v>
      </c>
      <c r="AG53">
        <v>225.376</v>
      </c>
      <c r="AH53">
        <v>144.077</v>
      </c>
      <c r="AI53" s="4"/>
      <c r="AJ53" s="4"/>
      <c r="AK53" s="4"/>
      <c r="AL53" s="4"/>
      <c r="AM53" s="4"/>
      <c r="AN53" s="4"/>
      <c r="AO53" s="4"/>
      <c r="AP53" s="4"/>
      <c r="AQ53" s="4"/>
      <c r="AR53" s="4"/>
      <c r="AS53" s="4"/>
      <c r="AT53" s="4"/>
      <c r="AU53" s="4"/>
      <c r="AV53" s="4"/>
      <c r="AW53" s="4"/>
      <c r="AX53" s="4"/>
      <c r="AY53" s="4"/>
    </row>
    <row r="54" spans="1:1005" ht="14.5" x14ac:dyDescent="0.35">
      <c r="A54" s="105">
        <v>47665</v>
      </c>
      <c r="B54" s="106">
        <v>51</v>
      </c>
      <c r="C54" s="106">
        <v>51</v>
      </c>
      <c r="D54" s="107">
        <v>51</v>
      </c>
      <c r="E54">
        <v>203.90899999999999</v>
      </c>
      <c r="F54">
        <v>39.790999999999997</v>
      </c>
      <c r="G54">
        <v>92.498000000000005</v>
      </c>
      <c r="H54">
        <v>73.436999999999998</v>
      </c>
      <c r="I54">
        <v>141.83799999999999</v>
      </c>
      <c r="J54">
        <v>23.821999999999999</v>
      </c>
      <c r="K54">
        <v>52.774000000000001</v>
      </c>
      <c r="L54">
        <v>12.817</v>
      </c>
      <c r="M54">
        <v>27.116</v>
      </c>
      <c r="N54">
        <v>36.521000000000001</v>
      </c>
      <c r="O54">
        <v>83.224999999999994</v>
      </c>
      <c r="P54">
        <v>48.652000000000001</v>
      </c>
      <c r="Q54">
        <v>47.003999999999998</v>
      </c>
      <c r="R54">
        <v>81.13</v>
      </c>
      <c r="S54">
        <v>47.649000000000001</v>
      </c>
      <c r="T54">
        <v>42.204999999999998</v>
      </c>
      <c r="U54">
        <v>85.281000000000006</v>
      </c>
      <c r="V54">
        <v>19.95</v>
      </c>
      <c r="W54">
        <v>25.891999999999999</v>
      </c>
      <c r="X54">
        <v>47.91</v>
      </c>
      <c r="Y54">
        <v>58.555999999999997</v>
      </c>
      <c r="Z54">
        <v>49.094000000000001</v>
      </c>
      <c r="AA54">
        <v>53.343000000000004</v>
      </c>
      <c r="AB54">
        <v>13.579000000000001</v>
      </c>
      <c r="AC54">
        <v>110.869</v>
      </c>
      <c r="AD54">
        <v>31.268000000000001</v>
      </c>
      <c r="AE54">
        <v>89.947000000000003</v>
      </c>
      <c r="AF54">
        <v>62.195999999999998</v>
      </c>
      <c r="AG54">
        <v>81.576999999999998</v>
      </c>
      <c r="AH54">
        <v>37.485999999999997</v>
      </c>
      <c r="AI54" s="4"/>
      <c r="AJ54" s="4"/>
      <c r="AK54" s="4"/>
      <c r="AL54" s="4"/>
      <c r="AM54" s="4"/>
      <c r="AN54" s="4"/>
      <c r="AO54" s="4"/>
      <c r="AP54" s="4"/>
      <c r="AQ54" s="4"/>
      <c r="AR54" s="4"/>
      <c r="AS54" s="4"/>
      <c r="AT54" s="4"/>
      <c r="AU54" s="4"/>
      <c r="AV54" s="4"/>
      <c r="AW54" s="4"/>
      <c r="AX54" s="4"/>
      <c r="AY54" s="4"/>
    </row>
    <row r="55" spans="1:1005" ht="14.5" x14ac:dyDescent="0.35">
      <c r="A55" s="105">
        <v>47696</v>
      </c>
      <c r="B55" s="106">
        <v>29</v>
      </c>
      <c r="C55" s="106">
        <v>29</v>
      </c>
      <c r="D55" s="107">
        <v>29</v>
      </c>
      <c r="E55">
        <v>70.176000000000002</v>
      </c>
      <c r="F55">
        <v>19.198</v>
      </c>
      <c r="G55">
        <v>71.228999999999999</v>
      </c>
      <c r="H55">
        <v>30.032</v>
      </c>
      <c r="I55">
        <v>89.912000000000006</v>
      </c>
      <c r="J55">
        <v>16.306999999999999</v>
      </c>
      <c r="K55">
        <v>36.344999999999999</v>
      </c>
      <c r="L55">
        <v>9.6470000000000002</v>
      </c>
      <c r="M55">
        <v>19.393000000000001</v>
      </c>
      <c r="N55">
        <v>18.53</v>
      </c>
      <c r="O55">
        <v>40.478000000000002</v>
      </c>
      <c r="P55">
        <v>34.633000000000003</v>
      </c>
      <c r="Q55">
        <v>39.761000000000003</v>
      </c>
      <c r="R55">
        <v>31.814</v>
      </c>
      <c r="S55">
        <v>21.099</v>
      </c>
      <c r="T55">
        <v>35.429000000000002</v>
      </c>
      <c r="U55">
        <v>28.190999999999999</v>
      </c>
      <c r="V55">
        <v>13.694000000000001</v>
      </c>
      <c r="W55">
        <v>26.914999999999999</v>
      </c>
      <c r="X55">
        <v>30.85</v>
      </c>
      <c r="Y55">
        <v>24.751000000000001</v>
      </c>
      <c r="Z55">
        <v>33.598999999999997</v>
      </c>
      <c r="AA55">
        <v>30.995000000000001</v>
      </c>
      <c r="AB55">
        <v>9.1709999999999994</v>
      </c>
      <c r="AC55">
        <v>33.829000000000001</v>
      </c>
      <c r="AD55">
        <v>16.934000000000001</v>
      </c>
      <c r="AE55">
        <v>34.726999999999997</v>
      </c>
      <c r="AF55">
        <v>36.886000000000003</v>
      </c>
      <c r="AG55">
        <v>38.622999999999998</v>
      </c>
      <c r="AH55">
        <v>19.105</v>
      </c>
      <c r="AI55" s="4"/>
      <c r="AJ55" s="4"/>
      <c r="AK55" s="4"/>
      <c r="AL55" s="4"/>
      <c r="AM55" s="4"/>
      <c r="AN55" s="4"/>
      <c r="AO55" s="4"/>
      <c r="AP55" s="4"/>
      <c r="AQ55" s="4"/>
      <c r="AR55" s="4"/>
      <c r="AS55" s="4"/>
      <c r="AT55" s="4"/>
      <c r="AU55" s="4"/>
      <c r="AV55" s="4"/>
      <c r="AW55" s="4"/>
      <c r="AX55" s="4"/>
      <c r="AY55" s="4"/>
    </row>
    <row r="56" spans="1:1005" ht="14.5" x14ac:dyDescent="0.35">
      <c r="A56" s="105">
        <v>47727</v>
      </c>
      <c r="B56" s="106">
        <v>26</v>
      </c>
      <c r="C56" s="106">
        <v>26</v>
      </c>
      <c r="D56" s="107">
        <v>26</v>
      </c>
      <c r="E56">
        <v>36.664999999999999</v>
      </c>
      <c r="F56">
        <v>21.727</v>
      </c>
      <c r="G56">
        <v>62.81</v>
      </c>
      <c r="H56">
        <v>24.35</v>
      </c>
      <c r="I56">
        <v>44.795000000000002</v>
      </c>
      <c r="J56">
        <v>15.569000000000001</v>
      </c>
      <c r="K56">
        <v>18.951000000000001</v>
      </c>
      <c r="L56">
        <v>22.544</v>
      </c>
      <c r="M56">
        <v>33.851999999999997</v>
      </c>
      <c r="N56">
        <v>41.186</v>
      </c>
      <c r="O56">
        <v>23.558</v>
      </c>
      <c r="P56">
        <v>33.087000000000003</v>
      </c>
      <c r="Q56">
        <v>36.615000000000002</v>
      </c>
      <c r="R56">
        <v>37.072000000000003</v>
      </c>
      <c r="S56">
        <v>15.191000000000001</v>
      </c>
      <c r="T56">
        <v>18.933</v>
      </c>
      <c r="U56">
        <v>20.294</v>
      </c>
      <c r="V56">
        <v>11.164</v>
      </c>
      <c r="W56">
        <v>45.508000000000003</v>
      </c>
      <c r="X56">
        <v>38.084000000000003</v>
      </c>
      <c r="Y56">
        <v>16.521000000000001</v>
      </c>
      <c r="Z56">
        <v>23.297000000000001</v>
      </c>
      <c r="AA56">
        <v>18.236000000000001</v>
      </c>
      <c r="AB56">
        <v>9.4830000000000005</v>
      </c>
      <c r="AC56">
        <v>17.585000000000001</v>
      </c>
      <c r="AD56">
        <v>12.647</v>
      </c>
      <c r="AE56">
        <v>43.957999999999998</v>
      </c>
      <c r="AF56">
        <v>24.376999999999999</v>
      </c>
      <c r="AG56">
        <v>30.375</v>
      </c>
      <c r="AH56">
        <v>30.76</v>
      </c>
      <c r="AI56" s="4"/>
      <c r="AJ56" s="4"/>
      <c r="AK56" s="4"/>
      <c r="AL56" s="4"/>
      <c r="AM56" s="4"/>
      <c r="AN56" s="4"/>
      <c r="AO56" s="4"/>
      <c r="AP56" s="4"/>
      <c r="AQ56" s="4"/>
      <c r="AR56" s="4"/>
      <c r="AS56" s="4"/>
      <c r="AT56" s="4"/>
      <c r="AU56" s="4"/>
      <c r="AV56" s="4"/>
      <c r="AW56" s="4"/>
      <c r="AX56" s="4"/>
      <c r="AY56" s="4"/>
    </row>
    <row r="57" spans="1:1005" ht="14.5" x14ac:dyDescent="0.35">
      <c r="A57" s="105">
        <v>47757</v>
      </c>
      <c r="B57" s="106">
        <v>27</v>
      </c>
      <c r="C57" s="106">
        <v>19</v>
      </c>
      <c r="D57" s="107">
        <v>23</v>
      </c>
      <c r="E57">
        <v>27.033999999999999</v>
      </c>
      <c r="F57">
        <v>38.584000000000003</v>
      </c>
      <c r="G57">
        <v>51.305</v>
      </c>
      <c r="H57">
        <v>24.100999999999999</v>
      </c>
      <c r="I57">
        <v>21.413</v>
      </c>
      <c r="J57">
        <v>18.7</v>
      </c>
      <c r="K57">
        <v>15.18</v>
      </c>
      <c r="L57">
        <v>24.512</v>
      </c>
      <c r="M57">
        <v>17.562000000000001</v>
      </c>
      <c r="N57">
        <v>41.725999999999999</v>
      </c>
      <c r="O57">
        <v>40.820999999999998</v>
      </c>
      <c r="P57">
        <v>82.323999999999998</v>
      </c>
      <c r="Q57">
        <v>33.523000000000003</v>
      </c>
      <c r="R57">
        <v>22.463999999999999</v>
      </c>
      <c r="S57">
        <v>16.911999999999999</v>
      </c>
      <c r="T57">
        <v>21.914000000000001</v>
      </c>
      <c r="U57">
        <v>29.381</v>
      </c>
      <c r="V57">
        <v>10.038</v>
      </c>
      <c r="W57">
        <v>32.026000000000003</v>
      </c>
      <c r="X57">
        <v>43.624000000000002</v>
      </c>
      <c r="Y57">
        <v>19.925999999999998</v>
      </c>
      <c r="Z57">
        <v>16.757999999999999</v>
      </c>
      <c r="AA57">
        <v>17.04</v>
      </c>
      <c r="AB57">
        <v>12.247</v>
      </c>
      <c r="AC57">
        <v>12.552</v>
      </c>
      <c r="AD57">
        <v>13.417999999999999</v>
      </c>
      <c r="AE57">
        <v>19.154</v>
      </c>
      <c r="AF57">
        <v>15.707000000000001</v>
      </c>
      <c r="AG57">
        <v>21.471</v>
      </c>
      <c r="AH57">
        <v>26.876999999999999</v>
      </c>
      <c r="AI57" s="4"/>
      <c r="AJ57" s="4"/>
      <c r="AK57" s="4"/>
      <c r="AL57" s="4"/>
      <c r="AM57" s="4"/>
      <c r="AN57" s="4"/>
      <c r="AO57" s="4"/>
      <c r="AP57" s="4"/>
      <c r="AQ57" s="4"/>
      <c r="AR57" s="4"/>
      <c r="AS57" s="4"/>
      <c r="AT57" s="4"/>
      <c r="AU57" s="4"/>
      <c r="AV57" s="4"/>
      <c r="AW57" s="4"/>
      <c r="AX57" s="4"/>
      <c r="AY57" s="4"/>
    </row>
    <row r="58" spans="1:1005" ht="14.5" x14ac:dyDescent="0.35">
      <c r="A58" s="105">
        <v>47788</v>
      </c>
      <c r="B58" s="106">
        <v>20</v>
      </c>
      <c r="C58" s="106">
        <v>16</v>
      </c>
      <c r="D58" s="107">
        <v>18</v>
      </c>
      <c r="E58">
        <v>18.331</v>
      </c>
      <c r="F58">
        <v>21.030999999999999</v>
      </c>
      <c r="G58">
        <v>27.404</v>
      </c>
      <c r="H58">
        <v>20.97</v>
      </c>
      <c r="I58">
        <v>15.036</v>
      </c>
      <c r="J58">
        <v>14.794</v>
      </c>
      <c r="K58">
        <v>13.263999999999999</v>
      </c>
      <c r="L58">
        <v>14.622</v>
      </c>
      <c r="M58">
        <v>12.505000000000001</v>
      </c>
      <c r="N58">
        <v>25.256</v>
      </c>
      <c r="O58">
        <v>25.638000000000002</v>
      </c>
      <c r="P58">
        <v>31.747</v>
      </c>
      <c r="Q58">
        <v>20.103999999999999</v>
      </c>
      <c r="R58">
        <v>17.492999999999999</v>
      </c>
      <c r="S58">
        <v>16.661000000000001</v>
      </c>
      <c r="T58">
        <v>18.664999999999999</v>
      </c>
      <c r="U58">
        <v>20.472000000000001</v>
      </c>
      <c r="V58">
        <v>9.5289999999999999</v>
      </c>
      <c r="W58">
        <v>19.581</v>
      </c>
      <c r="X58">
        <v>21.42</v>
      </c>
      <c r="Y58">
        <v>15.654</v>
      </c>
      <c r="Z58">
        <v>12.787000000000001</v>
      </c>
      <c r="AA58">
        <v>13.417999999999999</v>
      </c>
      <c r="AB58">
        <v>10.944000000000001</v>
      </c>
      <c r="AC58">
        <v>11.968</v>
      </c>
      <c r="AD58">
        <v>13.904</v>
      </c>
      <c r="AE58">
        <v>14.504</v>
      </c>
      <c r="AF58">
        <v>13.215</v>
      </c>
      <c r="AG58">
        <v>16.052</v>
      </c>
      <c r="AH58">
        <v>19.995000000000001</v>
      </c>
      <c r="AI58" s="4"/>
      <c r="AJ58" s="4"/>
      <c r="AK58" s="4"/>
      <c r="AL58" s="4"/>
      <c r="AM58" s="4"/>
      <c r="AN58" s="4"/>
      <c r="AO58" s="4"/>
      <c r="AP58" s="4"/>
      <c r="AQ58" s="4"/>
      <c r="AR58" s="4"/>
      <c r="AS58" s="4"/>
      <c r="AT58" s="4"/>
      <c r="AU58" s="4"/>
      <c r="AV58" s="4"/>
      <c r="AW58" s="4"/>
      <c r="AX58" s="4"/>
      <c r="AY58" s="4"/>
    </row>
    <row r="59" spans="1:1005" ht="14.5" x14ac:dyDescent="0.35">
      <c r="A59" s="105">
        <v>47818</v>
      </c>
      <c r="B59" s="106">
        <v>15</v>
      </c>
      <c r="C59" s="106">
        <v>15</v>
      </c>
      <c r="D59" s="107">
        <v>15</v>
      </c>
      <c r="E59">
        <v>15.789</v>
      </c>
      <c r="F59">
        <v>15.933999999999999</v>
      </c>
      <c r="G59">
        <v>18.495999999999999</v>
      </c>
      <c r="H59">
        <v>17.196999999999999</v>
      </c>
      <c r="I59">
        <v>13.589</v>
      </c>
      <c r="J59">
        <v>12.58</v>
      </c>
      <c r="K59">
        <v>11.971</v>
      </c>
      <c r="L59">
        <v>11.798999999999999</v>
      </c>
      <c r="M59">
        <v>11.895</v>
      </c>
      <c r="N59">
        <v>17.364000000000001</v>
      </c>
      <c r="O59">
        <v>17.692</v>
      </c>
      <c r="P59">
        <v>19.187999999999999</v>
      </c>
      <c r="Q59">
        <v>16.04</v>
      </c>
      <c r="R59">
        <v>15.068</v>
      </c>
      <c r="S59">
        <v>13.32</v>
      </c>
      <c r="T59">
        <v>14.316000000000001</v>
      </c>
      <c r="U59">
        <v>15.058999999999999</v>
      </c>
      <c r="V59">
        <v>10.146000000000001</v>
      </c>
      <c r="W59">
        <v>14.64</v>
      </c>
      <c r="X59">
        <v>16.378</v>
      </c>
      <c r="Y59">
        <v>13.086</v>
      </c>
      <c r="Z59">
        <v>12.106999999999999</v>
      </c>
      <c r="AA59">
        <v>12.63</v>
      </c>
      <c r="AB59">
        <v>9.6059999999999999</v>
      </c>
      <c r="AC59">
        <v>12.497999999999999</v>
      </c>
      <c r="AD59">
        <v>12.278</v>
      </c>
      <c r="AE59">
        <v>12.586</v>
      </c>
      <c r="AF59">
        <v>12.128</v>
      </c>
      <c r="AG59">
        <v>14.48</v>
      </c>
      <c r="AH59">
        <v>14.968</v>
      </c>
      <c r="AI59" s="4"/>
      <c r="AJ59" s="4"/>
      <c r="AK59" s="4"/>
      <c r="AL59" s="4"/>
      <c r="AM59" s="4"/>
      <c r="AN59" s="4"/>
      <c r="AO59" s="4"/>
      <c r="AP59" s="4"/>
      <c r="AQ59" s="4"/>
      <c r="AR59" s="4"/>
      <c r="AS59" s="4"/>
      <c r="AT59" s="4"/>
      <c r="AU59" s="4"/>
      <c r="AV59" s="4"/>
      <c r="AW59" s="4"/>
      <c r="AX59" s="4"/>
      <c r="AY59" s="4"/>
    </row>
    <row r="60" spans="1:1005" ht="14.5" x14ac:dyDescent="0.35">
      <c r="A60" s="105">
        <v>47849</v>
      </c>
      <c r="B60" s="106">
        <v>13</v>
      </c>
      <c r="C60" s="106">
        <v>13</v>
      </c>
      <c r="D60" s="107">
        <v>13</v>
      </c>
      <c r="E60">
        <v>14.622</v>
      </c>
      <c r="F60">
        <v>13.452999999999999</v>
      </c>
      <c r="G60">
        <v>15.5</v>
      </c>
      <c r="H60">
        <v>14.454000000000001</v>
      </c>
      <c r="I60">
        <v>13.404</v>
      </c>
      <c r="J60">
        <v>11.746</v>
      </c>
      <c r="K60">
        <v>11.754</v>
      </c>
      <c r="L60">
        <v>10.747</v>
      </c>
      <c r="M60">
        <v>10.898</v>
      </c>
      <c r="N60">
        <v>16.036000000000001</v>
      </c>
      <c r="O60">
        <v>15.555</v>
      </c>
      <c r="P60">
        <v>14.879</v>
      </c>
      <c r="Q60">
        <v>13.435</v>
      </c>
      <c r="R60">
        <v>13.622</v>
      </c>
      <c r="S60">
        <v>12.106</v>
      </c>
      <c r="T60">
        <v>12.522</v>
      </c>
      <c r="U60">
        <v>13.787000000000001</v>
      </c>
      <c r="V60">
        <v>10.365</v>
      </c>
      <c r="W60">
        <v>12.565</v>
      </c>
      <c r="X60">
        <v>14.04</v>
      </c>
      <c r="Y60">
        <v>11.532999999999999</v>
      </c>
      <c r="Z60">
        <v>11.971</v>
      </c>
      <c r="AA60">
        <v>12.167</v>
      </c>
      <c r="AB60">
        <v>9.2850000000000001</v>
      </c>
      <c r="AC60">
        <v>12.135999999999999</v>
      </c>
      <c r="AD60">
        <v>11.051</v>
      </c>
      <c r="AE60">
        <v>11.545</v>
      </c>
      <c r="AF60">
        <v>11.513999999999999</v>
      </c>
      <c r="AG60">
        <v>13.726000000000001</v>
      </c>
      <c r="AH60">
        <v>13.27</v>
      </c>
      <c r="AI60" s="4"/>
      <c r="AJ60" s="4"/>
      <c r="AK60" s="4"/>
      <c r="AL60" s="4"/>
      <c r="AM60" s="4"/>
      <c r="AN60" s="4"/>
      <c r="AO60" s="4"/>
      <c r="AP60" s="4"/>
      <c r="AQ60" s="4"/>
      <c r="AR60" s="4"/>
      <c r="AS60" s="4"/>
      <c r="AT60" s="4"/>
      <c r="AU60" s="4"/>
      <c r="AV60" s="4"/>
      <c r="AW60" s="4"/>
      <c r="AX60" s="4"/>
      <c r="AY60" s="4"/>
    </row>
    <row r="61" spans="1:1005" ht="14.5" x14ac:dyDescent="0.35">
      <c r="A61" s="105">
        <v>47880</v>
      </c>
      <c r="B61" s="106">
        <v>12</v>
      </c>
      <c r="C61" s="106">
        <v>12</v>
      </c>
      <c r="D61" s="107">
        <v>12</v>
      </c>
      <c r="E61">
        <v>16.036999999999999</v>
      </c>
      <c r="F61">
        <v>11.378</v>
      </c>
      <c r="G61">
        <v>12.843999999999999</v>
      </c>
      <c r="H61">
        <v>13.52</v>
      </c>
      <c r="I61">
        <v>12.702999999999999</v>
      </c>
      <c r="J61">
        <v>10.179</v>
      </c>
      <c r="K61">
        <v>10.352</v>
      </c>
      <c r="L61">
        <v>9.8770000000000007</v>
      </c>
      <c r="M61">
        <v>10.11</v>
      </c>
      <c r="N61">
        <v>14.154</v>
      </c>
      <c r="O61">
        <v>12.772</v>
      </c>
      <c r="P61">
        <v>14.199</v>
      </c>
      <c r="Q61">
        <v>10.834</v>
      </c>
      <c r="R61">
        <v>12.672000000000001</v>
      </c>
      <c r="S61">
        <v>10.257999999999999</v>
      </c>
      <c r="T61">
        <v>10.643000000000001</v>
      </c>
      <c r="U61">
        <v>10.875999999999999</v>
      </c>
      <c r="V61">
        <v>9.9320000000000004</v>
      </c>
      <c r="W61">
        <v>12.458</v>
      </c>
      <c r="X61">
        <v>15.702999999999999</v>
      </c>
      <c r="Y61">
        <v>12.683999999999999</v>
      </c>
      <c r="Z61">
        <v>13.744</v>
      </c>
      <c r="AA61">
        <v>11.779</v>
      </c>
      <c r="AB61">
        <v>8.2149999999999999</v>
      </c>
      <c r="AC61">
        <v>10.868</v>
      </c>
      <c r="AD61">
        <v>10.25</v>
      </c>
      <c r="AE61">
        <v>10.375</v>
      </c>
      <c r="AF61">
        <v>10.291</v>
      </c>
      <c r="AG61">
        <v>11.686999999999999</v>
      </c>
      <c r="AH61">
        <v>14.541</v>
      </c>
      <c r="AI61" s="4"/>
      <c r="AJ61" s="4"/>
      <c r="AK61" s="4"/>
      <c r="AL61" s="4"/>
      <c r="AM61" s="4"/>
      <c r="AN61" s="4"/>
      <c r="AO61" s="4"/>
      <c r="AP61" s="4"/>
      <c r="AQ61" s="4"/>
      <c r="AR61" s="4"/>
      <c r="AS61" s="4"/>
      <c r="AT61" s="4"/>
      <c r="AU61" s="4"/>
      <c r="AV61" s="4"/>
      <c r="AW61" s="4"/>
      <c r="AX61" s="4"/>
      <c r="AY61" s="4"/>
    </row>
    <row r="62" spans="1:1005" ht="14.5" x14ac:dyDescent="0.35">
      <c r="A62" s="105">
        <v>47908</v>
      </c>
      <c r="B62" s="106">
        <v>23</v>
      </c>
      <c r="C62" s="106">
        <v>23</v>
      </c>
      <c r="D62" s="107">
        <v>23</v>
      </c>
      <c r="E62">
        <v>19.558</v>
      </c>
      <c r="F62">
        <v>39.100999999999999</v>
      </c>
      <c r="G62">
        <v>21.989000000000001</v>
      </c>
      <c r="H62">
        <v>20.190000000000001</v>
      </c>
      <c r="I62">
        <v>17.466000000000001</v>
      </c>
      <c r="J62">
        <v>18.334</v>
      </c>
      <c r="K62">
        <v>13.416</v>
      </c>
      <c r="L62">
        <v>14.255000000000001</v>
      </c>
      <c r="M62">
        <v>31.448</v>
      </c>
      <c r="N62">
        <v>26.847999999999999</v>
      </c>
      <c r="O62">
        <v>16.643000000000001</v>
      </c>
      <c r="P62">
        <v>47.55</v>
      </c>
      <c r="Q62">
        <v>14.345000000000001</v>
      </c>
      <c r="R62">
        <v>21.954000000000001</v>
      </c>
      <c r="S62">
        <v>11.989000000000001</v>
      </c>
      <c r="T62">
        <v>16.933</v>
      </c>
      <c r="U62">
        <v>20.675999999999998</v>
      </c>
      <c r="V62">
        <v>13.164</v>
      </c>
      <c r="W62">
        <v>17.3</v>
      </c>
      <c r="X62">
        <v>29.925999999999998</v>
      </c>
      <c r="Y62">
        <v>18.905000000000001</v>
      </c>
      <c r="Z62">
        <v>39.146000000000001</v>
      </c>
      <c r="AA62">
        <v>13.808999999999999</v>
      </c>
      <c r="AB62">
        <v>11.99</v>
      </c>
      <c r="AC62">
        <v>16.701000000000001</v>
      </c>
      <c r="AD62">
        <v>12.112</v>
      </c>
      <c r="AE62">
        <v>16.050999999999998</v>
      </c>
      <c r="AF62">
        <v>16.251999999999999</v>
      </c>
      <c r="AG62">
        <v>21.855</v>
      </c>
      <c r="AH62">
        <v>34.023000000000003</v>
      </c>
      <c r="AI62" s="4"/>
      <c r="AJ62" s="4"/>
      <c r="AK62" s="4"/>
      <c r="AL62" s="4"/>
      <c r="AM62" s="4"/>
      <c r="AN62" s="4"/>
      <c r="AO62" s="4"/>
      <c r="AP62" s="4"/>
      <c r="AQ62" s="4"/>
      <c r="AR62" s="4"/>
      <c r="AS62" s="4"/>
      <c r="AT62" s="4"/>
      <c r="AU62" s="4"/>
      <c r="AV62" s="4"/>
      <c r="AW62" s="4"/>
      <c r="AX62" s="4"/>
      <c r="AY62" s="4"/>
    </row>
    <row r="63" spans="1:1005" ht="14.5" x14ac:dyDescent="0.35">
      <c r="A63" s="105">
        <v>47939</v>
      </c>
      <c r="B63" s="106">
        <v>51</v>
      </c>
      <c r="C63" s="106">
        <v>51</v>
      </c>
      <c r="D63" s="107">
        <v>51</v>
      </c>
      <c r="E63">
        <v>40.325000000000003</v>
      </c>
      <c r="F63">
        <v>68.251000000000005</v>
      </c>
      <c r="G63">
        <v>44.395000000000003</v>
      </c>
      <c r="H63">
        <v>42.783000000000001</v>
      </c>
      <c r="I63">
        <v>52.091999999999999</v>
      </c>
      <c r="J63">
        <v>59.540999999999997</v>
      </c>
      <c r="K63">
        <v>37.868000000000002</v>
      </c>
      <c r="L63">
        <v>34.715000000000003</v>
      </c>
      <c r="M63">
        <v>88.893000000000001</v>
      </c>
      <c r="N63">
        <v>77.137</v>
      </c>
      <c r="O63">
        <v>52.390999999999998</v>
      </c>
      <c r="P63">
        <v>70.263999999999996</v>
      </c>
      <c r="Q63">
        <v>36.030999999999999</v>
      </c>
      <c r="R63">
        <v>42.334000000000003</v>
      </c>
      <c r="S63">
        <v>29.283000000000001</v>
      </c>
      <c r="T63">
        <v>37.484000000000002</v>
      </c>
      <c r="U63">
        <v>77.03</v>
      </c>
      <c r="V63">
        <v>19.298999999999999</v>
      </c>
      <c r="W63">
        <v>46.777999999999999</v>
      </c>
      <c r="X63">
        <v>43.904000000000003</v>
      </c>
      <c r="Y63">
        <v>39.173000000000002</v>
      </c>
      <c r="Z63">
        <v>77.881</v>
      </c>
      <c r="AA63">
        <v>29.300999999999998</v>
      </c>
      <c r="AB63">
        <v>44.313000000000002</v>
      </c>
      <c r="AC63">
        <v>27.709</v>
      </c>
      <c r="AD63">
        <v>20.785</v>
      </c>
      <c r="AE63">
        <v>64.713999999999999</v>
      </c>
      <c r="AF63">
        <v>46.345999999999997</v>
      </c>
      <c r="AG63">
        <v>58.78</v>
      </c>
      <c r="AH63">
        <v>39.670999999999999</v>
      </c>
      <c r="AI63" s="4"/>
      <c r="AJ63" s="4"/>
      <c r="AK63" s="4"/>
      <c r="AL63" s="4"/>
      <c r="AM63" s="4"/>
      <c r="AN63" s="4"/>
      <c r="AO63" s="4"/>
      <c r="AP63" s="4"/>
      <c r="AQ63" s="4"/>
      <c r="AR63" s="4"/>
      <c r="AS63" s="4"/>
      <c r="AT63" s="4"/>
      <c r="AU63" s="4"/>
      <c r="AV63" s="4"/>
      <c r="AW63" s="4"/>
      <c r="AX63" s="4"/>
      <c r="AY63" s="4"/>
    </row>
    <row r="64" spans="1:1005" ht="14.5" x14ac:dyDescent="0.35">
      <c r="A64" s="105">
        <v>47969</v>
      </c>
      <c r="B64" s="106">
        <v>135</v>
      </c>
      <c r="C64" s="106">
        <v>135</v>
      </c>
      <c r="D64" s="107">
        <v>135</v>
      </c>
      <c r="E64">
        <v>143.30099999999999</v>
      </c>
      <c r="F64">
        <v>199.58500000000001</v>
      </c>
      <c r="G64">
        <v>144.35300000000001</v>
      </c>
      <c r="H64">
        <v>151.44499999999999</v>
      </c>
      <c r="I64">
        <v>124.916</v>
      </c>
      <c r="J64">
        <v>228.834</v>
      </c>
      <c r="K64">
        <v>51.151000000000003</v>
      </c>
      <c r="L64">
        <v>115.61199999999999</v>
      </c>
      <c r="M64">
        <v>148.80799999999999</v>
      </c>
      <c r="N64">
        <v>234.05500000000001</v>
      </c>
      <c r="O64">
        <v>126.15600000000001</v>
      </c>
      <c r="P64">
        <v>151.70500000000001</v>
      </c>
      <c r="Q64">
        <v>183.149</v>
      </c>
      <c r="R64">
        <v>209.75899999999999</v>
      </c>
      <c r="S64">
        <v>85.186000000000007</v>
      </c>
      <c r="T64">
        <v>129.71700000000001</v>
      </c>
      <c r="U64">
        <v>113.63800000000001</v>
      </c>
      <c r="V64">
        <v>78.209000000000003</v>
      </c>
      <c r="W64">
        <v>111.721</v>
      </c>
      <c r="X64">
        <v>95.001999999999995</v>
      </c>
      <c r="Y64">
        <v>104.08</v>
      </c>
      <c r="Z64">
        <v>147.90700000000001</v>
      </c>
      <c r="AA64">
        <v>72.626999999999995</v>
      </c>
      <c r="AB64">
        <v>130.46199999999999</v>
      </c>
      <c r="AC64">
        <v>118.47199999999999</v>
      </c>
      <c r="AD64">
        <v>77.853999999999999</v>
      </c>
      <c r="AE64">
        <v>159.761</v>
      </c>
      <c r="AF64">
        <v>218.76499999999999</v>
      </c>
      <c r="AG64">
        <v>158.77000000000001</v>
      </c>
      <c r="AH64">
        <v>158.77000000000001</v>
      </c>
      <c r="AI64" s="4"/>
      <c r="AJ64" s="4"/>
      <c r="AK64" s="4"/>
      <c r="AL64" s="4"/>
      <c r="AM64" s="4"/>
      <c r="AN64" s="4"/>
      <c r="AO64" s="4"/>
      <c r="AP64" s="4"/>
      <c r="AQ64" s="4"/>
      <c r="AR64" s="4"/>
      <c r="AS64" s="4"/>
      <c r="AT64" s="4"/>
      <c r="AU64" s="4"/>
      <c r="AV64" s="4"/>
      <c r="AW64" s="4"/>
      <c r="AX64" s="4"/>
      <c r="AY64" s="4"/>
      <c r="ALQ64" t="e">
        <v>#N/A</v>
      </c>
    </row>
    <row r="65" spans="1:1005" ht="14.5" x14ac:dyDescent="0.35">
      <c r="A65" s="105">
        <v>48000</v>
      </c>
      <c r="B65" s="106">
        <v>144</v>
      </c>
      <c r="C65" s="106">
        <v>144</v>
      </c>
      <c r="D65" s="107">
        <v>144</v>
      </c>
      <c r="E65">
        <v>98.292000000000002</v>
      </c>
      <c r="F65">
        <v>256.75400000000002</v>
      </c>
      <c r="G65">
        <v>126.37</v>
      </c>
      <c r="H65">
        <v>217.535</v>
      </c>
      <c r="I65">
        <v>73.542000000000002</v>
      </c>
      <c r="J65">
        <v>127.059</v>
      </c>
      <c r="K65">
        <v>29.722000000000001</v>
      </c>
      <c r="L65">
        <v>84.427999999999997</v>
      </c>
      <c r="M65">
        <v>95.998000000000005</v>
      </c>
      <c r="N65">
        <v>211.51900000000001</v>
      </c>
      <c r="O65">
        <v>83.313000000000002</v>
      </c>
      <c r="P65">
        <v>117.896</v>
      </c>
      <c r="Q65">
        <v>211.93299999999999</v>
      </c>
      <c r="R65">
        <v>116.25700000000001</v>
      </c>
      <c r="S65">
        <v>144.35900000000001</v>
      </c>
      <c r="T65">
        <v>218.49199999999999</v>
      </c>
      <c r="U65">
        <v>48.706000000000003</v>
      </c>
      <c r="V65">
        <v>61.750999999999998</v>
      </c>
      <c r="W65">
        <v>150.309</v>
      </c>
      <c r="X65">
        <v>182.41399999999999</v>
      </c>
      <c r="Y65">
        <v>167.34700000000001</v>
      </c>
      <c r="Z65">
        <v>166.83</v>
      </c>
      <c r="AA65">
        <v>30.646000000000001</v>
      </c>
      <c r="AB65">
        <v>261.46100000000001</v>
      </c>
      <c r="AC65">
        <v>88.289000000000001</v>
      </c>
      <c r="AD65">
        <v>151.61600000000001</v>
      </c>
      <c r="AE65">
        <v>109.489</v>
      </c>
      <c r="AF65">
        <v>225.376</v>
      </c>
      <c r="AG65">
        <v>144.077</v>
      </c>
      <c r="AH65">
        <v>144.077</v>
      </c>
      <c r="AI65" s="4"/>
      <c r="AJ65" s="4"/>
      <c r="AK65" s="4"/>
      <c r="AL65" s="4"/>
      <c r="AM65" s="4"/>
      <c r="AN65" s="4"/>
      <c r="AO65" s="4"/>
      <c r="AP65" s="4"/>
      <c r="AQ65" s="4"/>
      <c r="AR65" s="4"/>
      <c r="AS65" s="4"/>
      <c r="AT65" s="4"/>
      <c r="AU65" s="4"/>
      <c r="AV65" s="4"/>
      <c r="AW65" s="4"/>
      <c r="AX65" s="4"/>
      <c r="AY65" s="4"/>
      <c r="ALQ65" t="e">
        <v>#N/A</v>
      </c>
    </row>
    <row r="66" spans="1:1005" ht="14.5" x14ac:dyDescent="0.35">
      <c r="A66" s="105">
        <v>48030</v>
      </c>
      <c r="B66" s="106">
        <v>51</v>
      </c>
      <c r="C66" s="106">
        <v>51</v>
      </c>
      <c r="D66" s="107">
        <v>51</v>
      </c>
      <c r="E66">
        <v>39.790999999999997</v>
      </c>
      <c r="F66">
        <v>92.498000000000005</v>
      </c>
      <c r="G66">
        <v>73.436999999999998</v>
      </c>
      <c r="H66">
        <v>141.83799999999999</v>
      </c>
      <c r="I66">
        <v>23.821999999999999</v>
      </c>
      <c r="J66">
        <v>52.774000000000001</v>
      </c>
      <c r="K66">
        <v>12.817</v>
      </c>
      <c r="L66">
        <v>27.116</v>
      </c>
      <c r="M66">
        <v>36.521000000000001</v>
      </c>
      <c r="N66">
        <v>83.224999999999994</v>
      </c>
      <c r="O66">
        <v>48.652000000000001</v>
      </c>
      <c r="P66">
        <v>47.003999999999998</v>
      </c>
      <c r="Q66">
        <v>81.13</v>
      </c>
      <c r="R66">
        <v>47.649000000000001</v>
      </c>
      <c r="S66">
        <v>42.204999999999998</v>
      </c>
      <c r="T66">
        <v>85.281000000000006</v>
      </c>
      <c r="U66">
        <v>19.95</v>
      </c>
      <c r="V66">
        <v>25.891999999999999</v>
      </c>
      <c r="W66">
        <v>47.91</v>
      </c>
      <c r="X66">
        <v>58.555999999999997</v>
      </c>
      <c r="Y66">
        <v>49.094000000000001</v>
      </c>
      <c r="Z66">
        <v>53.343000000000004</v>
      </c>
      <c r="AA66">
        <v>13.579000000000001</v>
      </c>
      <c r="AB66">
        <v>110.869</v>
      </c>
      <c r="AC66">
        <v>31.268000000000001</v>
      </c>
      <c r="AD66">
        <v>89.947000000000003</v>
      </c>
      <c r="AE66">
        <v>62.195999999999998</v>
      </c>
      <c r="AF66">
        <v>81.576999999999998</v>
      </c>
      <c r="AG66">
        <v>37.485999999999997</v>
      </c>
      <c r="AH66">
        <v>37.485999999999997</v>
      </c>
      <c r="AI66" s="4"/>
      <c r="AJ66" s="4"/>
      <c r="AK66" s="4"/>
      <c r="AL66" s="4"/>
      <c r="AM66" s="4"/>
      <c r="AN66" s="4"/>
      <c r="AO66" s="4"/>
      <c r="AP66" s="4"/>
      <c r="AQ66" s="4"/>
      <c r="AR66" s="4"/>
      <c r="AS66" s="4"/>
      <c r="AT66" s="4"/>
      <c r="AU66" s="4"/>
      <c r="AV66" s="4"/>
      <c r="AW66" s="4"/>
      <c r="AX66" s="4"/>
      <c r="AY66" s="4"/>
      <c r="ALQ66" t="e">
        <v>#N/A</v>
      </c>
    </row>
    <row r="67" spans="1:1005" ht="14.5" x14ac:dyDescent="0.35">
      <c r="A67" s="105">
        <v>48061</v>
      </c>
      <c r="B67" s="106">
        <v>29</v>
      </c>
      <c r="C67" s="106">
        <v>29</v>
      </c>
      <c r="D67" s="107">
        <v>29</v>
      </c>
      <c r="E67">
        <v>19.198</v>
      </c>
      <c r="F67">
        <v>71.228999999999999</v>
      </c>
      <c r="G67">
        <v>30.032</v>
      </c>
      <c r="H67">
        <v>89.912000000000006</v>
      </c>
      <c r="I67">
        <v>16.306999999999999</v>
      </c>
      <c r="J67">
        <v>36.344999999999999</v>
      </c>
      <c r="K67">
        <v>9.6470000000000002</v>
      </c>
      <c r="L67">
        <v>19.393000000000001</v>
      </c>
      <c r="M67">
        <v>18.53</v>
      </c>
      <c r="N67">
        <v>40.478000000000002</v>
      </c>
      <c r="O67">
        <v>34.633000000000003</v>
      </c>
      <c r="P67">
        <v>39.761000000000003</v>
      </c>
      <c r="Q67">
        <v>31.814</v>
      </c>
      <c r="R67">
        <v>21.099</v>
      </c>
      <c r="S67">
        <v>35.429000000000002</v>
      </c>
      <c r="T67">
        <v>28.190999999999999</v>
      </c>
      <c r="U67">
        <v>13.694000000000001</v>
      </c>
      <c r="V67">
        <v>26.914999999999999</v>
      </c>
      <c r="W67">
        <v>30.85</v>
      </c>
      <c r="X67">
        <v>24.751000000000001</v>
      </c>
      <c r="Y67">
        <v>33.598999999999997</v>
      </c>
      <c r="Z67">
        <v>30.995000000000001</v>
      </c>
      <c r="AA67">
        <v>9.1709999999999994</v>
      </c>
      <c r="AB67">
        <v>33.829000000000001</v>
      </c>
      <c r="AC67">
        <v>16.934000000000001</v>
      </c>
      <c r="AD67">
        <v>34.726999999999997</v>
      </c>
      <c r="AE67">
        <v>36.886000000000003</v>
      </c>
      <c r="AF67">
        <v>38.622999999999998</v>
      </c>
      <c r="AG67">
        <v>19.105</v>
      </c>
      <c r="AH67">
        <v>19.105</v>
      </c>
      <c r="AI67" s="4"/>
      <c r="AJ67" s="4"/>
      <c r="AK67" s="4"/>
      <c r="AL67" s="4"/>
      <c r="AM67" s="4"/>
      <c r="AN67" s="4"/>
      <c r="AO67" s="4"/>
      <c r="AP67" s="4"/>
      <c r="AQ67" s="4"/>
      <c r="AR67" s="4"/>
      <c r="AS67" s="4"/>
      <c r="AT67" s="4"/>
      <c r="AU67" s="4"/>
      <c r="AV67" s="4"/>
      <c r="AW67" s="4"/>
      <c r="AX67" s="4"/>
      <c r="AY67" s="4"/>
      <c r="ALQ67" t="e">
        <v>#N/A</v>
      </c>
    </row>
    <row r="68" spans="1:1005" ht="14.5" x14ac:dyDescent="0.35">
      <c r="A68" s="105">
        <v>48092</v>
      </c>
      <c r="B68" s="106">
        <v>26</v>
      </c>
      <c r="C68" s="106">
        <v>26</v>
      </c>
      <c r="D68" s="107">
        <v>26</v>
      </c>
      <c r="E68">
        <v>21.727</v>
      </c>
      <c r="F68">
        <v>62.81</v>
      </c>
      <c r="G68">
        <v>24.35</v>
      </c>
      <c r="H68">
        <v>44.795000000000002</v>
      </c>
      <c r="I68">
        <v>15.569000000000001</v>
      </c>
      <c r="J68">
        <v>18.951000000000001</v>
      </c>
      <c r="K68">
        <v>22.544</v>
      </c>
      <c r="L68">
        <v>33.851999999999997</v>
      </c>
      <c r="M68">
        <v>41.186</v>
      </c>
      <c r="N68">
        <v>23.558</v>
      </c>
      <c r="O68">
        <v>33.087000000000003</v>
      </c>
      <c r="P68">
        <v>36.615000000000002</v>
      </c>
      <c r="Q68">
        <v>37.072000000000003</v>
      </c>
      <c r="R68">
        <v>15.191000000000001</v>
      </c>
      <c r="S68">
        <v>18.933</v>
      </c>
      <c r="T68">
        <v>20.294</v>
      </c>
      <c r="U68">
        <v>11.164</v>
      </c>
      <c r="V68">
        <v>45.508000000000003</v>
      </c>
      <c r="W68">
        <v>38.084000000000003</v>
      </c>
      <c r="X68">
        <v>16.521000000000001</v>
      </c>
      <c r="Y68">
        <v>23.297000000000001</v>
      </c>
      <c r="Z68">
        <v>18.236000000000001</v>
      </c>
      <c r="AA68">
        <v>9.4830000000000005</v>
      </c>
      <c r="AB68">
        <v>17.585000000000001</v>
      </c>
      <c r="AC68">
        <v>12.647</v>
      </c>
      <c r="AD68">
        <v>43.957999999999998</v>
      </c>
      <c r="AE68">
        <v>24.376999999999999</v>
      </c>
      <c r="AF68">
        <v>30.375</v>
      </c>
      <c r="AG68">
        <v>30.76</v>
      </c>
      <c r="AH68">
        <v>30.76</v>
      </c>
      <c r="AI68" s="4"/>
      <c r="AJ68" s="4"/>
      <c r="AK68" s="4"/>
      <c r="AL68" s="4"/>
      <c r="AM68" s="4"/>
      <c r="AN68" s="4"/>
      <c r="AO68" s="4"/>
      <c r="AP68" s="4"/>
      <c r="AQ68" s="4"/>
      <c r="AR68" s="4"/>
      <c r="AS68" s="4"/>
      <c r="AT68" s="4"/>
      <c r="AU68" s="4"/>
      <c r="AV68" s="4"/>
      <c r="AW68" s="4"/>
      <c r="AX68" s="4"/>
      <c r="AY68" s="4"/>
      <c r="ALQ68" t="e">
        <v>#N/A</v>
      </c>
    </row>
    <row r="69" spans="1:1005" ht="14.5" x14ac:dyDescent="0.35">
      <c r="A69" s="105"/>
      <c r="B69" s="106"/>
      <c r="C69" s="106"/>
      <c r="D69" s="107"/>
      <c r="AI69" s="4"/>
      <c r="AJ69" s="4"/>
      <c r="AK69" s="4"/>
      <c r="AL69" s="4"/>
      <c r="AM69" s="4"/>
      <c r="AN69" s="4"/>
      <c r="AO69" s="4"/>
      <c r="AP69" s="4"/>
      <c r="AQ69" s="4"/>
      <c r="AR69" s="4"/>
      <c r="AS69" s="4"/>
      <c r="AT69" s="4"/>
      <c r="AU69" s="4"/>
      <c r="AV69" s="4"/>
      <c r="AW69" s="4"/>
      <c r="AX69" s="4"/>
      <c r="AY69" s="4"/>
      <c r="ALQ69" t="e">
        <v>#N/A</v>
      </c>
    </row>
    <row r="70" spans="1:1005" ht="14.5" x14ac:dyDescent="0.35">
      <c r="A70" s="105"/>
      <c r="B70" s="106"/>
      <c r="C70" s="106"/>
      <c r="D70" s="107"/>
      <c r="AI70" s="4"/>
      <c r="AJ70" s="4"/>
      <c r="AK70" s="4"/>
      <c r="AL70" s="4"/>
      <c r="AM70" s="4"/>
      <c r="AN70" s="4"/>
      <c r="AO70" s="4"/>
      <c r="AP70" s="4"/>
      <c r="AQ70" s="4"/>
      <c r="AR70" s="4"/>
      <c r="AS70" s="4"/>
      <c r="AT70" s="4"/>
      <c r="AU70" s="4"/>
      <c r="AV70" s="4"/>
      <c r="AW70" s="4"/>
      <c r="AX70" s="4"/>
      <c r="AY70" s="4"/>
      <c r="ALQ70" t="e">
        <v>#N/A</v>
      </c>
    </row>
    <row r="71" spans="1:1005" ht="14.5" x14ac:dyDescent="0.35">
      <c r="A71" s="105"/>
      <c r="B71" s="106"/>
      <c r="C71" s="106"/>
      <c r="D71" s="107"/>
      <c r="AI71" s="4"/>
      <c r="AJ71" s="4"/>
      <c r="AK71" s="4"/>
      <c r="AL71" s="4"/>
      <c r="AM71" s="4"/>
      <c r="AN71" s="4"/>
      <c r="AO71" s="4"/>
      <c r="AP71" s="4"/>
      <c r="AQ71" s="4"/>
      <c r="AR71" s="4"/>
      <c r="AS71" s="4"/>
      <c r="AT71" s="4"/>
      <c r="AU71" s="4"/>
      <c r="AV71" s="4"/>
      <c r="AW71" s="4"/>
      <c r="AX71" s="4"/>
      <c r="AY71" s="4"/>
      <c r="ALQ71" t="e">
        <v>#N/A</v>
      </c>
    </row>
    <row r="72" spans="1:1005" ht="14.5" x14ac:dyDescent="0.35">
      <c r="A72" s="105"/>
      <c r="B72" s="106"/>
      <c r="C72" s="106"/>
      <c r="D72" s="107"/>
      <c r="AI72" s="4"/>
      <c r="AJ72" s="4"/>
      <c r="AK72" s="4"/>
      <c r="AL72" s="4"/>
      <c r="AM72" s="4"/>
      <c r="AN72" s="4"/>
      <c r="AO72" s="4"/>
      <c r="AP72" s="4"/>
      <c r="AQ72" s="4"/>
      <c r="AR72" s="4"/>
      <c r="AS72" s="4"/>
      <c r="AT72" s="4"/>
      <c r="AU72" s="4"/>
      <c r="AV72" s="4"/>
      <c r="AW72" s="4"/>
      <c r="AX72" s="4"/>
      <c r="AY72" s="4"/>
      <c r="ALQ72" t="e">
        <v>#N/A</v>
      </c>
    </row>
    <row r="73" spans="1:1005" ht="14.5" x14ac:dyDescent="0.35">
      <c r="A73" s="105"/>
      <c r="B73" s="106"/>
      <c r="C73" s="106"/>
      <c r="D73" s="107"/>
      <c r="AI73" s="4"/>
      <c r="AJ73" s="4"/>
      <c r="AK73" s="4"/>
      <c r="AL73" s="4"/>
      <c r="AM73" s="4"/>
      <c r="AN73" s="4"/>
      <c r="AO73" s="4"/>
      <c r="AP73" s="4"/>
      <c r="AQ73" s="4"/>
      <c r="AR73" s="4"/>
      <c r="AS73" s="4"/>
      <c r="AT73" s="4"/>
      <c r="AU73" s="4"/>
      <c r="AV73" s="4"/>
      <c r="AW73" s="4"/>
      <c r="AX73" s="4"/>
      <c r="AY73" s="4"/>
    </row>
    <row r="74" spans="1:1005" ht="14.5" x14ac:dyDescent="0.35">
      <c r="A74" s="105"/>
      <c r="B74" s="106"/>
      <c r="C74" s="106"/>
      <c r="D74" s="107"/>
      <c r="AI74" s="4"/>
      <c r="AJ74" s="4"/>
      <c r="AK74" s="4"/>
      <c r="AL74" s="4"/>
      <c r="AM74" s="4"/>
      <c r="AN74" s="4"/>
      <c r="AO74" s="4"/>
      <c r="AP74" s="4"/>
      <c r="AQ74" s="4"/>
      <c r="AR74" s="4"/>
      <c r="AS74" s="4"/>
      <c r="AT74" s="4"/>
      <c r="AU74" s="4"/>
      <c r="AV74" s="4"/>
      <c r="AW74" s="4"/>
      <c r="AX74" s="4"/>
      <c r="AY74" s="4"/>
    </row>
    <row r="75" spans="1:1005" ht="14.5" x14ac:dyDescent="0.35">
      <c r="A75" s="105"/>
      <c r="B75" s="106"/>
      <c r="C75" s="106"/>
      <c r="D75" s="107"/>
      <c r="AI75" s="4"/>
      <c r="AJ75" s="4"/>
      <c r="AK75" s="4"/>
      <c r="AL75" s="4"/>
      <c r="AM75" s="4"/>
      <c r="AN75" s="4"/>
      <c r="AO75" s="4"/>
      <c r="AP75" s="4"/>
      <c r="AQ75" s="4"/>
      <c r="AR75" s="4"/>
      <c r="AS75" s="4"/>
      <c r="AT75" s="4"/>
      <c r="AU75" s="4"/>
      <c r="AV75" s="4"/>
      <c r="AW75" s="4"/>
      <c r="AX75" s="4"/>
      <c r="AY75" s="4"/>
    </row>
    <row r="76" spans="1:1005" ht="14.5" x14ac:dyDescent="0.35">
      <c r="A76" s="105"/>
      <c r="B76" s="106"/>
      <c r="C76" s="106"/>
      <c r="D76" s="107"/>
      <c r="AI76" s="4"/>
      <c r="AJ76" s="4"/>
      <c r="AK76" s="4"/>
      <c r="AL76" s="4"/>
      <c r="AM76" s="4"/>
      <c r="AN76" s="4"/>
      <c r="AO76" s="4"/>
      <c r="AP76" s="4"/>
      <c r="AQ76" s="4"/>
      <c r="AR76" s="4"/>
      <c r="AS76" s="4"/>
      <c r="AT76" s="4"/>
      <c r="AU76" s="4"/>
      <c r="AV76" s="4"/>
      <c r="AW76" s="4"/>
      <c r="AX76" s="4"/>
      <c r="AY76" s="4"/>
    </row>
    <row r="77" spans="1:1005" ht="14.5" x14ac:dyDescent="0.35">
      <c r="A77" s="105"/>
      <c r="B77" s="106"/>
      <c r="C77" s="106"/>
      <c r="D77" s="107"/>
      <c r="AI77" s="4"/>
      <c r="AJ77" s="4"/>
      <c r="AK77" s="4"/>
      <c r="AL77" s="4"/>
      <c r="AM77" s="4"/>
      <c r="AN77" s="4"/>
      <c r="AO77" s="4"/>
      <c r="AP77" s="4"/>
      <c r="AQ77" s="4"/>
      <c r="AR77" s="4"/>
      <c r="AS77" s="4"/>
      <c r="AT77" s="4"/>
      <c r="AU77" s="4"/>
      <c r="AV77" s="4"/>
      <c r="AW77" s="4"/>
      <c r="AX77" s="4"/>
      <c r="AY77" s="4"/>
    </row>
    <row r="78" spans="1:1005" ht="14.5" x14ac:dyDescent="0.35">
      <c r="A78" s="105"/>
      <c r="B78" s="106"/>
      <c r="C78" s="106"/>
      <c r="D78" s="107"/>
      <c r="AI78" s="4"/>
      <c r="AJ78" s="4"/>
      <c r="AK78" s="4"/>
      <c r="AL78" s="4"/>
      <c r="AM78" s="4"/>
      <c r="AN78" s="4"/>
      <c r="AO78" s="4"/>
      <c r="AP78" s="4"/>
      <c r="AQ78" s="4"/>
      <c r="AR78" s="4"/>
      <c r="AS78" s="4"/>
      <c r="AT78" s="4"/>
      <c r="AU78" s="4"/>
      <c r="AV78" s="4"/>
      <c r="AW78" s="4"/>
      <c r="AX78" s="4"/>
      <c r="AY78" s="4"/>
    </row>
    <row r="79" spans="1:1005" ht="14.5" x14ac:dyDescent="0.35">
      <c r="A79" s="105"/>
      <c r="B79" s="106"/>
      <c r="C79" s="106"/>
      <c r="D79" s="107"/>
      <c r="AI79" s="4"/>
      <c r="AJ79" s="4"/>
      <c r="AK79" s="4"/>
      <c r="AL79" s="4"/>
      <c r="AM79" s="4"/>
      <c r="AN79" s="4"/>
      <c r="AO79" s="4"/>
      <c r="AP79" s="4"/>
      <c r="AQ79" s="4"/>
      <c r="AR79" s="4"/>
      <c r="AS79" s="4"/>
      <c r="AT79" s="4"/>
      <c r="AU79" s="4"/>
      <c r="AV79" s="4"/>
      <c r="AW79" s="4"/>
      <c r="AX79" s="4"/>
      <c r="AY79" s="4"/>
    </row>
    <row r="80" spans="1:1005" ht="14.5" x14ac:dyDescent="0.35">
      <c r="A80" s="105"/>
      <c r="B80" s="106"/>
      <c r="C80" s="106"/>
      <c r="D80" s="107"/>
      <c r="AI80" s="4"/>
      <c r="AJ80" s="4"/>
      <c r="AK80" s="4"/>
      <c r="AL80" s="4"/>
      <c r="AM80" s="4"/>
      <c r="AN80" s="4"/>
      <c r="AO80" s="4"/>
      <c r="AP80" s="4"/>
      <c r="AQ80" s="4"/>
      <c r="AR80" s="4"/>
      <c r="AS80" s="4"/>
      <c r="AT80" s="4"/>
      <c r="AU80" s="4"/>
      <c r="AV80" s="4"/>
      <c r="AW80" s="4"/>
      <c r="AX80" s="4"/>
      <c r="AY80" s="4"/>
    </row>
    <row r="81" spans="1:4" ht="12.75" customHeight="1" x14ac:dyDescent="0.35">
      <c r="A81" s="105"/>
      <c r="B81" s="106"/>
      <c r="C81" s="106"/>
      <c r="D81" s="107"/>
    </row>
    <row r="82" spans="1:4" ht="12.75" customHeight="1" x14ac:dyDescent="0.35">
      <c r="A82" s="105"/>
      <c r="B82" s="106"/>
      <c r="C82" s="106"/>
      <c r="D82" s="107"/>
    </row>
    <row r="83" spans="1:4" ht="12.75" customHeight="1" x14ac:dyDescent="0.35">
      <c r="A83" s="105"/>
      <c r="B83" s="106"/>
      <c r="C83" s="106"/>
      <c r="D83" s="107"/>
    </row>
    <row r="84" spans="1:4" ht="12.75" customHeight="1" x14ac:dyDescent="0.35">
      <c r="A84" s="105"/>
      <c r="B84" s="106"/>
      <c r="C84" s="106"/>
      <c r="D84" s="107"/>
    </row>
  </sheetData>
  <mergeCells count="1">
    <mergeCell ref="B1:AH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E72C0-72C0-4568-ABB5-6DAACD0F804E}">
  <sheetPr codeName="Sheet22">
    <tabColor rgb="FFE66CD5"/>
  </sheetPr>
  <dimension ref="A1:ALQ84"/>
  <sheetViews>
    <sheetView topLeftCell="A37" zoomScaleNormal="100" workbookViewId="0">
      <selection activeCell="D4" sqref="D4"/>
    </sheetView>
  </sheetViews>
  <sheetFormatPr defaultColWidth="18.6328125" defaultRowHeight="12.75" customHeight="1" x14ac:dyDescent="0.35"/>
  <cols>
    <col min="1" max="54" width="9.36328125" customWidth="1"/>
  </cols>
  <sheetData>
    <row r="1" spans="1:51" ht="14.5" x14ac:dyDescent="0.35">
      <c r="A1" s="108"/>
      <c r="B1" s="109" t="s">
        <v>37</v>
      </c>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3"/>
      <c r="AJ1" s="3"/>
      <c r="AK1" s="3"/>
      <c r="AL1" s="3"/>
      <c r="AM1" s="3"/>
    </row>
    <row r="2" spans="1:51" ht="14.5" x14ac:dyDescent="0.35">
      <c r="A2" s="108"/>
      <c r="B2" s="110" t="s">
        <v>0</v>
      </c>
      <c r="C2" s="110" t="s">
        <v>1</v>
      </c>
      <c r="D2" s="110" t="s">
        <v>2</v>
      </c>
      <c r="E2" s="110">
        <v>1991</v>
      </c>
      <c r="F2" s="110">
        <v>1992</v>
      </c>
      <c r="G2" s="110">
        <v>1993</v>
      </c>
      <c r="H2" s="110">
        <v>1994</v>
      </c>
      <c r="I2" s="110">
        <v>1995</v>
      </c>
      <c r="J2" s="110">
        <v>1996</v>
      </c>
      <c r="K2" s="110">
        <v>1997</v>
      </c>
      <c r="L2" s="110">
        <v>1998</v>
      </c>
      <c r="M2" s="110">
        <v>1999</v>
      </c>
      <c r="N2" s="110">
        <v>2000</v>
      </c>
      <c r="O2" s="110">
        <v>2001</v>
      </c>
      <c r="P2" s="110">
        <v>2002</v>
      </c>
      <c r="Q2" s="110">
        <v>2003</v>
      </c>
      <c r="R2" s="110">
        <v>2004</v>
      </c>
      <c r="S2" s="110">
        <v>2005</v>
      </c>
      <c r="T2" s="110">
        <v>2006</v>
      </c>
      <c r="U2" s="110">
        <v>2007</v>
      </c>
      <c r="V2" s="110">
        <v>2008</v>
      </c>
      <c r="W2" s="110">
        <v>2009</v>
      </c>
      <c r="X2" s="110">
        <v>2010</v>
      </c>
      <c r="Y2" s="110">
        <v>2011</v>
      </c>
      <c r="Z2" s="110">
        <v>2012</v>
      </c>
      <c r="AA2" s="110">
        <v>2013</v>
      </c>
      <c r="AB2" s="110">
        <v>2014</v>
      </c>
      <c r="AC2" s="110">
        <v>2015</v>
      </c>
      <c r="AD2" s="110">
        <v>2016</v>
      </c>
      <c r="AE2" s="110">
        <v>2017</v>
      </c>
      <c r="AF2" s="110">
        <v>2018</v>
      </c>
      <c r="AG2" s="110">
        <v>2019</v>
      </c>
      <c r="AH2" s="110">
        <v>2020</v>
      </c>
      <c r="AI2" s="3"/>
      <c r="AJ2" s="3"/>
      <c r="AK2" s="3"/>
      <c r="AL2" s="3"/>
      <c r="AM2" s="3"/>
    </row>
    <row r="3" spans="1:51" ht="14.5" x14ac:dyDescent="0.35">
      <c r="A3" s="111" t="str">
        <f>$A$1&amp;A2</f>
        <v/>
      </c>
      <c r="B3" s="112" t="s">
        <v>3</v>
      </c>
      <c r="C3" s="112" t="s">
        <v>4</v>
      </c>
      <c r="D3" s="112" t="s">
        <v>5</v>
      </c>
      <c r="E3" s="112" t="s">
        <v>6</v>
      </c>
      <c r="F3" s="112" t="s">
        <v>7</v>
      </c>
      <c r="G3" s="112" t="s">
        <v>8</v>
      </c>
      <c r="H3" s="112" t="s">
        <v>9</v>
      </c>
      <c r="I3" s="112" t="s">
        <v>10</v>
      </c>
      <c r="J3" s="112" t="s">
        <v>11</v>
      </c>
      <c r="K3" s="112" t="s">
        <v>12</v>
      </c>
      <c r="L3" s="112" t="s">
        <v>13</v>
      </c>
      <c r="M3" s="112" t="s">
        <v>14</v>
      </c>
      <c r="N3" s="112" t="s">
        <v>15</v>
      </c>
      <c r="O3" s="112" t="s">
        <v>16</v>
      </c>
      <c r="P3" s="112" t="s">
        <v>17</v>
      </c>
      <c r="Q3" s="112" t="s">
        <v>18</v>
      </c>
      <c r="R3" s="112" t="s">
        <v>19</v>
      </c>
      <c r="S3" s="112" t="s">
        <v>20</v>
      </c>
      <c r="T3" s="112" t="s">
        <v>21</v>
      </c>
      <c r="U3" s="112" t="s">
        <v>22</v>
      </c>
      <c r="V3" s="112" t="s">
        <v>23</v>
      </c>
      <c r="W3" s="112" t="s">
        <v>24</v>
      </c>
      <c r="X3" s="112" t="s">
        <v>25</v>
      </c>
      <c r="Y3" s="112" t="s">
        <v>26</v>
      </c>
      <c r="Z3" s="112" t="s">
        <v>27</v>
      </c>
      <c r="AA3" s="112" t="s">
        <v>28</v>
      </c>
      <c r="AB3" s="112" t="s">
        <v>29</v>
      </c>
      <c r="AC3" s="112" t="s">
        <v>30</v>
      </c>
      <c r="AD3" s="112" t="s">
        <v>31</v>
      </c>
      <c r="AE3" s="112" t="s">
        <v>32</v>
      </c>
      <c r="AF3" s="112" t="s">
        <v>33</v>
      </c>
      <c r="AG3" s="112" t="s">
        <v>34</v>
      </c>
      <c r="AH3" s="112" t="s">
        <v>35</v>
      </c>
      <c r="AI3" s="3"/>
      <c r="AJ3" s="3"/>
      <c r="AK3" s="3"/>
      <c r="AL3" s="3"/>
      <c r="AM3" s="3"/>
    </row>
    <row r="4" spans="1:51" ht="14.5" x14ac:dyDescent="0.35">
      <c r="A4" s="113">
        <v>46143</v>
      </c>
      <c r="B4" s="114">
        <v>70</v>
      </c>
      <c r="C4" s="115">
        <v>29</v>
      </c>
      <c r="D4" s="42">
        <v>50</v>
      </c>
      <c r="E4" s="16">
        <v>40.276000000000003</v>
      </c>
      <c r="F4" s="16">
        <v>55.704999999999998</v>
      </c>
      <c r="G4" s="16">
        <v>49.923999999999999</v>
      </c>
      <c r="H4" s="16">
        <v>45.069000000000003</v>
      </c>
      <c r="I4" s="16">
        <v>58.07</v>
      </c>
      <c r="J4" s="16">
        <v>43.45</v>
      </c>
      <c r="K4" s="16">
        <v>45.631999999999998</v>
      </c>
      <c r="L4" s="16">
        <v>41.262999999999998</v>
      </c>
      <c r="M4" s="16">
        <v>54.249000000000002</v>
      </c>
      <c r="N4" s="16">
        <v>48.045999999999999</v>
      </c>
      <c r="O4" s="16">
        <v>53.826999999999998</v>
      </c>
      <c r="P4" s="16">
        <v>42.362000000000002</v>
      </c>
      <c r="Q4" s="16">
        <v>59.244</v>
      </c>
      <c r="R4" s="16">
        <v>44.347999999999999</v>
      </c>
      <c r="S4" s="16">
        <v>48.938000000000002</v>
      </c>
      <c r="T4" s="16">
        <v>47.598999999999997</v>
      </c>
      <c r="U4" s="16">
        <v>49.143999999999998</v>
      </c>
      <c r="V4" s="16">
        <v>47.853000000000002</v>
      </c>
      <c r="W4" s="16">
        <v>50.076000000000001</v>
      </c>
      <c r="X4" s="16">
        <v>44.981999999999999</v>
      </c>
      <c r="Y4" s="16">
        <v>56.435000000000002</v>
      </c>
      <c r="Z4" s="16">
        <v>50.999000000000002</v>
      </c>
      <c r="AA4" s="16">
        <v>56.182000000000002</v>
      </c>
      <c r="AB4" s="16">
        <v>52.351999999999997</v>
      </c>
      <c r="AC4" s="16">
        <v>67.221000000000004</v>
      </c>
      <c r="AD4" s="16">
        <v>50.439</v>
      </c>
      <c r="AE4" s="16">
        <v>49.073</v>
      </c>
      <c r="AF4" s="16">
        <v>51.209000000000003</v>
      </c>
      <c r="AG4" s="16">
        <v>51.350999999999999</v>
      </c>
      <c r="AH4" s="16">
        <v>50.289000000000001</v>
      </c>
      <c r="AI4" s="4"/>
      <c r="AJ4" s="4"/>
      <c r="AK4" s="4"/>
      <c r="AL4" s="4"/>
      <c r="AM4" s="4"/>
      <c r="AN4" s="4"/>
      <c r="AO4" s="4"/>
      <c r="AP4" s="4"/>
      <c r="AQ4" s="4"/>
      <c r="AR4" s="4"/>
      <c r="AS4" s="4"/>
      <c r="AT4" s="4"/>
      <c r="AU4" s="4"/>
      <c r="AV4" s="4"/>
      <c r="AW4" s="4"/>
      <c r="AX4" s="4"/>
      <c r="AY4" s="4"/>
    </row>
    <row r="5" spans="1:51" ht="14.5" x14ac:dyDescent="0.35">
      <c r="A5" s="113">
        <v>46174</v>
      </c>
      <c r="B5" s="116">
        <v>73</v>
      </c>
      <c r="C5" s="117">
        <v>30</v>
      </c>
      <c r="D5" s="44">
        <v>52</v>
      </c>
      <c r="E5" s="16">
        <v>51.975000000000001</v>
      </c>
      <c r="F5" s="16">
        <v>68.745000000000005</v>
      </c>
      <c r="G5" s="16">
        <v>52.552</v>
      </c>
      <c r="H5" s="16">
        <v>45.223999999999997</v>
      </c>
      <c r="I5" s="16">
        <v>105.122</v>
      </c>
      <c r="J5" s="16">
        <v>38.270000000000003</v>
      </c>
      <c r="K5" s="16">
        <v>58.637999999999998</v>
      </c>
      <c r="L5" s="16">
        <v>45.002000000000002</v>
      </c>
      <c r="M5" s="16">
        <v>71.819999999999993</v>
      </c>
      <c r="N5" s="16">
        <v>43.753</v>
      </c>
      <c r="O5" s="16">
        <v>48.436999999999998</v>
      </c>
      <c r="P5" s="16">
        <v>43.177999999999997</v>
      </c>
      <c r="Q5" s="16">
        <v>55.250999999999998</v>
      </c>
      <c r="R5" s="16">
        <v>39.381999999999998</v>
      </c>
      <c r="S5" s="16">
        <v>50.651000000000003</v>
      </c>
      <c r="T5" s="16">
        <v>41.889000000000003</v>
      </c>
      <c r="U5" s="16">
        <v>45.386000000000003</v>
      </c>
      <c r="V5" s="16">
        <v>55.765999999999998</v>
      </c>
      <c r="W5" s="16">
        <v>49.973999999999997</v>
      </c>
      <c r="X5" s="16">
        <v>52.024999999999999</v>
      </c>
      <c r="Y5" s="16">
        <v>82.540999999999997</v>
      </c>
      <c r="Z5" s="16">
        <v>47.92</v>
      </c>
      <c r="AA5" s="16">
        <v>60.2</v>
      </c>
      <c r="AB5" s="16">
        <v>67.983000000000004</v>
      </c>
      <c r="AC5" s="16">
        <v>108.996</v>
      </c>
      <c r="AD5" s="16">
        <v>52.390999999999998</v>
      </c>
      <c r="AE5" s="16">
        <v>60.944000000000003</v>
      </c>
      <c r="AF5" s="16">
        <v>45.136000000000003</v>
      </c>
      <c r="AG5" s="16">
        <v>81.668000000000006</v>
      </c>
      <c r="AH5" s="16">
        <v>49.709000000000003</v>
      </c>
      <c r="AI5" s="4"/>
      <c r="AJ5" s="4"/>
      <c r="AK5" s="4"/>
      <c r="AL5" s="4"/>
      <c r="AM5" s="4"/>
      <c r="AN5" s="4"/>
      <c r="AO5" s="4"/>
      <c r="AP5" s="4"/>
      <c r="AQ5" s="4"/>
      <c r="AR5" s="4"/>
      <c r="AS5" s="4"/>
      <c r="AT5" s="4"/>
      <c r="AU5" s="4"/>
      <c r="AV5" s="4"/>
      <c r="AW5" s="4"/>
      <c r="AX5" s="4"/>
      <c r="AY5" s="4"/>
    </row>
    <row r="6" spans="1:51" ht="14.5" x14ac:dyDescent="0.35">
      <c r="A6" s="113">
        <v>46204</v>
      </c>
      <c r="B6" s="116">
        <v>31</v>
      </c>
      <c r="C6" s="117">
        <v>13</v>
      </c>
      <c r="D6" s="44">
        <v>22</v>
      </c>
      <c r="E6" s="16">
        <v>20.305</v>
      </c>
      <c r="F6" s="16">
        <v>22.420999999999999</v>
      </c>
      <c r="G6" s="16">
        <v>20.963999999999999</v>
      </c>
      <c r="H6" s="16">
        <v>22.638999999999999</v>
      </c>
      <c r="I6" s="16">
        <v>35.877000000000002</v>
      </c>
      <c r="J6" s="16">
        <v>18.757999999999999</v>
      </c>
      <c r="K6" s="16">
        <v>19.134</v>
      </c>
      <c r="L6" s="16">
        <v>18.759</v>
      </c>
      <c r="M6" s="16">
        <v>23.091999999999999</v>
      </c>
      <c r="N6" s="16">
        <v>18.757999999999999</v>
      </c>
      <c r="O6" s="16">
        <v>18.759</v>
      </c>
      <c r="P6" s="16">
        <v>20.431000000000001</v>
      </c>
      <c r="Q6" s="16">
        <v>20.337</v>
      </c>
      <c r="R6" s="16">
        <v>20.067</v>
      </c>
      <c r="S6" s="16">
        <v>18.952999999999999</v>
      </c>
      <c r="T6" s="16">
        <v>19.664000000000001</v>
      </c>
      <c r="U6" s="16">
        <v>18.962</v>
      </c>
      <c r="V6" s="16">
        <v>19.047999999999998</v>
      </c>
      <c r="W6" s="16">
        <v>22.93</v>
      </c>
      <c r="X6" s="16">
        <v>21.579000000000001</v>
      </c>
      <c r="Y6" s="16">
        <v>23.367000000000001</v>
      </c>
      <c r="Z6" s="16">
        <v>27.422999999999998</v>
      </c>
      <c r="AA6" s="16">
        <v>30.806000000000001</v>
      </c>
      <c r="AB6" s="16">
        <v>31.17</v>
      </c>
      <c r="AC6" s="16">
        <v>36.951000000000001</v>
      </c>
      <c r="AD6" s="16">
        <v>26.210999999999999</v>
      </c>
      <c r="AE6" s="16">
        <v>22.986999999999998</v>
      </c>
      <c r="AF6" s="16">
        <v>23.631</v>
      </c>
      <c r="AG6" s="16">
        <v>22.808</v>
      </c>
      <c r="AH6" s="16">
        <v>23.024000000000001</v>
      </c>
      <c r="AI6" s="4"/>
      <c r="AJ6" s="4"/>
      <c r="AK6" s="4"/>
      <c r="AL6" s="4"/>
      <c r="AM6" s="4"/>
      <c r="AN6" s="4"/>
      <c r="AO6" s="4"/>
      <c r="AP6" s="4"/>
      <c r="AQ6" s="4"/>
      <c r="AR6" s="4"/>
      <c r="AS6" s="4"/>
      <c r="AT6" s="4"/>
      <c r="AU6" s="4"/>
      <c r="AV6" s="4"/>
      <c r="AW6" s="4"/>
      <c r="AX6" s="4"/>
      <c r="AY6" s="4"/>
    </row>
    <row r="7" spans="1:51" ht="14.5" x14ac:dyDescent="0.35">
      <c r="A7" s="113">
        <v>46235</v>
      </c>
      <c r="B7" s="116">
        <v>41</v>
      </c>
      <c r="C7" s="117">
        <v>25</v>
      </c>
      <c r="D7" s="44">
        <v>25</v>
      </c>
      <c r="E7" s="16">
        <v>22.748999999999999</v>
      </c>
      <c r="F7" s="16">
        <v>26.100999999999999</v>
      </c>
      <c r="G7" s="16">
        <v>24.768000000000001</v>
      </c>
      <c r="H7" s="16">
        <v>23.712</v>
      </c>
      <c r="I7" s="16">
        <v>27.449000000000002</v>
      </c>
      <c r="J7" s="16">
        <v>19.89</v>
      </c>
      <c r="K7" s="16">
        <v>20.445</v>
      </c>
      <c r="L7" s="16">
        <v>20.802</v>
      </c>
      <c r="M7" s="16">
        <v>32.113999999999997</v>
      </c>
      <c r="N7" s="16">
        <v>22.02</v>
      </c>
      <c r="O7" s="16">
        <v>21.92</v>
      </c>
      <c r="P7" s="16">
        <v>23.440999999999999</v>
      </c>
      <c r="Q7" s="16">
        <v>23.251000000000001</v>
      </c>
      <c r="R7" s="16">
        <v>23.798999999999999</v>
      </c>
      <c r="S7" s="16">
        <v>21.350999999999999</v>
      </c>
      <c r="T7" s="16">
        <v>23.489000000000001</v>
      </c>
      <c r="U7" s="16">
        <v>22.335999999999999</v>
      </c>
      <c r="V7" s="16">
        <v>23.274999999999999</v>
      </c>
      <c r="W7" s="16">
        <v>25.231999999999999</v>
      </c>
      <c r="X7" s="16">
        <v>25.555</v>
      </c>
      <c r="Y7" s="16">
        <v>29.895</v>
      </c>
      <c r="Z7" s="16">
        <v>26.425999999999998</v>
      </c>
      <c r="AA7" s="16">
        <v>37.534999999999997</v>
      </c>
      <c r="AB7" s="16">
        <v>40.808</v>
      </c>
      <c r="AC7" s="16">
        <v>39.765999999999998</v>
      </c>
      <c r="AD7" s="16">
        <v>36.701999999999998</v>
      </c>
      <c r="AE7" s="16">
        <v>27.36</v>
      </c>
      <c r="AF7" s="16">
        <v>32.82</v>
      </c>
      <c r="AG7" s="16">
        <v>27.138000000000002</v>
      </c>
      <c r="AH7" s="16">
        <v>27.649000000000001</v>
      </c>
      <c r="AI7" s="4"/>
      <c r="AJ7" s="4"/>
      <c r="AK7" s="4"/>
      <c r="AL7" s="4"/>
      <c r="AM7" s="4"/>
      <c r="AN7" s="4"/>
      <c r="AO7" s="4"/>
      <c r="AP7" s="4"/>
      <c r="AQ7" s="4"/>
      <c r="AR7" s="4"/>
      <c r="AS7" s="4"/>
      <c r="AT7" s="4"/>
      <c r="AU7" s="4"/>
      <c r="AV7" s="4"/>
      <c r="AW7" s="4"/>
      <c r="AX7" s="4"/>
      <c r="AY7" s="4"/>
    </row>
    <row r="8" spans="1:51" ht="14.5" x14ac:dyDescent="0.35">
      <c r="A8" s="113">
        <v>46266</v>
      </c>
      <c r="B8" s="116">
        <v>62</v>
      </c>
      <c r="C8" s="117">
        <v>47</v>
      </c>
      <c r="D8" s="44">
        <v>44</v>
      </c>
      <c r="E8" s="16">
        <v>30.286000000000001</v>
      </c>
      <c r="F8" s="16">
        <v>40.125</v>
      </c>
      <c r="G8" s="16">
        <v>40.048999999999999</v>
      </c>
      <c r="H8" s="16">
        <v>36.271999999999998</v>
      </c>
      <c r="I8" s="16">
        <v>48.481999999999999</v>
      </c>
      <c r="J8" s="16">
        <v>37.427</v>
      </c>
      <c r="K8" s="16">
        <v>43.813000000000002</v>
      </c>
      <c r="L8" s="16">
        <v>33.898000000000003</v>
      </c>
      <c r="M8" s="16">
        <v>40.930999999999997</v>
      </c>
      <c r="N8" s="16">
        <v>38.566000000000003</v>
      </c>
      <c r="O8" s="16">
        <v>40.296999999999997</v>
      </c>
      <c r="P8" s="16">
        <v>32.085999999999999</v>
      </c>
      <c r="Q8" s="16">
        <v>41.706000000000003</v>
      </c>
      <c r="R8" s="16">
        <v>48.41</v>
      </c>
      <c r="S8" s="16">
        <v>37.6</v>
      </c>
      <c r="T8" s="16">
        <v>45.152999999999999</v>
      </c>
      <c r="U8" s="16">
        <v>55.218000000000004</v>
      </c>
      <c r="V8" s="16">
        <v>45.298999999999999</v>
      </c>
      <c r="W8" s="16">
        <v>45.274999999999999</v>
      </c>
      <c r="X8" s="16">
        <v>42.030999999999999</v>
      </c>
      <c r="Y8" s="16">
        <v>53.014000000000003</v>
      </c>
      <c r="Z8" s="16">
        <v>40.704000000000001</v>
      </c>
      <c r="AA8" s="16">
        <v>58.662999999999997</v>
      </c>
      <c r="AB8" s="16">
        <v>67.254000000000005</v>
      </c>
      <c r="AC8" s="16">
        <v>55.23</v>
      </c>
      <c r="AD8" s="16">
        <v>53.463999999999999</v>
      </c>
      <c r="AE8" s="16">
        <v>46.274000000000001</v>
      </c>
      <c r="AF8" s="16">
        <v>46.838999999999999</v>
      </c>
      <c r="AG8" s="16">
        <v>44.186999999999998</v>
      </c>
      <c r="AH8" s="16">
        <v>45.914000000000001</v>
      </c>
      <c r="AI8" s="4"/>
      <c r="AJ8" s="4"/>
      <c r="AK8" s="4"/>
      <c r="AL8" s="4"/>
      <c r="AM8" s="4"/>
      <c r="AN8" s="4"/>
      <c r="AO8" s="4"/>
      <c r="AP8" s="4"/>
      <c r="AQ8" s="4"/>
      <c r="AR8" s="4"/>
      <c r="AS8" s="4"/>
      <c r="AT8" s="4"/>
      <c r="AU8" s="4"/>
      <c r="AV8" s="4"/>
      <c r="AW8" s="4"/>
      <c r="AX8" s="4"/>
      <c r="AY8" s="4"/>
    </row>
    <row r="9" spans="1:51" ht="14.5" x14ac:dyDescent="0.35">
      <c r="A9" s="113">
        <v>46296</v>
      </c>
      <c r="B9" s="116">
        <v>84</v>
      </c>
      <c r="C9" s="117">
        <v>72</v>
      </c>
      <c r="D9" s="44">
        <v>60</v>
      </c>
      <c r="E9" s="16">
        <v>54.537999999999997</v>
      </c>
      <c r="F9" s="16">
        <v>59.093000000000004</v>
      </c>
      <c r="G9" s="16">
        <v>68.817999999999998</v>
      </c>
      <c r="H9" s="16">
        <v>58.811999999999998</v>
      </c>
      <c r="I9" s="16">
        <v>68.344999999999999</v>
      </c>
      <c r="J9" s="16">
        <v>68.132999999999996</v>
      </c>
      <c r="K9" s="16">
        <v>76.730999999999995</v>
      </c>
      <c r="L9" s="16">
        <v>62.844999999999999</v>
      </c>
      <c r="M9" s="16">
        <v>54.421999999999997</v>
      </c>
      <c r="N9" s="16">
        <v>65.488</v>
      </c>
      <c r="O9" s="16">
        <v>59.359000000000002</v>
      </c>
      <c r="P9" s="16">
        <v>52.335000000000001</v>
      </c>
      <c r="Q9" s="16">
        <v>55.436999999999998</v>
      </c>
      <c r="R9" s="16">
        <v>61.277999999999999</v>
      </c>
      <c r="S9" s="16">
        <v>70.58</v>
      </c>
      <c r="T9" s="16">
        <v>106.907</v>
      </c>
      <c r="U9" s="16">
        <v>88.063000000000002</v>
      </c>
      <c r="V9" s="16">
        <v>65.995000000000005</v>
      </c>
      <c r="W9" s="16">
        <v>68.688999999999993</v>
      </c>
      <c r="X9" s="16">
        <v>67.119</v>
      </c>
      <c r="Y9" s="16">
        <v>77.954999999999998</v>
      </c>
      <c r="Z9" s="16">
        <v>51.561999999999998</v>
      </c>
      <c r="AA9" s="16">
        <v>84.733999999999995</v>
      </c>
      <c r="AB9" s="16">
        <v>94.551000000000002</v>
      </c>
      <c r="AC9" s="16">
        <v>81.88</v>
      </c>
      <c r="AD9" s="16">
        <v>75.441999999999993</v>
      </c>
      <c r="AE9" s="16">
        <v>76.778999999999996</v>
      </c>
      <c r="AF9" s="16">
        <v>61.201999999999998</v>
      </c>
      <c r="AG9" s="16">
        <v>79.647999999999996</v>
      </c>
      <c r="AH9" s="16">
        <v>50.527000000000001</v>
      </c>
      <c r="AI9" s="4"/>
      <c r="AJ9" s="4"/>
      <c r="AK9" s="4"/>
      <c r="AL9" s="4"/>
      <c r="AM9" s="4"/>
      <c r="AN9" s="4"/>
      <c r="AO9" s="4"/>
      <c r="AP9" s="4"/>
      <c r="AQ9" s="4"/>
      <c r="AR9" s="4"/>
      <c r="AS9" s="4"/>
      <c r="AT9" s="4"/>
      <c r="AU9" s="4"/>
      <c r="AV9" s="4"/>
      <c r="AW9" s="4"/>
      <c r="AX9" s="4"/>
      <c r="AY9" s="4"/>
    </row>
    <row r="10" spans="1:51" ht="14.5" x14ac:dyDescent="0.35">
      <c r="A10" s="113">
        <v>46327</v>
      </c>
      <c r="B10" s="116">
        <v>52</v>
      </c>
      <c r="C10" s="117">
        <v>49</v>
      </c>
      <c r="D10" s="44">
        <v>46</v>
      </c>
      <c r="E10" s="16">
        <v>36.784999999999997</v>
      </c>
      <c r="F10" s="16">
        <v>41.83</v>
      </c>
      <c r="G10" s="16">
        <v>41.417000000000002</v>
      </c>
      <c r="H10" s="16">
        <v>39.926000000000002</v>
      </c>
      <c r="I10" s="16">
        <v>45.451999999999998</v>
      </c>
      <c r="J10" s="16">
        <v>43.94</v>
      </c>
      <c r="K10" s="16">
        <v>46.927999999999997</v>
      </c>
      <c r="L10" s="16">
        <v>37.530999999999999</v>
      </c>
      <c r="M10" s="16">
        <v>37.790999999999997</v>
      </c>
      <c r="N10" s="16">
        <v>36.026000000000003</v>
      </c>
      <c r="O10" s="16">
        <v>37.502000000000002</v>
      </c>
      <c r="P10" s="16">
        <v>38.308</v>
      </c>
      <c r="Q10" s="16">
        <v>36.005000000000003</v>
      </c>
      <c r="R10" s="16">
        <v>43.091000000000001</v>
      </c>
      <c r="S10" s="16">
        <v>43.161000000000001</v>
      </c>
      <c r="T10" s="16">
        <v>53.277999999999999</v>
      </c>
      <c r="U10" s="16">
        <v>49.268999999999998</v>
      </c>
      <c r="V10" s="16">
        <v>35.732999999999997</v>
      </c>
      <c r="W10" s="16">
        <v>37.241999999999997</v>
      </c>
      <c r="X10" s="16">
        <v>38.58</v>
      </c>
      <c r="Y10" s="16">
        <v>38.837000000000003</v>
      </c>
      <c r="Z10" s="16">
        <v>33.46</v>
      </c>
      <c r="AA10" s="16">
        <v>44.341000000000001</v>
      </c>
      <c r="AB10" s="16">
        <v>41.735999999999997</v>
      </c>
      <c r="AC10" s="16">
        <v>39.622999999999998</v>
      </c>
      <c r="AD10" s="16">
        <v>36.268999999999998</v>
      </c>
      <c r="AE10" s="16">
        <v>37.186</v>
      </c>
      <c r="AF10" s="16">
        <v>37.040999999999997</v>
      </c>
      <c r="AG10" s="16">
        <v>37.633000000000003</v>
      </c>
      <c r="AH10" s="16">
        <v>38.744999999999997</v>
      </c>
      <c r="AI10" s="4"/>
      <c r="AJ10" s="4"/>
      <c r="AK10" s="4"/>
      <c r="AL10" s="4"/>
      <c r="AM10" s="4"/>
      <c r="AN10" s="4"/>
      <c r="AO10" s="4"/>
      <c r="AP10" s="4"/>
      <c r="AQ10" s="4"/>
      <c r="AR10" s="4"/>
      <c r="AS10" s="4"/>
      <c r="AT10" s="4"/>
      <c r="AU10" s="4"/>
      <c r="AV10" s="4"/>
      <c r="AW10" s="4"/>
      <c r="AX10" s="4"/>
      <c r="AY10" s="4"/>
    </row>
    <row r="11" spans="1:51" ht="14.5" x14ac:dyDescent="0.35">
      <c r="A11" s="113">
        <v>46357</v>
      </c>
      <c r="B11" s="116">
        <v>40</v>
      </c>
      <c r="C11" s="117">
        <v>38</v>
      </c>
      <c r="D11" s="44">
        <v>40</v>
      </c>
      <c r="E11" s="16">
        <v>28.965</v>
      </c>
      <c r="F11" s="16">
        <v>29.565999999999999</v>
      </c>
      <c r="G11" s="16">
        <v>27.891999999999999</v>
      </c>
      <c r="H11" s="16">
        <v>29.581</v>
      </c>
      <c r="I11" s="16">
        <v>32.956000000000003</v>
      </c>
      <c r="J11" s="16">
        <v>32.600999999999999</v>
      </c>
      <c r="K11" s="16">
        <v>32.283999999999999</v>
      </c>
      <c r="L11" s="16">
        <v>30.379000000000001</v>
      </c>
      <c r="M11" s="16">
        <v>28.34</v>
      </c>
      <c r="N11" s="16">
        <v>27.338999999999999</v>
      </c>
      <c r="O11" s="16">
        <v>28.48</v>
      </c>
      <c r="P11" s="16">
        <v>28.617000000000001</v>
      </c>
      <c r="Q11" s="16">
        <v>29.558</v>
      </c>
      <c r="R11" s="16">
        <v>31.317</v>
      </c>
      <c r="S11" s="16">
        <v>30.027000000000001</v>
      </c>
      <c r="T11" s="16">
        <v>34.917999999999999</v>
      </c>
      <c r="U11" s="16">
        <v>35.701999999999998</v>
      </c>
      <c r="V11" s="16">
        <v>27.646999999999998</v>
      </c>
      <c r="W11" s="16">
        <v>27.709</v>
      </c>
      <c r="X11" s="16">
        <v>32.6</v>
      </c>
      <c r="Y11" s="16">
        <v>28.875</v>
      </c>
      <c r="Z11" s="16">
        <v>26.385999999999999</v>
      </c>
      <c r="AA11" s="16">
        <v>31.231000000000002</v>
      </c>
      <c r="AB11" s="16">
        <v>31.486999999999998</v>
      </c>
      <c r="AC11" s="16">
        <v>30.939</v>
      </c>
      <c r="AD11" s="16">
        <v>29.536000000000001</v>
      </c>
      <c r="AE11" s="16">
        <v>27.452000000000002</v>
      </c>
      <c r="AF11" s="16">
        <v>27.062999999999999</v>
      </c>
      <c r="AG11" s="16">
        <v>28.917000000000002</v>
      </c>
      <c r="AH11" s="16">
        <v>29.082999999999998</v>
      </c>
      <c r="AI11" s="4"/>
      <c r="AJ11" s="4"/>
      <c r="AK11" s="4"/>
      <c r="AL11" s="4"/>
      <c r="AM11" s="4"/>
      <c r="AN11" s="4"/>
      <c r="AO11" s="4"/>
      <c r="AP11" s="4"/>
      <c r="AQ11" s="4"/>
      <c r="AR11" s="4"/>
      <c r="AS11" s="4"/>
      <c r="AT11" s="4"/>
      <c r="AU11" s="4"/>
      <c r="AV11" s="4"/>
      <c r="AW11" s="4"/>
      <c r="AX11" s="4"/>
      <c r="AY11" s="4"/>
    </row>
    <row r="12" spans="1:51" ht="14.5" x14ac:dyDescent="0.35">
      <c r="A12" s="113">
        <v>46388</v>
      </c>
      <c r="B12" s="116">
        <v>34</v>
      </c>
      <c r="C12" s="117">
        <v>33</v>
      </c>
      <c r="D12" s="44">
        <v>34</v>
      </c>
      <c r="E12" s="16">
        <v>24.425999999999998</v>
      </c>
      <c r="F12" s="16">
        <v>28.390999999999998</v>
      </c>
      <c r="G12" s="16">
        <v>24.106999999999999</v>
      </c>
      <c r="H12" s="16">
        <v>26.114000000000001</v>
      </c>
      <c r="I12" s="16">
        <v>27.366</v>
      </c>
      <c r="J12" s="16">
        <v>28.039000000000001</v>
      </c>
      <c r="K12" s="16">
        <v>28.492999999999999</v>
      </c>
      <c r="L12" s="16">
        <v>26.344000000000001</v>
      </c>
      <c r="M12" s="16">
        <v>26.172000000000001</v>
      </c>
      <c r="N12" s="16">
        <v>23.542000000000002</v>
      </c>
      <c r="O12" s="16">
        <v>24.474</v>
      </c>
      <c r="P12" s="16">
        <v>24.625</v>
      </c>
      <c r="Q12" s="16">
        <v>25.716999999999999</v>
      </c>
      <c r="R12" s="16">
        <v>34.722000000000001</v>
      </c>
      <c r="S12" s="16">
        <v>26.91</v>
      </c>
      <c r="T12" s="16">
        <v>29.6</v>
      </c>
      <c r="U12" s="16">
        <v>28.751999999999999</v>
      </c>
      <c r="V12" s="16">
        <v>24.687000000000001</v>
      </c>
      <c r="W12" s="16">
        <v>23.663</v>
      </c>
      <c r="X12" s="16">
        <v>28.254999999999999</v>
      </c>
      <c r="Y12" s="16">
        <v>25.66</v>
      </c>
      <c r="Z12" s="16">
        <v>23.468</v>
      </c>
      <c r="AA12" s="16">
        <v>26.138000000000002</v>
      </c>
      <c r="AB12" s="16">
        <v>27.082000000000001</v>
      </c>
      <c r="AC12" s="16">
        <v>26.942</v>
      </c>
      <c r="AD12" s="16">
        <v>29.36</v>
      </c>
      <c r="AE12" s="16">
        <v>23.446999999999999</v>
      </c>
      <c r="AF12" s="16">
        <v>24.225000000000001</v>
      </c>
      <c r="AG12" s="16">
        <v>24.945</v>
      </c>
      <c r="AH12" s="16">
        <v>24.190999999999999</v>
      </c>
      <c r="AI12" s="4"/>
      <c r="AJ12" s="4"/>
      <c r="AK12" s="4"/>
      <c r="AL12" s="4"/>
      <c r="AM12" s="4"/>
      <c r="AN12" s="4"/>
      <c r="AO12" s="4"/>
      <c r="AP12" s="4"/>
      <c r="AQ12" s="4"/>
      <c r="AR12" s="4"/>
      <c r="AS12" s="4"/>
      <c r="AT12" s="4"/>
      <c r="AU12" s="4"/>
      <c r="AV12" s="4"/>
      <c r="AW12" s="4"/>
      <c r="AX12" s="4"/>
      <c r="AY12" s="4"/>
    </row>
    <row r="13" spans="1:51" ht="14.5" x14ac:dyDescent="0.35">
      <c r="A13" s="113">
        <v>46419</v>
      </c>
      <c r="B13" s="116">
        <v>31</v>
      </c>
      <c r="C13" s="117">
        <v>28</v>
      </c>
      <c r="D13" s="44">
        <v>30</v>
      </c>
      <c r="E13" s="16">
        <v>20.611000000000001</v>
      </c>
      <c r="F13" s="16">
        <v>24.198</v>
      </c>
      <c r="G13" s="16">
        <v>19.940000000000001</v>
      </c>
      <c r="H13" s="16">
        <v>23.731999999999999</v>
      </c>
      <c r="I13" s="16">
        <v>30.103999999999999</v>
      </c>
      <c r="J13" s="16">
        <v>22.163</v>
      </c>
      <c r="K13" s="16">
        <v>22.783999999999999</v>
      </c>
      <c r="L13" s="16">
        <v>22.221</v>
      </c>
      <c r="M13" s="16">
        <v>23.469000000000001</v>
      </c>
      <c r="N13" s="16">
        <v>19.963999999999999</v>
      </c>
      <c r="O13" s="16">
        <v>19.175999999999998</v>
      </c>
      <c r="P13" s="16">
        <v>21.068000000000001</v>
      </c>
      <c r="Q13" s="16">
        <v>20.457999999999998</v>
      </c>
      <c r="R13" s="16">
        <v>25.393000000000001</v>
      </c>
      <c r="S13" s="16">
        <v>20.49</v>
      </c>
      <c r="T13" s="16">
        <v>26.515999999999998</v>
      </c>
      <c r="U13" s="16">
        <v>23.983000000000001</v>
      </c>
      <c r="V13" s="16">
        <v>22.145</v>
      </c>
      <c r="W13" s="16">
        <v>18.911000000000001</v>
      </c>
      <c r="X13" s="16">
        <v>22.058</v>
      </c>
      <c r="Y13" s="16">
        <v>21.172000000000001</v>
      </c>
      <c r="Z13" s="16">
        <v>20.981000000000002</v>
      </c>
      <c r="AA13" s="16">
        <v>25.077999999999999</v>
      </c>
      <c r="AB13" s="16">
        <v>27.013999999999999</v>
      </c>
      <c r="AC13" s="16">
        <v>24.587</v>
      </c>
      <c r="AD13" s="16">
        <v>27.864999999999998</v>
      </c>
      <c r="AE13" s="16">
        <v>19.71</v>
      </c>
      <c r="AF13" s="16">
        <v>20.015000000000001</v>
      </c>
      <c r="AG13" s="16">
        <v>20.245000000000001</v>
      </c>
      <c r="AH13" s="16">
        <v>20.937000000000001</v>
      </c>
      <c r="AI13" s="4"/>
      <c r="AJ13" s="4"/>
      <c r="AK13" s="4"/>
      <c r="AL13" s="4"/>
      <c r="AM13" s="4"/>
      <c r="AN13" s="4"/>
      <c r="AO13" s="4"/>
      <c r="AP13" s="4"/>
      <c r="AQ13" s="4"/>
      <c r="AR13" s="4"/>
      <c r="AS13" s="4"/>
      <c r="AT13" s="4"/>
      <c r="AU13" s="4"/>
      <c r="AV13" s="4"/>
      <c r="AW13" s="4"/>
      <c r="AX13" s="4"/>
      <c r="AY13" s="4"/>
    </row>
    <row r="14" spans="1:51" ht="14.5" x14ac:dyDescent="0.35">
      <c r="A14" s="113">
        <v>46447</v>
      </c>
      <c r="B14" s="116">
        <v>55</v>
      </c>
      <c r="C14" s="117">
        <v>39</v>
      </c>
      <c r="D14" s="44">
        <v>47</v>
      </c>
      <c r="E14" s="16">
        <v>35.972999999999999</v>
      </c>
      <c r="F14" s="16">
        <v>44.395000000000003</v>
      </c>
      <c r="G14" s="16">
        <v>38.335999999999999</v>
      </c>
      <c r="H14" s="16">
        <v>49.390999999999998</v>
      </c>
      <c r="I14" s="16">
        <v>41.058</v>
      </c>
      <c r="J14" s="16">
        <v>44.277999999999999</v>
      </c>
      <c r="K14" s="16">
        <v>44.307000000000002</v>
      </c>
      <c r="L14" s="16">
        <v>40.786000000000001</v>
      </c>
      <c r="M14" s="16">
        <v>33.847999999999999</v>
      </c>
      <c r="N14" s="16">
        <v>33.796999999999997</v>
      </c>
      <c r="O14" s="16">
        <v>28.672999999999998</v>
      </c>
      <c r="P14" s="16">
        <v>32.386000000000003</v>
      </c>
      <c r="Q14" s="16">
        <v>45.783000000000001</v>
      </c>
      <c r="R14" s="16">
        <v>35.802999999999997</v>
      </c>
      <c r="S14" s="16">
        <v>28.425000000000001</v>
      </c>
      <c r="T14" s="16">
        <v>68.364000000000004</v>
      </c>
      <c r="U14" s="16">
        <v>31.189</v>
      </c>
      <c r="V14" s="16">
        <v>37.951999999999998</v>
      </c>
      <c r="W14" s="16">
        <v>24.667999999999999</v>
      </c>
      <c r="X14" s="16">
        <v>34.531999999999996</v>
      </c>
      <c r="Y14" s="16">
        <v>36.21</v>
      </c>
      <c r="Z14" s="16">
        <v>25.637</v>
      </c>
      <c r="AA14" s="16">
        <v>30.31</v>
      </c>
      <c r="AB14" s="16">
        <v>40.564999999999998</v>
      </c>
      <c r="AC14" s="16">
        <v>32.335999999999999</v>
      </c>
      <c r="AD14" s="16">
        <v>46.427999999999997</v>
      </c>
      <c r="AE14" s="16">
        <v>26.552</v>
      </c>
      <c r="AF14" s="16">
        <v>30.808</v>
      </c>
      <c r="AG14" s="16">
        <v>30.524000000000001</v>
      </c>
      <c r="AH14" s="16">
        <v>28.626999999999999</v>
      </c>
      <c r="AI14" s="4"/>
      <c r="AJ14" s="4"/>
      <c r="AK14" s="4"/>
      <c r="AL14" s="4"/>
      <c r="AM14" s="4"/>
      <c r="AN14" s="4"/>
      <c r="AO14" s="4"/>
      <c r="AP14" s="4"/>
      <c r="AQ14" s="4"/>
      <c r="AR14" s="4"/>
      <c r="AS14" s="4"/>
      <c r="AT14" s="4"/>
      <c r="AU14" s="4"/>
      <c r="AV14" s="4"/>
      <c r="AW14" s="4"/>
      <c r="AX14" s="4"/>
      <c r="AY14" s="4"/>
    </row>
    <row r="15" spans="1:51" ht="14.5" x14ac:dyDescent="0.35">
      <c r="A15" s="113">
        <v>46478</v>
      </c>
      <c r="B15" s="116">
        <v>146</v>
      </c>
      <c r="C15" s="117">
        <v>88</v>
      </c>
      <c r="D15" s="44">
        <v>120</v>
      </c>
      <c r="E15" s="16">
        <v>98.632999999999996</v>
      </c>
      <c r="F15" s="16">
        <v>114.94499999999999</v>
      </c>
      <c r="G15" s="16">
        <v>97.236000000000004</v>
      </c>
      <c r="H15" s="16">
        <v>86.548000000000002</v>
      </c>
      <c r="I15" s="16">
        <v>101.95099999999999</v>
      </c>
      <c r="J15" s="16">
        <v>108.38800000000001</v>
      </c>
      <c r="K15" s="16">
        <v>91.870999999999995</v>
      </c>
      <c r="L15" s="16">
        <v>90.751999999999995</v>
      </c>
      <c r="M15" s="16">
        <v>83.983999999999995</v>
      </c>
      <c r="N15" s="16">
        <v>76.926000000000002</v>
      </c>
      <c r="O15" s="16">
        <v>71.686000000000007</v>
      </c>
      <c r="P15" s="16">
        <v>87.626999999999995</v>
      </c>
      <c r="Q15" s="16">
        <v>132.56</v>
      </c>
      <c r="R15" s="16">
        <v>145.512</v>
      </c>
      <c r="S15" s="16">
        <v>132.28899999999999</v>
      </c>
      <c r="T15" s="16">
        <v>141.73400000000001</v>
      </c>
      <c r="U15" s="16">
        <v>65.096999999999994</v>
      </c>
      <c r="V15" s="16">
        <v>81.459999999999994</v>
      </c>
      <c r="W15" s="16">
        <v>72.084000000000003</v>
      </c>
      <c r="X15" s="16">
        <v>115.142</v>
      </c>
      <c r="Y15" s="16">
        <v>104.66500000000001</v>
      </c>
      <c r="Z15" s="16">
        <v>58.710999999999999</v>
      </c>
      <c r="AA15" s="16">
        <v>87.730999999999995</v>
      </c>
      <c r="AB15" s="16">
        <v>77.733999999999995</v>
      </c>
      <c r="AC15" s="16">
        <v>101.746</v>
      </c>
      <c r="AD15" s="16">
        <v>110.68600000000001</v>
      </c>
      <c r="AE15" s="16">
        <v>66.341999999999999</v>
      </c>
      <c r="AF15" s="16">
        <v>111.157</v>
      </c>
      <c r="AG15" s="16">
        <v>71.09</v>
      </c>
      <c r="AH15" s="16">
        <v>60.595999999999997</v>
      </c>
      <c r="AI15" s="4"/>
      <c r="AJ15" s="4"/>
      <c r="AK15" s="4"/>
      <c r="AL15" s="4"/>
      <c r="AM15" s="4"/>
      <c r="AN15" s="4"/>
      <c r="AO15" s="4"/>
      <c r="AP15" s="4"/>
      <c r="AQ15" s="4"/>
      <c r="AR15" s="4"/>
      <c r="AS15" s="4"/>
      <c r="AT15" s="4"/>
      <c r="AU15" s="4"/>
      <c r="AV15" s="4"/>
      <c r="AW15" s="4"/>
      <c r="AX15" s="4"/>
      <c r="AY15" s="4"/>
    </row>
    <row r="16" spans="1:51" ht="14.5" x14ac:dyDescent="0.35">
      <c r="A16" s="113">
        <v>46508</v>
      </c>
      <c r="B16" s="116">
        <v>278</v>
      </c>
      <c r="C16" s="117">
        <v>136</v>
      </c>
      <c r="D16" s="44">
        <v>202</v>
      </c>
      <c r="E16" s="16">
        <v>202.87</v>
      </c>
      <c r="F16" s="16">
        <v>373.90800000000002</v>
      </c>
      <c r="G16" s="16">
        <v>204.53700000000001</v>
      </c>
      <c r="H16" s="16">
        <v>258.39</v>
      </c>
      <c r="I16" s="16">
        <v>213.50700000000001</v>
      </c>
      <c r="J16" s="16">
        <v>284.67099999999999</v>
      </c>
      <c r="K16" s="16">
        <v>249.04599999999999</v>
      </c>
      <c r="L16" s="16">
        <v>178.922</v>
      </c>
      <c r="M16" s="16">
        <v>168.18799999999999</v>
      </c>
      <c r="N16" s="16">
        <v>195.124</v>
      </c>
      <c r="O16" s="16">
        <v>111.187</v>
      </c>
      <c r="P16" s="16">
        <v>207.55699999999999</v>
      </c>
      <c r="Q16" s="16">
        <v>190.53899999999999</v>
      </c>
      <c r="R16" s="16">
        <v>329.5</v>
      </c>
      <c r="S16" s="16">
        <v>220.566</v>
      </c>
      <c r="T16" s="16">
        <v>206.52699999999999</v>
      </c>
      <c r="U16" s="16">
        <v>283.63299999999998</v>
      </c>
      <c r="V16" s="16">
        <v>253.61</v>
      </c>
      <c r="W16" s="16">
        <v>172.2</v>
      </c>
      <c r="X16" s="16">
        <v>242.542</v>
      </c>
      <c r="Y16" s="16">
        <v>145.80699999999999</v>
      </c>
      <c r="Z16" s="16">
        <v>157.059</v>
      </c>
      <c r="AA16" s="16">
        <v>217.279</v>
      </c>
      <c r="AB16" s="16">
        <v>177.44200000000001</v>
      </c>
      <c r="AC16" s="16">
        <v>203.78800000000001</v>
      </c>
      <c r="AD16" s="16">
        <v>195.577</v>
      </c>
      <c r="AE16" s="16">
        <v>138.864</v>
      </c>
      <c r="AF16" s="16">
        <v>286.54399999999998</v>
      </c>
      <c r="AG16" s="16">
        <v>165.68</v>
      </c>
      <c r="AH16" s="16">
        <v>143.53700000000001</v>
      </c>
      <c r="AI16" s="4"/>
      <c r="AJ16" s="4"/>
      <c r="AK16" s="4"/>
      <c r="AL16" s="4"/>
      <c r="AM16" s="4"/>
      <c r="AN16" s="4"/>
      <c r="AO16" s="4"/>
      <c r="AP16" s="4"/>
      <c r="AQ16" s="4"/>
      <c r="AR16" s="4"/>
      <c r="AS16" s="4"/>
      <c r="AT16" s="4"/>
      <c r="AU16" s="4"/>
      <c r="AV16" s="4"/>
      <c r="AW16" s="4"/>
      <c r="AX16" s="4"/>
      <c r="AY16" s="4"/>
    </row>
    <row r="17" spans="1:51" ht="14.5" x14ac:dyDescent="0.35">
      <c r="A17" s="113">
        <v>46539</v>
      </c>
      <c r="B17" s="116">
        <v>206</v>
      </c>
      <c r="C17" s="117">
        <v>75</v>
      </c>
      <c r="D17" s="44">
        <v>132</v>
      </c>
      <c r="E17" s="16">
        <v>116.42400000000001</v>
      </c>
      <c r="F17" s="16">
        <v>286.76799999999997</v>
      </c>
      <c r="G17" s="16">
        <v>130.42599999999999</v>
      </c>
      <c r="H17" s="16">
        <v>331.065</v>
      </c>
      <c r="I17" s="16">
        <v>123.2</v>
      </c>
      <c r="J17" s="16">
        <v>256.07799999999997</v>
      </c>
      <c r="K17" s="16">
        <v>176.398</v>
      </c>
      <c r="L17" s="16">
        <v>176.185</v>
      </c>
      <c r="M17" s="16">
        <v>80.683999999999997</v>
      </c>
      <c r="N17" s="16">
        <v>107.1</v>
      </c>
      <c r="O17" s="16">
        <v>59.636000000000003</v>
      </c>
      <c r="P17" s="16">
        <v>134.05199999999999</v>
      </c>
      <c r="Q17" s="16">
        <v>89.063000000000002</v>
      </c>
      <c r="R17" s="16">
        <v>227.97</v>
      </c>
      <c r="S17" s="16">
        <v>118.663</v>
      </c>
      <c r="T17" s="16">
        <v>104.087</v>
      </c>
      <c r="U17" s="16">
        <v>277.97699999999998</v>
      </c>
      <c r="V17" s="16">
        <v>160.899</v>
      </c>
      <c r="W17" s="16">
        <v>182.01900000000001</v>
      </c>
      <c r="X17" s="16">
        <v>304.065</v>
      </c>
      <c r="Y17" s="16">
        <v>65.302000000000007</v>
      </c>
      <c r="Z17" s="16">
        <v>118.15600000000001</v>
      </c>
      <c r="AA17" s="16">
        <v>180.83500000000001</v>
      </c>
      <c r="AB17" s="16">
        <v>162.43600000000001</v>
      </c>
      <c r="AC17" s="16">
        <v>159.596</v>
      </c>
      <c r="AD17" s="16">
        <v>181.239</v>
      </c>
      <c r="AE17" s="16">
        <v>57.844999999999999</v>
      </c>
      <c r="AF17" s="16">
        <v>268.63900000000001</v>
      </c>
      <c r="AG17" s="16">
        <v>105.68</v>
      </c>
      <c r="AH17" s="16">
        <v>148.82900000000001</v>
      </c>
      <c r="AI17" s="4"/>
      <c r="AJ17" s="4"/>
      <c r="AK17" s="4"/>
      <c r="AL17" s="4"/>
      <c r="AM17" s="4"/>
      <c r="AN17" s="4"/>
      <c r="AO17" s="4"/>
      <c r="AP17" s="4"/>
      <c r="AQ17" s="4"/>
      <c r="AR17" s="4"/>
      <c r="AS17" s="4"/>
      <c r="AT17" s="4"/>
      <c r="AU17" s="4"/>
      <c r="AV17" s="4"/>
      <c r="AW17" s="4"/>
      <c r="AX17" s="4"/>
      <c r="AY17" s="4"/>
    </row>
    <row r="18" spans="1:51" ht="14.5" x14ac:dyDescent="0.35">
      <c r="A18" s="113">
        <v>46569</v>
      </c>
      <c r="B18" s="116">
        <v>83</v>
      </c>
      <c r="C18" s="117">
        <v>29</v>
      </c>
      <c r="D18" s="44">
        <v>49</v>
      </c>
      <c r="E18" s="16">
        <v>38.088000000000001</v>
      </c>
      <c r="F18" s="16">
        <v>105.979</v>
      </c>
      <c r="G18" s="16">
        <v>30.823</v>
      </c>
      <c r="H18" s="16">
        <v>199.59800000000001</v>
      </c>
      <c r="I18" s="16">
        <v>33.831000000000003</v>
      </c>
      <c r="J18" s="16">
        <v>68.149000000000001</v>
      </c>
      <c r="K18" s="16">
        <v>66.158000000000001</v>
      </c>
      <c r="L18" s="16">
        <v>82.545000000000002</v>
      </c>
      <c r="M18" s="16">
        <v>22.132000000000001</v>
      </c>
      <c r="N18" s="16">
        <v>26.652999999999999</v>
      </c>
      <c r="O18" s="16">
        <v>22.440999999999999</v>
      </c>
      <c r="P18" s="16">
        <v>30.986999999999998</v>
      </c>
      <c r="Q18" s="16">
        <v>27.36</v>
      </c>
      <c r="R18" s="16">
        <v>62.893999999999998</v>
      </c>
      <c r="S18" s="16">
        <v>31.91</v>
      </c>
      <c r="T18" s="16">
        <v>33.234999999999999</v>
      </c>
      <c r="U18" s="16">
        <v>89.697999999999993</v>
      </c>
      <c r="V18" s="16">
        <v>64.313999999999993</v>
      </c>
      <c r="W18" s="16">
        <v>42.551000000000002</v>
      </c>
      <c r="X18" s="16">
        <v>120.57299999999999</v>
      </c>
      <c r="Y18" s="16">
        <v>32.119</v>
      </c>
      <c r="Z18" s="16">
        <v>40.270000000000003</v>
      </c>
      <c r="AA18" s="16">
        <v>61.369</v>
      </c>
      <c r="AB18" s="16">
        <v>58.304000000000002</v>
      </c>
      <c r="AC18" s="16">
        <v>55.622999999999998</v>
      </c>
      <c r="AD18" s="16">
        <v>48.027000000000001</v>
      </c>
      <c r="AE18" s="16">
        <v>25.324000000000002</v>
      </c>
      <c r="AF18" s="16">
        <v>109.65300000000001</v>
      </c>
      <c r="AG18" s="16">
        <v>28.477</v>
      </c>
      <c r="AH18" s="16">
        <v>53.856000000000002</v>
      </c>
      <c r="AI18" s="4"/>
      <c r="AJ18" s="4"/>
      <c r="AK18" s="4"/>
      <c r="AL18" s="4"/>
      <c r="AM18" s="4"/>
      <c r="AN18" s="4"/>
      <c r="AO18" s="4"/>
      <c r="AP18" s="4"/>
      <c r="AQ18" s="4"/>
      <c r="AR18" s="4"/>
      <c r="AS18" s="4"/>
      <c r="AT18" s="4"/>
      <c r="AU18" s="4"/>
      <c r="AV18" s="4"/>
      <c r="AW18" s="4"/>
      <c r="AX18" s="4"/>
      <c r="AY18" s="4"/>
    </row>
    <row r="19" spans="1:51" ht="14.5" x14ac:dyDescent="0.35">
      <c r="A19" s="113">
        <v>46600</v>
      </c>
      <c r="B19" s="116">
        <v>60</v>
      </c>
      <c r="C19" s="117">
        <v>43</v>
      </c>
      <c r="D19" s="44">
        <v>52</v>
      </c>
      <c r="E19" s="16">
        <v>34.034999999999997</v>
      </c>
      <c r="F19" s="16">
        <v>45.512</v>
      </c>
      <c r="G19" s="16">
        <v>26.643999999999998</v>
      </c>
      <c r="H19" s="16">
        <v>62.183999999999997</v>
      </c>
      <c r="I19" s="16">
        <v>23.765000000000001</v>
      </c>
      <c r="J19" s="16">
        <v>41.173999999999999</v>
      </c>
      <c r="K19" s="16">
        <v>28.151</v>
      </c>
      <c r="L19" s="16">
        <v>54.247</v>
      </c>
      <c r="M19" s="16">
        <v>23.655999999999999</v>
      </c>
      <c r="N19" s="16">
        <v>25.552</v>
      </c>
      <c r="O19" s="16">
        <v>24.114999999999998</v>
      </c>
      <c r="P19" s="16">
        <v>24.22</v>
      </c>
      <c r="Q19" s="16">
        <v>27.273</v>
      </c>
      <c r="R19" s="16">
        <v>33.323999999999998</v>
      </c>
      <c r="S19" s="16">
        <v>26.228000000000002</v>
      </c>
      <c r="T19" s="16">
        <v>27.547999999999998</v>
      </c>
      <c r="U19" s="16">
        <v>44.281999999999996</v>
      </c>
      <c r="V19" s="16">
        <v>32.914000000000001</v>
      </c>
      <c r="W19" s="16">
        <v>37.631999999999998</v>
      </c>
      <c r="X19" s="16">
        <v>45.588000000000001</v>
      </c>
      <c r="Y19" s="16">
        <v>28.64</v>
      </c>
      <c r="Z19" s="16">
        <v>40.506</v>
      </c>
      <c r="AA19" s="16">
        <v>52.497</v>
      </c>
      <c r="AB19" s="16">
        <v>45.116</v>
      </c>
      <c r="AC19" s="16">
        <v>44.106000000000002</v>
      </c>
      <c r="AD19" s="16">
        <v>37.843000000000004</v>
      </c>
      <c r="AE19" s="16">
        <v>33.515000000000001</v>
      </c>
      <c r="AF19" s="16">
        <v>47.817999999999998</v>
      </c>
      <c r="AG19" s="16">
        <v>30.417999999999999</v>
      </c>
      <c r="AH19" s="16">
        <v>25.780999999999999</v>
      </c>
      <c r="AI19" s="4"/>
      <c r="AJ19" s="4"/>
      <c r="AK19" s="4"/>
      <c r="AL19" s="4"/>
      <c r="AM19" s="4"/>
      <c r="AN19" s="4"/>
      <c r="AO19" s="4"/>
      <c r="AP19" s="4"/>
      <c r="AQ19" s="4"/>
      <c r="AR19" s="4"/>
      <c r="AS19" s="4"/>
      <c r="AT19" s="4"/>
      <c r="AU19" s="4"/>
      <c r="AV19" s="4"/>
      <c r="AW19" s="4"/>
      <c r="AX19" s="4"/>
      <c r="AY19" s="4"/>
    </row>
    <row r="20" spans="1:51" ht="14.5" x14ac:dyDescent="0.35">
      <c r="A20" s="113">
        <v>46631</v>
      </c>
      <c r="B20" s="116">
        <v>71</v>
      </c>
      <c r="C20" s="117">
        <v>62</v>
      </c>
      <c r="D20" s="44">
        <v>67</v>
      </c>
      <c r="E20" s="16">
        <v>47.033000000000001</v>
      </c>
      <c r="F20" s="16">
        <v>57.893000000000001</v>
      </c>
      <c r="G20" s="16">
        <v>41.127000000000002</v>
      </c>
      <c r="H20" s="16">
        <v>63.883000000000003</v>
      </c>
      <c r="I20" s="16">
        <v>44.121000000000002</v>
      </c>
      <c r="J20" s="16">
        <v>65.001999999999995</v>
      </c>
      <c r="K20" s="16">
        <v>43.572000000000003</v>
      </c>
      <c r="L20" s="16">
        <v>50.265999999999998</v>
      </c>
      <c r="M20" s="16">
        <v>42.390999999999998</v>
      </c>
      <c r="N20" s="16">
        <v>44.106999999999999</v>
      </c>
      <c r="O20" s="16">
        <v>32.994999999999997</v>
      </c>
      <c r="P20" s="16">
        <v>49.337000000000003</v>
      </c>
      <c r="Q20" s="16">
        <v>57.954000000000001</v>
      </c>
      <c r="R20" s="16">
        <v>50.631</v>
      </c>
      <c r="S20" s="16">
        <v>52.152999999999999</v>
      </c>
      <c r="T20" s="16">
        <v>70.125</v>
      </c>
      <c r="U20" s="16">
        <v>58.527000000000001</v>
      </c>
      <c r="V20" s="16">
        <v>51.600999999999999</v>
      </c>
      <c r="W20" s="16">
        <v>48.673999999999999</v>
      </c>
      <c r="X20" s="16">
        <v>65.2</v>
      </c>
      <c r="Y20" s="16">
        <v>43.070999999999998</v>
      </c>
      <c r="Z20" s="16">
        <v>65.061999999999998</v>
      </c>
      <c r="AA20" s="16">
        <v>79.757000000000005</v>
      </c>
      <c r="AB20" s="16">
        <v>59.332000000000001</v>
      </c>
      <c r="AC20" s="16">
        <v>60.557000000000002</v>
      </c>
      <c r="AD20" s="16">
        <v>53.872</v>
      </c>
      <c r="AE20" s="16">
        <v>47.683</v>
      </c>
      <c r="AF20" s="16">
        <v>55.231999999999999</v>
      </c>
      <c r="AG20" s="16">
        <v>48.404000000000003</v>
      </c>
      <c r="AH20" s="16">
        <v>37.572000000000003</v>
      </c>
      <c r="AI20" s="4"/>
      <c r="AJ20" s="4"/>
      <c r="AK20" s="4"/>
      <c r="AL20" s="4"/>
      <c r="AM20" s="4"/>
      <c r="AN20" s="4"/>
      <c r="AO20" s="4"/>
      <c r="AP20" s="4"/>
      <c r="AQ20" s="4"/>
      <c r="AR20" s="4"/>
      <c r="AS20" s="4"/>
      <c r="AT20" s="4"/>
      <c r="AU20" s="4"/>
      <c r="AV20" s="4"/>
      <c r="AW20" s="4"/>
      <c r="AX20" s="4"/>
      <c r="AY20" s="4"/>
    </row>
    <row r="21" spans="1:51" ht="14.5" x14ac:dyDescent="0.35">
      <c r="A21" s="113">
        <v>46661</v>
      </c>
      <c r="B21" s="116">
        <v>82</v>
      </c>
      <c r="C21" s="117">
        <v>74</v>
      </c>
      <c r="D21" s="44">
        <v>79</v>
      </c>
      <c r="E21" s="16">
        <v>63.564</v>
      </c>
      <c r="F21" s="16">
        <v>83.424999999999997</v>
      </c>
      <c r="G21" s="16">
        <v>65.108999999999995</v>
      </c>
      <c r="H21" s="16">
        <v>80.555000000000007</v>
      </c>
      <c r="I21" s="16">
        <v>76.459000000000003</v>
      </c>
      <c r="J21" s="16">
        <v>94.391000000000005</v>
      </c>
      <c r="K21" s="16">
        <v>71.366</v>
      </c>
      <c r="L21" s="16">
        <v>58.527000000000001</v>
      </c>
      <c r="M21" s="16">
        <v>68.174999999999997</v>
      </c>
      <c r="N21" s="16">
        <v>61.649000000000001</v>
      </c>
      <c r="O21" s="16">
        <v>52.194000000000003</v>
      </c>
      <c r="P21" s="16">
        <v>59.3</v>
      </c>
      <c r="Q21" s="16">
        <v>69.066000000000003</v>
      </c>
      <c r="R21" s="16">
        <v>84.117999999999995</v>
      </c>
      <c r="S21" s="16">
        <v>117.52500000000001</v>
      </c>
      <c r="T21" s="16">
        <v>97.602999999999994</v>
      </c>
      <c r="U21" s="16">
        <v>75.805999999999997</v>
      </c>
      <c r="V21" s="16">
        <v>74.299000000000007</v>
      </c>
      <c r="W21" s="16">
        <v>72.31</v>
      </c>
      <c r="X21" s="16">
        <v>87.343999999999994</v>
      </c>
      <c r="Y21" s="16">
        <v>52.698999999999998</v>
      </c>
      <c r="Z21" s="16">
        <v>88.662999999999997</v>
      </c>
      <c r="AA21" s="16">
        <v>102.827</v>
      </c>
      <c r="AB21" s="16">
        <v>83.692999999999998</v>
      </c>
      <c r="AC21" s="16">
        <v>80.772000000000006</v>
      </c>
      <c r="AD21" s="16">
        <v>83.516999999999996</v>
      </c>
      <c r="AE21" s="16">
        <v>60.165999999999997</v>
      </c>
      <c r="AF21" s="16">
        <v>88.31</v>
      </c>
      <c r="AG21" s="16">
        <v>52.345999999999997</v>
      </c>
      <c r="AH21" s="16">
        <v>58.875999999999998</v>
      </c>
      <c r="AI21" s="4"/>
      <c r="AJ21" s="4"/>
      <c r="AK21" s="4"/>
      <c r="AL21" s="4"/>
      <c r="AM21" s="4"/>
      <c r="AN21" s="4"/>
      <c r="AO21" s="4"/>
      <c r="AP21" s="4"/>
      <c r="AQ21" s="4"/>
      <c r="AR21" s="4"/>
      <c r="AS21" s="4"/>
      <c r="AT21" s="4"/>
      <c r="AU21" s="4"/>
      <c r="AV21" s="4"/>
      <c r="AW21" s="4"/>
      <c r="AX21" s="4"/>
      <c r="AY21" s="4"/>
    </row>
    <row r="22" spans="1:51" ht="14.5" x14ac:dyDescent="0.35">
      <c r="A22" s="113">
        <v>46692</v>
      </c>
      <c r="B22" s="116">
        <v>53</v>
      </c>
      <c r="C22" s="117">
        <v>50</v>
      </c>
      <c r="D22" s="44">
        <v>52</v>
      </c>
      <c r="E22" s="16">
        <v>45.764000000000003</v>
      </c>
      <c r="F22" s="16">
        <v>51.639000000000003</v>
      </c>
      <c r="G22" s="16">
        <v>44.201999999999998</v>
      </c>
      <c r="H22" s="16">
        <v>53.188000000000002</v>
      </c>
      <c r="I22" s="16">
        <v>49.685000000000002</v>
      </c>
      <c r="J22" s="16">
        <v>57.445</v>
      </c>
      <c r="K22" s="16">
        <v>44.646999999999998</v>
      </c>
      <c r="L22" s="16">
        <v>40.756999999999998</v>
      </c>
      <c r="M22" s="16">
        <v>38.261000000000003</v>
      </c>
      <c r="N22" s="16">
        <v>39.354999999999997</v>
      </c>
      <c r="O22" s="16">
        <v>37.966000000000001</v>
      </c>
      <c r="P22" s="16">
        <v>38.878</v>
      </c>
      <c r="Q22" s="16">
        <v>48.476999999999997</v>
      </c>
      <c r="R22" s="16">
        <v>54.313000000000002</v>
      </c>
      <c r="S22" s="16">
        <v>59.357999999999997</v>
      </c>
      <c r="T22" s="16">
        <v>54.878</v>
      </c>
      <c r="U22" s="16">
        <v>44.04</v>
      </c>
      <c r="V22" s="16">
        <v>42.747999999999998</v>
      </c>
      <c r="W22" s="16">
        <v>43.444000000000003</v>
      </c>
      <c r="X22" s="16">
        <v>46.231999999999999</v>
      </c>
      <c r="Y22" s="16">
        <v>34.415999999999997</v>
      </c>
      <c r="Z22" s="16">
        <v>46.97</v>
      </c>
      <c r="AA22" s="16">
        <v>46.378999999999998</v>
      </c>
      <c r="AB22" s="16">
        <v>40.904000000000003</v>
      </c>
      <c r="AC22" s="16">
        <v>40.408000000000001</v>
      </c>
      <c r="AD22" s="16">
        <v>42.213000000000001</v>
      </c>
      <c r="AE22" s="16">
        <v>36.241</v>
      </c>
      <c r="AF22" s="16">
        <v>44.917999999999999</v>
      </c>
      <c r="AG22" s="16">
        <v>40.241999999999997</v>
      </c>
      <c r="AH22" s="16">
        <v>40.286000000000001</v>
      </c>
      <c r="AI22" s="4"/>
      <c r="AJ22" s="4"/>
      <c r="AK22" s="4"/>
      <c r="AL22" s="4"/>
      <c r="AM22" s="4"/>
      <c r="AN22" s="4"/>
      <c r="AO22" s="4"/>
      <c r="AP22" s="4"/>
      <c r="AQ22" s="4"/>
      <c r="AR22" s="4"/>
      <c r="AS22" s="4"/>
      <c r="AT22" s="4"/>
      <c r="AU22" s="4"/>
      <c r="AV22" s="4"/>
      <c r="AW22" s="4"/>
      <c r="AX22" s="4"/>
      <c r="AY22" s="4"/>
    </row>
    <row r="23" spans="1:51" ht="14.5" x14ac:dyDescent="0.35">
      <c r="A23" s="113">
        <v>46722</v>
      </c>
      <c r="B23" s="116">
        <v>40</v>
      </c>
      <c r="C23" s="117">
        <v>40</v>
      </c>
      <c r="D23" s="44">
        <v>40</v>
      </c>
      <c r="E23" s="16">
        <v>32.9</v>
      </c>
      <c r="F23" s="16">
        <v>37.191000000000003</v>
      </c>
      <c r="G23" s="16">
        <v>32.933</v>
      </c>
      <c r="H23" s="16">
        <v>39.362000000000002</v>
      </c>
      <c r="I23" s="16">
        <v>37.106000000000002</v>
      </c>
      <c r="J23" s="16">
        <v>40.115000000000002</v>
      </c>
      <c r="K23" s="16">
        <v>37.204000000000001</v>
      </c>
      <c r="L23" s="16">
        <v>30.997</v>
      </c>
      <c r="M23" s="16">
        <v>29.13</v>
      </c>
      <c r="N23" s="16">
        <v>30.073</v>
      </c>
      <c r="O23" s="16">
        <v>28.263999999999999</v>
      </c>
      <c r="P23" s="16">
        <v>32.168999999999997</v>
      </c>
      <c r="Q23" s="16">
        <v>35.616999999999997</v>
      </c>
      <c r="R23" s="16">
        <v>38.423000000000002</v>
      </c>
      <c r="S23" s="16">
        <v>38.805999999999997</v>
      </c>
      <c r="T23" s="16">
        <v>40.055999999999997</v>
      </c>
      <c r="U23" s="16">
        <v>35.012999999999998</v>
      </c>
      <c r="V23" s="16">
        <v>31.928000000000001</v>
      </c>
      <c r="W23" s="16">
        <v>37.091000000000001</v>
      </c>
      <c r="X23" s="16">
        <v>35.103000000000002</v>
      </c>
      <c r="Y23" s="16">
        <v>27.277999999999999</v>
      </c>
      <c r="Z23" s="16">
        <v>32.942</v>
      </c>
      <c r="AA23" s="16">
        <v>35.615000000000002</v>
      </c>
      <c r="AB23" s="16">
        <v>32.021999999999998</v>
      </c>
      <c r="AC23" s="16">
        <v>33.524000000000001</v>
      </c>
      <c r="AD23" s="16">
        <v>32.280999999999999</v>
      </c>
      <c r="AE23" s="16">
        <v>26.248000000000001</v>
      </c>
      <c r="AF23" s="16">
        <v>35.790999999999997</v>
      </c>
      <c r="AG23" s="16">
        <v>30.4</v>
      </c>
      <c r="AH23" s="16">
        <v>31.914999999999999</v>
      </c>
      <c r="AI23" s="4"/>
      <c r="AJ23" s="4"/>
      <c r="AK23" s="4"/>
      <c r="AL23" s="4"/>
      <c r="AM23" s="4"/>
      <c r="AN23" s="4"/>
      <c r="AO23" s="4"/>
      <c r="AP23" s="4"/>
      <c r="AQ23" s="4"/>
      <c r="AR23" s="4"/>
      <c r="AS23" s="4"/>
      <c r="AT23" s="4"/>
      <c r="AU23" s="4"/>
      <c r="AV23" s="4"/>
      <c r="AW23" s="4"/>
      <c r="AX23" s="4"/>
      <c r="AY23" s="4"/>
    </row>
    <row r="24" spans="1:51" ht="14.5" x14ac:dyDescent="0.35">
      <c r="A24" s="113">
        <v>46753</v>
      </c>
      <c r="B24" s="116">
        <v>34</v>
      </c>
      <c r="C24" s="117">
        <v>34</v>
      </c>
      <c r="D24" s="44">
        <v>34</v>
      </c>
      <c r="E24" s="16">
        <v>31.544</v>
      </c>
      <c r="F24" s="16">
        <v>32.658999999999999</v>
      </c>
      <c r="G24" s="16">
        <v>29.062000000000001</v>
      </c>
      <c r="H24" s="16">
        <v>32.887</v>
      </c>
      <c r="I24" s="16">
        <v>32.03</v>
      </c>
      <c r="J24" s="16">
        <v>35.411000000000001</v>
      </c>
      <c r="K24" s="16">
        <v>32.113999999999997</v>
      </c>
      <c r="L24" s="16">
        <v>28.614999999999998</v>
      </c>
      <c r="M24" s="16">
        <v>25.106999999999999</v>
      </c>
      <c r="N24" s="16">
        <v>25.899000000000001</v>
      </c>
      <c r="O24" s="16">
        <v>24.292000000000002</v>
      </c>
      <c r="P24" s="16">
        <v>28.042000000000002</v>
      </c>
      <c r="Q24" s="16">
        <v>39.112000000000002</v>
      </c>
      <c r="R24" s="16">
        <v>34.304000000000002</v>
      </c>
      <c r="S24" s="16">
        <v>32.704999999999998</v>
      </c>
      <c r="T24" s="16">
        <v>32.613999999999997</v>
      </c>
      <c r="U24" s="16">
        <v>31.457000000000001</v>
      </c>
      <c r="V24" s="16">
        <v>27.234000000000002</v>
      </c>
      <c r="W24" s="16">
        <v>31.904</v>
      </c>
      <c r="X24" s="16">
        <v>31.384</v>
      </c>
      <c r="Y24" s="16">
        <v>24.279</v>
      </c>
      <c r="Z24" s="16">
        <v>27.556999999999999</v>
      </c>
      <c r="AA24" s="16">
        <v>30.623000000000001</v>
      </c>
      <c r="AB24" s="16">
        <v>27.934999999999999</v>
      </c>
      <c r="AC24" s="16">
        <v>33.207999999999998</v>
      </c>
      <c r="AD24" s="16">
        <v>27.597000000000001</v>
      </c>
      <c r="AE24" s="16">
        <v>23.445</v>
      </c>
      <c r="AF24" s="16">
        <v>31.184999999999999</v>
      </c>
      <c r="AG24" s="16">
        <v>25.146999999999998</v>
      </c>
      <c r="AH24" s="16">
        <v>27.201000000000001</v>
      </c>
      <c r="AI24" s="4"/>
      <c r="AJ24" s="4"/>
      <c r="AK24" s="4"/>
      <c r="AL24" s="4"/>
      <c r="AM24" s="4"/>
      <c r="AN24" s="4"/>
      <c r="AO24" s="4"/>
      <c r="AP24" s="4"/>
      <c r="AQ24" s="4"/>
      <c r="AR24" s="4"/>
      <c r="AS24" s="4"/>
      <c r="AT24" s="4"/>
      <c r="AU24" s="4"/>
      <c r="AV24" s="4"/>
      <c r="AW24" s="4"/>
      <c r="AX24" s="4"/>
      <c r="AY24" s="4"/>
    </row>
    <row r="25" spans="1:51" ht="14.5" x14ac:dyDescent="0.35">
      <c r="A25" s="113">
        <v>46784</v>
      </c>
      <c r="B25" s="116">
        <v>30</v>
      </c>
      <c r="C25" s="117">
        <v>30</v>
      </c>
      <c r="D25" s="44">
        <v>30</v>
      </c>
      <c r="E25" s="16">
        <v>27.832000000000001</v>
      </c>
      <c r="F25" s="16">
        <v>28.29</v>
      </c>
      <c r="G25" s="16">
        <v>27.544</v>
      </c>
      <c r="H25" s="16">
        <v>37.198</v>
      </c>
      <c r="I25" s="16">
        <v>26.242999999999999</v>
      </c>
      <c r="J25" s="16">
        <v>29.509</v>
      </c>
      <c r="K25" s="16">
        <v>27.956</v>
      </c>
      <c r="L25" s="16">
        <v>26.431999999999999</v>
      </c>
      <c r="M25" s="16">
        <v>22.018000000000001</v>
      </c>
      <c r="N25" s="16">
        <v>21.033999999999999</v>
      </c>
      <c r="O25" s="16">
        <v>21.434999999999999</v>
      </c>
      <c r="P25" s="16">
        <v>23.448</v>
      </c>
      <c r="Q25" s="16">
        <v>29.861999999999998</v>
      </c>
      <c r="R25" s="16">
        <v>27.346</v>
      </c>
      <c r="S25" s="16">
        <v>30.396000000000001</v>
      </c>
      <c r="T25" s="16">
        <v>28.6</v>
      </c>
      <c r="U25" s="16">
        <v>29.268999999999998</v>
      </c>
      <c r="V25" s="16">
        <v>22.538</v>
      </c>
      <c r="W25" s="16">
        <v>25.869</v>
      </c>
      <c r="X25" s="16">
        <v>26.744</v>
      </c>
      <c r="Y25" s="16">
        <v>22.361999999999998</v>
      </c>
      <c r="Z25" s="16">
        <v>27.452000000000002</v>
      </c>
      <c r="AA25" s="16">
        <v>32.091000000000001</v>
      </c>
      <c r="AB25" s="16">
        <v>26.472999999999999</v>
      </c>
      <c r="AC25" s="16">
        <v>32.44</v>
      </c>
      <c r="AD25" s="16">
        <v>23.914999999999999</v>
      </c>
      <c r="AE25" s="16">
        <v>20.007000000000001</v>
      </c>
      <c r="AF25" s="16">
        <v>26.309000000000001</v>
      </c>
      <c r="AG25" s="16">
        <v>22.504999999999999</v>
      </c>
      <c r="AH25" s="16">
        <v>23.905000000000001</v>
      </c>
      <c r="AI25" s="4"/>
      <c r="AJ25" s="4"/>
      <c r="AK25" s="4"/>
      <c r="AL25" s="4"/>
      <c r="AM25" s="4"/>
      <c r="AN25" s="4"/>
      <c r="AO25" s="4"/>
      <c r="AP25" s="4"/>
      <c r="AQ25" s="4"/>
      <c r="AR25" s="4"/>
      <c r="AS25" s="4"/>
      <c r="AT25" s="4"/>
      <c r="AU25" s="4"/>
      <c r="AV25" s="4"/>
      <c r="AW25" s="4"/>
      <c r="AX25" s="4"/>
      <c r="AY25" s="4"/>
    </row>
    <row r="26" spans="1:51" ht="14.5" x14ac:dyDescent="0.35">
      <c r="A26" s="113">
        <v>46813</v>
      </c>
      <c r="B26" s="116">
        <v>47</v>
      </c>
      <c r="C26" s="117">
        <v>47</v>
      </c>
      <c r="D26" s="44">
        <v>47</v>
      </c>
      <c r="E26" s="16">
        <v>50.600999999999999</v>
      </c>
      <c r="F26" s="16">
        <v>50.101999999999997</v>
      </c>
      <c r="G26" s="16">
        <v>54.576999999999998</v>
      </c>
      <c r="H26" s="16">
        <v>47.104999999999997</v>
      </c>
      <c r="I26" s="16">
        <v>52.249000000000002</v>
      </c>
      <c r="J26" s="16">
        <v>54.561</v>
      </c>
      <c r="K26" s="16">
        <v>49.865000000000002</v>
      </c>
      <c r="L26" s="16">
        <v>36.479999999999997</v>
      </c>
      <c r="M26" s="16">
        <v>36.183999999999997</v>
      </c>
      <c r="N26" s="16">
        <v>30.898</v>
      </c>
      <c r="O26" s="16">
        <v>32.816000000000003</v>
      </c>
      <c r="P26" s="16">
        <v>50.13</v>
      </c>
      <c r="Q26" s="16">
        <v>41.216000000000001</v>
      </c>
      <c r="R26" s="16">
        <v>36.64</v>
      </c>
      <c r="S26" s="16">
        <v>77.113</v>
      </c>
      <c r="T26" s="16">
        <v>34.915999999999997</v>
      </c>
      <c r="U26" s="16">
        <v>46.970999999999997</v>
      </c>
      <c r="V26" s="16">
        <v>28.42</v>
      </c>
      <c r="W26" s="16">
        <v>38.968000000000004</v>
      </c>
      <c r="X26" s="16">
        <v>44.64</v>
      </c>
      <c r="Y26" s="16">
        <v>26.692</v>
      </c>
      <c r="Z26" s="16">
        <v>31.776</v>
      </c>
      <c r="AA26" s="16">
        <v>47.587000000000003</v>
      </c>
      <c r="AB26" s="16">
        <v>33.293999999999997</v>
      </c>
      <c r="AC26" s="16">
        <v>54.774999999999999</v>
      </c>
      <c r="AD26" s="16">
        <v>31.224</v>
      </c>
      <c r="AE26" s="16">
        <v>30.213000000000001</v>
      </c>
      <c r="AF26" s="16">
        <v>37.393000000000001</v>
      </c>
      <c r="AG26" s="16">
        <v>29.997</v>
      </c>
      <c r="AH26" s="16">
        <v>40.607999999999997</v>
      </c>
      <c r="AI26" s="4"/>
      <c r="AJ26" s="4"/>
      <c r="AK26" s="4"/>
      <c r="AL26" s="4"/>
      <c r="AM26" s="4"/>
      <c r="AN26" s="4"/>
      <c r="AO26" s="4"/>
      <c r="AP26" s="4"/>
      <c r="AQ26" s="4"/>
      <c r="AR26" s="4"/>
      <c r="AS26" s="4"/>
      <c r="AT26" s="4"/>
      <c r="AU26" s="4"/>
      <c r="AV26" s="4"/>
      <c r="AW26" s="4"/>
      <c r="AX26" s="4"/>
      <c r="AY26" s="4"/>
    </row>
    <row r="27" spans="1:51" ht="14.5" x14ac:dyDescent="0.35">
      <c r="A27" s="113">
        <v>46844</v>
      </c>
      <c r="B27" s="116">
        <v>120</v>
      </c>
      <c r="C27" s="117">
        <v>120</v>
      </c>
      <c r="D27" s="44">
        <v>120</v>
      </c>
      <c r="E27" s="16">
        <v>126.15600000000001</v>
      </c>
      <c r="F27" s="16">
        <v>122.099</v>
      </c>
      <c r="G27" s="16">
        <v>97.805000000000007</v>
      </c>
      <c r="H27" s="16">
        <v>116.988</v>
      </c>
      <c r="I27" s="16">
        <v>121.039</v>
      </c>
      <c r="J27" s="16">
        <v>111.471</v>
      </c>
      <c r="K27" s="16">
        <v>105.154</v>
      </c>
      <c r="L27" s="16">
        <v>90.894000000000005</v>
      </c>
      <c r="M27" s="16">
        <v>82.45</v>
      </c>
      <c r="N27" s="16">
        <v>75.941000000000003</v>
      </c>
      <c r="O27" s="16">
        <v>88.816999999999993</v>
      </c>
      <c r="P27" s="16">
        <v>144.238</v>
      </c>
      <c r="Q27" s="16">
        <v>161.828</v>
      </c>
      <c r="R27" s="16">
        <v>158.84399999999999</v>
      </c>
      <c r="S27" s="16">
        <v>153.72200000000001</v>
      </c>
      <c r="T27" s="16">
        <v>70.385999999999996</v>
      </c>
      <c r="U27" s="16">
        <v>99.659000000000006</v>
      </c>
      <c r="V27" s="16">
        <v>81.683999999999997</v>
      </c>
      <c r="W27" s="16">
        <v>127.63</v>
      </c>
      <c r="X27" s="16">
        <v>123.923</v>
      </c>
      <c r="Y27" s="16">
        <v>61.405999999999999</v>
      </c>
      <c r="Z27" s="16">
        <v>93.795000000000002</v>
      </c>
      <c r="AA27" s="16">
        <v>87.191999999999993</v>
      </c>
      <c r="AB27" s="16">
        <v>103.038</v>
      </c>
      <c r="AC27" s="16">
        <v>120.625</v>
      </c>
      <c r="AD27" s="16">
        <v>74.650999999999996</v>
      </c>
      <c r="AE27" s="16">
        <v>114.96</v>
      </c>
      <c r="AF27" s="16">
        <v>81.691000000000003</v>
      </c>
      <c r="AG27" s="16">
        <v>61.999000000000002</v>
      </c>
      <c r="AH27" s="16">
        <v>113.24</v>
      </c>
      <c r="AI27" s="4"/>
      <c r="AJ27" s="4"/>
      <c r="AK27" s="4"/>
      <c r="AL27" s="4"/>
      <c r="AM27" s="4"/>
      <c r="AN27" s="4"/>
      <c r="AO27" s="4"/>
      <c r="AP27" s="4"/>
      <c r="AQ27" s="4"/>
      <c r="AR27" s="4"/>
      <c r="AS27" s="4"/>
      <c r="AT27" s="4"/>
      <c r="AU27" s="4"/>
      <c r="AV27" s="4"/>
      <c r="AW27" s="4"/>
      <c r="AX27" s="4"/>
      <c r="AY27" s="4"/>
    </row>
    <row r="28" spans="1:51" ht="14.5" x14ac:dyDescent="0.35">
      <c r="A28" s="113">
        <v>46874</v>
      </c>
      <c r="B28" s="116">
        <v>202</v>
      </c>
      <c r="C28" s="117">
        <v>202</v>
      </c>
      <c r="D28" s="44">
        <v>202</v>
      </c>
      <c r="E28" s="16">
        <v>396.86200000000002</v>
      </c>
      <c r="F28" s="16">
        <v>232.54900000000001</v>
      </c>
      <c r="G28" s="16">
        <v>275.52100000000002</v>
      </c>
      <c r="H28" s="16">
        <v>229.04400000000001</v>
      </c>
      <c r="I28" s="16">
        <v>306.44400000000002</v>
      </c>
      <c r="J28" s="16">
        <v>273.416</v>
      </c>
      <c r="K28" s="16">
        <v>201.42</v>
      </c>
      <c r="L28" s="16">
        <v>178.12</v>
      </c>
      <c r="M28" s="16">
        <v>204.22900000000001</v>
      </c>
      <c r="N28" s="16">
        <v>117.482</v>
      </c>
      <c r="O28" s="16">
        <v>215.94399999999999</v>
      </c>
      <c r="P28" s="16">
        <v>200.61500000000001</v>
      </c>
      <c r="Q28" s="16">
        <v>347.142</v>
      </c>
      <c r="R28" s="16">
        <v>237.18199999999999</v>
      </c>
      <c r="S28" s="16">
        <v>210.56899999999999</v>
      </c>
      <c r="T28" s="16">
        <v>295.29500000000002</v>
      </c>
      <c r="U28" s="16">
        <v>284.71499999999997</v>
      </c>
      <c r="V28" s="16">
        <v>191.184</v>
      </c>
      <c r="W28" s="16">
        <v>265.98899999999998</v>
      </c>
      <c r="X28" s="16">
        <v>159.322</v>
      </c>
      <c r="Y28" s="16">
        <v>161.76</v>
      </c>
      <c r="Z28" s="16">
        <v>229.172</v>
      </c>
      <c r="AA28" s="16">
        <v>188.351</v>
      </c>
      <c r="AB28" s="16">
        <v>205.64</v>
      </c>
      <c r="AC28" s="16">
        <v>210.11799999999999</v>
      </c>
      <c r="AD28" s="16">
        <v>147.43600000000001</v>
      </c>
      <c r="AE28" s="16">
        <v>284.60700000000003</v>
      </c>
      <c r="AF28" s="16">
        <v>181.94800000000001</v>
      </c>
      <c r="AG28" s="16">
        <v>152.06200000000001</v>
      </c>
      <c r="AH28" s="16">
        <v>215.18100000000001</v>
      </c>
      <c r="AI28" s="4"/>
      <c r="AJ28" s="4"/>
      <c r="AK28" s="4"/>
      <c r="AL28" s="4"/>
      <c r="AM28" s="4"/>
      <c r="AN28" s="4"/>
      <c r="AO28" s="4"/>
      <c r="AP28" s="4"/>
      <c r="AQ28" s="4"/>
      <c r="AR28" s="4"/>
      <c r="AS28" s="4"/>
      <c r="AT28" s="4"/>
      <c r="AU28" s="4"/>
      <c r="AV28" s="4"/>
      <c r="AW28" s="4"/>
      <c r="AX28" s="4"/>
      <c r="AY28" s="4"/>
    </row>
    <row r="29" spans="1:51" ht="14.5" x14ac:dyDescent="0.35">
      <c r="A29" s="113">
        <v>46905</v>
      </c>
      <c r="B29" s="116">
        <v>132</v>
      </c>
      <c r="C29" s="117">
        <v>132</v>
      </c>
      <c r="D29" s="44">
        <v>132</v>
      </c>
      <c r="E29" s="16">
        <v>284.50900000000001</v>
      </c>
      <c r="F29" s="16">
        <v>135.34200000000001</v>
      </c>
      <c r="G29" s="16">
        <v>340.64800000000002</v>
      </c>
      <c r="H29" s="16">
        <v>127.80200000000001</v>
      </c>
      <c r="I29" s="16">
        <v>257.95999999999998</v>
      </c>
      <c r="J29" s="16">
        <v>179.36</v>
      </c>
      <c r="K29" s="16">
        <v>184.68600000000001</v>
      </c>
      <c r="L29" s="16">
        <v>83.533000000000001</v>
      </c>
      <c r="M29" s="16">
        <v>106.488</v>
      </c>
      <c r="N29" s="16">
        <v>58.651000000000003</v>
      </c>
      <c r="O29" s="16">
        <v>127.44799999999999</v>
      </c>
      <c r="P29" s="16">
        <v>93.451999999999998</v>
      </c>
      <c r="Q29" s="16">
        <v>227.136</v>
      </c>
      <c r="R29" s="16">
        <v>121.53100000000001</v>
      </c>
      <c r="S29" s="16">
        <v>105.33499999999999</v>
      </c>
      <c r="T29" s="16">
        <v>281.83</v>
      </c>
      <c r="U29" s="16">
        <v>166.429</v>
      </c>
      <c r="V29" s="16">
        <v>185.27</v>
      </c>
      <c r="W29" s="16">
        <v>312.00200000000001</v>
      </c>
      <c r="X29" s="16">
        <v>70.016999999999996</v>
      </c>
      <c r="Y29" s="16">
        <v>118.002</v>
      </c>
      <c r="Z29" s="16">
        <v>177.69300000000001</v>
      </c>
      <c r="AA29" s="16">
        <v>166.67599999999999</v>
      </c>
      <c r="AB29" s="16">
        <v>160.63999999999999</v>
      </c>
      <c r="AC29" s="16">
        <v>184.01300000000001</v>
      </c>
      <c r="AD29" s="16">
        <v>59.491999999999997</v>
      </c>
      <c r="AE29" s="16">
        <v>270.49200000000002</v>
      </c>
      <c r="AF29" s="16">
        <v>111.967</v>
      </c>
      <c r="AG29" s="16">
        <v>150.65600000000001</v>
      </c>
      <c r="AH29" s="16">
        <v>117.613</v>
      </c>
      <c r="AI29" s="4"/>
      <c r="AJ29" s="4"/>
      <c r="AK29" s="4"/>
      <c r="AL29" s="4"/>
      <c r="AM29" s="4"/>
      <c r="AN29" s="4"/>
      <c r="AO29" s="4"/>
      <c r="AP29" s="4"/>
      <c r="AQ29" s="4"/>
      <c r="AR29" s="4"/>
      <c r="AS29" s="4"/>
      <c r="AT29" s="4"/>
      <c r="AU29" s="4"/>
      <c r="AV29" s="4"/>
      <c r="AW29" s="4"/>
      <c r="AX29" s="4"/>
      <c r="AY29" s="4"/>
    </row>
    <row r="30" spans="1:51" ht="14.5" x14ac:dyDescent="0.35">
      <c r="A30" s="113">
        <v>46935</v>
      </c>
      <c r="B30" s="116">
        <v>49</v>
      </c>
      <c r="C30" s="117">
        <v>49</v>
      </c>
      <c r="D30" s="44">
        <v>49</v>
      </c>
      <c r="E30" s="16">
        <v>102.29300000000001</v>
      </c>
      <c r="F30" s="16">
        <v>32.936</v>
      </c>
      <c r="G30" s="16">
        <v>195.49199999999999</v>
      </c>
      <c r="H30" s="16">
        <v>35.075000000000003</v>
      </c>
      <c r="I30" s="16">
        <v>67.427000000000007</v>
      </c>
      <c r="J30" s="16">
        <v>65.289000000000001</v>
      </c>
      <c r="K30" s="16">
        <v>83.837000000000003</v>
      </c>
      <c r="L30" s="16">
        <v>22.510999999999999</v>
      </c>
      <c r="M30" s="16">
        <v>26.655999999999999</v>
      </c>
      <c r="N30" s="16">
        <v>22.870999999999999</v>
      </c>
      <c r="O30" s="16">
        <v>30.268999999999998</v>
      </c>
      <c r="P30" s="16">
        <v>28.042999999999999</v>
      </c>
      <c r="Q30" s="16">
        <v>61.779000000000003</v>
      </c>
      <c r="R30" s="16">
        <v>33.137999999999998</v>
      </c>
      <c r="S30" s="16">
        <v>32.862000000000002</v>
      </c>
      <c r="T30" s="16">
        <v>90.989000000000004</v>
      </c>
      <c r="U30" s="16">
        <v>64.88</v>
      </c>
      <c r="V30" s="16">
        <v>42.552999999999997</v>
      </c>
      <c r="W30" s="16">
        <v>116.83199999999999</v>
      </c>
      <c r="X30" s="16">
        <v>33.762</v>
      </c>
      <c r="Y30" s="16">
        <v>40.28</v>
      </c>
      <c r="Z30" s="16">
        <v>60.92</v>
      </c>
      <c r="AA30" s="16">
        <v>58.298000000000002</v>
      </c>
      <c r="AB30" s="16">
        <v>56.124000000000002</v>
      </c>
      <c r="AC30" s="16">
        <v>48.012999999999998</v>
      </c>
      <c r="AD30" s="16">
        <v>25.76</v>
      </c>
      <c r="AE30" s="16">
        <v>104.78</v>
      </c>
      <c r="AF30" s="16">
        <v>30.228999999999999</v>
      </c>
      <c r="AG30" s="16">
        <v>52.704999999999998</v>
      </c>
      <c r="AH30" s="16">
        <v>38.430999999999997</v>
      </c>
      <c r="AI30" s="4"/>
      <c r="AJ30" s="4"/>
      <c r="AK30" s="4"/>
      <c r="AL30" s="4"/>
      <c r="AM30" s="4"/>
      <c r="AN30" s="4"/>
      <c r="AO30" s="4"/>
      <c r="AP30" s="4"/>
      <c r="AQ30" s="4"/>
      <c r="AR30" s="4"/>
      <c r="AS30" s="4"/>
      <c r="AT30" s="4"/>
      <c r="AU30" s="4"/>
      <c r="AV30" s="4"/>
      <c r="AW30" s="4"/>
      <c r="AX30" s="4"/>
      <c r="AY30" s="4"/>
    </row>
    <row r="31" spans="1:51" ht="14.5" x14ac:dyDescent="0.35">
      <c r="A31" s="113">
        <v>46966</v>
      </c>
      <c r="B31" s="116">
        <v>52</v>
      </c>
      <c r="C31" s="117">
        <v>52</v>
      </c>
      <c r="D31" s="44">
        <v>52</v>
      </c>
      <c r="E31" s="16">
        <v>46.055999999999997</v>
      </c>
      <c r="F31" s="16">
        <v>28.218</v>
      </c>
      <c r="G31" s="16">
        <v>61.210999999999999</v>
      </c>
      <c r="H31" s="16">
        <v>24.472999999999999</v>
      </c>
      <c r="I31" s="16">
        <v>41.945999999999998</v>
      </c>
      <c r="J31" s="16">
        <v>29.457999999999998</v>
      </c>
      <c r="K31" s="16">
        <v>56.896000000000001</v>
      </c>
      <c r="L31" s="16">
        <v>23.763000000000002</v>
      </c>
      <c r="M31" s="16">
        <v>25.948</v>
      </c>
      <c r="N31" s="16">
        <v>24.114999999999998</v>
      </c>
      <c r="O31" s="16">
        <v>24.21</v>
      </c>
      <c r="P31" s="16">
        <v>27.951000000000001</v>
      </c>
      <c r="Q31" s="16">
        <v>33.796999999999997</v>
      </c>
      <c r="R31" s="16">
        <v>27.54</v>
      </c>
      <c r="S31" s="16">
        <v>27.806000000000001</v>
      </c>
      <c r="T31" s="16">
        <v>45.393000000000001</v>
      </c>
      <c r="U31" s="16">
        <v>34.649000000000001</v>
      </c>
      <c r="V31" s="16">
        <v>38.738999999999997</v>
      </c>
      <c r="W31" s="16">
        <v>45.728999999999999</v>
      </c>
      <c r="X31" s="16">
        <v>29.923999999999999</v>
      </c>
      <c r="Y31" s="16">
        <v>40.576999999999998</v>
      </c>
      <c r="Z31" s="16">
        <v>52.837000000000003</v>
      </c>
      <c r="AA31" s="16">
        <v>45.753</v>
      </c>
      <c r="AB31" s="16">
        <v>44.555999999999997</v>
      </c>
      <c r="AC31" s="16">
        <v>38.784999999999997</v>
      </c>
      <c r="AD31" s="16">
        <v>34.24</v>
      </c>
      <c r="AE31" s="16">
        <v>46.731999999999999</v>
      </c>
      <c r="AF31" s="16">
        <v>31.564</v>
      </c>
      <c r="AG31" s="16">
        <v>25.603999999999999</v>
      </c>
      <c r="AH31" s="16">
        <v>34.838000000000001</v>
      </c>
      <c r="AI31" s="4"/>
      <c r="AJ31" s="4"/>
      <c r="AK31" s="4"/>
      <c r="AL31" s="4"/>
      <c r="AM31" s="4"/>
      <c r="AN31" s="4"/>
      <c r="AO31" s="4"/>
      <c r="AP31" s="4"/>
      <c r="AQ31" s="4"/>
      <c r="AR31" s="4"/>
      <c r="AS31" s="4"/>
      <c r="AT31" s="4"/>
      <c r="AU31" s="4"/>
      <c r="AV31" s="4"/>
      <c r="AW31" s="4"/>
      <c r="AX31" s="4"/>
      <c r="AY31" s="4"/>
    </row>
    <row r="32" spans="1:51" ht="14.5" x14ac:dyDescent="0.35">
      <c r="A32" s="113">
        <v>46997</v>
      </c>
      <c r="B32" s="116">
        <v>67</v>
      </c>
      <c r="C32" s="117">
        <v>67</v>
      </c>
      <c r="D32" s="44">
        <v>67</v>
      </c>
      <c r="E32" s="16">
        <v>58.329000000000001</v>
      </c>
      <c r="F32" s="16">
        <v>44.128</v>
      </c>
      <c r="G32" s="16">
        <v>66.304000000000002</v>
      </c>
      <c r="H32" s="16">
        <v>46.392000000000003</v>
      </c>
      <c r="I32" s="16">
        <v>66.573999999999998</v>
      </c>
      <c r="J32" s="16">
        <v>45.454999999999998</v>
      </c>
      <c r="K32" s="16">
        <v>51.878</v>
      </c>
      <c r="L32" s="16">
        <v>43.38</v>
      </c>
      <c r="M32" s="16">
        <v>44.720999999999997</v>
      </c>
      <c r="N32" s="16">
        <v>33.725999999999999</v>
      </c>
      <c r="O32" s="16">
        <v>49.427999999999997</v>
      </c>
      <c r="P32" s="16">
        <v>59.215000000000003</v>
      </c>
      <c r="Q32" s="16">
        <v>52.046999999999997</v>
      </c>
      <c r="R32" s="16">
        <v>55.377000000000002</v>
      </c>
      <c r="S32" s="16">
        <v>71.778000000000006</v>
      </c>
      <c r="T32" s="16">
        <v>59.567999999999998</v>
      </c>
      <c r="U32" s="16">
        <v>53.707000000000001</v>
      </c>
      <c r="V32" s="16">
        <v>49.63</v>
      </c>
      <c r="W32" s="16">
        <v>65.950999999999993</v>
      </c>
      <c r="X32" s="16">
        <v>45.392000000000003</v>
      </c>
      <c r="Y32" s="16">
        <v>66.277000000000001</v>
      </c>
      <c r="Z32" s="16">
        <v>82.138999999999996</v>
      </c>
      <c r="AA32" s="16">
        <v>60.387999999999998</v>
      </c>
      <c r="AB32" s="16">
        <v>61.043999999999997</v>
      </c>
      <c r="AC32" s="16">
        <v>55.69</v>
      </c>
      <c r="AD32" s="16">
        <v>48.529000000000003</v>
      </c>
      <c r="AE32" s="16">
        <v>55.384</v>
      </c>
      <c r="AF32" s="16">
        <v>50.723999999999997</v>
      </c>
      <c r="AG32" s="16">
        <v>37.942999999999998</v>
      </c>
      <c r="AH32" s="16">
        <v>47.725999999999999</v>
      </c>
      <c r="AI32" s="4"/>
      <c r="AJ32" s="4"/>
      <c r="AK32" s="4"/>
      <c r="AL32" s="4"/>
      <c r="AM32" s="4"/>
      <c r="AN32" s="4"/>
      <c r="AO32" s="4"/>
      <c r="AP32" s="4"/>
      <c r="AQ32" s="4"/>
      <c r="AR32" s="4"/>
      <c r="AS32" s="4"/>
      <c r="AT32" s="4"/>
      <c r="AU32" s="4"/>
      <c r="AV32" s="4"/>
      <c r="AW32" s="4"/>
      <c r="AX32" s="4"/>
      <c r="AY32" s="4"/>
    </row>
    <row r="33" spans="1:51" ht="14.5" x14ac:dyDescent="0.35">
      <c r="A33" s="113">
        <v>47027</v>
      </c>
      <c r="B33" s="116">
        <v>82</v>
      </c>
      <c r="C33" s="117">
        <v>74</v>
      </c>
      <c r="D33" s="44">
        <v>79</v>
      </c>
      <c r="E33" s="16">
        <v>83.596999999999994</v>
      </c>
      <c r="F33" s="16">
        <v>67.984999999999999</v>
      </c>
      <c r="G33" s="16">
        <v>78.701999999999998</v>
      </c>
      <c r="H33" s="16">
        <v>78.450999999999993</v>
      </c>
      <c r="I33" s="16">
        <v>95.171999999999997</v>
      </c>
      <c r="J33" s="16">
        <v>72.864000000000004</v>
      </c>
      <c r="K33" s="16">
        <v>60.284999999999997</v>
      </c>
      <c r="L33" s="16">
        <v>69.144999999999996</v>
      </c>
      <c r="M33" s="16">
        <v>61.744</v>
      </c>
      <c r="N33" s="16">
        <v>52.076000000000001</v>
      </c>
      <c r="O33" s="16">
        <v>58.561</v>
      </c>
      <c r="P33" s="16">
        <v>70.055000000000007</v>
      </c>
      <c r="Q33" s="16">
        <v>83.774000000000001</v>
      </c>
      <c r="R33" s="16">
        <v>119.95399999999999</v>
      </c>
      <c r="S33" s="16">
        <v>97.91</v>
      </c>
      <c r="T33" s="16">
        <v>76.546000000000006</v>
      </c>
      <c r="U33" s="16">
        <v>75.073999999999998</v>
      </c>
      <c r="V33" s="16">
        <v>72.876000000000005</v>
      </c>
      <c r="W33" s="16">
        <v>87.481999999999999</v>
      </c>
      <c r="X33" s="16">
        <v>55.051000000000002</v>
      </c>
      <c r="Y33" s="16">
        <v>87.781000000000006</v>
      </c>
      <c r="Z33" s="16">
        <v>100.985</v>
      </c>
      <c r="AA33" s="16">
        <v>83.83</v>
      </c>
      <c r="AB33" s="16">
        <v>80.994</v>
      </c>
      <c r="AC33" s="16">
        <v>84.498000000000005</v>
      </c>
      <c r="AD33" s="16">
        <v>61.731999999999999</v>
      </c>
      <c r="AE33" s="16">
        <v>88.576999999999998</v>
      </c>
      <c r="AF33" s="16">
        <v>54.88</v>
      </c>
      <c r="AG33" s="16">
        <v>58.438000000000002</v>
      </c>
      <c r="AH33" s="16">
        <v>64.611999999999995</v>
      </c>
      <c r="AI33" s="4"/>
      <c r="AJ33" s="4"/>
      <c r="AK33" s="4"/>
      <c r="AL33" s="4"/>
      <c r="AM33" s="4"/>
      <c r="AN33" s="4"/>
      <c r="AO33" s="4"/>
      <c r="AP33" s="4"/>
      <c r="AQ33" s="4"/>
      <c r="AR33" s="4"/>
      <c r="AS33" s="4"/>
      <c r="AT33" s="4"/>
      <c r="AU33" s="4"/>
      <c r="AV33" s="4"/>
      <c r="AW33" s="4"/>
      <c r="AX33" s="4"/>
      <c r="AY33" s="4"/>
    </row>
    <row r="34" spans="1:51" ht="14.5" x14ac:dyDescent="0.35">
      <c r="A34" s="113">
        <v>47058</v>
      </c>
      <c r="B34" s="116">
        <v>53</v>
      </c>
      <c r="C34" s="117">
        <v>50</v>
      </c>
      <c r="D34" s="44">
        <v>52</v>
      </c>
      <c r="E34" s="16">
        <v>51.408000000000001</v>
      </c>
      <c r="F34" s="16">
        <v>46.353000000000002</v>
      </c>
      <c r="G34" s="16">
        <v>52.734000000000002</v>
      </c>
      <c r="H34" s="16">
        <v>51.493000000000002</v>
      </c>
      <c r="I34" s="16">
        <v>56.965000000000003</v>
      </c>
      <c r="J34" s="16">
        <v>45.914999999999999</v>
      </c>
      <c r="K34" s="16">
        <v>41.363999999999997</v>
      </c>
      <c r="L34" s="16">
        <v>38.987000000000002</v>
      </c>
      <c r="M34" s="16">
        <v>39.204000000000001</v>
      </c>
      <c r="N34" s="16">
        <v>38.216000000000001</v>
      </c>
      <c r="O34" s="16">
        <v>38.773000000000003</v>
      </c>
      <c r="P34" s="16">
        <v>49.158000000000001</v>
      </c>
      <c r="Q34" s="16">
        <v>54.234000000000002</v>
      </c>
      <c r="R34" s="16">
        <v>60.445999999999998</v>
      </c>
      <c r="S34" s="16">
        <v>53.832000000000001</v>
      </c>
      <c r="T34" s="16">
        <v>44.594000000000001</v>
      </c>
      <c r="U34" s="16">
        <v>44.23</v>
      </c>
      <c r="V34" s="16">
        <v>43.411000000000001</v>
      </c>
      <c r="W34" s="16">
        <v>45.790999999999997</v>
      </c>
      <c r="X34" s="16">
        <v>36.378</v>
      </c>
      <c r="Y34" s="16">
        <v>46.575000000000003</v>
      </c>
      <c r="Z34" s="16">
        <v>45.807000000000002</v>
      </c>
      <c r="AA34" s="16">
        <v>41.395000000000003</v>
      </c>
      <c r="AB34" s="16">
        <v>40.524000000000001</v>
      </c>
      <c r="AC34" s="16">
        <v>41.853000000000002</v>
      </c>
      <c r="AD34" s="16">
        <v>37.081000000000003</v>
      </c>
      <c r="AE34" s="16">
        <v>43.088000000000001</v>
      </c>
      <c r="AF34" s="16">
        <v>42.396999999999998</v>
      </c>
      <c r="AG34" s="16">
        <v>40.414000000000001</v>
      </c>
      <c r="AH34" s="16">
        <v>46.115000000000002</v>
      </c>
      <c r="AI34" s="4"/>
      <c r="AJ34" s="4"/>
      <c r="AK34" s="4"/>
      <c r="AL34" s="4"/>
      <c r="AM34" s="4"/>
      <c r="AN34" s="4"/>
      <c r="AO34" s="4"/>
      <c r="AP34" s="4"/>
      <c r="AQ34" s="4"/>
      <c r="AR34" s="4"/>
      <c r="AS34" s="4"/>
      <c r="AT34" s="4"/>
      <c r="AU34" s="4"/>
      <c r="AV34" s="4"/>
      <c r="AW34" s="4"/>
      <c r="AX34" s="4"/>
      <c r="AY34" s="4"/>
    </row>
    <row r="35" spans="1:51" ht="14.5" x14ac:dyDescent="0.35">
      <c r="A35" s="113">
        <v>47088</v>
      </c>
      <c r="B35" s="116">
        <v>40</v>
      </c>
      <c r="C35" s="117">
        <v>40</v>
      </c>
      <c r="D35" s="44">
        <v>40</v>
      </c>
      <c r="E35" s="16">
        <v>37.511000000000003</v>
      </c>
      <c r="F35" s="16">
        <v>35.283000000000001</v>
      </c>
      <c r="G35" s="16">
        <v>39.500999999999998</v>
      </c>
      <c r="H35" s="16">
        <v>38.676000000000002</v>
      </c>
      <c r="I35" s="16">
        <v>40.323999999999998</v>
      </c>
      <c r="J35" s="16">
        <v>38.408000000000001</v>
      </c>
      <c r="K35" s="16">
        <v>32.156999999999996</v>
      </c>
      <c r="L35" s="16">
        <v>29.806999999999999</v>
      </c>
      <c r="M35" s="16">
        <v>30.329000000000001</v>
      </c>
      <c r="N35" s="16">
        <v>28.507000000000001</v>
      </c>
      <c r="O35" s="16">
        <v>32.030999999999999</v>
      </c>
      <c r="P35" s="16">
        <v>36.180999999999997</v>
      </c>
      <c r="Q35" s="16">
        <v>38.639000000000003</v>
      </c>
      <c r="R35" s="16">
        <v>40.161999999999999</v>
      </c>
      <c r="S35" s="16">
        <v>40.295000000000002</v>
      </c>
      <c r="T35" s="16">
        <v>35.539000000000001</v>
      </c>
      <c r="U35" s="16">
        <v>33.284999999999997</v>
      </c>
      <c r="V35" s="16">
        <v>38.113</v>
      </c>
      <c r="W35" s="16">
        <v>35.457000000000001</v>
      </c>
      <c r="X35" s="16">
        <v>29.157</v>
      </c>
      <c r="Y35" s="16">
        <v>32.909999999999997</v>
      </c>
      <c r="Z35" s="16">
        <v>35.752000000000002</v>
      </c>
      <c r="AA35" s="16">
        <v>32.816000000000003</v>
      </c>
      <c r="AB35" s="16">
        <v>33.628</v>
      </c>
      <c r="AC35" s="16">
        <v>32.892000000000003</v>
      </c>
      <c r="AD35" s="16">
        <v>27.513000000000002</v>
      </c>
      <c r="AE35" s="16">
        <v>35.502000000000002</v>
      </c>
      <c r="AF35" s="16">
        <v>32.438000000000002</v>
      </c>
      <c r="AG35" s="16">
        <v>31.873999999999999</v>
      </c>
      <c r="AH35" s="16">
        <v>33.399000000000001</v>
      </c>
      <c r="AI35" s="4"/>
      <c r="AJ35" s="4"/>
      <c r="AK35" s="4"/>
      <c r="AL35" s="4"/>
      <c r="AM35" s="4"/>
      <c r="AN35" s="4"/>
      <c r="AO35" s="4"/>
      <c r="AP35" s="4"/>
      <c r="AQ35" s="4"/>
      <c r="AR35" s="4"/>
      <c r="AS35" s="4"/>
      <c r="AT35" s="4"/>
      <c r="AU35" s="4"/>
      <c r="AV35" s="4"/>
      <c r="AW35" s="4"/>
      <c r="AX35" s="4"/>
      <c r="AY35" s="4"/>
    </row>
    <row r="36" spans="1:51" ht="14.5" x14ac:dyDescent="0.35">
      <c r="A36" s="113">
        <v>47119</v>
      </c>
      <c r="B36" s="33">
        <v>34</v>
      </c>
      <c r="C36" s="8">
        <v>34</v>
      </c>
      <c r="D36" s="11">
        <v>34</v>
      </c>
      <c r="E36">
        <v>32.966999999999999</v>
      </c>
      <c r="F36">
        <v>31.341999999999999</v>
      </c>
      <c r="G36">
        <v>33.146000000000001</v>
      </c>
      <c r="H36">
        <v>33.408999999999999</v>
      </c>
      <c r="I36">
        <v>35.862000000000002</v>
      </c>
      <c r="J36">
        <v>33.46</v>
      </c>
      <c r="K36">
        <v>29.88</v>
      </c>
      <c r="L36">
        <v>25.728000000000002</v>
      </c>
      <c r="M36">
        <v>26.181000000000001</v>
      </c>
      <c r="N36">
        <v>24.628</v>
      </c>
      <c r="O36">
        <v>27.91</v>
      </c>
      <c r="P36">
        <v>39.72</v>
      </c>
      <c r="Q36">
        <v>34.597999999999999</v>
      </c>
      <c r="R36">
        <v>34.003</v>
      </c>
      <c r="S36">
        <v>32.816000000000003</v>
      </c>
      <c r="T36">
        <v>31.978999999999999</v>
      </c>
      <c r="U36">
        <v>28.571999999999999</v>
      </c>
      <c r="V36">
        <v>32.369</v>
      </c>
      <c r="W36">
        <v>31.8</v>
      </c>
      <c r="X36">
        <v>26.05</v>
      </c>
      <c r="Y36">
        <v>27.646000000000001</v>
      </c>
      <c r="Z36">
        <v>30.904</v>
      </c>
      <c r="AA36">
        <v>28.710999999999999</v>
      </c>
      <c r="AB36">
        <v>33.384</v>
      </c>
      <c r="AC36">
        <v>28.265999999999998</v>
      </c>
      <c r="AD36">
        <v>24.661999999999999</v>
      </c>
      <c r="AE36">
        <v>30.966000000000001</v>
      </c>
      <c r="AF36">
        <v>26.98</v>
      </c>
      <c r="AG36">
        <v>27.311</v>
      </c>
      <c r="AH36">
        <v>32.097999999999999</v>
      </c>
      <c r="AI36" s="4"/>
      <c r="AJ36" s="4"/>
      <c r="AK36" s="4"/>
      <c r="AL36" s="4"/>
      <c r="AM36" s="4"/>
      <c r="AN36" s="4"/>
      <c r="AO36" s="4"/>
      <c r="AP36" s="4"/>
      <c r="AQ36" s="4"/>
      <c r="AR36" s="4"/>
      <c r="AS36" s="4"/>
      <c r="AT36" s="4"/>
      <c r="AU36" s="4"/>
      <c r="AV36" s="4"/>
      <c r="AW36" s="4"/>
      <c r="AX36" s="4"/>
      <c r="AY36" s="4"/>
    </row>
    <row r="37" spans="1:51" ht="14.5" x14ac:dyDescent="0.35">
      <c r="A37" s="113">
        <v>47150</v>
      </c>
      <c r="B37" s="33">
        <v>30</v>
      </c>
      <c r="C37" s="8">
        <v>30</v>
      </c>
      <c r="D37" s="11">
        <v>30</v>
      </c>
      <c r="E37">
        <v>27.696999999999999</v>
      </c>
      <c r="F37">
        <v>28.81</v>
      </c>
      <c r="G37">
        <v>36.475999999999999</v>
      </c>
      <c r="H37">
        <v>26.542000000000002</v>
      </c>
      <c r="I37">
        <v>28.902999999999999</v>
      </c>
      <c r="J37">
        <v>28.172999999999998</v>
      </c>
      <c r="K37">
        <v>26.565000000000001</v>
      </c>
      <c r="L37">
        <v>21.786000000000001</v>
      </c>
      <c r="M37">
        <v>20.581</v>
      </c>
      <c r="N37">
        <v>21.021000000000001</v>
      </c>
      <c r="O37">
        <v>22.655999999999999</v>
      </c>
      <c r="P37">
        <v>29.364000000000001</v>
      </c>
      <c r="Q37">
        <v>26.774999999999999</v>
      </c>
      <c r="R37">
        <v>30.806000000000001</v>
      </c>
      <c r="S37">
        <v>27.986000000000001</v>
      </c>
      <c r="T37">
        <v>28.606000000000002</v>
      </c>
      <c r="U37">
        <v>22.957000000000001</v>
      </c>
      <c r="V37">
        <v>25.574000000000002</v>
      </c>
      <c r="W37">
        <v>26.259</v>
      </c>
      <c r="X37">
        <v>23.248999999999999</v>
      </c>
      <c r="Y37">
        <v>26.805</v>
      </c>
      <c r="Z37">
        <v>31.207000000000001</v>
      </c>
      <c r="AA37">
        <v>26.353999999999999</v>
      </c>
      <c r="AB37">
        <v>31.582000000000001</v>
      </c>
      <c r="AC37">
        <v>23.844000000000001</v>
      </c>
      <c r="AD37">
        <v>20.384</v>
      </c>
      <c r="AE37">
        <v>25.309000000000001</v>
      </c>
      <c r="AF37">
        <v>23.327999999999999</v>
      </c>
      <c r="AG37">
        <v>23.263000000000002</v>
      </c>
      <c r="AH37">
        <v>27.42</v>
      </c>
      <c r="AI37" s="4"/>
      <c r="AJ37" s="4"/>
      <c r="AK37" s="4"/>
      <c r="AL37" s="4"/>
      <c r="AM37" s="4"/>
      <c r="AN37" s="4"/>
      <c r="AO37" s="4"/>
      <c r="AP37" s="4"/>
      <c r="AQ37" s="4"/>
      <c r="AR37" s="4"/>
      <c r="AS37" s="4"/>
      <c r="AT37" s="4"/>
      <c r="AU37" s="4"/>
      <c r="AV37" s="4"/>
      <c r="AW37" s="4"/>
      <c r="AX37" s="4"/>
      <c r="AY37" s="4"/>
    </row>
    <row r="38" spans="1:51" ht="14.5" x14ac:dyDescent="0.35">
      <c r="A38" s="113">
        <v>47178</v>
      </c>
      <c r="B38" s="33">
        <v>47</v>
      </c>
      <c r="C38" s="8">
        <v>47</v>
      </c>
      <c r="D38" s="11">
        <v>47</v>
      </c>
      <c r="E38">
        <v>50.35</v>
      </c>
      <c r="F38">
        <v>57.524000000000001</v>
      </c>
      <c r="G38">
        <v>47.387999999999998</v>
      </c>
      <c r="H38">
        <v>52.448</v>
      </c>
      <c r="I38">
        <v>54.947000000000003</v>
      </c>
      <c r="J38">
        <v>51.176000000000002</v>
      </c>
      <c r="K38">
        <v>37.667999999999999</v>
      </c>
      <c r="L38">
        <v>35.887999999999998</v>
      </c>
      <c r="M38">
        <v>31.157</v>
      </c>
      <c r="N38">
        <v>33.051000000000002</v>
      </c>
      <c r="O38">
        <v>49.756999999999998</v>
      </c>
      <c r="P38">
        <v>40.773000000000003</v>
      </c>
      <c r="Q38">
        <v>36.966000000000001</v>
      </c>
      <c r="R38">
        <v>78.893000000000001</v>
      </c>
      <c r="S38">
        <v>35.231000000000002</v>
      </c>
      <c r="T38">
        <v>46.665999999999997</v>
      </c>
      <c r="U38">
        <v>29.692</v>
      </c>
      <c r="V38">
        <v>39.704999999999998</v>
      </c>
      <c r="W38">
        <v>45.093000000000004</v>
      </c>
      <c r="X38">
        <v>28.023</v>
      </c>
      <c r="Y38">
        <v>31.794</v>
      </c>
      <c r="Z38">
        <v>47.654000000000003</v>
      </c>
      <c r="AA38">
        <v>34.177999999999997</v>
      </c>
      <c r="AB38">
        <v>52.68</v>
      </c>
      <c r="AC38">
        <v>31.962</v>
      </c>
      <c r="AD38">
        <v>31.574999999999999</v>
      </c>
      <c r="AE38">
        <v>37.204000000000001</v>
      </c>
      <c r="AF38">
        <v>31.297000000000001</v>
      </c>
      <c r="AG38">
        <v>40.664000000000001</v>
      </c>
      <c r="AH38">
        <v>51.012999999999998</v>
      </c>
      <c r="AI38" s="4"/>
      <c r="AJ38" s="4"/>
      <c r="AK38" s="4"/>
      <c r="AL38" s="4"/>
      <c r="AM38" s="4"/>
      <c r="AN38" s="4"/>
      <c r="AO38" s="4"/>
      <c r="AP38" s="4"/>
      <c r="AQ38" s="4"/>
      <c r="AR38" s="4"/>
      <c r="AS38" s="4"/>
      <c r="AT38" s="4"/>
      <c r="AU38" s="4"/>
      <c r="AV38" s="4"/>
      <c r="AW38" s="4"/>
      <c r="AX38" s="4"/>
      <c r="AY38" s="4"/>
    </row>
    <row r="39" spans="1:51" ht="14.5" x14ac:dyDescent="0.35">
      <c r="A39" s="113">
        <v>47209</v>
      </c>
      <c r="B39" s="33">
        <v>120</v>
      </c>
      <c r="C39" s="8">
        <v>120</v>
      </c>
      <c r="D39" s="11">
        <v>120</v>
      </c>
      <c r="E39">
        <v>122.158</v>
      </c>
      <c r="F39">
        <v>101.045</v>
      </c>
      <c r="G39">
        <v>116.8</v>
      </c>
      <c r="H39">
        <v>121.752</v>
      </c>
      <c r="I39">
        <v>111.645</v>
      </c>
      <c r="J39">
        <v>106.726</v>
      </c>
      <c r="K39">
        <v>92.691999999999993</v>
      </c>
      <c r="L39">
        <v>81.406000000000006</v>
      </c>
      <c r="M39">
        <v>76.375</v>
      </c>
      <c r="N39">
        <v>89.103999999999999</v>
      </c>
      <c r="O39">
        <v>143.54</v>
      </c>
      <c r="P39">
        <v>158.83500000000001</v>
      </c>
      <c r="Q39">
        <v>158.69900000000001</v>
      </c>
      <c r="R39">
        <v>155.965</v>
      </c>
      <c r="S39">
        <v>70.941999999999993</v>
      </c>
      <c r="T39">
        <v>97.43</v>
      </c>
      <c r="U39">
        <v>83.816000000000003</v>
      </c>
      <c r="V39">
        <v>129.07900000000001</v>
      </c>
      <c r="W39">
        <v>124.30800000000001</v>
      </c>
      <c r="X39">
        <v>61.774000000000001</v>
      </c>
      <c r="Y39">
        <v>93.4</v>
      </c>
      <c r="Z39">
        <v>87.266999999999996</v>
      </c>
      <c r="AA39">
        <v>104.46899999999999</v>
      </c>
      <c r="AB39">
        <v>121.178</v>
      </c>
      <c r="AC39">
        <v>75.582999999999998</v>
      </c>
      <c r="AD39">
        <v>117.749</v>
      </c>
      <c r="AE39">
        <v>81.563999999999993</v>
      </c>
      <c r="AF39">
        <v>64.207999999999998</v>
      </c>
      <c r="AG39">
        <v>113.32899999999999</v>
      </c>
      <c r="AH39">
        <v>127.533</v>
      </c>
      <c r="AI39" s="4"/>
      <c r="AJ39" s="4"/>
      <c r="AK39" s="4"/>
      <c r="AL39" s="4"/>
      <c r="AM39" s="4"/>
      <c r="AN39" s="4"/>
      <c r="AO39" s="4"/>
      <c r="AP39" s="4"/>
      <c r="AQ39" s="4"/>
      <c r="AR39" s="4"/>
      <c r="AS39" s="4"/>
      <c r="AT39" s="4"/>
      <c r="AU39" s="4"/>
      <c r="AV39" s="4"/>
      <c r="AW39" s="4"/>
      <c r="AX39" s="4"/>
      <c r="AY39" s="4"/>
    </row>
    <row r="40" spans="1:51" ht="14.5" x14ac:dyDescent="0.35">
      <c r="A40" s="113">
        <v>47239</v>
      </c>
      <c r="B40" s="33">
        <v>202</v>
      </c>
      <c r="C40" s="8">
        <v>202</v>
      </c>
      <c r="D40" s="11">
        <v>202</v>
      </c>
      <c r="E40">
        <v>232.82</v>
      </c>
      <c r="F40">
        <v>280.59500000000003</v>
      </c>
      <c r="G40">
        <v>229.18700000000001</v>
      </c>
      <c r="H40">
        <v>303.50099999999998</v>
      </c>
      <c r="I40">
        <v>273.54899999999998</v>
      </c>
      <c r="J40">
        <v>202.81100000000001</v>
      </c>
      <c r="K40">
        <v>179.10599999999999</v>
      </c>
      <c r="L40">
        <v>203.43700000000001</v>
      </c>
      <c r="M40">
        <v>117.60599999999999</v>
      </c>
      <c r="N40">
        <v>216.73500000000001</v>
      </c>
      <c r="O40">
        <v>200.41399999999999</v>
      </c>
      <c r="P40">
        <v>343.86599999999999</v>
      </c>
      <c r="Q40">
        <v>237.48599999999999</v>
      </c>
      <c r="R40">
        <v>212.184</v>
      </c>
      <c r="S40">
        <v>295.68200000000002</v>
      </c>
      <c r="T40">
        <v>282.62900000000002</v>
      </c>
      <c r="U40">
        <v>193.27699999999999</v>
      </c>
      <c r="V40">
        <v>267.05399999999997</v>
      </c>
      <c r="W40">
        <v>159.744</v>
      </c>
      <c r="X40">
        <v>162.91800000000001</v>
      </c>
      <c r="Y40">
        <v>229.27600000000001</v>
      </c>
      <c r="Z40">
        <v>188.66399999999999</v>
      </c>
      <c r="AA40">
        <v>207.023</v>
      </c>
      <c r="AB40">
        <v>205.47399999999999</v>
      </c>
      <c r="AC40">
        <v>147.923</v>
      </c>
      <c r="AD40">
        <v>287.822</v>
      </c>
      <c r="AE40">
        <v>181.596</v>
      </c>
      <c r="AF40">
        <v>150.369</v>
      </c>
      <c r="AG40">
        <v>215.28200000000001</v>
      </c>
      <c r="AH40">
        <v>398.31799999999998</v>
      </c>
      <c r="AI40" s="4"/>
      <c r="AJ40" s="4"/>
      <c r="AK40" s="4"/>
      <c r="AL40" s="4"/>
      <c r="AM40" s="4"/>
      <c r="AN40" s="4"/>
      <c r="AO40" s="4"/>
      <c r="AP40" s="4"/>
      <c r="AQ40" s="4"/>
      <c r="AR40" s="4"/>
      <c r="AS40" s="4"/>
      <c r="AT40" s="4"/>
      <c r="AU40" s="4"/>
      <c r="AV40" s="4"/>
      <c r="AW40" s="4"/>
      <c r="AX40" s="4"/>
      <c r="AY40" s="4"/>
    </row>
    <row r="41" spans="1:51" ht="14.5" x14ac:dyDescent="0.35">
      <c r="A41" s="113">
        <v>47270</v>
      </c>
      <c r="B41" s="33">
        <v>132</v>
      </c>
      <c r="C41" s="8">
        <v>132</v>
      </c>
      <c r="D41" s="11">
        <v>132</v>
      </c>
      <c r="E41">
        <v>135.512</v>
      </c>
      <c r="F41">
        <v>342.899</v>
      </c>
      <c r="G41">
        <v>127.956</v>
      </c>
      <c r="H41">
        <v>262.37299999999999</v>
      </c>
      <c r="I41">
        <v>179.49700000000001</v>
      </c>
      <c r="J41">
        <v>185.452</v>
      </c>
      <c r="K41">
        <v>84.119</v>
      </c>
      <c r="L41">
        <v>109.637</v>
      </c>
      <c r="M41">
        <v>58.737000000000002</v>
      </c>
      <c r="N41">
        <v>127.812</v>
      </c>
      <c r="O41">
        <v>93.451999999999998</v>
      </c>
      <c r="P41">
        <v>231.62700000000001</v>
      </c>
      <c r="Q41">
        <v>121.77500000000001</v>
      </c>
      <c r="R41">
        <v>105.941</v>
      </c>
      <c r="S41">
        <v>282.06</v>
      </c>
      <c r="T41">
        <v>168.06399999999999</v>
      </c>
      <c r="U41">
        <v>186.25299999999999</v>
      </c>
      <c r="V41">
        <v>312.327</v>
      </c>
      <c r="W41">
        <v>70.302999999999997</v>
      </c>
      <c r="X41">
        <v>121.10299999999999</v>
      </c>
      <c r="Y41">
        <v>177.83099999999999</v>
      </c>
      <c r="Z41">
        <v>166.88499999999999</v>
      </c>
      <c r="AA41">
        <v>161.17099999999999</v>
      </c>
      <c r="AB41">
        <v>185.798</v>
      </c>
      <c r="AC41">
        <v>59.921999999999997</v>
      </c>
      <c r="AD41">
        <v>271.541</v>
      </c>
      <c r="AE41">
        <v>111.851</v>
      </c>
      <c r="AF41">
        <v>152.97399999999999</v>
      </c>
      <c r="AG41">
        <v>117.694</v>
      </c>
      <c r="AH41">
        <v>284.84300000000002</v>
      </c>
      <c r="AI41" s="4"/>
      <c r="AJ41" s="4"/>
      <c r="AK41" s="4"/>
      <c r="AL41" s="4"/>
      <c r="AM41" s="4"/>
      <c r="AN41" s="4"/>
      <c r="AO41" s="4"/>
      <c r="AP41" s="4"/>
      <c r="AQ41" s="4"/>
      <c r="AR41" s="4"/>
      <c r="AS41" s="4"/>
      <c r="AT41" s="4"/>
      <c r="AU41" s="4"/>
      <c r="AV41" s="4"/>
      <c r="AW41" s="4"/>
      <c r="AX41" s="4"/>
      <c r="AY41" s="4"/>
    </row>
    <row r="42" spans="1:51" ht="14.5" x14ac:dyDescent="0.35">
      <c r="A42" s="113">
        <v>47300</v>
      </c>
      <c r="B42" s="33">
        <v>49</v>
      </c>
      <c r="C42" s="8">
        <v>49</v>
      </c>
      <c r="D42" s="11">
        <v>49</v>
      </c>
      <c r="E42">
        <v>33.012999999999998</v>
      </c>
      <c r="F42">
        <v>196.64099999999999</v>
      </c>
      <c r="G42">
        <v>35.073999999999998</v>
      </c>
      <c r="H42">
        <v>70.045000000000002</v>
      </c>
      <c r="I42">
        <v>65.233999999999995</v>
      </c>
      <c r="J42">
        <v>84.293999999999997</v>
      </c>
      <c r="K42">
        <v>22.713999999999999</v>
      </c>
      <c r="L42">
        <v>27.123000000000001</v>
      </c>
      <c r="M42">
        <v>22.937999999999999</v>
      </c>
      <c r="N42">
        <v>30.266999999999999</v>
      </c>
      <c r="O42">
        <v>27.975999999999999</v>
      </c>
      <c r="P42">
        <v>64.164000000000001</v>
      </c>
      <c r="Q42">
        <v>33.198</v>
      </c>
      <c r="R42">
        <v>33.070999999999998</v>
      </c>
      <c r="S42">
        <v>90.861999999999995</v>
      </c>
      <c r="T42">
        <v>67.762</v>
      </c>
      <c r="U42">
        <v>43.021999999999998</v>
      </c>
      <c r="V42">
        <v>116.762</v>
      </c>
      <c r="W42">
        <v>33.838999999999999</v>
      </c>
      <c r="X42">
        <v>41.417000000000002</v>
      </c>
      <c r="Y42">
        <v>60.817999999999998</v>
      </c>
      <c r="Z42">
        <v>58.279000000000003</v>
      </c>
      <c r="AA42">
        <v>56.261000000000003</v>
      </c>
      <c r="AB42">
        <v>49.512</v>
      </c>
      <c r="AC42">
        <v>25.89</v>
      </c>
      <c r="AD42">
        <v>104.971</v>
      </c>
      <c r="AE42">
        <v>30.105</v>
      </c>
      <c r="AF42">
        <v>55.439</v>
      </c>
      <c r="AG42">
        <v>38.201999999999998</v>
      </c>
      <c r="AH42">
        <v>101.74</v>
      </c>
      <c r="AI42" s="4"/>
      <c r="AJ42" s="4"/>
      <c r="AK42" s="4"/>
      <c r="AL42" s="4"/>
      <c r="AM42" s="4"/>
      <c r="AN42" s="4"/>
      <c r="AO42" s="4"/>
      <c r="AP42" s="4"/>
      <c r="AQ42" s="4"/>
      <c r="AR42" s="4"/>
      <c r="AS42" s="4"/>
      <c r="AT42" s="4"/>
      <c r="AU42" s="4"/>
      <c r="AV42" s="4"/>
      <c r="AW42" s="4"/>
      <c r="AX42" s="4"/>
      <c r="AY42" s="4"/>
    </row>
    <row r="43" spans="1:51" ht="14.5" x14ac:dyDescent="0.35">
      <c r="A43" s="113">
        <v>47331</v>
      </c>
      <c r="B43" s="33">
        <v>52</v>
      </c>
      <c r="C43" s="8">
        <v>52</v>
      </c>
      <c r="D43" s="11">
        <v>52</v>
      </c>
      <c r="E43">
        <v>28.202000000000002</v>
      </c>
      <c r="F43">
        <v>61.765999999999998</v>
      </c>
      <c r="G43">
        <v>24.439</v>
      </c>
      <c r="H43">
        <v>43.08</v>
      </c>
      <c r="I43">
        <v>29.353000000000002</v>
      </c>
      <c r="J43">
        <v>57.436999999999998</v>
      </c>
      <c r="K43">
        <v>23.841999999999999</v>
      </c>
      <c r="L43">
        <v>26.096</v>
      </c>
      <c r="M43">
        <v>24.113</v>
      </c>
      <c r="N43">
        <v>24.201000000000001</v>
      </c>
      <c r="O43">
        <v>27.79</v>
      </c>
      <c r="P43">
        <v>34.063000000000002</v>
      </c>
      <c r="Q43">
        <v>27.524000000000001</v>
      </c>
      <c r="R43">
        <v>27.893999999999998</v>
      </c>
      <c r="S43">
        <v>45.192999999999998</v>
      </c>
      <c r="T43">
        <v>35.137</v>
      </c>
      <c r="U43">
        <v>39.143999999999998</v>
      </c>
      <c r="V43">
        <v>45.598999999999997</v>
      </c>
      <c r="W43">
        <v>29.946999999999999</v>
      </c>
      <c r="X43">
        <v>41.414999999999999</v>
      </c>
      <c r="Y43">
        <v>52.679000000000002</v>
      </c>
      <c r="Z43">
        <v>45.656999999999996</v>
      </c>
      <c r="AA43">
        <v>44.633000000000003</v>
      </c>
      <c r="AB43">
        <v>39.017000000000003</v>
      </c>
      <c r="AC43">
        <v>34.347000000000001</v>
      </c>
      <c r="AD43">
        <v>46.817</v>
      </c>
      <c r="AE43">
        <v>31.411999999999999</v>
      </c>
      <c r="AF43">
        <v>26.353999999999999</v>
      </c>
      <c r="AG43">
        <v>34.491</v>
      </c>
      <c r="AH43">
        <v>45.896000000000001</v>
      </c>
      <c r="AI43" s="4"/>
      <c r="AJ43" s="4"/>
      <c r="AK43" s="4"/>
      <c r="AL43" s="4"/>
      <c r="AM43" s="4"/>
      <c r="AN43" s="4"/>
      <c r="AO43" s="4"/>
      <c r="AP43" s="4"/>
      <c r="AQ43" s="4"/>
      <c r="AR43" s="4"/>
      <c r="AS43" s="4"/>
      <c r="AT43" s="4"/>
      <c r="AU43" s="4"/>
      <c r="AV43" s="4"/>
      <c r="AW43" s="4"/>
      <c r="AX43" s="4"/>
      <c r="AY43" s="4"/>
    </row>
    <row r="44" spans="1:51" ht="14.5" x14ac:dyDescent="0.35">
      <c r="A44" s="113">
        <v>47362</v>
      </c>
      <c r="B44" s="33">
        <v>67</v>
      </c>
      <c r="C44" s="8">
        <v>67</v>
      </c>
      <c r="D44" s="11">
        <v>67</v>
      </c>
      <c r="E44">
        <v>44.027999999999999</v>
      </c>
      <c r="F44">
        <v>66.835999999999999</v>
      </c>
      <c r="G44">
        <v>46.238999999999997</v>
      </c>
      <c r="H44">
        <v>66.858000000000004</v>
      </c>
      <c r="I44">
        <v>45.314</v>
      </c>
      <c r="J44">
        <v>52.198</v>
      </c>
      <c r="K44">
        <v>43.692</v>
      </c>
      <c r="L44">
        <v>44.804000000000002</v>
      </c>
      <c r="M44">
        <v>33.679000000000002</v>
      </c>
      <c r="N44">
        <v>49.165999999999997</v>
      </c>
      <c r="O44">
        <v>58.915999999999997</v>
      </c>
      <c r="P44">
        <v>51.435000000000002</v>
      </c>
      <c r="Q44">
        <v>55.488</v>
      </c>
      <c r="R44">
        <v>71.965000000000003</v>
      </c>
      <c r="S44">
        <v>59.347999999999999</v>
      </c>
      <c r="T44">
        <v>53.750999999999998</v>
      </c>
      <c r="U44">
        <v>49.938000000000002</v>
      </c>
      <c r="V44">
        <v>65.78</v>
      </c>
      <c r="W44">
        <v>45.332999999999998</v>
      </c>
      <c r="X44">
        <v>66.722999999999999</v>
      </c>
      <c r="Y44">
        <v>82.025999999999996</v>
      </c>
      <c r="Z44">
        <v>60.24</v>
      </c>
      <c r="AA44">
        <v>61.045000000000002</v>
      </c>
      <c r="AB44">
        <v>55.28</v>
      </c>
      <c r="AC44">
        <v>48.600999999999999</v>
      </c>
      <c r="AD44">
        <v>55.344999999999999</v>
      </c>
      <c r="AE44">
        <v>50.408000000000001</v>
      </c>
      <c r="AF44">
        <v>38.375</v>
      </c>
      <c r="AG44">
        <v>47.387999999999998</v>
      </c>
      <c r="AH44">
        <v>58.094999999999999</v>
      </c>
      <c r="AI44" s="4"/>
      <c r="AJ44" s="4"/>
      <c r="AK44" s="4"/>
      <c r="AL44" s="4"/>
      <c r="AM44" s="4"/>
      <c r="AN44" s="4"/>
      <c r="AO44" s="4"/>
      <c r="AP44" s="4"/>
      <c r="AQ44" s="4"/>
      <c r="AR44" s="4"/>
      <c r="AS44" s="4"/>
      <c r="AT44" s="4"/>
      <c r="AU44" s="4"/>
      <c r="AV44" s="4"/>
      <c r="AW44" s="4"/>
      <c r="AX44" s="4"/>
      <c r="AY44" s="4"/>
    </row>
    <row r="45" spans="1:51" ht="14.5" x14ac:dyDescent="0.35">
      <c r="A45" s="113">
        <v>47392</v>
      </c>
      <c r="B45" s="33">
        <v>82</v>
      </c>
      <c r="C45" s="8">
        <v>74</v>
      </c>
      <c r="D45" s="11">
        <v>79</v>
      </c>
      <c r="E45">
        <v>68.003</v>
      </c>
      <c r="F45">
        <v>79.322000000000003</v>
      </c>
      <c r="G45">
        <v>78.421000000000006</v>
      </c>
      <c r="H45">
        <v>95.533000000000001</v>
      </c>
      <c r="I45">
        <v>72.876999999999995</v>
      </c>
      <c r="J45">
        <v>60.600999999999999</v>
      </c>
      <c r="K45">
        <v>69.462999999999994</v>
      </c>
      <c r="L45">
        <v>62.204000000000001</v>
      </c>
      <c r="M45">
        <v>52.098999999999997</v>
      </c>
      <c r="N45">
        <v>58.451000000000001</v>
      </c>
      <c r="O45">
        <v>69.872</v>
      </c>
      <c r="P45">
        <v>84.823999999999998</v>
      </c>
      <c r="Q45">
        <v>120.18899999999999</v>
      </c>
      <c r="R45">
        <v>98.266999999999996</v>
      </c>
      <c r="S45">
        <v>76.478999999999999</v>
      </c>
      <c r="T45">
        <v>76.263000000000005</v>
      </c>
      <c r="U45">
        <v>73.283000000000001</v>
      </c>
      <c r="V45">
        <v>87.466999999999999</v>
      </c>
      <c r="W45">
        <v>55.1</v>
      </c>
      <c r="X45">
        <v>89.93</v>
      </c>
      <c r="Y45">
        <v>100.887</v>
      </c>
      <c r="Z45">
        <v>83.786000000000001</v>
      </c>
      <c r="AA45">
        <v>81.111999999999995</v>
      </c>
      <c r="AB45">
        <v>84.622</v>
      </c>
      <c r="AC45">
        <v>61.994</v>
      </c>
      <c r="AD45">
        <v>88.703999999999994</v>
      </c>
      <c r="AE45">
        <v>54.677</v>
      </c>
      <c r="AF45">
        <v>59.695999999999998</v>
      </c>
      <c r="AG45">
        <v>64.459999999999994</v>
      </c>
      <c r="AH45">
        <v>83.978999999999999</v>
      </c>
      <c r="AI45" s="4"/>
      <c r="AJ45" s="4"/>
      <c r="AK45" s="4"/>
      <c r="AL45" s="4"/>
      <c r="AM45" s="4"/>
      <c r="AN45" s="4"/>
      <c r="AO45" s="4"/>
      <c r="AP45" s="4"/>
      <c r="AQ45" s="4"/>
      <c r="AR45" s="4"/>
      <c r="AS45" s="4"/>
      <c r="AT45" s="4"/>
      <c r="AU45" s="4"/>
      <c r="AV45" s="4"/>
      <c r="AW45" s="4"/>
      <c r="AX45" s="4"/>
      <c r="AY45" s="4"/>
    </row>
    <row r="46" spans="1:51" ht="14.5" x14ac:dyDescent="0.35">
      <c r="A46" s="113">
        <v>47423</v>
      </c>
      <c r="B46" s="33">
        <v>53</v>
      </c>
      <c r="C46" s="8">
        <v>50</v>
      </c>
      <c r="D46" s="11">
        <v>52</v>
      </c>
      <c r="E46">
        <v>46.476999999999997</v>
      </c>
      <c r="F46">
        <v>53.24</v>
      </c>
      <c r="G46">
        <v>51.573</v>
      </c>
      <c r="H46">
        <v>58.234999999999999</v>
      </c>
      <c r="I46">
        <v>46.029000000000003</v>
      </c>
      <c r="J46">
        <v>41.735999999999997</v>
      </c>
      <c r="K46">
        <v>39.393999999999998</v>
      </c>
      <c r="L46">
        <v>39.825000000000003</v>
      </c>
      <c r="M46">
        <v>38.32</v>
      </c>
      <c r="N46">
        <v>38.787999999999997</v>
      </c>
      <c r="O46">
        <v>49.104999999999997</v>
      </c>
      <c r="P46">
        <v>54.868000000000002</v>
      </c>
      <c r="Q46">
        <v>60.594000000000001</v>
      </c>
      <c r="R46">
        <v>54.198</v>
      </c>
      <c r="S46">
        <v>44.636000000000003</v>
      </c>
      <c r="T46">
        <v>44.503</v>
      </c>
      <c r="U46">
        <v>43.878</v>
      </c>
      <c r="V46">
        <v>45.875999999999998</v>
      </c>
      <c r="W46">
        <v>36.526000000000003</v>
      </c>
      <c r="X46">
        <v>47.795999999999999</v>
      </c>
      <c r="Y46">
        <v>45.802999999999997</v>
      </c>
      <c r="Z46">
        <v>41.466999999999999</v>
      </c>
      <c r="AA46">
        <v>40.722999999999999</v>
      </c>
      <c r="AB46">
        <v>43.04</v>
      </c>
      <c r="AC46">
        <v>37.377000000000002</v>
      </c>
      <c r="AD46">
        <v>43.267000000000003</v>
      </c>
      <c r="AE46">
        <v>42.316000000000003</v>
      </c>
      <c r="AF46">
        <v>41.058999999999997</v>
      </c>
      <c r="AG46">
        <v>46.098999999999997</v>
      </c>
      <c r="AH46">
        <v>51.887999999999998</v>
      </c>
      <c r="AI46" s="4"/>
      <c r="AJ46" s="4"/>
      <c r="AK46" s="4"/>
      <c r="AL46" s="4"/>
      <c r="AM46" s="4"/>
      <c r="AN46" s="4"/>
      <c r="AO46" s="4"/>
      <c r="AP46" s="4"/>
      <c r="AQ46" s="4"/>
      <c r="AR46" s="4"/>
      <c r="AS46" s="4"/>
      <c r="AT46" s="4"/>
      <c r="AU46" s="4"/>
      <c r="AV46" s="4"/>
      <c r="AW46" s="4"/>
      <c r="AX46" s="4"/>
      <c r="AY46" s="4"/>
    </row>
    <row r="47" spans="1:51" ht="14.5" x14ac:dyDescent="0.35">
      <c r="A47" s="113">
        <v>47453</v>
      </c>
      <c r="B47" s="33">
        <v>40</v>
      </c>
      <c r="C47" s="8">
        <v>40</v>
      </c>
      <c r="D47" s="11">
        <v>40</v>
      </c>
      <c r="E47">
        <v>35.411999999999999</v>
      </c>
      <c r="F47">
        <v>39.978999999999999</v>
      </c>
      <c r="G47">
        <v>38.76</v>
      </c>
      <c r="H47">
        <v>40.840000000000003</v>
      </c>
      <c r="I47">
        <v>38.515999999999998</v>
      </c>
      <c r="J47">
        <v>32.524000000000001</v>
      </c>
      <c r="K47">
        <v>30.199000000000002</v>
      </c>
      <c r="L47">
        <v>30.518000000000001</v>
      </c>
      <c r="M47">
        <v>28.611999999999998</v>
      </c>
      <c r="N47">
        <v>32.049999999999997</v>
      </c>
      <c r="O47">
        <v>36.148000000000003</v>
      </c>
      <c r="P47">
        <v>38.92</v>
      </c>
      <c r="Q47">
        <v>40.298999999999999</v>
      </c>
      <c r="R47">
        <v>40.68</v>
      </c>
      <c r="S47">
        <v>35.584000000000003</v>
      </c>
      <c r="T47">
        <v>33.590000000000003</v>
      </c>
      <c r="U47">
        <v>38.656999999999996</v>
      </c>
      <c r="V47">
        <v>35.540999999999997</v>
      </c>
      <c r="W47">
        <v>29.306000000000001</v>
      </c>
      <c r="X47">
        <v>33.662999999999997</v>
      </c>
      <c r="Y47">
        <v>35.75</v>
      </c>
      <c r="Z47">
        <v>32.89</v>
      </c>
      <c r="AA47">
        <v>33.841999999999999</v>
      </c>
      <c r="AB47">
        <v>33.051000000000002</v>
      </c>
      <c r="AC47">
        <v>27.791</v>
      </c>
      <c r="AD47">
        <v>35.694000000000003</v>
      </c>
      <c r="AE47">
        <v>32.365000000000002</v>
      </c>
      <c r="AF47">
        <v>32.613</v>
      </c>
      <c r="AG47">
        <v>33.383000000000003</v>
      </c>
      <c r="AH47">
        <v>37.554000000000002</v>
      </c>
      <c r="AI47" s="4"/>
      <c r="AJ47" s="4"/>
      <c r="AK47" s="4"/>
      <c r="AL47" s="4"/>
      <c r="AM47" s="4"/>
      <c r="AN47" s="4"/>
      <c r="AO47" s="4"/>
      <c r="AP47" s="4"/>
      <c r="AQ47" s="4"/>
      <c r="AR47" s="4"/>
      <c r="AS47" s="4"/>
      <c r="AT47" s="4"/>
      <c r="AU47" s="4"/>
      <c r="AV47" s="4"/>
      <c r="AW47" s="4"/>
      <c r="AX47" s="4"/>
      <c r="AY47" s="4"/>
    </row>
    <row r="48" spans="1:51" ht="14.5" x14ac:dyDescent="0.35">
      <c r="A48" s="113">
        <v>47484</v>
      </c>
      <c r="B48" s="33">
        <v>34</v>
      </c>
      <c r="C48" s="8">
        <v>34</v>
      </c>
      <c r="D48" s="11">
        <v>34</v>
      </c>
      <c r="E48">
        <v>31.463999999999999</v>
      </c>
      <c r="F48">
        <v>33.587000000000003</v>
      </c>
      <c r="G48">
        <v>33.484000000000002</v>
      </c>
      <c r="H48">
        <v>36.094999999999999</v>
      </c>
      <c r="I48">
        <v>33.572000000000003</v>
      </c>
      <c r="J48">
        <v>30.236000000000001</v>
      </c>
      <c r="K48">
        <v>26.088999999999999</v>
      </c>
      <c r="L48">
        <v>26.31</v>
      </c>
      <c r="M48">
        <v>24.724</v>
      </c>
      <c r="N48">
        <v>27.925000000000001</v>
      </c>
      <c r="O48">
        <v>39.682000000000002</v>
      </c>
      <c r="P48">
        <v>34.777000000000001</v>
      </c>
      <c r="Q48">
        <v>34.140999999999998</v>
      </c>
      <c r="R48">
        <v>33.145000000000003</v>
      </c>
      <c r="S48">
        <v>32.021999999999998</v>
      </c>
      <c r="T48">
        <v>28.777999999999999</v>
      </c>
      <c r="U48">
        <v>32.823</v>
      </c>
      <c r="V48">
        <v>31.879000000000001</v>
      </c>
      <c r="W48">
        <v>26.190999999999999</v>
      </c>
      <c r="X48">
        <v>28.210999999999999</v>
      </c>
      <c r="Y48">
        <v>30.902999999999999</v>
      </c>
      <c r="Z48">
        <v>28.783000000000001</v>
      </c>
      <c r="AA48">
        <v>33.597999999999999</v>
      </c>
      <c r="AB48">
        <v>28.31</v>
      </c>
      <c r="AC48">
        <v>24.922999999999998</v>
      </c>
      <c r="AD48">
        <v>31.143999999999998</v>
      </c>
      <c r="AE48">
        <v>26.914000000000001</v>
      </c>
      <c r="AF48">
        <v>27.83</v>
      </c>
      <c r="AG48">
        <v>32.081000000000003</v>
      </c>
      <c r="AH48">
        <v>33.006999999999998</v>
      </c>
      <c r="AI48" s="4"/>
      <c r="AJ48" s="4"/>
      <c r="AK48" s="4"/>
      <c r="AL48" s="4"/>
      <c r="AM48" s="4"/>
      <c r="AN48" s="4"/>
      <c r="AO48" s="4"/>
      <c r="AP48" s="4"/>
      <c r="AQ48" s="4"/>
      <c r="AR48" s="4"/>
      <c r="AS48" s="4"/>
      <c r="AT48" s="4"/>
      <c r="AU48" s="4"/>
      <c r="AV48" s="4"/>
      <c r="AW48" s="4"/>
      <c r="AX48" s="4"/>
      <c r="AY48" s="4"/>
    </row>
    <row r="49" spans="1:1005" ht="14.5" x14ac:dyDescent="0.35">
      <c r="A49" s="113">
        <v>47515</v>
      </c>
      <c r="B49" s="33">
        <v>30</v>
      </c>
      <c r="C49" s="8">
        <v>30</v>
      </c>
      <c r="D49" s="11">
        <v>30</v>
      </c>
      <c r="E49">
        <v>28.916</v>
      </c>
      <c r="F49">
        <v>36.970999999999997</v>
      </c>
      <c r="G49">
        <v>26.603999999999999</v>
      </c>
      <c r="H49">
        <v>29.140999999999998</v>
      </c>
      <c r="I49">
        <v>28.263000000000002</v>
      </c>
      <c r="J49">
        <v>26.878</v>
      </c>
      <c r="K49">
        <v>22.096</v>
      </c>
      <c r="L49">
        <v>20.698</v>
      </c>
      <c r="M49">
        <v>21.105</v>
      </c>
      <c r="N49">
        <v>22.666</v>
      </c>
      <c r="O49">
        <v>29.335999999999999</v>
      </c>
      <c r="P49">
        <v>26.734000000000002</v>
      </c>
      <c r="Q49">
        <v>30.925999999999998</v>
      </c>
      <c r="R49">
        <v>28.256</v>
      </c>
      <c r="S49">
        <v>28.643999999999998</v>
      </c>
      <c r="T49">
        <v>23.128</v>
      </c>
      <c r="U49">
        <v>25.974</v>
      </c>
      <c r="V49">
        <v>26.327000000000002</v>
      </c>
      <c r="W49">
        <v>23.370999999999999</v>
      </c>
      <c r="X49">
        <v>27.035</v>
      </c>
      <c r="Y49">
        <v>31.199000000000002</v>
      </c>
      <c r="Z49">
        <v>26.425999999999998</v>
      </c>
      <c r="AA49">
        <v>31.782</v>
      </c>
      <c r="AB49">
        <v>23.82</v>
      </c>
      <c r="AC49">
        <v>20.603999999999999</v>
      </c>
      <c r="AD49">
        <v>25.46</v>
      </c>
      <c r="AE49">
        <v>23.268000000000001</v>
      </c>
      <c r="AF49">
        <v>23.596</v>
      </c>
      <c r="AG49">
        <v>27.402000000000001</v>
      </c>
      <c r="AH49">
        <v>27.731999999999999</v>
      </c>
      <c r="AI49" s="4"/>
      <c r="AJ49" s="4"/>
      <c r="AK49" s="4"/>
      <c r="AL49" s="4"/>
      <c r="AM49" s="4"/>
      <c r="AN49" s="4"/>
      <c r="AO49" s="4"/>
      <c r="AP49" s="4"/>
      <c r="AQ49" s="4"/>
      <c r="AR49" s="4"/>
      <c r="AS49" s="4"/>
      <c r="AT49" s="4"/>
      <c r="AU49" s="4"/>
      <c r="AV49" s="4"/>
      <c r="AW49" s="4"/>
      <c r="AX49" s="4"/>
      <c r="AY49" s="4"/>
    </row>
    <row r="50" spans="1:1005" ht="14.5" x14ac:dyDescent="0.35">
      <c r="A50" s="113">
        <v>47543</v>
      </c>
      <c r="B50" s="33">
        <v>47</v>
      </c>
      <c r="C50" s="8">
        <v>47</v>
      </c>
      <c r="D50" s="11">
        <v>47</v>
      </c>
      <c r="E50">
        <v>57.655000000000001</v>
      </c>
      <c r="F50">
        <v>47.866999999999997</v>
      </c>
      <c r="G50">
        <v>52.527999999999999</v>
      </c>
      <c r="H50">
        <v>53.918999999999997</v>
      </c>
      <c r="I50">
        <v>51.268000000000001</v>
      </c>
      <c r="J50">
        <v>38.020000000000003</v>
      </c>
      <c r="K50">
        <v>36.268999999999998</v>
      </c>
      <c r="L50">
        <v>30.297000000000001</v>
      </c>
      <c r="M50">
        <v>33.159999999999997</v>
      </c>
      <c r="N50">
        <v>49.774000000000001</v>
      </c>
      <c r="O50">
        <v>40.738</v>
      </c>
      <c r="P50">
        <v>36.463999999999999</v>
      </c>
      <c r="Q50">
        <v>79.028999999999996</v>
      </c>
      <c r="R50">
        <v>35.540999999999997</v>
      </c>
      <c r="S50">
        <v>46.713000000000001</v>
      </c>
      <c r="T50">
        <v>29.123999999999999</v>
      </c>
      <c r="U50">
        <v>40.158999999999999</v>
      </c>
      <c r="V50">
        <v>45.188000000000002</v>
      </c>
      <c r="W50">
        <v>28.161999999999999</v>
      </c>
      <c r="X50">
        <v>32.43</v>
      </c>
      <c r="Y50">
        <v>47.634</v>
      </c>
      <c r="Z50">
        <v>34.253999999999998</v>
      </c>
      <c r="AA50">
        <v>53.003</v>
      </c>
      <c r="AB50">
        <v>31.15</v>
      </c>
      <c r="AC50">
        <v>31.896000000000001</v>
      </c>
      <c r="AD50">
        <v>37.378</v>
      </c>
      <c r="AE50">
        <v>31.228000000000002</v>
      </c>
      <c r="AF50">
        <v>39.94</v>
      </c>
      <c r="AG50">
        <v>50.997</v>
      </c>
      <c r="AH50">
        <v>49.651000000000003</v>
      </c>
      <c r="AI50" s="4"/>
      <c r="AJ50" s="4"/>
      <c r="AK50" s="4"/>
      <c r="AL50" s="4"/>
      <c r="AM50" s="4"/>
      <c r="AN50" s="4"/>
      <c r="AO50" s="4"/>
      <c r="AP50" s="4"/>
      <c r="AQ50" s="4"/>
      <c r="AR50" s="4"/>
      <c r="AS50" s="4"/>
      <c r="AT50" s="4"/>
      <c r="AU50" s="4"/>
      <c r="AV50" s="4"/>
      <c r="AW50" s="4"/>
      <c r="AX50" s="4"/>
      <c r="AY50" s="4"/>
    </row>
    <row r="51" spans="1:1005" ht="14.5" x14ac:dyDescent="0.35">
      <c r="A51" s="113">
        <v>47574</v>
      </c>
      <c r="B51" s="33">
        <v>120</v>
      </c>
      <c r="C51" s="8">
        <v>120</v>
      </c>
      <c r="D51" s="11">
        <v>120</v>
      </c>
      <c r="E51">
        <v>101.14</v>
      </c>
      <c r="F51">
        <v>117.324</v>
      </c>
      <c r="G51">
        <v>121.876</v>
      </c>
      <c r="H51">
        <v>108.899</v>
      </c>
      <c r="I51">
        <v>106.81100000000001</v>
      </c>
      <c r="J51">
        <v>93.132000000000005</v>
      </c>
      <c r="K51">
        <v>81.963999999999999</v>
      </c>
      <c r="L51">
        <v>75.710999999999999</v>
      </c>
      <c r="M51">
        <v>89.234999999999999</v>
      </c>
      <c r="N51">
        <v>143.577</v>
      </c>
      <c r="O51">
        <v>158.72399999999999</v>
      </c>
      <c r="P51">
        <v>156.59200000000001</v>
      </c>
      <c r="Q51">
        <v>156.06800000000001</v>
      </c>
      <c r="R51">
        <v>71.427999999999997</v>
      </c>
      <c r="S51">
        <v>97.492999999999995</v>
      </c>
      <c r="T51">
        <v>82.814999999999998</v>
      </c>
      <c r="U51">
        <v>129.74700000000001</v>
      </c>
      <c r="V51">
        <v>124.413</v>
      </c>
      <c r="W51">
        <v>61.917999999999999</v>
      </c>
      <c r="X51">
        <v>92.978999999999999</v>
      </c>
      <c r="Y51">
        <v>87.254000000000005</v>
      </c>
      <c r="Z51">
        <v>104.575</v>
      </c>
      <c r="AA51">
        <v>121.53</v>
      </c>
      <c r="AB51">
        <v>73.805000000000007</v>
      </c>
      <c r="AC51">
        <v>118.307</v>
      </c>
      <c r="AD51">
        <v>81.766000000000005</v>
      </c>
      <c r="AE51">
        <v>64.14</v>
      </c>
      <c r="AF51">
        <v>111.39</v>
      </c>
      <c r="AG51">
        <v>127.52800000000001</v>
      </c>
      <c r="AH51">
        <v>122.593</v>
      </c>
      <c r="AI51" s="4"/>
      <c r="AJ51" s="4"/>
      <c r="AK51" s="4"/>
      <c r="AL51" s="4"/>
      <c r="AM51" s="4"/>
      <c r="AN51" s="4"/>
      <c r="AO51" s="4"/>
      <c r="AP51" s="4"/>
      <c r="AQ51" s="4"/>
      <c r="AR51" s="4"/>
      <c r="AS51" s="4"/>
      <c r="AT51" s="4"/>
      <c r="AU51" s="4"/>
      <c r="AV51" s="4"/>
      <c r="AW51" s="4"/>
      <c r="AX51" s="4"/>
      <c r="AY51" s="4"/>
    </row>
    <row r="52" spans="1:1005" ht="14.5" x14ac:dyDescent="0.35">
      <c r="A52" s="113">
        <v>47604</v>
      </c>
      <c r="B52" s="33">
        <v>202</v>
      </c>
      <c r="C52" s="8">
        <v>202</v>
      </c>
      <c r="D52" s="11">
        <v>202</v>
      </c>
      <c r="E52">
        <v>280.714</v>
      </c>
      <c r="F52">
        <v>229.53800000000001</v>
      </c>
      <c r="G52">
        <v>303.60000000000002</v>
      </c>
      <c r="H52">
        <v>270.63099999999997</v>
      </c>
      <c r="I52">
        <v>202.89699999999999</v>
      </c>
      <c r="J52">
        <v>179.40700000000001</v>
      </c>
      <c r="K52">
        <v>203.881</v>
      </c>
      <c r="L52">
        <v>116.33</v>
      </c>
      <c r="M52">
        <v>216.851</v>
      </c>
      <c r="N52">
        <v>200.459</v>
      </c>
      <c r="O52">
        <v>343.74</v>
      </c>
      <c r="P52">
        <v>236.76499999999999</v>
      </c>
      <c r="Q52">
        <v>212.274</v>
      </c>
      <c r="R52">
        <v>296.512</v>
      </c>
      <c r="S52">
        <v>282.67899999999997</v>
      </c>
      <c r="T52">
        <v>188.79400000000001</v>
      </c>
      <c r="U52">
        <v>267.75400000000002</v>
      </c>
      <c r="V52">
        <v>159.80600000000001</v>
      </c>
      <c r="W52">
        <v>163.05500000000001</v>
      </c>
      <c r="X52">
        <v>223.40299999999999</v>
      </c>
      <c r="Y52">
        <v>188.66</v>
      </c>
      <c r="Z52">
        <v>207.09100000000001</v>
      </c>
      <c r="AA52">
        <v>205.73099999999999</v>
      </c>
      <c r="AB52">
        <v>148.226</v>
      </c>
      <c r="AC52">
        <v>288.50400000000002</v>
      </c>
      <c r="AD52">
        <v>181.74600000000001</v>
      </c>
      <c r="AE52">
        <v>150.30500000000001</v>
      </c>
      <c r="AF52">
        <v>214.67599999999999</v>
      </c>
      <c r="AG52">
        <v>398.30399999999997</v>
      </c>
      <c r="AH52">
        <v>233.19800000000001</v>
      </c>
      <c r="AI52" s="4"/>
      <c r="AJ52" s="4"/>
      <c r="AK52" s="4"/>
      <c r="AL52" s="4"/>
      <c r="AM52" s="4"/>
      <c r="AN52" s="4"/>
      <c r="AO52" s="4"/>
      <c r="AP52" s="4"/>
      <c r="AQ52" s="4"/>
      <c r="AR52" s="4"/>
      <c r="AS52" s="4"/>
      <c r="AT52" s="4"/>
      <c r="AU52" s="4"/>
      <c r="AV52" s="4"/>
      <c r="AW52" s="4"/>
      <c r="AX52" s="4"/>
      <c r="AY52" s="4"/>
    </row>
    <row r="53" spans="1:1005" ht="14.5" x14ac:dyDescent="0.35">
      <c r="A53" s="113">
        <v>47635</v>
      </c>
      <c r="B53" s="33">
        <v>132</v>
      </c>
      <c r="C53" s="8">
        <v>132</v>
      </c>
      <c r="D53" s="11">
        <v>132</v>
      </c>
      <c r="E53">
        <v>342.988</v>
      </c>
      <c r="F53">
        <v>128.22999999999999</v>
      </c>
      <c r="G53">
        <v>262.41699999999997</v>
      </c>
      <c r="H53">
        <v>182.84399999999999</v>
      </c>
      <c r="I53">
        <v>185.52199999999999</v>
      </c>
      <c r="J53">
        <v>84.286000000000001</v>
      </c>
      <c r="K53">
        <v>109.861</v>
      </c>
      <c r="L53">
        <v>60.902999999999999</v>
      </c>
      <c r="M53">
        <v>127.869</v>
      </c>
      <c r="N53">
        <v>93.466999999999999</v>
      </c>
      <c r="O53">
        <v>231.61</v>
      </c>
      <c r="P53">
        <v>124.27</v>
      </c>
      <c r="Q53">
        <v>106.018</v>
      </c>
      <c r="R53">
        <v>282.34199999999998</v>
      </c>
      <c r="S53">
        <v>168.089</v>
      </c>
      <c r="T53">
        <v>189.88800000000001</v>
      </c>
      <c r="U53">
        <v>312.64100000000002</v>
      </c>
      <c r="V53">
        <v>70.347999999999999</v>
      </c>
      <c r="W53">
        <v>121.188</v>
      </c>
      <c r="X53">
        <v>183.18</v>
      </c>
      <c r="Y53">
        <v>166.892</v>
      </c>
      <c r="Z53">
        <v>161.209</v>
      </c>
      <c r="AA53">
        <v>185.93199999999999</v>
      </c>
      <c r="AB53">
        <v>60.862000000000002</v>
      </c>
      <c r="AC53">
        <v>271.76600000000002</v>
      </c>
      <c r="AD53">
        <v>111.96599999999999</v>
      </c>
      <c r="AE53">
        <v>152.92699999999999</v>
      </c>
      <c r="AF53">
        <v>120.58</v>
      </c>
      <c r="AG53">
        <v>284.82799999999997</v>
      </c>
      <c r="AH53">
        <v>135.34</v>
      </c>
      <c r="AI53" s="4"/>
      <c r="AJ53" s="4"/>
      <c r="AK53" s="4"/>
      <c r="AL53" s="4"/>
      <c r="AM53" s="4"/>
      <c r="AN53" s="4"/>
      <c r="AO53" s="4"/>
      <c r="AP53" s="4"/>
      <c r="AQ53" s="4"/>
      <c r="AR53" s="4"/>
      <c r="AS53" s="4"/>
      <c r="AT53" s="4"/>
      <c r="AU53" s="4"/>
      <c r="AV53" s="4"/>
      <c r="AW53" s="4"/>
      <c r="AX53" s="4"/>
      <c r="AY53" s="4"/>
    </row>
    <row r="54" spans="1:1005" ht="14.5" x14ac:dyDescent="0.35">
      <c r="A54" s="113">
        <v>47665</v>
      </c>
      <c r="B54" s="33">
        <v>49</v>
      </c>
      <c r="C54" s="8">
        <v>49</v>
      </c>
      <c r="D54" s="11">
        <v>49</v>
      </c>
      <c r="E54">
        <v>196.75899999999999</v>
      </c>
      <c r="F54">
        <v>35.213999999999999</v>
      </c>
      <c r="G54">
        <v>70.075000000000003</v>
      </c>
      <c r="H54">
        <v>68.616</v>
      </c>
      <c r="I54">
        <v>84.370999999999995</v>
      </c>
      <c r="J54">
        <v>22.79</v>
      </c>
      <c r="K54">
        <v>27.204000000000001</v>
      </c>
      <c r="L54">
        <v>23.021999999999998</v>
      </c>
      <c r="M54">
        <v>30.274000000000001</v>
      </c>
      <c r="N54">
        <v>27.977</v>
      </c>
      <c r="O54">
        <v>64.162000000000006</v>
      </c>
      <c r="P54">
        <v>33.552</v>
      </c>
      <c r="Q54">
        <v>33.104999999999997</v>
      </c>
      <c r="R54">
        <v>91.01</v>
      </c>
      <c r="S54">
        <v>67.781000000000006</v>
      </c>
      <c r="T54">
        <v>44.722999999999999</v>
      </c>
      <c r="U54">
        <v>117.042</v>
      </c>
      <c r="V54">
        <v>33.86</v>
      </c>
      <c r="W54">
        <v>41.488</v>
      </c>
      <c r="X54">
        <v>62.287999999999997</v>
      </c>
      <c r="Y54">
        <v>58.286000000000001</v>
      </c>
      <c r="Z54">
        <v>56.293999999999997</v>
      </c>
      <c r="AA54">
        <v>49.612000000000002</v>
      </c>
      <c r="AB54">
        <v>26.055</v>
      </c>
      <c r="AC54">
        <v>105.096</v>
      </c>
      <c r="AD54">
        <v>30.18</v>
      </c>
      <c r="AE54">
        <v>55.402000000000001</v>
      </c>
      <c r="AF54">
        <v>39.44</v>
      </c>
      <c r="AG54">
        <v>101.72799999999999</v>
      </c>
      <c r="AH54">
        <v>32.914000000000001</v>
      </c>
      <c r="AI54" s="4"/>
      <c r="AJ54" s="4"/>
      <c r="AK54" s="4"/>
      <c r="AL54" s="4"/>
      <c r="AM54" s="4"/>
      <c r="AN54" s="4"/>
      <c r="AO54" s="4"/>
      <c r="AP54" s="4"/>
      <c r="AQ54" s="4"/>
      <c r="AR54" s="4"/>
      <c r="AS54" s="4"/>
      <c r="AT54" s="4"/>
      <c r="AU54" s="4"/>
      <c r="AV54" s="4"/>
      <c r="AW54" s="4"/>
      <c r="AX54" s="4"/>
      <c r="AY54" s="4"/>
    </row>
    <row r="55" spans="1:1005" ht="14.5" x14ac:dyDescent="0.35">
      <c r="A55" s="113">
        <v>47696</v>
      </c>
      <c r="B55" s="33">
        <v>52</v>
      </c>
      <c r="C55" s="8">
        <v>52</v>
      </c>
      <c r="D55" s="11">
        <v>52</v>
      </c>
      <c r="E55">
        <v>61.841000000000001</v>
      </c>
      <c r="F55">
        <v>24.471</v>
      </c>
      <c r="G55">
        <v>43.112000000000002</v>
      </c>
      <c r="H55">
        <v>29.876999999999999</v>
      </c>
      <c r="I55">
        <v>57.572000000000003</v>
      </c>
      <c r="J55">
        <v>23.888999999999999</v>
      </c>
      <c r="K55">
        <v>26.295999999999999</v>
      </c>
      <c r="L55">
        <v>24.192</v>
      </c>
      <c r="M55">
        <v>24.201000000000001</v>
      </c>
      <c r="N55">
        <v>27.794</v>
      </c>
      <c r="O55">
        <v>34.073</v>
      </c>
      <c r="P55">
        <v>27.885000000000002</v>
      </c>
      <c r="Q55">
        <v>27.957999999999998</v>
      </c>
      <c r="R55">
        <v>45.313000000000002</v>
      </c>
      <c r="S55">
        <v>35.152000000000001</v>
      </c>
      <c r="T55">
        <v>39.520000000000003</v>
      </c>
      <c r="U55">
        <v>45.944000000000003</v>
      </c>
      <c r="V55">
        <v>29.966999999999999</v>
      </c>
      <c r="W55">
        <v>41.475999999999999</v>
      </c>
      <c r="X55">
        <v>53.216000000000001</v>
      </c>
      <c r="Y55">
        <v>45.667000000000002</v>
      </c>
      <c r="Z55">
        <v>44.664000000000001</v>
      </c>
      <c r="AA55">
        <v>39.110999999999997</v>
      </c>
      <c r="AB55">
        <v>34.332000000000001</v>
      </c>
      <c r="AC55">
        <v>46.898000000000003</v>
      </c>
      <c r="AD55">
        <v>31.474</v>
      </c>
      <c r="AE55">
        <v>26.331</v>
      </c>
      <c r="AF55">
        <v>35.049999999999997</v>
      </c>
      <c r="AG55">
        <v>45.875</v>
      </c>
      <c r="AH55">
        <v>28.338000000000001</v>
      </c>
      <c r="AI55" s="4"/>
      <c r="AJ55" s="4"/>
      <c r="AK55" s="4"/>
      <c r="AL55" s="4"/>
      <c r="AM55" s="4"/>
      <c r="AN55" s="4"/>
      <c r="AO55" s="4"/>
      <c r="AP55" s="4"/>
      <c r="AQ55" s="4"/>
      <c r="AR55" s="4"/>
      <c r="AS55" s="4"/>
      <c r="AT55" s="4"/>
      <c r="AU55" s="4"/>
      <c r="AV55" s="4"/>
      <c r="AW55" s="4"/>
      <c r="AX55" s="4"/>
      <c r="AY55" s="4"/>
    </row>
    <row r="56" spans="1:1005" ht="14.5" x14ac:dyDescent="0.35">
      <c r="A56" s="113">
        <v>47727</v>
      </c>
      <c r="B56" s="33">
        <v>67</v>
      </c>
      <c r="C56" s="8">
        <v>67</v>
      </c>
      <c r="D56" s="11">
        <v>67</v>
      </c>
      <c r="E56">
        <v>66.906000000000006</v>
      </c>
      <c r="F56">
        <v>46.527000000000001</v>
      </c>
      <c r="G56">
        <v>66.888000000000005</v>
      </c>
      <c r="H56">
        <v>45.53</v>
      </c>
      <c r="I56">
        <v>52.271000000000001</v>
      </c>
      <c r="J56">
        <v>43.869</v>
      </c>
      <c r="K56">
        <v>44.997999999999998</v>
      </c>
      <c r="L56">
        <v>33.625</v>
      </c>
      <c r="M56">
        <v>49.228999999999999</v>
      </c>
      <c r="N56">
        <v>58.92</v>
      </c>
      <c r="O56">
        <v>51.451999999999998</v>
      </c>
      <c r="P56">
        <v>54.79</v>
      </c>
      <c r="Q56">
        <v>72.097999999999999</v>
      </c>
      <c r="R56">
        <v>59.451999999999998</v>
      </c>
      <c r="S56">
        <v>53.765999999999998</v>
      </c>
      <c r="T56">
        <v>50.213000000000001</v>
      </c>
      <c r="U56">
        <v>66.058000000000007</v>
      </c>
      <c r="V56">
        <v>45.371000000000002</v>
      </c>
      <c r="W56">
        <v>66.811000000000007</v>
      </c>
      <c r="X56">
        <v>80.938000000000002</v>
      </c>
      <c r="Y56">
        <v>60.253</v>
      </c>
      <c r="Z56">
        <v>61.076999999999998</v>
      </c>
      <c r="AA56">
        <v>55.366</v>
      </c>
      <c r="AB56">
        <v>48.816000000000003</v>
      </c>
      <c r="AC56">
        <v>55.415999999999997</v>
      </c>
      <c r="AD56">
        <v>50.496000000000002</v>
      </c>
      <c r="AE56">
        <v>38.348999999999997</v>
      </c>
      <c r="AF56">
        <v>47.701999999999998</v>
      </c>
      <c r="AG56">
        <v>58.081000000000003</v>
      </c>
      <c r="AH56">
        <v>44.368000000000002</v>
      </c>
      <c r="AI56" s="4"/>
      <c r="AJ56" s="4"/>
      <c r="AK56" s="4"/>
      <c r="AL56" s="4"/>
      <c r="AM56" s="4"/>
      <c r="AN56" s="4"/>
      <c r="AO56" s="4"/>
      <c r="AP56" s="4"/>
      <c r="AQ56" s="4"/>
      <c r="AR56" s="4"/>
      <c r="AS56" s="4"/>
      <c r="AT56" s="4"/>
      <c r="AU56" s="4"/>
      <c r="AV56" s="4"/>
      <c r="AW56" s="4"/>
      <c r="AX56" s="4"/>
      <c r="AY56" s="4"/>
    </row>
    <row r="57" spans="1:1005" ht="14.5" x14ac:dyDescent="0.35">
      <c r="A57" s="113">
        <v>47757</v>
      </c>
      <c r="B57" s="33">
        <v>82</v>
      </c>
      <c r="C57" s="8">
        <v>74</v>
      </c>
      <c r="D57" s="11">
        <v>79</v>
      </c>
      <c r="E57">
        <v>79.387</v>
      </c>
      <c r="F57">
        <v>78.629000000000005</v>
      </c>
      <c r="G57">
        <v>95.558000000000007</v>
      </c>
      <c r="H57">
        <v>73.292000000000002</v>
      </c>
      <c r="I57">
        <v>60.640999999999998</v>
      </c>
      <c r="J57">
        <v>69.614999999999995</v>
      </c>
      <c r="K57">
        <v>62.356999999999999</v>
      </c>
      <c r="L57">
        <v>53.005000000000003</v>
      </c>
      <c r="M57">
        <v>58.491</v>
      </c>
      <c r="N57">
        <v>69.878</v>
      </c>
      <c r="O57">
        <v>84.834000000000003</v>
      </c>
      <c r="P57">
        <v>120.80500000000001</v>
      </c>
      <c r="Q57">
        <v>98.33</v>
      </c>
      <c r="R57">
        <v>76.58</v>
      </c>
      <c r="S57">
        <v>76.277000000000001</v>
      </c>
      <c r="T57">
        <v>73.775999999999996</v>
      </c>
      <c r="U57">
        <v>87.64</v>
      </c>
      <c r="V57">
        <v>55.134</v>
      </c>
      <c r="W57">
        <v>90.007999999999996</v>
      </c>
      <c r="X57">
        <v>103.509</v>
      </c>
      <c r="Y57">
        <v>83.787000000000006</v>
      </c>
      <c r="Z57">
        <v>81.135999999999996</v>
      </c>
      <c r="AA57">
        <v>84.697000000000003</v>
      </c>
      <c r="AB57">
        <v>62.392000000000003</v>
      </c>
      <c r="AC57">
        <v>88.766999999999996</v>
      </c>
      <c r="AD57">
        <v>54.765000000000001</v>
      </c>
      <c r="AE57">
        <v>59.667000000000002</v>
      </c>
      <c r="AF57">
        <v>64.724000000000004</v>
      </c>
      <c r="AG57">
        <v>83.97</v>
      </c>
      <c r="AH57">
        <v>68.471000000000004</v>
      </c>
      <c r="AI57" s="4"/>
      <c r="AJ57" s="4"/>
      <c r="AK57" s="4"/>
      <c r="AL57" s="4"/>
      <c r="AM57" s="4"/>
      <c r="AN57" s="4"/>
      <c r="AO57" s="4"/>
      <c r="AP57" s="4"/>
      <c r="AQ57" s="4"/>
      <c r="AR57" s="4"/>
      <c r="AS57" s="4"/>
      <c r="AT57" s="4"/>
      <c r="AU57" s="4"/>
      <c r="AV57" s="4"/>
      <c r="AW57" s="4"/>
      <c r="AX57" s="4"/>
      <c r="AY57" s="4"/>
    </row>
    <row r="58" spans="1:1005" ht="14.5" x14ac:dyDescent="0.35">
      <c r="A58" s="113">
        <v>47788</v>
      </c>
      <c r="B58" s="33">
        <v>53</v>
      </c>
      <c r="C58" s="8">
        <v>50</v>
      </c>
      <c r="D58" s="11">
        <v>52</v>
      </c>
      <c r="E58">
        <v>53.280999999999999</v>
      </c>
      <c r="F58">
        <v>51.774999999999999</v>
      </c>
      <c r="G58">
        <v>58.253999999999998</v>
      </c>
      <c r="H58">
        <v>46.424999999999997</v>
      </c>
      <c r="I58">
        <v>41.768000000000001</v>
      </c>
      <c r="J58">
        <v>39.534999999999997</v>
      </c>
      <c r="K58">
        <v>39.957999999999998</v>
      </c>
      <c r="L58">
        <v>38.564999999999998</v>
      </c>
      <c r="M58">
        <v>38.823</v>
      </c>
      <c r="N58">
        <v>49.110999999999997</v>
      </c>
      <c r="O58">
        <v>54.872999999999998</v>
      </c>
      <c r="P58">
        <v>61.414000000000001</v>
      </c>
      <c r="Q58">
        <v>54.243000000000002</v>
      </c>
      <c r="R58">
        <v>44.725999999999999</v>
      </c>
      <c r="S58">
        <v>44.515000000000001</v>
      </c>
      <c r="T58">
        <v>44.761000000000003</v>
      </c>
      <c r="U58">
        <v>46.012999999999998</v>
      </c>
      <c r="V58">
        <v>36.555999999999997</v>
      </c>
      <c r="W58">
        <v>47.854999999999997</v>
      </c>
      <c r="X58">
        <v>46.8</v>
      </c>
      <c r="Y58">
        <v>41.466999999999999</v>
      </c>
      <c r="Z58">
        <v>40.747</v>
      </c>
      <c r="AA58">
        <v>43.104999999999997</v>
      </c>
      <c r="AB58">
        <v>37.973999999999997</v>
      </c>
      <c r="AC58">
        <v>43.322000000000003</v>
      </c>
      <c r="AD58">
        <v>42.392000000000003</v>
      </c>
      <c r="AE58">
        <v>41.033000000000001</v>
      </c>
      <c r="AF58">
        <v>47.183</v>
      </c>
      <c r="AG58">
        <v>51.881</v>
      </c>
      <c r="AH58">
        <v>46.634</v>
      </c>
      <c r="AI58" s="4"/>
      <c r="AJ58" s="4"/>
      <c r="AK58" s="4"/>
      <c r="AL58" s="4"/>
      <c r="AM58" s="4"/>
      <c r="AN58" s="4"/>
      <c r="AO58" s="4"/>
      <c r="AP58" s="4"/>
      <c r="AQ58" s="4"/>
      <c r="AR58" s="4"/>
      <c r="AS58" s="4"/>
      <c r="AT58" s="4"/>
      <c r="AU58" s="4"/>
      <c r="AV58" s="4"/>
      <c r="AW58" s="4"/>
      <c r="AX58" s="4"/>
      <c r="AY58" s="4"/>
    </row>
    <row r="59" spans="1:1005" ht="14.5" x14ac:dyDescent="0.35">
      <c r="A59" s="113">
        <v>47818</v>
      </c>
      <c r="B59" s="33">
        <v>40</v>
      </c>
      <c r="C59" s="8">
        <v>40</v>
      </c>
      <c r="D59" s="11">
        <v>40</v>
      </c>
      <c r="E59">
        <v>40.018000000000001</v>
      </c>
      <c r="F59">
        <v>38.948999999999998</v>
      </c>
      <c r="G59">
        <v>40.859000000000002</v>
      </c>
      <c r="H59">
        <v>38.895000000000003</v>
      </c>
      <c r="I59">
        <v>32.554000000000002</v>
      </c>
      <c r="J59">
        <v>30.335000000000001</v>
      </c>
      <c r="K59">
        <v>30.645</v>
      </c>
      <c r="L59">
        <v>28.806999999999999</v>
      </c>
      <c r="M59">
        <v>32.085000000000001</v>
      </c>
      <c r="N59">
        <v>36.151000000000003</v>
      </c>
      <c r="O59">
        <v>38.924999999999997</v>
      </c>
      <c r="P59">
        <v>40.6</v>
      </c>
      <c r="Q59">
        <v>40.729999999999997</v>
      </c>
      <c r="R59">
        <v>35.67</v>
      </c>
      <c r="S59">
        <v>33.600999999999999</v>
      </c>
      <c r="T59">
        <v>38.636000000000003</v>
      </c>
      <c r="U59">
        <v>35.670999999999999</v>
      </c>
      <c r="V59">
        <v>29.335000000000001</v>
      </c>
      <c r="W59">
        <v>33.718000000000004</v>
      </c>
      <c r="X59">
        <v>36.003</v>
      </c>
      <c r="Y59">
        <v>32.89</v>
      </c>
      <c r="Z59">
        <v>33.866999999999997</v>
      </c>
      <c r="AA59">
        <v>33.113</v>
      </c>
      <c r="AB59">
        <v>27.838999999999999</v>
      </c>
      <c r="AC59">
        <v>35.747999999999998</v>
      </c>
      <c r="AD59">
        <v>32.436999999999998</v>
      </c>
      <c r="AE59">
        <v>32.588000000000001</v>
      </c>
      <c r="AF59">
        <v>33.613999999999997</v>
      </c>
      <c r="AG59">
        <v>37.545999999999999</v>
      </c>
      <c r="AH59">
        <v>35.427999999999997</v>
      </c>
      <c r="AI59" s="4"/>
      <c r="AJ59" s="4"/>
      <c r="AK59" s="4"/>
      <c r="AL59" s="4"/>
      <c r="AM59" s="4"/>
      <c r="AN59" s="4"/>
      <c r="AO59" s="4"/>
      <c r="AP59" s="4"/>
      <c r="AQ59" s="4"/>
      <c r="AR59" s="4"/>
      <c r="AS59" s="4"/>
      <c r="AT59" s="4"/>
      <c r="AU59" s="4"/>
      <c r="AV59" s="4"/>
      <c r="AW59" s="4"/>
      <c r="AX59" s="4"/>
      <c r="AY59" s="4"/>
    </row>
    <row r="60" spans="1:1005" ht="14.5" x14ac:dyDescent="0.35">
      <c r="A60" s="113">
        <v>47849</v>
      </c>
      <c r="B60" s="33">
        <v>34</v>
      </c>
      <c r="C60" s="8">
        <v>34</v>
      </c>
      <c r="D60" s="11">
        <v>34</v>
      </c>
      <c r="E60">
        <v>33.622999999999998</v>
      </c>
      <c r="F60">
        <v>33.655000000000001</v>
      </c>
      <c r="G60">
        <v>36.112000000000002</v>
      </c>
      <c r="H60">
        <v>33.664999999999999</v>
      </c>
      <c r="I60">
        <v>30.265000000000001</v>
      </c>
      <c r="J60">
        <v>26.213999999999999</v>
      </c>
      <c r="K60">
        <v>26.428999999999998</v>
      </c>
      <c r="L60">
        <v>24.782</v>
      </c>
      <c r="M60">
        <v>27.957999999999998</v>
      </c>
      <c r="N60">
        <v>39.686</v>
      </c>
      <c r="O60">
        <v>34.780999999999999</v>
      </c>
      <c r="P60">
        <v>34.320999999999998</v>
      </c>
      <c r="Q60">
        <v>33.191000000000003</v>
      </c>
      <c r="R60">
        <v>32.103000000000002</v>
      </c>
      <c r="S60">
        <v>28.789000000000001</v>
      </c>
      <c r="T60">
        <v>33.119</v>
      </c>
      <c r="U60">
        <v>32.002000000000002</v>
      </c>
      <c r="V60">
        <v>26.219000000000001</v>
      </c>
      <c r="W60">
        <v>28.262</v>
      </c>
      <c r="X60">
        <v>30.989000000000001</v>
      </c>
      <c r="Y60">
        <v>28.783999999999999</v>
      </c>
      <c r="Z60">
        <v>33.627000000000002</v>
      </c>
      <c r="AA60">
        <v>28.369</v>
      </c>
      <c r="AB60">
        <v>24.922999999999998</v>
      </c>
      <c r="AC60">
        <v>31.195</v>
      </c>
      <c r="AD60">
        <v>26.98</v>
      </c>
      <c r="AE60">
        <v>27.808</v>
      </c>
      <c r="AF60">
        <v>32.219000000000001</v>
      </c>
      <c r="AG60">
        <v>33.000999999999998</v>
      </c>
      <c r="AH60">
        <v>31.478999999999999</v>
      </c>
      <c r="AI60" s="4"/>
      <c r="AJ60" s="4"/>
      <c r="AK60" s="4"/>
      <c r="AL60" s="4"/>
      <c r="AM60" s="4"/>
      <c r="AN60" s="4"/>
      <c r="AO60" s="4"/>
      <c r="AP60" s="4"/>
      <c r="AQ60" s="4"/>
      <c r="AR60" s="4"/>
      <c r="AS60" s="4"/>
      <c r="AT60" s="4"/>
      <c r="AU60" s="4"/>
      <c r="AV60" s="4"/>
      <c r="AW60" s="4"/>
      <c r="AX60" s="4"/>
      <c r="AY60" s="4"/>
    </row>
    <row r="61" spans="1:1005" ht="14.5" x14ac:dyDescent="0.35">
      <c r="A61" s="113">
        <v>47880</v>
      </c>
      <c r="B61" s="33">
        <v>30</v>
      </c>
      <c r="C61" s="8">
        <v>30</v>
      </c>
      <c r="D61" s="11">
        <v>30</v>
      </c>
      <c r="E61">
        <v>37.011000000000003</v>
      </c>
      <c r="F61">
        <v>26.745999999999999</v>
      </c>
      <c r="G61">
        <v>29.155999999999999</v>
      </c>
      <c r="H61">
        <v>28.373000000000001</v>
      </c>
      <c r="I61">
        <v>26.904</v>
      </c>
      <c r="J61">
        <v>22.204000000000001</v>
      </c>
      <c r="K61">
        <v>20.798999999999999</v>
      </c>
      <c r="L61">
        <v>21.169</v>
      </c>
      <c r="M61">
        <v>22.696999999999999</v>
      </c>
      <c r="N61">
        <v>29.338000000000001</v>
      </c>
      <c r="O61">
        <v>26.739000000000001</v>
      </c>
      <c r="P61">
        <v>30.952999999999999</v>
      </c>
      <c r="Q61">
        <v>28.297999999999998</v>
      </c>
      <c r="R61">
        <v>28.718</v>
      </c>
      <c r="S61">
        <v>23.135999999999999</v>
      </c>
      <c r="T61">
        <v>25.992999999999999</v>
      </c>
      <c r="U61">
        <v>26.44</v>
      </c>
      <c r="V61">
        <v>23.396000000000001</v>
      </c>
      <c r="W61">
        <v>27.082000000000001</v>
      </c>
      <c r="X61">
        <v>31.5</v>
      </c>
      <c r="Y61">
        <v>26.428000000000001</v>
      </c>
      <c r="Z61">
        <v>31.806000000000001</v>
      </c>
      <c r="AA61">
        <v>23.870999999999999</v>
      </c>
      <c r="AB61">
        <v>20.585000000000001</v>
      </c>
      <c r="AC61">
        <v>25.503</v>
      </c>
      <c r="AD61">
        <v>23.327999999999999</v>
      </c>
      <c r="AE61">
        <v>23.577000000000002</v>
      </c>
      <c r="AF61">
        <v>27.474</v>
      </c>
      <c r="AG61">
        <v>27.725999999999999</v>
      </c>
      <c r="AH61">
        <v>28.928999999999998</v>
      </c>
      <c r="AI61" s="4"/>
      <c r="AJ61" s="4"/>
      <c r="AK61" s="4"/>
      <c r="AL61" s="4"/>
      <c r="AM61" s="4"/>
      <c r="AN61" s="4"/>
      <c r="AO61" s="4"/>
      <c r="AP61" s="4"/>
      <c r="AQ61" s="4"/>
      <c r="AR61" s="4"/>
      <c r="AS61" s="4"/>
      <c r="AT61" s="4"/>
      <c r="AU61" s="4"/>
      <c r="AV61" s="4"/>
      <c r="AW61" s="4"/>
      <c r="AX61" s="4"/>
      <c r="AY61" s="4"/>
    </row>
    <row r="62" spans="1:1005" ht="14.5" x14ac:dyDescent="0.35">
      <c r="A62" s="113">
        <v>47908</v>
      </c>
      <c r="B62" s="33">
        <v>47</v>
      </c>
      <c r="C62" s="8">
        <v>47</v>
      </c>
      <c r="D62" s="11">
        <v>47</v>
      </c>
      <c r="E62">
        <v>47.902000000000001</v>
      </c>
      <c r="F62">
        <v>52.712000000000003</v>
      </c>
      <c r="G62">
        <v>53.938000000000002</v>
      </c>
      <c r="H62">
        <v>49.683999999999997</v>
      </c>
      <c r="I62">
        <v>38.046999999999997</v>
      </c>
      <c r="J62">
        <v>36.396000000000001</v>
      </c>
      <c r="K62">
        <v>30.411999999999999</v>
      </c>
      <c r="L62">
        <v>32.328000000000003</v>
      </c>
      <c r="M62">
        <v>49.811999999999998</v>
      </c>
      <c r="N62">
        <v>40.74</v>
      </c>
      <c r="O62">
        <v>36.466999999999999</v>
      </c>
      <c r="P62">
        <v>78.575000000000003</v>
      </c>
      <c r="Q62">
        <v>35.585999999999999</v>
      </c>
      <c r="R62">
        <v>46.808</v>
      </c>
      <c r="S62">
        <v>29.134</v>
      </c>
      <c r="T62">
        <v>39.698999999999998</v>
      </c>
      <c r="U62">
        <v>45.323</v>
      </c>
      <c r="V62">
        <v>28.19</v>
      </c>
      <c r="W62">
        <v>32.481999999999999</v>
      </c>
      <c r="X62">
        <v>46.905999999999999</v>
      </c>
      <c r="Y62">
        <v>34.250999999999998</v>
      </c>
      <c r="Z62">
        <v>53.03</v>
      </c>
      <c r="AA62">
        <v>31.207999999999998</v>
      </c>
      <c r="AB62">
        <v>31.477</v>
      </c>
      <c r="AC62">
        <v>37.427999999999997</v>
      </c>
      <c r="AD62">
        <v>31.295999999999999</v>
      </c>
      <c r="AE62">
        <v>39.914000000000001</v>
      </c>
      <c r="AF62">
        <v>49.402000000000001</v>
      </c>
      <c r="AG62">
        <v>49.645000000000003</v>
      </c>
      <c r="AH62">
        <v>57.176000000000002</v>
      </c>
      <c r="AI62" s="4"/>
      <c r="AJ62" s="4"/>
      <c r="AK62" s="4"/>
      <c r="AL62" s="4"/>
      <c r="AM62" s="4"/>
      <c r="AN62" s="4"/>
      <c r="AO62" s="4"/>
      <c r="AP62" s="4"/>
      <c r="AQ62" s="4"/>
      <c r="AR62" s="4"/>
      <c r="AS62" s="4"/>
      <c r="AT62" s="4"/>
      <c r="AU62" s="4"/>
      <c r="AV62" s="4"/>
      <c r="AW62" s="4"/>
      <c r="AX62" s="4"/>
      <c r="AY62" s="4"/>
    </row>
    <row r="63" spans="1:1005" ht="14.5" x14ac:dyDescent="0.35">
      <c r="A63" s="113">
        <v>47939</v>
      </c>
      <c r="B63" s="33">
        <v>120</v>
      </c>
      <c r="C63" s="8">
        <v>120</v>
      </c>
      <c r="D63" s="11">
        <v>120</v>
      </c>
      <c r="E63">
        <v>117.354</v>
      </c>
      <c r="F63">
        <v>122.101</v>
      </c>
      <c r="G63">
        <v>108.92100000000001</v>
      </c>
      <c r="H63">
        <v>104.05200000000001</v>
      </c>
      <c r="I63">
        <v>93.155000000000001</v>
      </c>
      <c r="J63">
        <v>82.126000000000005</v>
      </c>
      <c r="K63">
        <v>75.882999999999996</v>
      </c>
      <c r="L63">
        <v>87.736000000000004</v>
      </c>
      <c r="M63">
        <v>143.62299999999999</v>
      </c>
      <c r="N63">
        <v>158.745</v>
      </c>
      <c r="O63">
        <v>156.59</v>
      </c>
      <c r="P63">
        <v>152.36000000000001</v>
      </c>
      <c r="Q63">
        <v>71.466999999999999</v>
      </c>
      <c r="R63">
        <v>97.608999999999995</v>
      </c>
      <c r="S63">
        <v>82.828999999999994</v>
      </c>
      <c r="T63">
        <v>127.416</v>
      </c>
      <c r="U63">
        <v>124.536</v>
      </c>
      <c r="V63">
        <v>61.948999999999998</v>
      </c>
      <c r="W63">
        <v>93.048000000000002</v>
      </c>
      <c r="X63">
        <v>85.852999999999994</v>
      </c>
      <c r="Y63">
        <v>104.562</v>
      </c>
      <c r="Z63">
        <v>121.55500000000001</v>
      </c>
      <c r="AA63">
        <v>73.864999999999995</v>
      </c>
      <c r="AB63">
        <v>112.104</v>
      </c>
      <c r="AC63">
        <v>81.822999999999993</v>
      </c>
      <c r="AD63">
        <v>64.183000000000007</v>
      </c>
      <c r="AE63">
        <v>111.361</v>
      </c>
      <c r="AF63">
        <v>123.619</v>
      </c>
      <c r="AG63">
        <v>122.58799999999999</v>
      </c>
      <c r="AH63">
        <v>101.55500000000001</v>
      </c>
      <c r="AI63" s="4"/>
      <c r="AJ63" s="4"/>
      <c r="AK63" s="4"/>
      <c r="AL63" s="4"/>
      <c r="AM63" s="4"/>
      <c r="AN63" s="4"/>
      <c r="AO63" s="4"/>
      <c r="AP63" s="4"/>
      <c r="AQ63" s="4"/>
      <c r="AR63" s="4"/>
      <c r="AS63" s="4"/>
      <c r="AT63" s="4"/>
      <c r="AU63" s="4"/>
      <c r="AV63" s="4"/>
      <c r="AW63" s="4"/>
      <c r="AX63" s="4"/>
      <c r="AY63" s="4"/>
    </row>
    <row r="64" spans="1:1005" ht="14.5" x14ac:dyDescent="0.35">
      <c r="A64" s="113">
        <v>47969</v>
      </c>
      <c r="B64" s="33">
        <v>202</v>
      </c>
      <c r="C64" s="8">
        <v>202</v>
      </c>
      <c r="D64" s="11">
        <v>202</v>
      </c>
      <c r="E64">
        <v>229.53800000000001</v>
      </c>
      <c r="F64">
        <v>303.60000000000002</v>
      </c>
      <c r="G64">
        <v>270.63099999999997</v>
      </c>
      <c r="H64">
        <v>202.89699999999999</v>
      </c>
      <c r="I64">
        <v>179.40700000000001</v>
      </c>
      <c r="J64">
        <v>203.881</v>
      </c>
      <c r="K64">
        <v>116.33</v>
      </c>
      <c r="L64">
        <v>216.851</v>
      </c>
      <c r="M64">
        <v>200.459</v>
      </c>
      <c r="N64">
        <v>343.74</v>
      </c>
      <c r="O64">
        <v>236.76499999999999</v>
      </c>
      <c r="P64">
        <v>212.274</v>
      </c>
      <c r="Q64">
        <v>296.512</v>
      </c>
      <c r="R64">
        <v>282.67899999999997</v>
      </c>
      <c r="S64">
        <v>188.79400000000001</v>
      </c>
      <c r="T64">
        <v>267.75400000000002</v>
      </c>
      <c r="U64">
        <v>159.80600000000001</v>
      </c>
      <c r="V64">
        <v>163.05500000000001</v>
      </c>
      <c r="W64">
        <v>223.40299999999999</v>
      </c>
      <c r="X64">
        <v>188.66</v>
      </c>
      <c r="Y64">
        <v>207.09100000000001</v>
      </c>
      <c r="Z64">
        <v>205.73099999999999</v>
      </c>
      <c r="AA64">
        <v>148.226</v>
      </c>
      <c r="AB64">
        <v>288.50400000000002</v>
      </c>
      <c r="AC64">
        <v>181.74600000000001</v>
      </c>
      <c r="AD64">
        <v>150.30500000000001</v>
      </c>
      <c r="AE64">
        <v>214.67599999999999</v>
      </c>
      <c r="AF64">
        <v>398.30399999999997</v>
      </c>
      <c r="AG64">
        <v>233.19800000000001</v>
      </c>
      <c r="AH64">
        <v>233.19800000000001</v>
      </c>
      <c r="AI64" s="4"/>
      <c r="AJ64" s="4"/>
      <c r="AK64" s="4"/>
      <c r="AL64" s="4"/>
      <c r="AM64" s="4"/>
      <c r="AN64" s="4"/>
      <c r="AO64" s="4"/>
      <c r="AP64" s="4"/>
      <c r="AQ64" s="4"/>
      <c r="AR64" s="4"/>
      <c r="AS64" s="4"/>
      <c r="AT64" s="4"/>
      <c r="AU64" s="4"/>
      <c r="AV64" s="4"/>
      <c r="AW64" s="4"/>
      <c r="AX64" s="4"/>
      <c r="AY64" s="4"/>
      <c r="ALQ64" t="e">
        <v>#N/A</v>
      </c>
    </row>
    <row r="65" spans="1:1005" ht="14.5" x14ac:dyDescent="0.35">
      <c r="A65" s="113">
        <v>48000</v>
      </c>
      <c r="B65" s="33">
        <v>132</v>
      </c>
      <c r="C65" s="8">
        <v>132</v>
      </c>
      <c r="D65" s="11">
        <v>132</v>
      </c>
      <c r="E65">
        <v>128.22999999999999</v>
      </c>
      <c r="F65">
        <v>262.41699999999997</v>
      </c>
      <c r="G65">
        <v>182.84399999999999</v>
      </c>
      <c r="H65">
        <v>185.52199999999999</v>
      </c>
      <c r="I65">
        <v>84.286000000000001</v>
      </c>
      <c r="J65">
        <v>109.861</v>
      </c>
      <c r="K65">
        <v>60.902999999999999</v>
      </c>
      <c r="L65">
        <v>127.869</v>
      </c>
      <c r="M65">
        <v>93.466999999999999</v>
      </c>
      <c r="N65">
        <v>231.61</v>
      </c>
      <c r="O65">
        <v>124.27</v>
      </c>
      <c r="P65">
        <v>106.018</v>
      </c>
      <c r="Q65">
        <v>282.34199999999998</v>
      </c>
      <c r="R65">
        <v>168.089</v>
      </c>
      <c r="S65">
        <v>189.88800000000001</v>
      </c>
      <c r="T65">
        <v>312.64100000000002</v>
      </c>
      <c r="U65">
        <v>70.347999999999999</v>
      </c>
      <c r="V65">
        <v>121.188</v>
      </c>
      <c r="W65">
        <v>183.18</v>
      </c>
      <c r="X65">
        <v>166.892</v>
      </c>
      <c r="Y65">
        <v>161.209</v>
      </c>
      <c r="Z65">
        <v>185.93199999999999</v>
      </c>
      <c r="AA65">
        <v>60.862000000000002</v>
      </c>
      <c r="AB65">
        <v>271.76600000000002</v>
      </c>
      <c r="AC65">
        <v>111.96599999999999</v>
      </c>
      <c r="AD65">
        <v>152.92699999999999</v>
      </c>
      <c r="AE65">
        <v>120.58</v>
      </c>
      <c r="AF65">
        <v>284.82799999999997</v>
      </c>
      <c r="AG65">
        <v>135.34</v>
      </c>
      <c r="AH65">
        <v>135.34</v>
      </c>
      <c r="AI65" s="4"/>
      <c r="AJ65" s="4"/>
      <c r="AK65" s="4"/>
      <c r="AL65" s="4"/>
      <c r="AM65" s="4"/>
      <c r="AN65" s="4"/>
      <c r="AO65" s="4"/>
      <c r="AP65" s="4"/>
      <c r="AQ65" s="4"/>
      <c r="AR65" s="4"/>
      <c r="AS65" s="4"/>
      <c r="AT65" s="4"/>
      <c r="AU65" s="4"/>
      <c r="AV65" s="4"/>
      <c r="AW65" s="4"/>
      <c r="AX65" s="4"/>
      <c r="AY65" s="4"/>
      <c r="ALQ65" t="e">
        <v>#N/A</v>
      </c>
    </row>
    <row r="66" spans="1:1005" ht="14.5" x14ac:dyDescent="0.35">
      <c r="A66" s="113">
        <v>48030</v>
      </c>
      <c r="B66" s="33">
        <v>49</v>
      </c>
      <c r="C66" s="8">
        <v>49</v>
      </c>
      <c r="D66" s="11">
        <v>49</v>
      </c>
      <c r="E66">
        <v>35.213999999999999</v>
      </c>
      <c r="F66">
        <v>70.075000000000003</v>
      </c>
      <c r="G66">
        <v>68.616</v>
      </c>
      <c r="H66">
        <v>84.370999999999995</v>
      </c>
      <c r="I66">
        <v>22.79</v>
      </c>
      <c r="J66">
        <v>27.204000000000001</v>
      </c>
      <c r="K66">
        <v>23.021999999999998</v>
      </c>
      <c r="L66">
        <v>30.274000000000001</v>
      </c>
      <c r="M66">
        <v>27.977</v>
      </c>
      <c r="N66">
        <v>64.162000000000006</v>
      </c>
      <c r="O66">
        <v>33.552</v>
      </c>
      <c r="P66">
        <v>33.104999999999997</v>
      </c>
      <c r="Q66">
        <v>91.01</v>
      </c>
      <c r="R66">
        <v>67.781000000000006</v>
      </c>
      <c r="S66">
        <v>44.722999999999999</v>
      </c>
      <c r="T66">
        <v>117.042</v>
      </c>
      <c r="U66">
        <v>33.86</v>
      </c>
      <c r="V66">
        <v>41.488</v>
      </c>
      <c r="W66">
        <v>62.287999999999997</v>
      </c>
      <c r="X66">
        <v>58.286000000000001</v>
      </c>
      <c r="Y66">
        <v>56.293999999999997</v>
      </c>
      <c r="Z66">
        <v>49.612000000000002</v>
      </c>
      <c r="AA66">
        <v>26.055</v>
      </c>
      <c r="AB66">
        <v>105.096</v>
      </c>
      <c r="AC66">
        <v>30.18</v>
      </c>
      <c r="AD66">
        <v>55.402000000000001</v>
      </c>
      <c r="AE66">
        <v>39.44</v>
      </c>
      <c r="AF66">
        <v>101.72799999999999</v>
      </c>
      <c r="AG66">
        <v>32.914000000000001</v>
      </c>
      <c r="AH66">
        <v>32.914000000000001</v>
      </c>
      <c r="AI66" s="4"/>
      <c r="AJ66" s="4"/>
      <c r="AK66" s="4"/>
      <c r="AL66" s="4"/>
      <c r="AM66" s="4"/>
      <c r="AN66" s="4"/>
      <c r="AO66" s="4"/>
      <c r="AP66" s="4"/>
      <c r="AQ66" s="4"/>
      <c r="AR66" s="4"/>
      <c r="AS66" s="4"/>
      <c r="AT66" s="4"/>
      <c r="AU66" s="4"/>
      <c r="AV66" s="4"/>
      <c r="AW66" s="4"/>
      <c r="AX66" s="4"/>
      <c r="AY66" s="4"/>
      <c r="ALQ66" t="e">
        <v>#N/A</v>
      </c>
    </row>
    <row r="67" spans="1:1005" ht="14.5" x14ac:dyDescent="0.35">
      <c r="A67" s="113">
        <v>48061</v>
      </c>
      <c r="B67" s="33">
        <v>52</v>
      </c>
      <c r="C67" s="8">
        <v>52</v>
      </c>
      <c r="D67" s="11">
        <v>52</v>
      </c>
      <c r="E67">
        <v>24.471</v>
      </c>
      <c r="F67">
        <v>43.112000000000002</v>
      </c>
      <c r="G67">
        <v>29.876999999999999</v>
      </c>
      <c r="H67">
        <v>57.572000000000003</v>
      </c>
      <c r="I67">
        <v>23.888999999999999</v>
      </c>
      <c r="J67">
        <v>26.295999999999999</v>
      </c>
      <c r="K67">
        <v>24.192</v>
      </c>
      <c r="L67">
        <v>24.201000000000001</v>
      </c>
      <c r="M67">
        <v>27.794</v>
      </c>
      <c r="N67">
        <v>34.073</v>
      </c>
      <c r="O67">
        <v>27.885000000000002</v>
      </c>
      <c r="P67">
        <v>27.957999999999998</v>
      </c>
      <c r="Q67">
        <v>45.313000000000002</v>
      </c>
      <c r="R67">
        <v>35.152000000000001</v>
      </c>
      <c r="S67">
        <v>39.520000000000003</v>
      </c>
      <c r="T67">
        <v>45.944000000000003</v>
      </c>
      <c r="U67">
        <v>29.966999999999999</v>
      </c>
      <c r="V67">
        <v>41.475999999999999</v>
      </c>
      <c r="W67">
        <v>53.216000000000001</v>
      </c>
      <c r="X67">
        <v>45.667000000000002</v>
      </c>
      <c r="Y67">
        <v>44.664000000000001</v>
      </c>
      <c r="Z67">
        <v>39.110999999999997</v>
      </c>
      <c r="AA67">
        <v>34.332000000000001</v>
      </c>
      <c r="AB67">
        <v>46.898000000000003</v>
      </c>
      <c r="AC67">
        <v>31.474</v>
      </c>
      <c r="AD67">
        <v>26.331</v>
      </c>
      <c r="AE67">
        <v>35.049999999999997</v>
      </c>
      <c r="AF67">
        <v>45.875</v>
      </c>
      <c r="AG67">
        <v>28.338000000000001</v>
      </c>
      <c r="AH67">
        <v>28.338000000000001</v>
      </c>
      <c r="AI67" s="4"/>
      <c r="AJ67" s="4"/>
      <c r="AK67" s="4"/>
      <c r="AL67" s="4"/>
      <c r="AM67" s="4"/>
      <c r="AN67" s="4"/>
      <c r="AO67" s="4"/>
      <c r="AP67" s="4"/>
      <c r="AQ67" s="4"/>
      <c r="AR67" s="4"/>
      <c r="AS67" s="4"/>
      <c r="AT67" s="4"/>
      <c r="AU67" s="4"/>
      <c r="AV67" s="4"/>
      <c r="AW67" s="4"/>
      <c r="AX67" s="4"/>
      <c r="AY67" s="4"/>
      <c r="ALQ67" t="e">
        <v>#N/A</v>
      </c>
    </row>
    <row r="68" spans="1:1005" ht="14.5" x14ac:dyDescent="0.35">
      <c r="A68" s="113">
        <v>48092</v>
      </c>
      <c r="B68" s="33">
        <v>67</v>
      </c>
      <c r="C68" s="8">
        <v>67</v>
      </c>
      <c r="D68" s="11">
        <v>67</v>
      </c>
      <c r="E68">
        <v>46.527000000000001</v>
      </c>
      <c r="F68">
        <v>66.888000000000005</v>
      </c>
      <c r="G68">
        <v>45.53</v>
      </c>
      <c r="H68">
        <v>52.271000000000001</v>
      </c>
      <c r="I68">
        <v>43.869</v>
      </c>
      <c r="J68">
        <v>44.997999999999998</v>
      </c>
      <c r="K68">
        <v>33.625</v>
      </c>
      <c r="L68">
        <v>49.228999999999999</v>
      </c>
      <c r="M68">
        <v>58.92</v>
      </c>
      <c r="N68">
        <v>51.451999999999998</v>
      </c>
      <c r="O68">
        <v>54.79</v>
      </c>
      <c r="P68">
        <v>72.097999999999999</v>
      </c>
      <c r="Q68">
        <v>59.451999999999998</v>
      </c>
      <c r="R68">
        <v>53.765999999999998</v>
      </c>
      <c r="S68">
        <v>50.213000000000001</v>
      </c>
      <c r="T68">
        <v>66.058000000000007</v>
      </c>
      <c r="U68">
        <v>45.371000000000002</v>
      </c>
      <c r="V68">
        <v>66.811000000000007</v>
      </c>
      <c r="W68">
        <v>80.938000000000002</v>
      </c>
      <c r="X68">
        <v>60.253</v>
      </c>
      <c r="Y68">
        <v>61.076999999999998</v>
      </c>
      <c r="Z68">
        <v>55.366</v>
      </c>
      <c r="AA68">
        <v>48.816000000000003</v>
      </c>
      <c r="AB68">
        <v>55.415999999999997</v>
      </c>
      <c r="AC68">
        <v>50.496000000000002</v>
      </c>
      <c r="AD68">
        <v>38.348999999999997</v>
      </c>
      <c r="AE68">
        <v>47.701999999999998</v>
      </c>
      <c r="AF68">
        <v>58.081000000000003</v>
      </c>
      <c r="AG68">
        <v>44.368000000000002</v>
      </c>
      <c r="AH68">
        <v>44.368000000000002</v>
      </c>
      <c r="AI68" s="4"/>
      <c r="AJ68" s="4"/>
      <c r="AK68" s="4"/>
      <c r="AL68" s="4"/>
      <c r="AM68" s="4"/>
      <c r="AN68" s="4"/>
      <c r="AO68" s="4"/>
      <c r="AP68" s="4"/>
      <c r="AQ68" s="4"/>
      <c r="AR68" s="4"/>
      <c r="AS68" s="4"/>
      <c r="AT68" s="4"/>
      <c r="AU68" s="4"/>
      <c r="AV68" s="4"/>
      <c r="AW68" s="4"/>
      <c r="AX68" s="4"/>
      <c r="AY68" s="4"/>
      <c r="ALQ68" t="e">
        <v>#N/A</v>
      </c>
    </row>
    <row r="69" spans="1:1005" ht="14.5" x14ac:dyDescent="0.35">
      <c r="A69" s="113"/>
      <c r="B69" s="33"/>
      <c r="C69" s="8"/>
      <c r="D69" s="11"/>
      <c r="AI69" s="4"/>
      <c r="AJ69" s="4"/>
      <c r="AK69" s="4"/>
      <c r="AL69" s="4"/>
      <c r="AM69" s="4"/>
      <c r="AN69" s="4"/>
      <c r="AO69" s="4"/>
      <c r="AP69" s="4"/>
      <c r="AQ69" s="4"/>
      <c r="AR69" s="4"/>
      <c r="AS69" s="4"/>
      <c r="AT69" s="4"/>
      <c r="AU69" s="4"/>
      <c r="AV69" s="4"/>
      <c r="AW69" s="4"/>
      <c r="AX69" s="4"/>
      <c r="AY69" s="4"/>
      <c r="ALQ69" t="e">
        <v>#N/A</v>
      </c>
    </row>
    <row r="70" spans="1:1005" ht="14.5" x14ac:dyDescent="0.35">
      <c r="A70" s="113"/>
      <c r="B70" s="33"/>
      <c r="C70" s="8"/>
      <c r="D70" s="11"/>
      <c r="AI70" s="4"/>
      <c r="AJ70" s="4"/>
      <c r="AK70" s="4"/>
      <c r="AL70" s="4"/>
      <c r="AM70" s="4"/>
      <c r="AN70" s="4"/>
      <c r="AO70" s="4"/>
      <c r="AP70" s="4"/>
      <c r="AQ70" s="4"/>
      <c r="AR70" s="4"/>
      <c r="AS70" s="4"/>
      <c r="AT70" s="4"/>
      <c r="AU70" s="4"/>
      <c r="AV70" s="4"/>
      <c r="AW70" s="4"/>
      <c r="AX70" s="4"/>
      <c r="AY70" s="4"/>
      <c r="ALQ70" t="e">
        <v>#N/A</v>
      </c>
    </row>
    <row r="71" spans="1:1005" ht="14.5" x14ac:dyDescent="0.35">
      <c r="A71" s="113"/>
      <c r="B71" s="33"/>
      <c r="C71" s="8"/>
      <c r="D71" s="11"/>
      <c r="AI71" s="4"/>
      <c r="AJ71" s="4"/>
      <c r="AK71" s="4"/>
      <c r="AL71" s="4"/>
      <c r="AM71" s="4"/>
      <c r="AN71" s="4"/>
      <c r="AO71" s="4"/>
      <c r="AP71" s="4"/>
      <c r="AQ71" s="4"/>
      <c r="AR71" s="4"/>
      <c r="AS71" s="4"/>
      <c r="AT71" s="4"/>
      <c r="AU71" s="4"/>
      <c r="AV71" s="4"/>
      <c r="AW71" s="4"/>
      <c r="AX71" s="4"/>
      <c r="AY71" s="4"/>
      <c r="ALQ71" t="e">
        <v>#N/A</v>
      </c>
    </row>
    <row r="72" spans="1:1005" ht="14.5" x14ac:dyDescent="0.35">
      <c r="A72" s="113"/>
      <c r="B72" s="33"/>
      <c r="C72" s="8"/>
      <c r="D72" s="11"/>
      <c r="AI72" s="4"/>
      <c r="AJ72" s="4"/>
      <c r="AK72" s="4"/>
      <c r="AL72" s="4"/>
      <c r="AM72" s="4"/>
      <c r="AN72" s="4"/>
      <c r="AO72" s="4"/>
      <c r="AP72" s="4"/>
      <c r="AQ72" s="4"/>
      <c r="AR72" s="4"/>
      <c r="AS72" s="4"/>
      <c r="AT72" s="4"/>
      <c r="AU72" s="4"/>
      <c r="AV72" s="4"/>
      <c r="AW72" s="4"/>
      <c r="AX72" s="4"/>
      <c r="AY72" s="4"/>
      <c r="ALQ72" t="e">
        <v>#N/A</v>
      </c>
    </row>
    <row r="73" spans="1:1005" ht="14.5" x14ac:dyDescent="0.35">
      <c r="A73" s="113"/>
      <c r="B73" s="33"/>
      <c r="C73" s="8"/>
      <c r="D73" s="11"/>
      <c r="AI73" s="4"/>
      <c r="AJ73" s="4"/>
      <c r="AK73" s="4"/>
      <c r="AL73" s="4"/>
      <c r="AM73" s="4"/>
      <c r="AN73" s="4"/>
      <c r="AO73" s="4"/>
      <c r="AP73" s="4"/>
      <c r="AQ73" s="4"/>
      <c r="AR73" s="4"/>
      <c r="AS73" s="4"/>
      <c r="AT73" s="4"/>
      <c r="AU73" s="4"/>
      <c r="AV73" s="4"/>
      <c r="AW73" s="4"/>
      <c r="AX73" s="4"/>
      <c r="AY73" s="4"/>
    </row>
    <row r="74" spans="1:1005" ht="14.5" x14ac:dyDescent="0.35">
      <c r="A74" s="113"/>
      <c r="B74" s="33"/>
      <c r="C74" s="8"/>
      <c r="D74" s="11"/>
      <c r="AI74" s="4"/>
      <c r="AJ74" s="4"/>
      <c r="AK74" s="4"/>
      <c r="AL74" s="4"/>
      <c r="AM74" s="4"/>
      <c r="AN74" s="4"/>
      <c r="AO74" s="4"/>
      <c r="AP74" s="4"/>
      <c r="AQ74" s="4"/>
      <c r="AR74" s="4"/>
      <c r="AS74" s="4"/>
      <c r="AT74" s="4"/>
      <c r="AU74" s="4"/>
      <c r="AV74" s="4"/>
      <c r="AW74" s="4"/>
      <c r="AX74" s="4"/>
      <c r="AY74" s="4"/>
    </row>
    <row r="75" spans="1:1005" ht="14.5" x14ac:dyDescent="0.35">
      <c r="A75" s="113"/>
      <c r="B75" s="33"/>
      <c r="C75" s="8"/>
      <c r="D75" s="11"/>
      <c r="AI75" s="4"/>
      <c r="AJ75" s="4"/>
      <c r="AK75" s="4"/>
      <c r="AL75" s="4"/>
      <c r="AM75" s="4"/>
      <c r="AN75" s="4"/>
      <c r="AO75" s="4"/>
      <c r="AP75" s="4"/>
      <c r="AQ75" s="4"/>
      <c r="AR75" s="4"/>
      <c r="AS75" s="4"/>
      <c r="AT75" s="4"/>
      <c r="AU75" s="4"/>
      <c r="AV75" s="4"/>
      <c r="AW75" s="4"/>
      <c r="AX75" s="4"/>
      <c r="AY75" s="4"/>
    </row>
    <row r="76" spans="1:1005" ht="14.5" x14ac:dyDescent="0.35">
      <c r="A76" s="113"/>
      <c r="B76" s="33"/>
      <c r="C76" s="8"/>
      <c r="D76" s="11"/>
      <c r="AI76" s="4"/>
      <c r="AJ76" s="4"/>
      <c r="AK76" s="4"/>
      <c r="AL76" s="4"/>
      <c r="AM76" s="4"/>
      <c r="AN76" s="4"/>
      <c r="AO76" s="4"/>
      <c r="AP76" s="4"/>
      <c r="AQ76" s="4"/>
      <c r="AR76" s="4"/>
      <c r="AS76" s="4"/>
      <c r="AT76" s="4"/>
      <c r="AU76" s="4"/>
      <c r="AV76" s="4"/>
      <c r="AW76" s="4"/>
      <c r="AX76" s="4"/>
      <c r="AY76" s="4"/>
    </row>
    <row r="77" spans="1:1005" ht="14.5" x14ac:dyDescent="0.35">
      <c r="A77" s="113"/>
      <c r="B77" s="33"/>
      <c r="C77" s="8"/>
      <c r="D77" s="11"/>
      <c r="AI77" s="4"/>
      <c r="AJ77" s="4"/>
      <c r="AK77" s="4"/>
      <c r="AL77" s="4"/>
      <c r="AM77" s="4"/>
      <c r="AN77" s="4"/>
      <c r="AO77" s="4"/>
      <c r="AP77" s="4"/>
      <c r="AQ77" s="4"/>
      <c r="AR77" s="4"/>
      <c r="AS77" s="4"/>
      <c r="AT77" s="4"/>
      <c r="AU77" s="4"/>
      <c r="AV77" s="4"/>
      <c r="AW77" s="4"/>
      <c r="AX77" s="4"/>
      <c r="AY77" s="4"/>
    </row>
    <row r="78" spans="1:1005" ht="14.5" x14ac:dyDescent="0.35">
      <c r="A78" s="113"/>
      <c r="B78" s="33"/>
      <c r="C78" s="8"/>
      <c r="D78" s="11"/>
      <c r="AI78" s="4"/>
      <c r="AJ78" s="4"/>
      <c r="AK78" s="4"/>
      <c r="AL78" s="4"/>
      <c r="AM78" s="4"/>
      <c r="AN78" s="4"/>
      <c r="AO78" s="4"/>
      <c r="AP78" s="4"/>
      <c r="AQ78" s="4"/>
      <c r="AR78" s="4"/>
      <c r="AS78" s="4"/>
      <c r="AT78" s="4"/>
      <c r="AU78" s="4"/>
      <c r="AV78" s="4"/>
      <c r="AW78" s="4"/>
      <c r="AX78" s="4"/>
      <c r="AY78" s="4"/>
    </row>
    <row r="79" spans="1:1005" ht="14.5" x14ac:dyDescent="0.35">
      <c r="A79" s="113"/>
      <c r="B79" s="33"/>
      <c r="C79" s="8"/>
      <c r="D79" s="11"/>
      <c r="AI79" s="4"/>
      <c r="AJ79" s="4"/>
      <c r="AK79" s="4"/>
      <c r="AL79" s="4"/>
      <c r="AM79" s="4"/>
      <c r="AN79" s="4"/>
      <c r="AO79" s="4"/>
      <c r="AP79" s="4"/>
      <c r="AQ79" s="4"/>
      <c r="AR79" s="4"/>
      <c r="AS79" s="4"/>
      <c r="AT79" s="4"/>
      <c r="AU79" s="4"/>
      <c r="AV79" s="4"/>
      <c r="AW79" s="4"/>
      <c r="AX79" s="4"/>
      <c r="AY79" s="4"/>
    </row>
    <row r="80" spans="1:1005" ht="14.5" x14ac:dyDescent="0.35">
      <c r="A80" s="113"/>
      <c r="B80" s="33"/>
      <c r="C80" s="8"/>
      <c r="D80" s="11"/>
      <c r="AI80" s="4"/>
      <c r="AJ80" s="4"/>
      <c r="AK80" s="4"/>
      <c r="AL80" s="4"/>
      <c r="AM80" s="4"/>
      <c r="AN80" s="4"/>
      <c r="AO80" s="4"/>
      <c r="AP80" s="4"/>
      <c r="AQ80" s="4"/>
      <c r="AR80" s="4"/>
      <c r="AS80" s="4"/>
      <c r="AT80" s="4"/>
      <c r="AU80" s="4"/>
      <c r="AV80" s="4"/>
      <c r="AW80" s="4"/>
      <c r="AX80" s="4"/>
      <c r="AY80" s="4"/>
    </row>
    <row r="81" spans="1:4" ht="12.75" customHeight="1" x14ac:dyDescent="0.35">
      <c r="A81" s="113"/>
      <c r="B81" s="33"/>
      <c r="C81" s="8"/>
      <c r="D81" s="11"/>
    </row>
    <row r="82" spans="1:4" ht="12.75" customHeight="1" x14ac:dyDescent="0.35">
      <c r="A82" s="113"/>
      <c r="B82" s="33"/>
      <c r="C82" s="8"/>
      <c r="D82" s="11"/>
    </row>
    <row r="83" spans="1:4" ht="12.75" customHeight="1" x14ac:dyDescent="0.35">
      <c r="A83" s="113"/>
      <c r="B83" s="33"/>
      <c r="C83" s="8"/>
      <c r="D83" s="11"/>
    </row>
    <row r="84" spans="1:4" ht="12.75" customHeight="1" x14ac:dyDescent="0.35">
      <c r="A84" s="113"/>
      <c r="B84" s="33"/>
      <c r="C84" s="8"/>
      <c r="D84" s="11"/>
    </row>
  </sheetData>
  <mergeCells count="1">
    <mergeCell ref="B1:AH1"/>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935BF-988B-4F37-9CAB-81E4D92CE688}">
  <sheetPr codeName="Sheet15">
    <tabColor theme="8" tint="0.39997558519241921"/>
  </sheetPr>
  <dimension ref="A1:ALQ81"/>
  <sheetViews>
    <sheetView workbookViewId="0">
      <selection activeCell="B4" sqref="B4:AZ100"/>
    </sheetView>
  </sheetViews>
  <sheetFormatPr defaultColWidth="18.6328125" defaultRowHeight="12.75" customHeight="1" x14ac:dyDescent="0.35"/>
  <cols>
    <col min="1" max="2" width="9.36328125" customWidth="1"/>
    <col min="3" max="3" width="9.6328125" bestFit="1" customWidth="1"/>
    <col min="4" max="54" width="9.36328125" customWidth="1"/>
  </cols>
  <sheetData>
    <row r="1" spans="1:51" ht="14.5" x14ac:dyDescent="0.35">
      <c r="A1" s="118"/>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3"/>
      <c r="AJ1" s="3"/>
      <c r="AK1" s="3"/>
      <c r="AL1" s="3"/>
      <c r="AM1" s="3"/>
    </row>
    <row r="2" spans="1:51" ht="14.5" x14ac:dyDescent="0.35">
      <c r="A2" s="118"/>
      <c r="B2" s="118" t="s">
        <v>0</v>
      </c>
      <c r="C2" s="118" t="s">
        <v>1</v>
      </c>
      <c r="D2" s="118" t="s">
        <v>2</v>
      </c>
      <c r="E2" s="118">
        <v>1991</v>
      </c>
      <c r="F2" s="118">
        <v>1992</v>
      </c>
      <c r="G2" s="118">
        <v>1993</v>
      </c>
      <c r="H2" s="118">
        <v>1994</v>
      </c>
      <c r="I2" s="118">
        <v>1995</v>
      </c>
      <c r="J2" s="118">
        <v>1996</v>
      </c>
      <c r="K2" s="118">
        <v>1997</v>
      </c>
      <c r="L2" s="118">
        <v>1998</v>
      </c>
      <c r="M2" s="118">
        <v>1999</v>
      </c>
      <c r="N2" s="118">
        <v>2000</v>
      </c>
      <c r="O2" s="118">
        <v>2001</v>
      </c>
      <c r="P2" s="118">
        <v>2002</v>
      </c>
      <c r="Q2" s="118">
        <v>2003</v>
      </c>
      <c r="R2" s="118">
        <v>2004</v>
      </c>
      <c r="S2" s="118">
        <v>2005</v>
      </c>
      <c r="T2" s="118">
        <v>2006</v>
      </c>
      <c r="U2" s="118">
        <v>2007</v>
      </c>
      <c r="V2" s="118">
        <v>2008</v>
      </c>
      <c r="W2" s="118">
        <v>2009</v>
      </c>
      <c r="X2" s="118">
        <v>2010</v>
      </c>
      <c r="Y2" s="118">
        <v>2011</v>
      </c>
      <c r="Z2" s="118">
        <v>2012</v>
      </c>
      <c r="AA2" s="118">
        <v>2013</v>
      </c>
      <c r="AB2" s="118">
        <v>2014</v>
      </c>
      <c r="AC2" s="118">
        <v>2015</v>
      </c>
      <c r="AD2" s="118">
        <v>2016</v>
      </c>
      <c r="AE2" s="120">
        <v>2017</v>
      </c>
      <c r="AF2" s="118">
        <v>2018</v>
      </c>
      <c r="AG2" s="118">
        <v>2019</v>
      </c>
      <c r="AH2" s="118">
        <v>2020</v>
      </c>
      <c r="AI2" s="3"/>
      <c r="AJ2" s="3"/>
      <c r="AK2" s="3"/>
      <c r="AL2" s="3"/>
      <c r="AM2" s="3"/>
      <c r="AN2" s="3"/>
      <c r="AO2" s="3"/>
      <c r="AP2" s="3"/>
      <c r="AQ2" s="3"/>
      <c r="AR2" s="3"/>
      <c r="AS2" s="3"/>
    </row>
    <row r="3" spans="1:51" ht="14.5" x14ac:dyDescent="0.35">
      <c r="A3" s="118"/>
      <c r="B3" s="118" t="s">
        <v>3</v>
      </c>
      <c r="C3" s="118" t="s">
        <v>4</v>
      </c>
      <c r="D3" s="118" t="s">
        <v>5</v>
      </c>
      <c r="E3" s="118" t="s">
        <v>6</v>
      </c>
      <c r="F3" s="118" t="s">
        <v>7</v>
      </c>
      <c r="G3" s="118" t="s">
        <v>8</v>
      </c>
      <c r="H3" s="118" t="s">
        <v>9</v>
      </c>
      <c r="I3" s="118" t="s">
        <v>10</v>
      </c>
      <c r="J3" s="118" t="s">
        <v>11</v>
      </c>
      <c r="K3" s="118" t="s">
        <v>12</v>
      </c>
      <c r="L3" s="118" t="s">
        <v>13</v>
      </c>
      <c r="M3" s="118" t="s">
        <v>14</v>
      </c>
      <c r="N3" s="118" t="s">
        <v>15</v>
      </c>
      <c r="O3" s="118" t="s">
        <v>16</v>
      </c>
      <c r="P3" s="118" t="s">
        <v>17</v>
      </c>
      <c r="Q3" s="118" t="s">
        <v>18</v>
      </c>
      <c r="R3" s="118" t="s">
        <v>19</v>
      </c>
      <c r="S3" s="118" t="s">
        <v>20</v>
      </c>
      <c r="T3" s="118" t="s">
        <v>21</v>
      </c>
      <c r="U3" s="118" t="s">
        <v>22</v>
      </c>
      <c r="V3" s="118" t="s">
        <v>23</v>
      </c>
      <c r="W3" s="118" t="s">
        <v>24</v>
      </c>
      <c r="X3" s="118" t="s">
        <v>25</v>
      </c>
      <c r="Y3" s="118" t="s">
        <v>26</v>
      </c>
      <c r="Z3" s="118" t="s">
        <v>27</v>
      </c>
      <c r="AA3" s="118" t="s">
        <v>28</v>
      </c>
      <c r="AB3" s="118" t="s">
        <v>29</v>
      </c>
      <c r="AC3" s="118" t="s">
        <v>30</v>
      </c>
      <c r="AD3" s="118" t="s">
        <v>31</v>
      </c>
      <c r="AE3" s="118" t="s">
        <v>32</v>
      </c>
      <c r="AF3" s="118" t="s">
        <v>33</v>
      </c>
      <c r="AG3" s="118" t="s">
        <v>34</v>
      </c>
      <c r="AH3" s="118" t="s">
        <v>35</v>
      </c>
      <c r="AI3" s="3"/>
      <c r="AJ3" s="3"/>
      <c r="AK3" s="3"/>
      <c r="AL3" s="3"/>
      <c r="AM3" s="3"/>
      <c r="AN3" s="3"/>
      <c r="AO3" s="3"/>
      <c r="AP3" s="3"/>
      <c r="AQ3" s="3"/>
      <c r="AR3" s="3"/>
      <c r="AS3" s="3"/>
    </row>
    <row r="4" spans="1:51" ht="14.5" x14ac:dyDescent="0.35">
      <c r="A4" s="121">
        <f>YampaRiverInflow.TotalOutflow!A4</f>
        <v>46143</v>
      </c>
      <c r="B4" s="122">
        <v>63.396000000000001</v>
      </c>
      <c r="C4" s="123">
        <v>7.5309999999999997</v>
      </c>
      <c r="D4" s="124">
        <v>24.817</v>
      </c>
      <c r="E4" s="16">
        <v>24.659790000000001</v>
      </c>
      <c r="F4" s="16">
        <v>21.803582000000002</v>
      </c>
      <c r="G4" s="16">
        <v>0.19014400000000023</v>
      </c>
      <c r="H4" s="16">
        <v>-5.5054859999999994</v>
      </c>
      <c r="I4" s="16">
        <v>-26.211384000000006</v>
      </c>
      <c r="J4" s="16">
        <v>7.738929999999999</v>
      </c>
      <c r="K4" s="16">
        <v>15.471069999999999</v>
      </c>
      <c r="L4" s="16">
        <v>41.137190000000004</v>
      </c>
      <c r="M4" s="16">
        <v>13.289260000000001</v>
      </c>
      <c r="N4" s="16">
        <v>27.570250000000001</v>
      </c>
      <c r="O4" s="16">
        <v>34.690910000000002</v>
      </c>
      <c r="P4" s="16">
        <v>21.163640000000001</v>
      </c>
      <c r="Q4" s="16">
        <v>23.543800000000001</v>
      </c>
      <c r="R4" s="16">
        <v>34.333880000000001</v>
      </c>
      <c r="S4" s="16">
        <v>67.140500000000003</v>
      </c>
      <c r="T4" s="16">
        <v>34.274380000000001</v>
      </c>
      <c r="U4" s="16">
        <v>36.813220000000001</v>
      </c>
      <c r="V4" s="16">
        <v>20.429749999999999</v>
      </c>
      <c r="W4" s="16">
        <v>51.173209999999997</v>
      </c>
      <c r="X4" s="16">
        <v>36.138489999999997</v>
      </c>
      <c r="Y4" s="16">
        <v>21.024139999999999</v>
      </c>
      <c r="Z4" s="16">
        <v>18.545120000000001</v>
      </c>
      <c r="AA4" s="16">
        <v>27.252549999999999</v>
      </c>
      <c r="AB4" s="16">
        <v>27.252610000000001</v>
      </c>
      <c r="AC4" s="16">
        <v>28.958279999999998</v>
      </c>
      <c r="AD4" s="16">
        <v>32.1327</v>
      </c>
      <c r="AE4" s="16">
        <v>29.573979999999999</v>
      </c>
      <c r="AF4" s="16">
        <v>26.281370000000102</v>
      </c>
      <c r="AG4" s="16">
        <v>27.570650000000001</v>
      </c>
      <c r="AH4" s="16">
        <v>23.583810000000099</v>
      </c>
      <c r="AI4" s="16"/>
      <c r="AJ4" s="16"/>
      <c r="AK4" s="16"/>
      <c r="AL4" s="16"/>
      <c r="AM4" s="16"/>
      <c r="AN4" s="4"/>
      <c r="AO4" s="4"/>
      <c r="AP4" s="4"/>
      <c r="AQ4" s="4"/>
      <c r="AR4" s="4"/>
      <c r="AS4" s="4"/>
      <c r="AT4" s="4"/>
      <c r="AU4" s="4"/>
      <c r="AV4" s="4"/>
      <c r="AW4" s="4"/>
      <c r="AX4" s="4"/>
      <c r="AY4" s="4"/>
    </row>
    <row r="5" spans="1:51" ht="14.5" x14ac:dyDescent="0.35">
      <c r="A5" s="121">
        <f>YampaRiverInflow.TotalOutflow!A5</f>
        <v>46174</v>
      </c>
      <c r="B5" s="122">
        <v>25.91</v>
      </c>
      <c r="C5" s="123">
        <v>-9.2720000000000002</v>
      </c>
      <c r="D5" s="124">
        <v>27.518999999999998</v>
      </c>
      <c r="E5" s="16">
        <v>3.4259199999999983</v>
      </c>
      <c r="F5" s="16">
        <v>8.1729199999999995</v>
      </c>
      <c r="G5" s="16">
        <v>12.473674000000001</v>
      </c>
      <c r="H5" s="16">
        <v>1.061094</v>
      </c>
      <c r="I5" s="16">
        <v>22.368065999999995</v>
      </c>
      <c r="J5" s="16">
        <v>-1.3633040000000001</v>
      </c>
      <c r="K5" s="16">
        <v>31.73554</v>
      </c>
      <c r="L5" s="16">
        <v>15.272729999999999</v>
      </c>
      <c r="M5" s="16">
        <v>13.68595</v>
      </c>
      <c r="N5" s="16">
        <v>32.07273</v>
      </c>
      <c r="O5" s="16">
        <v>48.238019999999999</v>
      </c>
      <c r="P5" s="16">
        <v>6.5057900000000002</v>
      </c>
      <c r="Q5" s="16">
        <v>14.280989999999999</v>
      </c>
      <c r="R5" s="16">
        <v>20.826450000000001</v>
      </c>
      <c r="S5" s="16">
        <v>11.9405</v>
      </c>
      <c r="T5" s="16">
        <v>14.67769</v>
      </c>
      <c r="U5" s="16">
        <v>31.73554</v>
      </c>
      <c r="V5" s="16">
        <v>13.4876</v>
      </c>
      <c r="W5" s="16">
        <v>35.543419999999998</v>
      </c>
      <c r="X5" s="16">
        <v>23.741799999999998</v>
      </c>
      <c r="Y5" s="16">
        <v>24.39593</v>
      </c>
      <c r="Z5" s="16">
        <v>22.730180000000001</v>
      </c>
      <c r="AA5" s="16">
        <v>25.189630000000001</v>
      </c>
      <c r="AB5" s="16">
        <v>26.0823</v>
      </c>
      <c r="AC5" s="16">
        <v>25.58633</v>
      </c>
      <c r="AD5" s="16">
        <v>28.562399999999901</v>
      </c>
      <c r="AE5" s="16">
        <v>24.3970500000001</v>
      </c>
      <c r="AF5" s="16">
        <v>26.578900000000001</v>
      </c>
      <c r="AG5" s="16">
        <v>24.000349999999901</v>
      </c>
      <c r="AH5" s="16">
        <v>22.730910000000101</v>
      </c>
      <c r="AI5" s="46"/>
      <c r="AJ5" s="46"/>
      <c r="AK5" s="46"/>
      <c r="AL5" s="46"/>
      <c r="AM5" s="46"/>
      <c r="AN5" s="4"/>
      <c r="AO5" s="4"/>
      <c r="AP5" s="4"/>
      <c r="AQ5" s="4"/>
      <c r="AR5" s="4"/>
      <c r="AS5" s="4"/>
      <c r="AT5" s="4"/>
      <c r="AU5" s="4"/>
      <c r="AV5" s="4"/>
      <c r="AW5" s="4"/>
      <c r="AX5" s="4"/>
      <c r="AY5" s="4"/>
    </row>
    <row r="6" spans="1:51" ht="14.5" x14ac:dyDescent="0.35">
      <c r="A6" s="121">
        <f>YampaRiverInflow.TotalOutflow!A6</f>
        <v>46204</v>
      </c>
      <c r="B6" s="122">
        <v>40.694000000000003</v>
      </c>
      <c r="C6" s="123">
        <v>21.297000000000001</v>
      </c>
      <c r="D6" s="124">
        <v>40.78</v>
      </c>
      <c r="E6" s="16">
        <v>-0.52760200000000035</v>
      </c>
      <c r="F6" s="16">
        <v>14.445949999999996</v>
      </c>
      <c r="G6" s="16">
        <v>-5.4029160000000003</v>
      </c>
      <c r="H6" s="16">
        <v>-9.1989860000000014</v>
      </c>
      <c r="I6" s="16">
        <v>30.872809999999998</v>
      </c>
      <c r="J6" s="16">
        <v>7.8308159999999951</v>
      </c>
      <c r="K6" s="16">
        <v>31.933880000000002</v>
      </c>
      <c r="L6" s="16">
        <v>33.12397</v>
      </c>
      <c r="M6" s="16">
        <v>30.347110000000001</v>
      </c>
      <c r="N6" s="16">
        <v>21.12397</v>
      </c>
      <c r="O6" s="16">
        <v>19.953720000000001</v>
      </c>
      <c r="P6" s="16">
        <v>10.1157</v>
      </c>
      <c r="Q6" s="16">
        <v>17.2562</v>
      </c>
      <c r="R6" s="16">
        <v>39.272730000000003</v>
      </c>
      <c r="S6" s="16">
        <v>21.024789999999999</v>
      </c>
      <c r="T6" s="16">
        <v>21.223140000000001</v>
      </c>
      <c r="U6" s="16">
        <v>45.421489999999999</v>
      </c>
      <c r="V6" s="16">
        <v>28.760330000000003</v>
      </c>
      <c r="W6" s="16">
        <v>28.164830000000002</v>
      </c>
      <c r="X6" s="16">
        <v>29.156560000000002</v>
      </c>
      <c r="Y6" s="16">
        <v>31.536360000000002</v>
      </c>
      <c r="Z6" s="16">
        <v>26.379669999999997</v>
      </c>
      <c r="AA6" s="16">
        <v>61.685449999999996</v>
      </c>
      <c r="AB6" s="16">
        <v>29.156569999999999</v>
      </c>
      <c r="AC6" s="16">
        <v>33.520060000000001</v>
      </c>
      <c r="AD6" s="16">
        <v>26.182200000000002</v>
      </c>
      <c r="AE6" s="16">
        <v>32.1327</v>
      </c>
      <c r="AF6" s="16">
        <v>49.587499999999999</v>
      </c>
      <c r="AG6" s="16">
        <v>22.016849999999998</v>
      </c>
      <c r="AH6" s="16">
        <v>23.603650000000101</v>
      </c>
      <c r="AI6" s="46"/>
      <c r="AJ6" s="46"/>
      <c r="AK6" s="46"/>
      <c r="AL6" s="46"/>
      <c r="AM6" s="46"/>
      <c r="AN6" s="4"/>
      <c r="AO6" s="4"/>
      <c r="AP6" s="4"/>
      <c r="AQ6" s="4"/>
      <c r="AR6" s="4"/>
      <c r="AS6" s="4"/>
      <c r="AT6" s="4"/>
      <c r="AU6" s="4"/>
      <c r="AV6" s="4"/>
      <c r="AW6" s="4"/>
      <c r="AX6" s="4"/>
      <c r="AY6" s="4"/>
    </row>
    <row r="7" spans="1:51" ht="14.5" x14ac:dyDescent="0.35">
      <c r="A7" s="121">
        <f>YampaRiverInflow.TotalOutflow!A7</f>
        <v>46235</v>
      </c>
      <c r="B7" s="122">
        <v>81.248000000000005</v>
      </c>
      <c r="C7" s="123">
        <v>54.869</v>
      </c>
      <c r="D7" s="124">
        <v>66.072999999999993</v>
      </c>
      <c r="E7" s="16">
        <v>15.498979999999996</v>
      </c>
      <c r="F7" s="16">
        <v>39.663323999999996</v>
      </c>
      <c r="G7" s="16">
        <v>-27.475497999999998</v>
      </c>
      <c r="H7" s="16">
        <v>-21.766008000000003</v>
      </c>
      <c r="I7" s="16">
        <v>29.917686</v>
      </c>
      <c r="J7" s="16">
        <v>25.019824</v>
      </c>
      <c r="K7" s="16">
        <v>50.280989999999996</v>
      </c>
      <c r="L7" s="16">
        <v>20.826450000000001</v>
      </c>
      <c r="M7" s="16">
        <v>44.033059999999999</v>
      </c>
      <c r="N7" s="16">
        <v>23.404959999999999</v>
      </c>
      <c r="O7" s="16">
        <v>52.066120000000005</v>
      </c>
      <c r="P7" s="16">
        <v>17.851240000000001</v>
      </c>
      <c r="Q7" s="16">
        <v>42.049589999999995</v>
      </c>
      <c r="R7" s="16">
        <v>50.578510000000001</v>
      </c>
      <c r="S7" s="16">
        <v>28.36364</v>
      </c>
      <c r="T7" s="16">
        <v>66.446280000000002</v>
      </c>
      <c r="U7" s="16">
        <v>91.636359999999996</v>
      </c>
      <c r="V7" s="16">
        <v>39.272730000000003</v>
      </c>
      <c r="W7" s="16">
        <v>23.60284</v>
      </c>
      <c r="X7" s="16">
        <v>91.04083</v>
      </c>
      <c r="Y7" s="16">
        <v>36.693379999999998</v>
      </c>
      <c r="Z7" s="16">
        <v>68.607789999999994</v>
      </c>
      <c r="AA7" s="16">
        <v>66.842500000000001</v>
      </c>
      <c r="AB7" s="16">
        <v>41.057389999999998</v>
      </c>
      <c r="AC7" s="16">
        <v>44.429290000000002</v>
      </c>
      <c r="AD7" s="16">
        <v>41.851849999999999</v>
      </c>
      <c r="AE7" s="16">
        <v>40.265050000000002</v>
      </c>
      <c r="AF7" s="16">
        <v>38.876599999999996</v>
      </c>
      <c r="AG7" s="16">
        <v>29.55415</v>
      </c>
      <c r="AH7" s="16">
        <v>23.603649999999899</v>
      </c>
      <c r="AI7" s="46"/>
      <c r="AJ7" s="46"/>
      <c r="AK7" s="46"/>
      <c r="AL7" s="46"/>
      <c r="AM7" s="46"/>
      <c r="AN7" s="4"/>
      <c r="AO7" s="4"/>
      <c r="AP7" s="4"/>
      <c r="AQ7" s="4"/>
      <c r="AR7" s="4"/>
      <c r="AS7" s="4"/>
      <c r="AT7" s="4"/>
      <c r="AU7" s="4"/>
      <c r="AV7" s="4"/>
      <c r="AW7" s="4"/>
      <c r="AX7" s="4"/>
      <c r="AY7" s="4"/>
    </row>
    <row r="8" spans="1:51" ht="14.5" x14ac:dyDescent="0.35">
      <c r="A8" s="121">
        <f>YampaRiverInflow.TotalOutflow!A8</f>
        <v>46266</v>
      </c>
      <c r="B8" s="122">
        <v>64.629000000000005</v>
      </c>
      <c r="C8" s="123">
        <v>48.220999999999997</v>
      </c>
      <c r="D8" s="124">
        <v>42.307000000000002</v>
      </c>
      <c r="E8" s="16">
        <v>19.180725999999996</v>
      </c>
      <c r="F8" s="16">
        <v>38.334448000000002</v>
      </c>
      <c r="G8" s="16">
        <v>-11.254766</v>
      </c>
      <c r="H8" s="16">
        <v>-1.109622000000003</v>
      </c>
      <c r="I8" s="16">
        <v>14.515779999999999</v>
      </c>
      <c r="J8" s="16">
        <v>21.008659999999999</v>
      </c>
      <c r="K8" s="16">
        <v>59.246279999999999</v>
      </c>
      <c r="L8" s="16">
        <v>36.099170000000001</v>
      </c>
      <c r="M8" s="16">
        <v>49.190080000000002</v>
      </c>
      <c r="N8" s="16">
        <v>39.133879999999998</v>
      </c>
      <c r="O8" s="16">
        <v>48.456199999999995</v>
      </c>
      <c r="P8" s="16">
        <v>103.95372</v>
      </c>
      <c r="Q8" s="16">
        <v>34.373550000000002</v>
      </c>
      <c r="R8" s="16">
        <v>57.381819999999998</v>
      </c>
      <c r="S8" s="16">
        <v>38.360330000000005</v>
      </c>
      <c r="T8" s="16">
        <v>50.87603</v>
      </c>
      <c r="U8" s="16">
        <v>33.83802</v>
      </c>
      <c r="V8" s="16">
        <v>38.677690000000005</v>
      </c>
      <c r="W8" s="16">
        <v>28.363289999999999</v>
      </c>
      <c r="X8" s="16">
        <v>44.250949999999996</v>
      </c>
      <c r="Y8" s="16">
        <v>41.255660000000006</v>
      </c>
      <c r="Z8" s="16">
        <v>47.999720000000003</v>
      </c>
      <c r="AA8" s="16">
        <v>78.703759999999988</v>
      </c>
      <c r="AB8" s="16">
        <v>38.875680000000003</v>
      </c>
      <c r="AC8" s="16">
        <v>32.726860000000002</v>
      </c>
      <c r="AD8" s="16">
        <v>30.744250000000001</v>
      </c>
      <c r="AE8" s="16">
        <v>24.1193600000001</v>
      </c>
      <c r="AF8" s="16">
        <v>44.628749999999897</v>
      </c>
      <c r="AG8" s="16">
        <v>21.9771800000001</v>
      </c>
      <c r="AH8" s="16">
        <v>24.040019999999899</v>
      </c>
      <c r="AI8" s="46"/>
      <c r="AJ8" s="46"/>
      <c r="AK8" s="46"/>
      <c r="AL8" s="46"/>
      <c r="AM8" s="46"/>
      <c r="AN8" s="4"/>
      <c r="AO8" s="4"/>
      <c r="AP8" s="4"/>
      <c r="AQ8" s="4"/>
      <c r="AR8" s="4"/>
      <c r="AS8" s="4"/>
      <c r="AT8" s="4"/>
      <c r="AU8" s="4"/>
      <c r="AV8" s="4"/>
      <c r="AW8" s="4"/>
      <c r="AX8" s="4"/>
      <c r="AY8" s="4"/>
    </row>
    <row r="9" spans="1:51" ht="14.5" x14ac:dyDescent="0.35">
      <c r="A9" s="121">
        <f>YampaRiverInflow.TotalOutflow!A9</f>
        <v>46296</v>
      </c>
      <c r="B9" s="122">
        <v>51.898000000000003</v>
      </c>
      <c r="C9" s="123">
        <v>34.402999999999999</v>
      </c>
      <c r="D9" s="124">
        <v>44.052999999999997</v>
      </c>
      <c r="E9" s="16">
        <v>26.040343999999997</v>
      </c>
      <c r="F9" s="16">
        <v>13.166246000000003</v>
      </c>
      <c r="G9" s="16">
        <v>20.811032000000001</v>
      </c>
      <c r="H9" s="16">
        <v>15.392737999999998</v>
      </c>
      <c r="I9" s="16">
        <v>31.104225999999993</v>
      </c>
      <c r="J9" s="16">
        <v>32.409004000000003</v>
      </c>
      <c r="K9" s="16">
        <v>36.495870000000004</v>
      </c>
      <c r="L9" s="16">
        <v>22.413220000000003</v>
      </c>
      <c r="M9" s="16">
        <v>37.884300000000003</v>
      </c>
      <c r="N9" s="16">
        <v>47.385120000000001</v>
      </c>
      <c r="O9" s="16">
        <v>23.34545</v>
      </c>
      <c r="P9" s="16">
        <v>20.647929999999999</v>
      </c>
      <c r="Q9" s="16">
        <v>30.664459999999998</v>
      </c>
      <c r="R9" s="16">
        <v>41.077690000000004</v>
      </c>
      <c r="S9" s="16">
        <v>31.060849999999999</v>
      </c>
      <c r="T9" s="16">
        <v>69.758679999999998</v>
      </c>
      <c r="U9" s="16">
        <v>20.94511</v>
      </c>
      <c r="V9" s="16">
        <v>34.908660000000005</v>
      </c>
      <c r="W9" s="16">
        <v>24.793029999999998</v>
      </c>
      <c r="X9" s="16">
        <v>40.680699999999995</v>
      </c>
      <c r="Y9" s="16">
        <v>34.511849999999995</v>
      </c>
      <c r="Z9" s="16">
        <v>29.513770000000001</v>
      </c>
      <c r="AA9" s="16">
        <v>19.080719999999999</v>
      </c>
      <c r="AB9" s="16">
        <v>42.445929999999997</v>
      </c>
      <c r="AC9" s="16">
        <v>56.012860000000003</v>
      </c>
      <c r="AD9" s="16">
        <v>29.236789999999999</v>
      </c>
      <c r="AE9" s="16">
        <v>25.884679999999999</v>
      </c>
      <c r="AF9" s="16">
        <v>63.214149999999897</v>
      </c>
      <c r="AG9" s="16">
        <v>23.663159999999799</v>
      </c>
      <c r="AH9" s="16">
        <v>24.972269999999799</v>
      </c>
      <c r="AI9" s="46"/>
      <c r="AJ9" s="46"/>
      <c r="AK9" s="46"/>
      <c r="AL9" s="46"/>
      <c r="AM9" s="46"/>
      <c r="AN9" s="4"/>
      <c r="AO9" s="4"/>
      <c r="AP9" s="4"/>
      <c r="AQ9" s="4"/>
      <c r="AR9" s="4"/>
      <c r="AS9" s="4"/>
      <c r="AT9" s="4"/>
      <c r="AU9" s="4"/>
      <c r="AV9" s="4"/>
      <c r="AW9" s="4"/>
      <c r="AX9" s="4"/>
      <c r="AY9" s="4"/>
    </row>
    <row r="10" spans="1:51" ht="14.5" x14ac:dyDescent="0.35">
      <c r="A10" s="121">
        <f>YampaRiverInflow.TotalOutflow!A10</f>
        <v>46327</v>
      </c>
      <c r="B10" s="122">
        <v>25.907</v>
      </c>
      <c r="C10" s="123">
        <v>29.670999999999999</v>
      </c>
      <c r="D10" s="124">
        <v>26.126000000000001</v>
      </c>
      <c r="E10" s="16">
        <v>17.507805999999995</v>
      </c>
      <c r="F10" s="16">
        <v>8.8944699999999983</v>
      </c>
      <c r="G10" s="16">
        <v>1.1222839999999996</v>
      </c>
      <c r="H10" s="16">
        <v>9.8448719999999987</v>
      </c>
      <c r="I10" s="16">
        <v>28.013811999999998</v>
      </c>
      <c r="J10" s="16">
        <v>15.793877999999999</v>
      </c>
      <c r="K10" s="16">
        <v>24.595040000000001</v>
      </c>
      <c r="L10" s="16">
        <v>18.446279999999998</v>
      </c>
      <c r="M10" s="16">
        <v>36.495870000000004</v>
      </c>
      <c r="N10" s="16">
        <v>27.966939999999997</v>
      </c>
      <c r="O10" s="16">
        <v>25.487599999999997</v>
      </c>
      <c r="P10" s="16">
        <v>23.10744</v>
      </c>
      <c r="Q10" s="16">
        <v>22.472729999999999</v>
      </c>
      <c r="R10" s="16">
        <v>35.166530000000002</v>
      </c>
      <c r="S10" s="16">
        <v>20.925319999999999</v>
      </c>
      <c r="T10" s="16">
        <v>16.066120000000002</v>
      </c>
      <c r="U10" s="16">
        <v>25.54711</v>
      </c>
      <c r="V10" s="16">
        <v>41.950060000000001</v>
      </c>
      <c r="W10" s="16">
        <v>23.00787</v>
      </c>
      <c r="X10" s="16">
        <v>14.39954</v>
      </c>
      <c r="Y10" s="16">
        <v>23.602700000000002</v>
      </c>
      <c r="Z10" s="16">
        <v>28.581400000000002</v>
      </c>
      <c r="AA10" s="16">
        <v>27.807869999999998</v>
      </c>
      <c r="AB10" s="16">
        <v>24.69378</v>
      </c>
      <c r="AC10" s="16">
        <v>22.293890000000001</v>
      </c>
      <c r="AD10" s="16">
        <v>27.888010000000101</v>
      </c>
      <c r="AE10" s="16">
        <v>24.873090000000097</v>
      </c>
      <c r="AF10" s="16">
        <v>23.24662</v>
      </c>
      <c r="AG10" s="16">
        <v>25.646650000000101</v>
      </c>
      <c r="AH10" s="16">
        <v>24.793749999999999</v>
      </c>
      <c r="AI10" s="46"/>
      <c r="AJ10" s="46"/>
      <c r="AK10" s="46"/>
      <c r="AL10" s="46"/>
      <c r="AM10" s="46"/>
      <c r="AN10" s="4"/>
      <c r="AO10" s="4"/>
      <c r="AP10" s="4"/>
      <c r="AQ10" s="4"/>
      <c r="AR10" s="4"/>
      <c r="AS10" s="4"/>
      <c r="AT10" s="4"/>
      <c r="AU10" s="4"/>
      <c r="AV10" s="4"/>
      <c r="AW10" s="4"/>
      <c r="AX10" s="4"/>
      <c r="AY10" s="4"/>
    </row>
    <row r="11" spans="1:51" ht="14.5" x14ac:dyDescent="0.35">
      <c r="A11" s="121">
        <f>YampaRiverInflow.TotalOutflow!A11</f>
        <v>46357</v>
      </c>
      <c r="B11" s="122">
        <v>40.94</v>
      </c>
      <c r="C11" s="123">
        <v>46.996000000000002</v>
      </c>
      <c r="D11" s="124">
        <v>27.3</v>
      </c>
      <c r="E11" s="16">
        <v>8.4644880000000011</v>
      </c>
      <c r="F11" s="16">
        <v>2.3967059999999982</v>
      </c>
      <c r="G11" s="16">
        <v>-6.7709719999999995</v>
      </c>
      <c r="H11" s="16">
        <v>0.60159199999999691</v>
      </c>
      <c r="I11" s="16">
        <v>44.223798000000002</v>
      </c>
      <c r="J11" s="16">
        <v>1.110544</v>
      </c>
      <c r="K11" s="16">
        <v>15.07438</v>
      </c>
      <c r="L11" s="16">
        <v>12.69421</v>
      </c>
      <c r="M11" s="16">
        <v>35.305790000000002</v>
      </c>
      <c r="N11" s="16">
        <v>29.355370000000001</v>
      </c>
      <c r="O11" s="16">
        <v>13.4876</v>
      </c>
      <c r="P11" s="16">
        <v>18.723970000000001</v>
      </c>
      <c r="Q11" s="16">
        <v>15.471069999999999</v>
      </c>
      <c r="R11" s="16">
        <v>19.100490000000001</v>
      </c>
      <c r="S11" s="16">
        <v>3.9664899999999998</v>
      </c>
      <c r="T11" s="16">
        <v>23.801650000000002</v>
      </c>
      <c r="U11" s="16">
        <v>57.520660000000007</v>
      </c>
      <c r="V11" s="16">
        <v>23.99954</v>
      </c>
      <c r="W11" s="16">
        <v>19.4375</v>
      </c>
      <c r="X11" s="16">
        <v>33.916870000000003</v>
      </c>
      <c r="Y11" s="16">
        <v>31.734860000000001</v>
      </c>
      <c r="Z11" s="16">
        <v>22.7103</v>
      </c>
      <c r="AA11" s="16">
        <v>25.368259999999999</v>
      </c>
      <c r="AB11" s="16">
        <v>31.6557</v>
      </c>
      <c r="AC11" s="16">
        <v>22.412740000000003</v>
      </c>
      <c r="AD11" s="16">
        <v>36.377389999999899</v>
      </c>
      <c r="AE11" s="16">
        <v>25.983849999999997</v>
      </c>
      <c r="AF11" s="16">
        <v>23.544150000000002</v>
      </c>
      <c r="AG11" s="16">
        <v>39.471650000000103</v>
      </c>
      <c r="AH11" s="16">
        <v>24.5160599999999</v>
      </c>
      <c r="AI11" s="46"/>
      <c r="AJ11" s="46"/>
      <c r="AK11" s="46"/>
      <c r="AL11" s="46"/>
      <c r="AM11" s="46"/>
      <c r="AN11" s="4"/>
      <c r="AO11" s="4"/>
      <c r="AP11" s="4"/>
      <c r="AQ11" s="4"/>
      <c r="AR11" s="4"/>
      <c r="AS11" s="4"/>
      <c r="AT11" s="4"/>
      <c r="AU11" s="4"/>
      <c r="AV11" s="4"/>
      <c r="AW11" s="4"/>
      <c r="AX11" s="4"/>
      <c r="AY11" s="4"/>
    </row>
    <row r="12" spans="1:51" ht="14.5" x14ac:dyDescent="0.35">
      <c r="A12" s="121">
        <f>YampaRiverInflow.TotalOutflow!A12</f>
        <v>46388</v>
      </c>
      <c r="B12" s="122">
        <v>37.787999999999997</v>
      </c>
      <c r="C12" s="123">
        <v>44.08</v>
      </c>
      <c r="D12" s="124">
        <v>25.349</v>
      </c>
      <c r="E12" s="16">
        <v>0.14888199999999779</v>
      </c>
      <c r="F12" s="16">
        <v>188.36769600000002</v>
      </c>
      <c r="G12" s="16">
        <v>-19.261465999999999</v>
      </c>
      <c r="H12" s="16">
        <v>-11.55139</v>
      </c>
      <c r="I12" s="16">
        <v>25.526097999999998</v>
      </c>
      <c r="J12" s="16">
        <v>1.3745679999999993</v>
      </c>
      <c r="K12" s="16">
        <v>21.421490000000002</v>
      </c>
      <c r="L12" s="16">
        <v>24.198349999999998</v>
      </c>
      <c r="M12" s="16">
        <v>42.049589999999995</v>
      </c>
      <c r="N12" s="16">
        <v>21.61983</v>
      </c>
      <c r="O12" s="16">
        <v>18.446279999999998</v>
      </c>
      <c r="P12" s="16">
        <v>23.206610000000001</v>
      </c>
      <c r="Q12" s="16">
        <v>20.033060000000003</v>
      </c>
      <c r="R12" s="16">
        <v>101.09752</v>
      </c>
      <c r="S12" s="16">
        <v>22.61157</v>
      </c>
      <c r="T12" s="16">
        <v>23.206610000000001</v>
      </c>
      <c r="U12" s="16">
        <v>42.247930000000004</v>
      </c>
      <c r="V12" s="16">
        <v>34.11524</v>
      </c>
      <c r="W12" s="16">
        <v>41.255679999999998</v>
      </c>
      <c r="X12" s="16">
        <v>24.792830000000002</v>
      </c>
      <c r="Y12" s="16">
        <v>40.065640000000002</v>
      </c>
      <c r="Z12" s="16">
        <v>37.883839999999999</v>
      </c>
      <c r="AA12" s="16">
        <v>23.007810000000003</v>
      </c>
      <c r="AB12" s="16">
        <v>30.743310000000001</v>
      </c>
      <c r="AC12" s="16">
        <v>36.496400000000001</v>
      </c>
      <c r="AD12" s="16">
        <v>45.025449999999999</v>
      </c>
      <c r="AE12" s="16">
        <v>23.802</v>
      </c>
      <c r="AF12" s="16">
        <v>42.050199999999904</v>
      </c>
      <c r="AG12" s="16">
        <v>26.777249999999999</v>
      </c>
      <c r="AH12" s="16">
        <v>29.809785999999992</v>
      </c>
      <c r="AI12" s="46"/>
      <c r="AJ12" s="46"/>
      <c r="AK12" s="46"/>
      <c r="AL12" s="46"/>
      <c r="AM12" s="46"/>
      <c r="AN12" s="4"/>
      <c r="AO12" s="4"/>
      <c r="AP12" s="4"/>
      <c r="AQ12" s="4"/>
      <c r="AR12" s="4"/>
      <c r="AS12" s="4"/>
      <c r="AT12" s="4"/>
      <c r="AU12" s="4"/>
      <c r="AV12" s="4"/>
      <c r="AW12" s="4"/>
      <c r="AX12" s="4"/>
      <c r="AY12" s="4"/>
    </row>
    <row r="13" spans="1:51" ht="14.5" x14ac:dyDescent="0.35">
      <c r="A13" s="121">
        <f>YampaRiverInflow.TotalOutflow!A13</f>
        <v>46419</v>
      </c>
      <c r="B13" s="122">
        <v>32.042000000000002</v>
      </c>
      <c r="C13" s="123">
        <v>37.771000000000001</v>
      </c>
      <c r="D13" s="124">
        <v>23.047999999999998</v>
      </c>
      <c r="E13" s="16">
        <v>7.0302340000000001</v>
      </c>
      <c r="F13" s="16">
        <v>85.799055999999993</v>
      </c>
      <c r="G13" s="16">
        <v>-9.7793939999999999</v>
      </c>
      <c r="H13" s="16">
        <v>38.657699999999991</v>
      </c>
      <c r="I13" s="16">
        <v>12.339405999999999</v>
      </c>
      <c r="J13" s="16">
        <v>23.60331</v>
      </c>
      <c r="K13" s="16">
        <v>17.2562</v>
      </c>
      <c r="L13" s="16">
        <v>16.066120000000002</v>
      </c>
      <c r="M13" s="16">
        <v>48.99174</v>
      </c>
      <c r="N13" s="16">
        <v>36.297519999999999</v>
      </c>
      <c r="O13" s="16">
        <v>25.745450000000002</v>
      </c>
      <c r="P13" s="16">
        <v>24.39669</v>
      </c>
      <c r="Q13" s="16">
        <v>35.66281</v>
      </c>
      <c r="R13" s="16">
        <v>125.57355</v>
      </c>
      <c r="S13" s="16">
        <v>20.429749999999999</v>
      </c>
      <c r="T13" s="16">
        <v>29.355370000000001</v>
      </c>
      <c r="U13" s="16">
        <v>90.644630000000006</v>
      </c>
      <c r="V13" s="16">
        <v>38.478989999999996</v>
      </c>
      <c r="W13" s="16">
        <v>35.16657</v>
      </c>
      <c r="X13" s="16">
        <v>33.321769999999994</v>
      </c>
      <c r="Y13" s="16">
        <v>18.842610000000001</v>
      </c>
      <c r="Z13" s="16">
        <v>38.875690000000006</v>
      </c>
      <c r="AA13" s="16">
        <v>32.449240000000003</v>
      </c>
      <c r="AB13" s="16">
        <v>39.450900000000004</v>
      </c>
      <c r="AC13" s="16">
        <v>41.375809999999994</v>
      </c>
      <c r="AD13" s="16">
        <v>62.678599999999996</v>
      </c>
      <c r="AE13" s="16">
        <v>22.2151999999999</v>
      </c>
      <c r="AF13" s="16">
        <v>72.001050000000006</v>
      </c>
      <c r="AG13" s="16">
        <v>37.884849999999894</v>
      </c>
      <c r="AH13" s="16">
        <v>19.033522000000001</v>
      </c>
      <c r="AI13" s="46"/>
      <c r="AJ13" s="46"/>
      <c r="AK13" s="46"/>
      <c r="AL13" s="46"/>
      <c r="AM13" s="46"/>
      <c r="AN13" s="4"/>
      <c r="AO13" s="4"/>
      <c r="AP13" s="4"/>
      <c r="AQ13" s="4"/>
      <c r="AR13" s="4"/>
      <c r="AS13" s="4"/>
      <c r="AT13" s="4"/>
      <c r="AU13" s="4"/>
      <c r="AV13" s="4"/>
      <c r="AW13" s="4"/>
      <c r="AX13" s="4"/>
      <c r="AY13" s="4"/>
    </row>
    <row r="14" spans="1:51" ht="14.5" x14ac:dyDescent="0.35">
      <c r="A14" s="121">
        <f>YampaRiverInflow.TotalOutflow!A14</f>
        <v>46447</v>
      </c>
      <c r="B14" s="122">
        <v>33.389000000000003</v>
      </c>
      <c r="C14" s="123">
        <v>30.36</v>
      </c>
      <c r="D14" s="124">
        <v>52.097999999999999</v>
      </c>
      <c r="E14" s="16">
        <v>23.852601999999997</v>
      </c>
      <c r="F14" s="16">
        <v>33.571293999999995</v>
      </c>
      <c r="G14" s="16">
        <v>18.785719999999998</v>
      </c>
      <c r="H14" s="16">
        <v>66.418819999999997</v>
      </c>
      <c r="I14" s="16">
        <v>7.6782579999999996</v>
      </c>
      <c r="J14" s="16">
        <v>63.272730000000003</v>
      </c>
      <c r="K14" s="16">
        <v>48.99174</v>
      </c>
      <c r="L14" s="16">
        <v>19.834709999999998</v>
      </c>
      <c r="M14" s="16">
        <v>54.009920000000001</v>
      </c>
      <c r="N14" s="16">
        <v>55.160330000000002</v>
      </c>
      <c r="O14" s="16">
        <v>23.22645</v>
      </c>
      <c r="P14" s="16">
        <v>42.842980000000004</v>
      </c>
      <c r="Q14" s="16">
        <v>27.59008</v>
      </c>
      <c r="R14" s="16">
        <v>69.104129999999998</v>
      </c>
      <c r="S14" s="16">
        <v>49.190080000000002</v>
      </c>
      <c r="T14" s="16">
        <v>44.628099999999996</v>
      </c>
      <c r="U14" s="16">
        <v>82.373550000000009</v>
      </c>
      <c r="V14" s="16">
        <v>74.04258999999999</v>
      </c>
      <c r="W14" s="16">
        <v>59.404600000000002</v>
      </c>
      <c r="X14" s="16">
        <v>42.445689999999999</v>
      </c>
      <c r="Y14" s="16">
        <v>22.21454</v>
      </c>
      <c r="Z14" s="16">
        <v>58.769889999999997</v>
      </c>
      <c r="AA14" s="16">
        <v>31.517060000000001</v>
      </c>
      <c r="AB14" s="16">
        <v>41.176480000000005</v>
      </c>
      <c r="AC14" s="16">
        <v>36.615409999999905</v>
      </c>
      <c r="AD14" s="16">
        <v>63.888529999999896</v>
      </c>
      <c r="AE14" s="16">
        <v>26.578900000000001</v>
      </c>
      <c r="AF14" s="16">
        <v>124.9605</v>
      </c>
      <c r="AG14" s="16">
        <v>70.0175499999999</v>
      </c>
      <c r="AH14" s="16">
        <v>37.985829999999993</v>
      </c>
      <c r="AI14" s="46"/>
      <c r="AJ14" s="46"/>
      <c r="AK14" s="46"/>
      <c r="AL14" s="46"/>
      <c r="AM14" s="46"/>
      <c r="AN14" s="4"/>
      <c r="AO14" s="4"/>
      <c r="AP14" s="4"/>
      <c r="AQ14" s="4"/>
      <c r="AR14" s="4"/>
      <c r="AS14" s="4"/>
      <c r="AT14" s="4"/>
      <c r="AU14" s="4"/>
      <c r="AV14" s="4"/>
      <c r="AW14" s="4"/>
      <c r="AX14" s="4"/>
      <c r="AY14" s="4"/>
    </row>
    <row r="15" spans="1:51" ht="14.5" x14ac:dyDescent="0.35">
      <c r="A15" s="121">
        <f>YampaRiverInflow.TotalOutflow!A15</f>
        <v>46478</v>
      </c>
      <c r="B15" s="122">
        <v>43.63</v>
      </c>
      <c r="C15" s="123">
        <v>22.321999999999999</v>
      </c>
      <c r="D15" s="124">
        <v>53.308</v>
      </c>
      <c r="E15" s="16">
        <v>40.074694000000001</v>
      </c>
      <c r="F15" s="16">
        <v>1.3631199999999954</v>
      </c>
      <c r="G15" s="16">
        <v>-2.5694920000000012</v>
      </c>
      <c r="H15" s="16">
        <v>-26.212883999999999</v>
      </c>
      <c r="I15" s="16">
        <v>3.6764540000000014</v>
      </c>
      <c r="J15" s="16">
        <v>29.157019999999999</v>
      </c>
      <c r="K15" s="16">
        <v>70.294210000000007</v>
      </c>
      <c r="L15" s="16">
        <v>23.60331</v>
      </c>
      <c r="M15" s="16">
        <v>16.8</v>
      </c>
      <c r="N15" s="16">
        <v>35.028100000000002</v>
      </c>
      <c r="O15" s="16">
        <v>13.62645</v>
      </c>
      <c r="P15" s="16">
        <v>32.747109999999999</v>
      </c>
      <c r="Q15" s="16">
        <v>39.133879999999998</v>
      </c>
      <c r="R15" s="16">
        <v>90.902479999999997</v>
      </c>
      <c r="S15" s="16">
        <v>33.758679999999998</v>
      </c>
      <c r="T15" s="16">
        <v>33.699169999999995</v>
      </c>
      <c r="U15" s="16">
        <v>29.79214</v>
      </c>
      <c r="V15" s="16">
        <v>43.080640000000002</v>
      </c>
      <c r="W15" s="16">
        <v>88.700450000000004</v>
      </c>
      <c r="X15" s="16">
        <v>43.635820000000002</v>
      </c>
      <c r="Y15" s="16">
        <v>17.01784</v>
      </c>
      <c r="Z15" s="16">
        <v>26.498860000000001</v>
      </c>
      <c r="AA15" s="16">
        <v>22.988139999999998</v>
      </c>
      <c r="AB15" s="16">
        <v>25.348419999999997</v>
      </c>
      <c r="AC15" s="16">
        <v>31.934349999999899</v>
      </c>
      <c r="AD15" s="16">
        <v>40.2452100000001</v>
      </c>
      <c r="AE15" s="16">
        <v>24.198700000000002</v>
      </c>
      <c r="AF15" s="16">
        <v>43.240300000000097</v>
      </c>
      <c r="AG15" s="16">
        <v>39.828680000000105</v>
      </c>
      <c r="AH15" s="16">
        <v>41.938178000000001</v>
      </c>
      <c r="AI15" s="46"/>
      <c r="AJ15" s="46"/>
      <c r="AK15" s="46"/>
      <c r="AL15" s="46"/>
      <c r="AM15" s="46"/>
      <c r="AN15" s="4"/>
      <c r="AO15" s="4"/>
      <c r="AP15" s="4"/>
      <c r="AQ15" s="4"/>
      <c r="AR15" s="4"/>
      <c r="AS15" s="4"/>
      <c r="AT15" s="4"/>
      <c r="AU15" s="4"/>
      <c r="AV15" s="4"/>
      <c r="AW15" s="4"/>
      <c r="AX15" s="4"/>
      <c r="AY15" s="4"/>
    </row>
    <row r="16" spans="1:51" ht="14.5" x14ac:dyDescent="0.35">
      <c r="A16" s="121">
        <f>YampaRiverInflow.TotalOutflow!A16</f>
        <v>46508</v>
      </c>
      <c r="B16" s="122">
        <v>13.391999999999999</v>
      </c>
      <c r="C16" s="123">
        <v>7.6790000000000003</v>
      </c>
      <c r="D16" s="124">
        <v>24.817</v>
      </c>
      <c r="E16" s="16">
        <v>21.803582000000002</v>
      </c>
      <c r="F16" s="16">
        <v>0.19014400000000023</v>
      </c>
      <c r="G16" s="16">
        <v>-5.5054859999999994</v>
      </c>
      <c r="H16" s="16">
        <v>-26.211384000000006</v>
      </c>
      <c r="I16" s="16">
        <v>7.738929999999999</v>
      </c>
      <c r="J16" s="16">
        <v>15.471069999999999</v>
      </c>
      <c r="K16" s="16">
        <v>41.137190000000004</v>
      </c>
      <c r="L16" s="16">
        <v>13.289260000000001</v>
      </c>
      <c r="M16" s="16">
        <v>27.570250000000001</v>
      </c>
      <c r="N16" s="16">
        <v>34.690910000000002</v>
      </c>
      <c r="O16" s="16">
        <v>21.163640000000001</v>
      </c>
      <c r="P16" s="16">
        <v>23.543800000000001</v>
      </c>
      <c r="Q16" s="16">
        <v>34.333880000000001</v>
      </c>
      <c r="R16" s="16">
        <v>67.140500000000003</v>
      </c>
      <c r="S16" s="16">
        <v>34.274380000000001</v>
      </c>
      <c r="T16" s="16">
        <v>36.813220000000001</v>
      </c>
      <c r="U16" s="16">
        <v>20.429749999999999</v>
      </c>
      <c r="V16" s="16">
        <v>51.173209999999997</v>
      </c>
      <c r="W16" s="16">
        <v>36.138489999999997</v>
      </c>
      <c r="X16" s="16">
        <v>21.024139999999999</v>
      </c>
      <c r="Y16" s="16">
        <v>18.545120000000001</v>
      </c>
      <c r="Z16" s="16">
        <v>27.252549999999999</v>
      </c>
      <c r="AA16" s="16">
        <v>27.252610000000001</v>
      </c>
      <c r="AB16" s="16">
        <v>28.958279999999998</v>
      </c>
      <c r="AC16" s="16">
        <v>32.1327</v>
      </c>
      <c r="AD16" s="16">
        <v>29.573979999999999</v>
      </c>
      <c r="AE16" s="16">
        <v>26.281370000000102</v>
      </c>
      <c r="AF16" s="16">
        <v>27.570650000000001</v>
      </c>
      <c r="AG16" s="16">
        <v>23.583810000000099</v>
      </c>
      <c r="AH16" s="16">
        <v>24.659790000000001</v>
      </c>
      <c r="AI16" s="46"/>
      <c r="AJ16" s="46"/>
      <c r="AK16" s="46"/>
      <c r="AL16" s="46"/>
      <c r="AM16" s="46"/>
      <c r="AN16" s="4"/>
      <c r="AO16" s="4"/>
      <c r="AP16" s="4"/>
      <c r="AQ16" s="4"/>
      <c r="AR16" s="4"/>
      <c r="AS16" s="4"/>
      <c r="AT16" s="4"/>
      <c r="AU16" s="4"/>
      <c r="AV16" s="4"/>
      <c r="AW16" s="4"/>
      <c r="AX16" s="4"/>
      <c r="AY16" s="4"/>
    </row>
    <row r="17" spans="1:51" ht="14.5" x14ac:dyDescent="0.35">
      <c r="A17" s="121">
        <f>YampaRiverInflow.TotalOutflow!A17</f>
        <v>46539</v>
      </c>
      <c r="B17" s="122">
        <v>17.173999999999999</v>
      </c>
      <c r="C17" s="123">
        <v>12.015000000000001</v>
      </c>
      <c r="D17" s="124">
        <v>27.518999999999998</v>
      </c>
      <c r="E17" s="16">
        <v>8.1729199999999995</v>
      </c>
      <c r="F17" s="16">
        <v>12.473674000000001</v>
      </c>
      <c r="G17" s="16">
        <v>1.061094</v>
      </c>
      <c r="H17" s="16">
        <v>22.368065999999995</v>
      </c>
      <c r="I17" s="16">
        <v>-1.3633040000000001</v>
      </c>
      <c r="J17" s="16">
        <v>31.73554</v>
      </c>
      <c r="K17" s="16">
        <v>15.272729999999999</v>
      </c>
      <c r="L17" s="16">
        <v>13.68595</v>
      </c>
      <c r="M17" s="16">
        <v>32.07273</v>
      </c>
      <c r="N17" s="16">
        <v>48.238019999999999</v>
      </c>
      <c r="O17" s="16">
        <v>6.5057900000000002</v>
      </c>
      <c r="P17" s="16">
        <v>14.280989999999999</v>
      </c>
      <c r="Q17" s="16">
        <v>20.826450000000001</v>
      </c>
      <c r="R17" s="16">
        <v>11.9405</v>
      </c>
      <c r="S17" s="16">
        <v>14.67769</v>
      </c>
      <c r="T17" s="16">
        <v>31.73554</v>
      </c>
      <c r="U17" s="16">
        <v>13.4876</v>
      </c>
      <c r="V17" s="16">
        <v>35.543419999999998</v>
      </c>
      <c r="W17" s="16">
        <v>23.741799999999998</v>
      </c>
      <c r="X17" s="16">
        <v>24.39593</v>
      </c>
      <c r="Y17" s="16">
        <v>22.730180000000001</v>
      </c>
      <c r="Z17" s="16">
        <v>25.189630000000001</v>
      </c>
      <c r="AA17" s="16">
        <v>26.0823</v>
      </c>
      <c r="AB17" s="16">
        <v>25.58633</v>
      </c>
      <c r="AC17" s="16">
        <v>28.562399999999901</v>
      </c>
      <c r="AD17" s="16">
        <v>24.3970500000001</v>
      </c>
      <c r="AE17" s="16">
        <v>26.578900000000001</v>
      </c>
      <c r="AF17" s="16">
        <v>24.000349999999901</v>
      </c>
      <c r="AG17" s="16">
        <v>22.730910000000101</v>
      </c>
      <c r="AH17" s="16">
        <v>3.4259199999999983</v>
      </c>
      <c r="AI17" s="46"/>
      <c r="AJ17" s="46"/>
      <c r="AK17" s="46"/>
      <c r="AL17" s="46"/>
      <c r="AM17" s="46"/>
      <c r="AN17" s="4"/>
      <c r="AO17" s="4"/>
      <c r="AP17" s="4"/>
      <c r="AQ17" s="4"/>
      <c r="AR17" s="4"/>
      <c r="AS17" s="4"/>
      <c r="AT17" s="4"/>
      <c r="AU17" s="4"/>
      <c r="AV17" s="4"/>
      <c r="AW17" s="4"/>
      <c r="AX17" s="4"/>
      <c r="AY17" s="4"/>
    </row>
    <row r="18" spans="1:51" ht="14.5" x14ac:dyDescent="0.35">
      <c r="A18" s="121">
        <f>YampaRiverInflow.TotalOutflow!A18</f>
        <v>46569</v>
      </c>
      <c r="B18" s="122">
        <v>38.847000000000001</v>
      </c>
      <c r="C18" s="123">
        <v>20.684999999999999</v>
      </c>
      <c r="D18" s="124">
        <v>40.78</v>
      </c>
      <c r="E18" s="16">
        <v>14.445949999999996</v>
      </c>
      <c r="F18" s="16">
        <v>-5.4029160000000003</v>
      </c>
      <c r="G18" s="16">
        <v>-9.1989860000000014</v>
      </c>
      <c r="H18" s="16">
        <v>30.872809999999998</v>
      </c>
      <c r="I18" s="16">
        <v>7.8308159999999951</v>
      </c>
      <c r="J18" s="16">
        <v>31.933880000000002</v>
      </c>
      <c r="K18" s="16">
        <v>33.12397</v>
      </c>
      <c r="L18" s="16">
        <v>30.347110000000001</v>
      </c>
      <c r="M18" s="16">
        <v>21.12397</v>
      </c>
      <c r="N18" s="16">
        <v>19.953720000000001</v>
      </c>
      <c r="O18" s="16">
        <v>10.1157</v>
      </c>
      <c r="P18" s="16">
        <v>17.2562</v>
      </c>
      <c r="Q18" s="16">
        <v>39.272730000000003</v>
      </c>
      <c r="R18" s="16">
        <v>21.024789999999999</v>
      </c>
      <c r="S18" s="16">
        <v>21.223140000000001</v>
      </c>
      <c r="T18" s="16">
        <v>45.421489999999999</v>
      </c>
      <c r="U18" s="16">
        <v>28.760330000000003</v>
      </c>
      <c r="V18" s="16">
        <v>28.164830000000002</v>
      </c>
      <c r="W18" s="16">
        <v>29.156560000000002</v>
      </c>
      <c r="X18" s="16">
        <v>31.536360000000002</v>
      </c>
      <c r="Y18" s="16">
        <v>26.379669999999997</v>
      </c>
      <c r="Z18" s="16">
        <v>61.685449999999996</v>
      </c>
      <c r="AA18" s="16">
        <v>29.156569999999999</v>
      </c>
      <c r="AB18" s="16">
        <v>33.520060000000001</v>
      </c>
      <c r="AC18" s="16">
        <v>26.182200000000002</v>
      </c>
      <c r="AD18" s="16">
        <v>32.1327</v>
      </c>
      <c r="AE18" s="16">
        <v>49.587499999999999</v>
      </c>
      <c r="AF18" s="16">
        <v>22.016849999999998</v>
      </c>
      <c r="AG18" s="16">
        <v>23.603650000000101</v>
      </c>
      <c r="AH18" s="16">
        <v>-0.52760200000000035</v>
      </c>
      <c r="AI18" s="46"/>
      <c r="AJ18" s="46"/>
      <c r="AK18" s="46"/>
      <c r="AL18" s="46"/>
      <c r="AM18" s="46"/>
      <c r="AN18" s="4"/>
      <c r="AO18" s="4"/>
      <c r="AP18" s="4"/>
      <c r="AQ18" s="4"/>
      <c r="AR18" s="4"/>
      <c r="AS18" s="4"/>
      <c r="AT18" s="4"/>
      <c r="AU18" s="4"/>
      <c r="AV18" s="4"/>
      <c r="AW18" s="4"/>
      <c r="AX18" s="4"/>
      <c r="AY18" s="4"/>
    </row>
    <row r="19" spans="1:51" ht="14.5" x14ac:dyDescent="0.35">
      <c r="A19" s="121">
        <f>YampaRiverInflow.TotalOutflow!A19</f>
        <v>46600</v>
      </c>
      <c r="B19" s="122">
        <v>62.316000000000003</v>
      </c>
      <c r="C19" s="123">
        <v>56.496000000000002</v>
      </c>
      <c r="D19" s="124">
        <v>66.072999999999993</v>
      </c>
      <c r="E19" s="16">
        <v>39.663323999999996</v>
      </c>
      <c r="F19" s="16">
        <v>-27.475497999999998</v>
      </c>
      <c r="G19" s="16">
        <v>-21.766008000000003</v>
      </c>
      <c r="H19" s="16">
        <v>29.917686</v>
      </c>
      <c r="I19" s="16">
        <v>25.019824</v>
      </c>
      <c r="J19" s="16">
        <v>50.280989999999996</v>
      </c>
      <c r="K19" s="16">
        <v>20.826450000000001</v>
      </c>
      <c r="L19" s="16">
        <v>44.033059999999999</v>
      </c>
      <c r="M19" s="16">
        <v>23.404959999999999</v>
      </c>
      <c r="N19" s="16">
        <v>52.066120000000005</v>
      </c>
      <c r="O19" s="16">
        <v>17.851240000000001</v>
      </c>
      <c r="P19" s="16">
        <v>42.049589999999995</v>
      </c>
      <c r="Q19" s="16">
        <v>50.578510000000001</v>
      </c>
      <c r="R19" s="16">
        <v>28.36364</v>
      </c>
      <c r="S19" s="16">
        <v>66.446280000000002</v>
      </c>
      <c r="T19" s="16">
        <v>91.636359999999996</v>
      </c>
      <c r="U19" s="16">
        <v>39.272730000000003</v>
      </c>
      <c r="V19" s="16">
        <v>23.60284</v>
      </c>
      <c r="W19" s="16">
        <v>91.04083</v>
      </c>
      <c r="X19" s="16">
        <v>36.693379999999998</v>
      </c>
      <c r="Y19" s="16">
        <v>68.607789999999994</v>
      </c>
      <c r="Z19" s="16">
        <v>66.842500000000001</v>
      </c>
      <c r="AA19" s="16">
        <v>41.057389999999998</v>
      </c>
      <c r="AB19" s="16">
        <v>44.429290000000002</v>
      </c>
      <c r="AC19" s="16">
        <v>41.851849999999999</v>
      </c>
      <c r="AD19" s="16">
        <v>40.265050000000002</v>
      </c>
      <c r="AE19" s="16">
        <v>38.876599999999996</v>
      </c>
      <c r="AF19" s="16">
        <v>29.55415</v>
      </c>
      <c r="AG19" s="16">
        <v>23.603649999999899</v>
      </c>
      <c r="AH19" s="16">
        <v>15.498979999999996</v>
      </c>
      <c r="AI19" s="46"/>
      <c r="AJ19" s="46"/>
      <c r="AK19" s="46"/>
      <c r="AL19" s="46"/>
      <c r="AM19" s="46"/>
      <c r="AN19" s="4"/>
      <c r="AO19" s="4"/>
      <c r="AP19" s="4"/>
      <c r="AQ19" s="4"/>
      <c r="AR19" s="4"/>
      <c r="AS19" s="4"/>
      <c r="AT19" s="4"/>
      <c r="AU19" s="4"/>
      <c r="AV19" s="4"/>
      <c r="AW19" s="4"/>
      <c r="AX19" s="4"/>
      <c r="AY19" s="4"/>
    </row>
    <row r="20" spans="1:51" ht="14.5" x14ac:dyDescent="0.35">
      <c r="A20" s="121">
        <f>YampaRiverInflow.TotalOutflow!A20</f>
        <v>46631</v>
      </c>
      <c r="B20" s="122">
        <v>65.421999999999997</v>
      </c>
      <c r="C20" s="123">
        <v>49.828000000000003</v>
      </c>
      <c r="D20" s="124">
        <v>42.307000000000002</v>
      </c>
      <c r="E20" s="16">
        <v>38.334448000000002</v>
      </c>
      <c r="F20" s="16">
        <v>-11.254766</v>
      </c>
      <c r="G20" s="16">
        <v>-1.109622000000003</v>
      </c>
      <c r="H20" s="16">
        <v>14.515779999999999</v>
      </c>
      <c r="I20" s="16">
        <v>21.008659999999999</v>
      </c>
      <c r="J20" s="16">
        <v>59.246279999999999</v>
      </c>
      <c r="K20" s="16">
        <v>36.099170000000001</v>
      </c>
      <c r="L20" s="16">
        <v>49.190080000000002</v>
      </c>
      <c r="M20" s="16">
        <v>39.133879999999998</v>
      </c>
      <c r="N20" s="16">
        <v>48.456199999999995</v>
      </c>
      <c r="O20" s="16">
        <v>103.95372</v>
      </c>
      <c r="P20" s="16">
        <v>34.373550000000002</v>
      </c>
      <c r="Q20" s="16">
        <v>57.381819999999998</v>
      </c>
      <c r="R20" s="16">
        <v>38.360330000000005</v>
      </c>
      <c r="S20" s="16">
        <v>50.87603</v>
      </c>
      <c r="T20" s="16">
        <v>33.83802</v>
      </c>
      <c r="U20" s="16">
        <v>38.677690000000005</v>
      </c>
      <c r="V20" s="16">
        <v>28.363289999999999</v>
      </c>
      <c r="W20" s="16">
        <v>44.250949999999996</v>
      </c>
      <c r="X20" s="16">
        <v>41.255660000000006</v>
      </c>
      <c r="Y20" s="16">
        <v>47.999720000000003</v>
      </c>
      <c r="Z20" s="16">
        <v>78.703759999999988</v>
      </c>
      <c r="AA20" s="16">
        <v>38.875680000000003</v>
      </c>
      <c r="AB20" s="16">
        <v>32.726860000000002</v>
      </c>
      <c r="AC20" s="16">
        <v>30.744250000000001</v>
      </c>
      <c r="AD20" s="16">
        <v>24.1193600000001</v>
      </c>
      <c r="AE20" s="16">
        <v>44.628749999999897</v>
      </c>
      <c r="AF20" s="16">
        <v>21.9771800000001</v>
      </c>
      <c r="AG20" s="16">
        <v>24.040019999999899</v>
      </c>
      <c r="AH20" s="16">
        <v>19.180725999999996</v>
      </c>
      <c r="AI20" s="46"/>
      <c r="AJ20" s="46"/>
      <c r="AK20" s="46"/>
      <c r="AL20" s="46"/>
      <c r="AM20" s="46"/>
      <c r="AN20" s="4"/>
      <c r="AO20" s="4"/>
      <c r="AP20" s="4"/>
      <c r="AQ20" s="4"/>
      <c r="AR20" s="4"/>
      <c r="AS20" s="4"/>
      <c r="AT20" s="4"/>
      <c r="AU20" s="4"/>
      <c r="AV20" s="4"/>
      <c r="AW20" s="4"/>
      <c r="AX20" s="4"/>
      <c r="AY20" s="4"/>
    </row>
    <row r="21" spans="1:51" ht="14.5" x14ac:dyDescent="0.35">
      <c r="A21" s="121">
        <f>YampaRiverInflow.TotalOutflow!A21</f>
        <v>46661</v>
      </c>
      <c r="B21" s="122">
        <v>44.052999999999997</v>
      </c>
      <c r="C21" s="123">
        <v>44.052999999999997</v>
      </c>
      <c r="D21" s="124">
        <v>44.052999999999997</v>
      </c>
      <c r="E21" s="16">
        <v>13.166246000000003</v>
      </c>
      <c r="F21" s="16">
        <v>20.811032000000001</v>
      </c>
      <c r="G21" s="16">
        <v>15.392737999999998</v>
      </c>
      <c r="H21" s="16">
        <v>31.104225999999993</v>
      </c>
      <c r="I21" s="16">
        <v>32.409004000000003</v>
      </c>
      <c r="J21" s="16">
        <v>36.495870000000004</v>
      </c>
      <c r="K21" s="16">
        <v>22.413220000000003</v>
      </c>
      <c r="L21" s="16">
        <v>37.884300000000003</v>
      </c>
      <c r="M21" s="16">
        <v>47.385120000000001</v>
      </c>
      <c r="N21" s="16">
        <v>23.34545</v>
      </c>
      <c r="O21" s="16">
        <v>20.647929999999999</v>
      </c>
      <c r="P21" s="16">
        <v>30.664459999999998</v>
      </c>
      <c r="Q21" s="16">
        <v>41.077690000000004</v>
      </c>
      <c r="R21" s="16">
        <v>31.060849999999999</v>
      </c>
      <c r="S21" s="16">
        <v>69.758679999999998</v>
      </c>
      <c r="T21" s="16">
        <v>20.94511</v>
      </c>
      <c r="U21" s="16">
        <v>34.908660000000005</v>
      </c>
      <c r="V21" s="16">
        <v>24.793029999999998</v>
      </c>
      <c r="W21" s="16">
        <v>40.680699999999995</v>
      </c>
      <c r="X21" s="16">
        <v>34.511849999999995</v>
      </c>
      <c r="Y21" s="16">
        <v>29.513770000000001</v>
      </c>
      <c r="Z21" s="16">
        <v>19.080719999999999</v>
      </c>
      <c r="AA21" s="16">
        <v>42.445929999999997</v>
      </c>
      <c r="AB21" s="16">
        <v>56.012860000000003</v>
      </c>
      <c r="AC21" s="16">
        <v>29.236789999999999</v>
      </c>
      <c r="AD21" s="16">
        <v>25.884679999999999</v>
      </c>
      <c r="AE21" s="16">
        <v>63.214149999999897</v>
      </c>
      <c r="AF21" s="16">
        <v>23.663159999999799</v>
      </c>
      <c r="AG21" s="16">
        <v>24.972269999999799</v>
      </c>
      <c r="AH21" s="16">
        <v>26.040343999999997</v>
      </c>
      <c r="AI21" s="46"/>
      <c r="AJ21" s="46"/>
      <c r="AK21" s="46"/>
      <c r="AL21" s="46"/>
      <c r="AM21" s="46"/>
      <c r="AN21" s="4"/>
      <c r="AO21" s="4"/>
      <c r="AP21" s="4"/>
      <c r="AQ21" s="4"/>
      <c r="AR21" s="4"/>
      <c r="AS21" s="4"/>
      <c r="AT21" s="4"/>
      <c r="AU21" s="4"/>
      <c r="AV21" s="4"/>
      <c r="AW21" s="4"/>
      <c r="AX21" s="4"/>
      <c r="AY21" s="4"/>
    </row>
    <row r="22" spans="1:51" ht="14.5" x14ac:dyDescent="0.35">
      <c r="A22" s="121">
        <f>YampaRiverInflow.TotalOutflow!A22</f>
        <v>46692</v>
      </c>
      <c r="B22" s="122">
        <v>26.126000000000001</v>
      </c>
      <c r="C22" s="123">
        <v>26.126000000000001</v>
      </c>
      <c r="D22" s="124">
        <v>26.126000000000001</v>
      </c>
      <c r="E22" s="16">
        <v>8.8944699999999983</v>
      </c>
      <c r="F22" s="16">
        <v>1.1222839999999996</v>
      </c>
      <c r="G22" s="16">
        <v>9.8448719999999987</v>
      </c>
      <c r="H22" s="16">
        <v>28.013811999999998</v>
      </c>
      <c r="I22" s="16">
        <v>15.793877999999999</v>
      </c>
      <c r="J22" s="16">
        <v>24.595040000000001</v>
      </c>
      <c r="K22" s="16">
        <v>18.446279999999998</v>
      </c>
      <c r="L22" s="16">
        <v>36.495870000000004</v>
      </c>
      <c r="M22" s="16">
        <v>27.966939999999997</v>
      </c>
      <c r="N22" s="16">
        <v>25.487599999999997</v>
      </c>
      <c r="O22" s="16">
        <v>23.10744</v>
      </c>
      <c r="P22" s="16">
        <v>22.472729999999999</v>
      </c>
      <c r="Q22" s="16">
        <v>35.166530000000002</v>
      </c>
      <c r="R22" s="16">
        <v>20.925319999999999</v>
      </c>
      <c r="S22" s="16">
        <v>16.066120000000002</v>
      </c>
      <c r="T22" s="16">
        <v>25.54711</v>
      </c>
      <c r="U22" s="16">
        <v>41.950060000000001</v>
      </c>
      <c r="V22" s="16">
        <v>23.00787</v>
      </c>
      <c r="W22" s="16">
        <v>14.39954</v>
      </c>
      <c r="X22" s="16">
        <v>23.602700000000002</v>
      </c>
      <c r="Y22" s="16">
        <v>28.581400000000002</v>
      </c>
      <c r="Z22" s="16">
        <v>27.807869999999998</v>
      </c>
      <c r="AA22" s="16">
        <v>24.69378</v>
      </c>
      <c r="AB22" s="16">
        <v>22.293890000000001</v>
      </c>
      <c r="AC22" s="16">
        <v>27.888010000000101</v>
      </c>
      <c r="AD22" s="16">
        <v>24.873090000000097</v>
      </c>
      <c r="AE22" s="16">
        <v>23.24662</v>
      </c>
      <c r="AF22" s="16">
        <v>25.646650000000101</v>
      </c>
      <c r="AG22" s="16">
        <v>24.793749999999999</v>
      </c>
      <c r="AH22" s="16">
        <v>17.507805999999995</v>
      </c>
      <c r="AI22" s="46"/>
      <c r="AJ22" s="46"/>
      <c r="AK22" s="46"/>
      <c r="AL22" s="46"/>
      <c r="AM22" s="46"/>
      <c r="AN22" s="4"/>
      <c r="AO22" s="4"/>
      <c r="AP22" s="4"/>
      <c r="AQ22" s="4"/>
      <c r="AR22" s="4"/>
      <c r="AS22" s="4"/>
      <c r="AT22" s="4"/>
      <c r="AU22" s="4"/>
      <c r="AV22" s="4"/>
      <c r="AW22" s="4"/>
      <c r="AX22" s="4"/>
      <c r="AY22" s="4"/>
    </row>
    <row r="23" spans="1:51" ht="14.5" x14ac:dyDescent="0.35">
      <c r="A23" s="121">
        <f>YampaRiverInflow.TotalOutflow!A23</f>
        <v>46722</v>
      </c>
      <c r="B23" s="122">
        <v>27.3</v>
      </c>
      <c r="C23" s="123">
        <v>27.3</v>
      </c>
      <c r="D23" s="124">
        <v>27.3</v>
      </c>
      <c r="E23" s="16">
        <v>2.3967059999999982</v>
      </c>
      <c r="F23" s="16">
        <v>-6.7709719999999995</v>
      </c>
      <c r="G23" s="16">
        <v>0.60159199999999691</v>
      </c>
      <c r="H23" s="16">
        <v>44.223798000000002</v>
      </c>
      <c r="I23" s="16">
        <v>1.110544</v>
      </c>
      <c r="J23" s="16">
        <v>15.07438</v>
      </c>
      <c r="K23" s="16">
        <v>12.69421</v>
      </c>
      <c r="L23" s="16">
        <v>35.305790000000002</v>
      </c>
      <c r="M23" s="16">
        <v>29.355370000000001</v>
      </c>
      <c r="N23" s="16">
        <v>13.4876</v>
      </c>
      <c r="O23" s="16">
        <v>18.723970000000001</v>
      </c>
      <c r="P23" s="16">
        <v>15.471069999999999</v>
      </c>
      <c r="Q23" s="16">
        <v>19.100490000000001</v>
      </c>
      <c r="R23" s="16">
        <v>3.9664899999999998</v>
      </c>
      <c r="S23" s="16">
        <v>23.801650000000002</v>
      </c>
      <c r="T23" s="16">
        <v>57.520660000000007</v>
      </c>
      <c r="U23" s="16">
        <v>23.99954</v>
      </c>
      <c r="V23" s="16">
        <v>19.4375</v>
      </c>
      <c r="W23" s="16">
        <v>33.916870000000003</v>
      </c>
      <c r="X23" s="16">
        <v>31.734860000000001</v>
      </c>
      <c r="Y23" s="16">
        <v>22.7103</v>
      </c>
      <c r="Z23" s="16">
        <v>25.368259999999999</v>
      </c>
      <c r="AA23" s="16">
        <v>31.6557</v>
      </c>
      <c r="AB23" s="16">
        <v>22.412740000000003</v>
      </c>
      <c r="AC23" s="16">
        <v>36.377389999999899</v>
      </c>
      <c r="AD23" s="16">
        <v>25.983849999999997</v>
      </c>
      <c r="AE23" s="16">
        <v>23.544150000000002</v>
      </c>
      <c r="AF23" s="16">
        <v>39.471650000000103</v>
      </c>
      <c r="AG23" s="16">
        <v>24.5160599999999</v>
      </c>
      <c r="AH23" s="16">
        <v>8.4644880000000011</v>
      </c>
      <c r="AI23" s="46"/>
      <c r="AJ23" s="46"/>
      <c r="AK23" s="46"/>
      <c r="AL23" s="46"/>
      <c r="AM23" s="46"/>
      <c r="AN23" s="4"/>
      <c r="AO23" s="4"/>
      <c r="AP23" s="4"/>
      <c r="AQ23" s="4"/>
      <c r="AR23" s="4"/>
      <c r="AS23" s="4"/>
      <c r="AT23" s="4"/>
      <c r="AU23" s="4"/>
      <c r="AV23" s="4"/>
      <c r="AW23" s="4"/>
      <c r="AX23" s="4"/>
      <c r="AY23" s="4"/>
    </row>
    <row r="24" spans="1:51" ht="14.5" x14ac:dyDescent="0.35">
      <c r="A24" s="121">
        <f>YampaRiverInflow.TotalOutflow!A24</f>
        <v>46753</v>
      </c>
      <c r="B24" s="122">
        <v>25.349</v>
      </c>
      <c r="C24" s="123">
        <v>25.349</v>
      </c>
      <c r="D24" s="124">
        <v>25.349</v>
      </c>
      <c r="E24" s="16">
        <v>188.36769600000002</v>
      </c>
      <c r="F24" s="16">
        <v>-19.261465999999999</v>
      </c>
      <c r="G24" s="16">
        <v>-11.55139</v>
      </c>
      <c r="H24" s="16">
        <v>25.526097999999998</v>
      </c>
      <c r="I24" s="16">
        <v>1.3745679999999993</v>
      </c>
      <c r="J24" s="16">
        <v>21.421490000000002</v>
      </c>
      <c r="K24" s="16">
        <v>24.198349999999998</v>
      </c>
      <c r="L24" s="16">
        <v>42.049589999999995</v>
      </c>
      <c r="M24" s="16">
        <v>21.61983</v>
      </c>
      <c r="N24" s="16">
        <v>18.446279999999998</v>
      </c>
      <c r="O24" s="16">
        <v>23.206610000000001</v>
      </c>
      <c r="P24" s="16">
        <v>20.033060000000003</v>
      </c>
      <c r="Q24" s="16">
        <v>101.09752</v>
      </c>
      <c r="R24" s="16">
        <v>22.61157</v>
      </c>
      <c r="S24" s="16">
        <v>23.206610000000001</v>
      </c>
      <c r="T24" s="16">
        <v>42.247930000000004</v>
      </c>
      <c r="U24" s="16">
        <v>34.11524</v>
      </c>
      <c r="V24" s="16">
        <v>41.255679999999998</v>
      </c>
      <c r="W24" s="16">
        <v>24.792830000000002</v>
      </c>
      <c r="X24" s="16">
        <v>40.065640000000002</v>
      </c>
      <c r="Y24" s="16">
        <v>37.883839999999999</v>
      </c>
      <c r="Z24" s="16">
        <v>23.007810000000003</v>
      </c>
      <c r="AA24" s="16">
        <v>30.743310000000001</v>
      </c>
      <c r="AB24" s="16">
        <v>36.496400000000001</v>
      </c>
      <c r="AC24" s="16">
        <v>45.025449999999999</v>
      </c>
      <c r="AD24" s="16">
        <v>23.802</v>
      </c>
      <c r="AE24" s="16">
        <v>42.050199999999904</v>
      </c>
      <c r="AF24" s="16">
        <v>26.777249999999999</v>
      </c>
      <c r="AG24" s="16">
        <v>29.809785999999992</v>
      </c>
      <c r="AH24" s="16">
        <v>0.14888199999999779</v>
      </c>
      <c r="AI24" s="46"/>
      <c r="AJ24" s="46"/>
      <c r="AK24" s="46"/>
      <c r="AL24" s="46"/>
      <c r="AM24" s="46"/>
      <c r="AN24" s="4"/>
      <c r="AO24" s="4"/>
      <c r="AP24" s="4"/>
      <c r="AQ24" s="4"/>
      <c r="AR24" s="4"/>
      <c r="AS24" s="4"/>
      <c r="AT24" s="4"/>
      <c r="AU24" s="4"/>
      <c r="AV24" s="4"/>
      <c r="AW24" s="4"/>
      <c r="AX24" s="4"/>
      <c r="AY24" s="4"/>
    </row>
    <row r="25" spans="1:51" ht="14.5" x14ac:dyDescent="0.35">
      <c r="A25" s="121">
        <f>YampaRiverInflow.TotalOutflow!A25</f>
        <v>46784</v>
      </c>
      <c r="B25" s="122">
        <v>23.047999999999998</v>
      </c>
      <c r="C25" s="123">
        <v>23.047999999999998</v>
      </c>
      <c r="D25" s="124">
        <v>23.047999999999998</v>
      </c>
      <c r="E25" s="16">
        <v>85.799055999999993</v>
      </c>
      <c r="F25" s="16">
        <v>-9.7793939999999999</v>
      </c>
      <c r="G25" s="16">
        <v>38.657699999999991</v>
      </c>
      <c r="H25" s="16">
        <v>12.339405999999999</v>
      </c>
      <c r="I25" s="16">
        <v>23.60331</v>
      </c>
      <c r="J25" s="16">
        <v>17.2562</v>
      </c>
      <c r="K25" s="16">
        <v>16.066120000000002</v>
      </c>
      <c r="L25" s="16">
        <v>48.99174</v>
      </c>
      <c r="M25" s="16">
        <v>36.297519999999999</v>
      </c>
      <c r="N25" s="16">
        <v>25.745450000000002</v>
      </c>
      <c r="O25" s="16">
        <v>24.39669</v>
      </c>
      <c r="P25" s="16">
        <v>35.66281</v>
      </c>
      <c r="Q25" s="16">
        <v>125.57355</v>
      </c>
      <c r="R25" s="16">
        <v>20.429749999999999</v>
      </c>
      <c r="S25" s="16">
        <v>29.355370000000001</v>
      </c>
      <c r="T25" s="16">
        <v>90.644630000000006</v>
      </c>
      <c r="U25" s="16">
        <v>38.478989999999996</v>
      </c>
      <c r="V25" s="16">
        <v>35.16657</v>
      </c>
      <c r="W25" s="16">
        <v>33.321769999999994</v>
      </c>
      <c r="X25" s="16">
        <v>18.842610000000001</v>
      </c>
      <c r="Y25" s="16">
        <v>38.875690000000006</v>
      </c>
      <c r="Z25" s="16">
        <v>32.449240000000003</v>
      </c>
      <c r="AA25" s="16">
        <v>39.450900000000004</v>
      </c>
      <c r="AB25" s="16">
        <v>41.375809999999994</v>
      </c>
      <c r="AC25" s="16">
        <v>62.678599999999996</v>
      </c>
      <c r="AD25" s="16">
        <v>22.2151999999999</v>
      </c>
      <c r="AE25" s="16">
        <v>72.001050000000006</v>
      </c>
      <c r="AF25" s="16">
        <v>37.884849999999894</v>
      </c>
      <c r="AG25" s="16">
        <v>19.033522000000001</v>
      </c>
      <c r="AH25" s="16">
        <v>7.0302340000000001</v>
      </c>
      <c r="AI25" s="46"/>
      <c r="AJ25" s="46"/>
      <c r="AK25" s="46"/>
      <c r="AL25" s="46"/>
      <c r="AM25" s="46"/>
      <c r="AN25" s="4"/>
      <c r="AO25" s="4"/>
      <c r="AP25" s="4"/>
      <c r="AQ25" s="4"/>
      <c r="AR25" s="4"/>
      <c r="AS25" s="4"/>
      <c r="AT25" s="4"/>
      <c r="AU25" s="4"/>
      <c r="AV25" s="4"/>
      <c r="AW25" s="4"/>
      <c r="AX25" s="4"/>
      <c r="AY25" s="4"/>
    </row>
    <row r="26" spans="1:51" ht="14.5" x14ac:dyDescent="0.35">
      <c r="A26" s="121">
        <f>YampaRiverInflow.TotalOutflow!A26</f>
        <v>46813</v>
      </c>
      <c r="B26" s="122">
        <v>52.097999999999999</v>
      </c>
      <c r="C26" s="123">
        <v>52.097999999999999</v>
      </c>
      <c r="D26" s="124">
        <v>52.097999999999999</v>
      </c>
      <c r="E26" s="16">
        <v>33.571293999999995</v>
      </c>
      <c r="F26" s="16">
        <v>18.785719999999998</v>
      </c>
      <c r="G26" s="16">
        <v>66.418819999999997</v>
      </c>
      <c r="H26" s="16">
        <v>7.6782579999999996</v>
      </c>
      <c r="I26" s="16">
        <v>63.272730000000003</v>
      </c>
      <c r="J26" s="16">
        <v>48.99174</v>
      </c>
      <c r="K26" s="16">
        <v>19.834709999999998</v>
      </c>
      <c r="L26" s="16">
        <v>54.009920000000001</v>
      </c>
      <c r="M26" s="16">
        <v>55.160330000000002</v>
      </c>
      <c r="N26" s="16">
        <v>23.22645</v>
      </c>
      <c r="O26" s="16">
        <v>42.842980000000004</v>
      </c>
      <c r="P26" s="16">
        <v>27.59008</v>
      </c>
      <c r="Q26" s="16">
        <v>69.104129999999998</v>
      </c>
      <c r="R26" s="16">
        <v>49.190080000000002</v>
      </c>
      <c r="S26" s="16">
        <v>44.628099999999996</v>
      </c>
      <c r="T26" s="16">
        <v>82.373550000000009</v>
      </c>
      <c r="U26" s="16">
        <v>74.04258999999999</v>
      </c>
      <c r="V26" s="16">
        <v>59.404600000000002</v>
      </c>
      <c r="W26" s="16">
        <v>42.445689999999999</v>
      </c>
      <c r="X26" s="16">
        <v>22.21454</v>
      </c>
      <c r="Y26" s="16">
        <v>58.769889999999997</v>
      </c>
      <c r="Z26" s="16">
        <v>31.517060000000001</v>
      </c>
      <c r="AA26" s="16">
        <v>41.176480000000005</v>
      </c>
      <c r="AB26" s="16">
        <v>36.615409999999905</v>
      </c>
      <c r="AC26" s="16">
        <v>63.888529999999896</v>
      </c>
      <c r="AD26" s="16">
        <v>26.578900000000001</v>
      </c>
      <c r="AE26" s="16">
        <v>124.9605</v>
      </c>
      <c r="AF26" s="16">
        <v>70.0175499999999</v>
      </c>
      <c r="AG26" s="16">
        <v>37.985829999999993</v>
      </c>
      <c r="AH26" s="16">
        <v>23.852601999999997</v>
      </c>
      <c r="AI26" s="46"/>
      <c r="AJ26" s="46"/>
      <c r="AK26" s="46"/>
      <c r="AL26" s="46"/>
      <c r="AM26" s="46"/>
      <c r="AN26" s="4"/>
      <c r="AO26" s="4"/>
      <c r="AP26" s="4"/>
      <c r="AQ26" s="4"/>
      <c r="AR26" s="4"/>
      <c r="AS26" s="4"/>
      <c r="AT26" s="4"/>
      <c r="AU26" s="4"/>
      <c r="AV26" s="4"/>
      <c r="AW26" s="4"/>
      <c r="AX26" s="4"/>
      <c r="AY26" s="4"/>
    </row>
    <row r="27" spans="1:51" ht="14.5" x14ac:dyDescent="0.35">
      <c r="A27" s="121">
        <f>YampaRiverInflow.TotalOutflow!A27</f>
        <v>46844</v>
      </c>
      <c r="B27" s="122">
        <v>53.308</v>
      </c>
      <c r="C27" s="123">
        <v>53.308</v>
      </c>
      <c r="D27" s="124">
        <v>53.308</v>
      </c>
      <c r="E27" s="16">
        <v>1.3631199999999954</v>
      </c>
      <c r="F27" s="16">
        <v>-2.5694920000000012</v>
      </c>
      <c r="G27" s="16">
        <v>-26.212883999999999</v>
      </c>
      <c r="H27" s="16">
        <v>3.6764540000000014</v>
      </c>
      <c r="I27" s="16">
        <v>29.157019999999999</v>
      </c>
      <c r="J27" s="16">
        <v>70.294210000000007</v>
      </c>
      <c r="K27" s="16">
        <v>23.60331</v>
      </c>
      <c r="L27" s="16">
        <v>16.8</v>
      </c>
      <c r="M27" s="16">
        <v>35.028100000000002</v>
      </c>
      <c r="N27" s="16">
        <v>13.62645</v>
      </c>
      <c r="O27" s="16">
        <v>32.747109999999999</v>
      </c>
      <c r="P27" s="16">
        <v>39.133879999999998</v>
      </c>
      <c r="Q27" s="16">
        <v>90.902479999999997</v>
      </c>
      <c r="R27" s="16">
        <v>33.758679999999998</v>
      </c>
      <c r="S27" s="16">
        <v>33.699169999999995</v>
      </c>
      <c r="T27" s="16">
        <v>29.79214</v>
      </c>
      <c r="U27" s="16">
        <v>43.080640000000002</v>
      </c>
      <c r="V27" s="16">
        <v>88.700450000000004</v>
      </c>
      <c r="W27" s="16">
        <v>43.635820000000002</v>
      </c>
      <c r="X27" s="16">
        <v>17.01784</v>
      </c>
      <c r="Y27" s="16">
        <v>26.498860000000001</v>
      </c>
      <c r="Z27" s="16">
        <v>22.988139999999998</v>
      </c>
      <c r="AA27" s="16">
        <v>25.348419999999997</v>
      </c>
      <c r="AB27" s="16">
        <v>31.934349999999899</v>
      </c>
      <c r="AC27" s="16">
        <v>40.2452100000001</v>
      </c>
      <c r="AD27" s="16">
        <v>24.198700000000002</v>
      </c>
      <c r="AE27" s="16">
        <v>43.240300000000097</v>
      </c>
      <c r="AF27" s="16">
        <v>39.828680000000105</v>
      </c>
      <c r="AG27" s="16">
        <v>41.938178000000001</v>
      </c>
      <c r="AH27" s="16">
        <v>40.074694000000001</v>
      </c>
      <c r="AI27" s="46"/>
      <c r="AJ27" s="46"/>
      <c r="AK27" s="46"/>
      <c r="AL27" s="46"/>
      <c r="AM27" s="46"/>
      <c r="AN27" s="4"/>
      <c r="AO27" s="4"/>
      <c r="AP27" s="4"/>
      <c r="AQ27" s="4"/>
      <c r="AR27" s="4"/>
      <c r="AS27" s="4"/>
      <c r="AT27" s="4"/>
      <c r="AU27" s="4"/>
      <c r="AV27" s="4"/>
      <c r="AW27" s="4"/>
      <c r="AX27" s="4"/>
      <c r="AY27" s="4"/>
    </row>
    <row r="28" spans="1:51" ht="14.5" x14ac:dyDescent="0.35">
      <c r="A28" s="121">
        <f>YampaRiverInflow.TotalOutflow!A28</f>
        <v>46874</v>
      </c>
      <c r="B28" s="122">
        <v>24.817</v>
      </c>
      <c r="C28" s="123">
        <v>24.817</v>
      </c>
      <c r="D28" s="124">
        <v>24.817</v>
      </c>
      <c r="E28" s="16">
        <v>0.19014400000000023</v>
      </c>
      <c r="F28" s="16">
        <v>-5.5054859999999994</v>
      </c>
      <c r="G28" s="16">
        <v>-26.211384000000006</v>
      </c>
      <c r="H28" s="16">
        <v>7.738929999999999</v>
      </c>
      <c r="I28" s="16">
        <v>15.471069999999999</v>
      </c>
      <c r="J28" s="16">
        <v>41.137190000000004</v>
      </c>
      <c r="K28" s="16">
        <v>13.289260000000001</v>
      </c>
      <c r="L28" s="16">
        <v>27.570250000000001</v>
      </c>
      <c r="M28" s="16">
        <v>34.690910000000002</v>
      </c>
      <c r="N28" s="16">
        <v>21.163640000000001</v>
      </c>
      <c r="O28" s="16">
        <v>23.543800000000001</v>
      </c>
      <c r="P28" s="16">
        <v>34.333880000000001</v>
      </c>
      <c r="Q28" s="16">
        <v>67.140500000000003</v>
      </c>
      <c r="R28" s="16">
        <v>34.274380000000001</v>
      </c>
      <c r="S28" s="16">
        <v>36.813220000000001</v>
      </c>
      <c r="T28" s="16">
        <v>20.429749999999999</v>
      </c>
      <c r="U28" s="16">
        <v>51.173209999999997</v>
      </c>
      <c r="V28" s="16">
        <v>36.138489999999997</v>
      </c>
      <c r="W28" s="16">
        <v>21.024139999999999</v>
      </c>
      <c r="X28" s="16">
        <v>18.545120000000001</v>
      </c>
      <c r="Y28" s="16">
        <v>27.252549999999999</v>
      </c>
      <c r="Z28" s="16">
        <v>27.252610000000001</v>
      </c>
      <c r="AA28" s="16">
        <v>28.958279999999998</v>
      </c>
      <c r="AB28" s="16">
        <v>32.1327</v>
      </c>
      <c r="AC28" s="16">
        <v>29.573979999999999</v>
      </c>
      <c r="AD28" s="16">
        <v>26.281370000000102</v>
      </c>
      <c r="AE28" s="16">
        <v>27.570650000000001</v>
      </c>
      <c r="AF28" s="16">
        <v>23.583810000000099</v>
      </c>
      <c r="AG28" s="16">
        <v>24.659790000000001</v>
      </c>
      <c r="AH28" s="16">
        <v>21.803582000000002</v>
      </c>
      <c r="AI28" s="46"/>
      <c r="AJ28" s="46"/>
      <c r="AK28" s="46"/>
      <c r="AL28" s="46"/>
      <c r="AM28" s="46"/>
      <c r="AN28" s="4"/>
      <c r="AO28" s="4"/>
      <c r="AP28" s="4"/>
      <c r="AQ28" s="4"/>
      <c r="AR28" s="4"/>
      <c r="AS28" s="4"/>
      <c r="AT28" s="4"/>
      <c r="AU28" s="4"/>
      <c r="AV28" s="4"/>
      <c r="AW28" s="4"/>
      <c r="AX28" s="4"/>
      <c r="AY28" s="4"/>
    </row>
    <row r="29" spans="1:51" ht="14.5" x14ac:dyDescent="0.35">
      <c r="A29" s="121">
        <f>YampaRiverInflow.TotalOutflow!A29</f>
        <v>46905</v>
      </c>
      <c r="B29" s="122">
        <v>27.518999999999998</v>
      </c>
      <c r="C29" s="123">
        <v>27.518999999999998</v>
      </c>
      <c r="D29" s="124">
        <v>27.518999999999998</v>
      </c>
      <c r="E29" s="16">
        <v>12.473674000000001</v>
      </c>
      <c r="F29" s="16">
        <v>1.061094</v>
      </c>
      <c r="G29" s="16">
        <v>22.368065999999995</v>
      </c>
      <c r="H29" s="16">
        <v>-1.3633040000000001</v>
      </c>
      <c r="I29" s="16">
        <v>31.73554</v>
      </c>
      <c r="J29" s="16">
        <v>15.272729999999999</v>
      </c>
      <c r="K29" s="16">
        <v>13.68595</v>
      </c>
      <c r="L29" s="16">
        <v>32.07273</v>
      </c>
      <c r="M29" s="16">
        <v>48.238019999999999</v>
      </c>
      <c r="N29" s="16">
        <v>6.5057900000000002</v>
      </c>
      <c r="O29" s="16">
        <v>14.280989999999999</v>
      </c>
      <c r="P29" s="16">
        <v>20.826450000000001</v>
      </c>
      <c r="Q29" s="16">
        <v>11.9405</v>
      </c>
      <c r="R29" s="16">
        <v>14.67769</v>
      </c>
      <c r="S29" s="16">
        <v>31.73554</v>
      </c>
      <c r="T29" s="16">
        <v>13.4876</v>
      </c>
      <c r="U29" s="16">
        <v>35.543419999999998</v>
      </c>
      <c r="V29" s="16">
        <v>23.741799999999998</v>
      </c>
      <c r="W29" s="16">
        <v>24.39593</v>
      </c>
      <c r="X29" s="16">
        <v>22.730180000000001</v>
      </c>
      <c r="Y29" s="16">
        <v>25.189630000000001</v>
      </c>
      <c r="Z29" s="16">
        <v>26.0823</v>
      </c>
      <c r="AA29" s="16">
        <v>25.58633</v>
      </c>
      <c r="AB29" s="16">
        <v>28.562399999999901</v>
      </c>
      <c r="AC29" s="16">
        <v>24.3970500000001</v>
      </c>
      <c r="AD29" s="16">
        <v>26.578900000000001</v>
      </c>
      <c r="AE29" s="16">
        <v>24.000349999999901</v>
      </c>
      <c r="AF29" s="16">
        <v>22.730910000000101</v>
      </c>
      <c r="AG29" s="16">
        <v>3.4259199999999983</v>
      </c>
      <c r="AH29" s="16">
        <v>8.1729199999999995</v>
      </c>
      <c r="AI29" s="46"/>
      <c r="AJ29" s="46"/>
      <c r="AK29" s="46"/>
      <c r="AL29" s="46"/>
      <c r="AM29" s="46"/>
      <c r="AN29" s="4"/>
      <c r="AO29" s="4"/>
      <c r="AP29" s="4"/>
      <c r="AQ29" s="4"/>
      <c r="AR29" s="4"/>
      <c r="AS29" s="4"/>
      <c r="AT29" s="4"/>
      <c r="AU29" s="4"/>
      <c r="AV29" s="4"/>
      <c r="AW29" s="4"/>
      <c r="AX29" s="4"/>
      <c r="AY29" s="4"/>
    </row>
    <row r="30" spans="1:51" ht="14.5" x14ac:dyDescent="0.35">
      <c r="A30" s="121">
        <f>YampaRiverInflow.TotalOutflow!A30</f>
        <v>46935</v>
      </c>
      <c r="B30" s="122">
        <v>40.78</v>
      </c>
      <c r="C30" s="123">
        <v>40.78</v>
      </c>
      <c r="D30" s="124">
        <v>40.78</v>
      </c>
      <c r="E30" s="16">
        <v>-5.4029160000000003</v>
      </c>
      <c r="F30" s="16">
        <v>-9.1989860000000014</v>
      </c>
      <c r="G30" s="16">
        <v>30.872809999999998</v>
      </c>
      <c r="H30" s="16">
        <v>7.8308159999999951</v>
      </c>
      <c r="I30" s="16">
        <v>31.933880000000002</v>
      </c>
      <c r="J30" s="16">
        <v>33.12397</v>
      </c>
      <c r="K30" s="16">
        <v>30.347110000000001</v>
      </c>
      <c r="L30" s="16">
        <v>21.12397</v>
      </c>
      <c r="M30" s="16">
        <v>19.953720000000001</v>
      </c>
      <c r="N30" s="16">
        <v>10.1157</v>
      </c>
      <c r="O30" s="16">
        <v>17.2562</v>
      </c>
      <c r="P30" s="16">
        <v>39.272730000000003</v>
      </c>
      <c r="Q30" s="16">
        <v>21.024789999999999</v>
      </c>
      <c r="R30" s="16">
        <v>21.223140000000001</v>
      </c>
      <c r="S30" s="16">
        <v>45.421489999999999</v>
      </c>
      <c r="T30" s="16">
        <v>28.760330000000003</v>
      </c>
      <c r="U30" s="16">
        <v>28.164830000000002</v>
      </c>
      <c r="V30" s="16">
        <v>29.156560000000002</v>
      </c>
      <c r="W30" s="16">
        <v>31.536360000000002</v>
      </c>
      <c r="X30" s="16">
        <v>26.379669999999997</v>
      </c>
      <c r="Y30" s="16">
        <v>61.685449999999996</v>
      </c>
      <c r="Z30" s="16">
        <v>29.156569999999999</v>
      </c>
      <c r="AA30" s="16">
        <v>33.520060000000001</v>
      </c>
      <c r="AB30" s="16">
        <v>26.182200000000002</v>
      </c>
      <c r="AC30" s="16">
        <v>32.1327</v>
      </c>
      <c r="AD30" s="16">
        <v>49.587499999999999</v>
      </c>
      <c r="AE30" s="16">
        <v>22.016849999999998</v>
      </c>
      <c r="AF30" s="16">
        <v>23.603650000000101</v>
      </c>
      <c r="AG30" s="16">
        <v>-0.52760200000000035</v>
      </c>
      <c r="AH30" s="16">
        <v>14.445949999999996</v>
      </c>
      <c r="AI30" s="46"/>
      <c r="AJ30" s="46"/>
      <c r="AK30" s="46"/>
      <c r="AL30" s="46"/>
      <c r="AM30" s="46"/>
      <c r="AN30" s="4"/>
      <c r="AO30" s="4"/>
      <c r="AP30" s="4"/>
      <c r="AQ30" s="4"/>
      <c r="AR30" s="4"/>
      <c r="AS30" s="4"/>
      <c r="AT30" s="4"/>
      <c r="AU30" s="4"/>
      <c r="AV30" s="4"/>
      <c r="AW30" s="4"/>
      <c r="AX30" s="4"/>
      <c r="AY30" s="4"/>
    </row>
    <row r="31" spans="1:51" ht="14.5" x14ac:dyDescent="0.35">
      <c r="A31" s="121">
        <f>YampaRiverInflow.TotalOutflow!A31</f>
        <v>46966</v>
      </c>
      <c r="B31" s="122">
        <v>66.072999999999993</v>
      </c>
      <c r="C31" s="123">
        <v>66.072999999999993</v>
      </c>
      <c r="D31" s="124">
        <v>66.072999999999993</v>
      </c>
      <c r="E31" s="16">
        <v>-27.475497999999998</v>
      </c>
      <c r="F31" s="16">
        <v>-21.766008000000003</v>
      </c>
      <c r="G31" s="16">
        <v>29.917686</v>
      </c>
      <c r="H31" s="16">
        <v>25.019824</v>
      </c>
      <c r="I31" s="16">
        <v>50.280989999999996</v>
      </c>
      <c r="J31" s="16">
        <v>20.826450000000001</v>
      </c>
      <c r="K31" s="16">
        <v>44.033059999999999</v>
      </c>
      <c r="L31" s="16">
        <v>23.404959999999999</v>
      </c>
      <c r="M31" s="16">
        <v>52.066120000000005</v>
      </c>
      <c r="N31" s="16">
        <v>17.851240000000001</v>
      </c>
      <c r="O31" s="16">
        <v>42.049589999999995</v>
      </c>
      <c r="P31" s="16">
        <v>50.578510000000001</v>
      </c>
      <c r="Q31" s="16">
        <v>28.36364</v>
      </c>
      <c r="R31" s="16">
        <v>66.446280000000002</v>
      </c>
      <c r="S31" s="16">
        <v>91.636359999999996</v>
      </c>
      <c r="T31" s="16">
        <v>39.272730000000003</v>
      </c>
      <c r="U31" s="16">
        <v>23.60284</v>
      </c>
      <c r="V31" s="16">
        <v>91.04083</v>
      </c>
      <c r="W31" s="16">
        <v>36.693379999999998</v>
      </c>
      <c r="X31" s="16">
        <v>68.607789999999994</v>
      </c>
      <c r="Y31" s="16">
        <v>66.842500000000001</v>
      </c>
      <c r="Z31" s="16">
        <v>41.057389999999998</v>
      </c>
      <c r="AA31" s="16">
        <v>44.429290000000002</v>
      </c>
      <c r="AB31" s="16">
        <v>41.851849999999999</v>
      </c>
      <c r="AC31" s="16">
        <v>40.265050000000002</v>
      </c>
      <c r="AD31" s="16">
        <v>38.876599999999996</v>
      </c>
      <c r="AE31" s="16">
        <v>29.55415</v>
      </c>
      <c r="AF31" s="16">
        <v>23.603649999999899</v>
      </c>
      <c r="AG31" s="16">
        <v>15.498979999999996</v>
      </c>
      <c r="AH31" s="16">
        <v>39.663323999999996</v>
      </c>
      <c r="AI31" s="46"/>
      <c r="AJ31" s="46"/>
      <c r="AK31" s="46"/>
      <c r="AL31" s="46"/>
      <c r="AM31" s="46"/>
      <c r="AN31" s="4"/>
      <c r="AO31" s="4"/>
      <c r="AP31" s="4"/>
      <c r="AQ31" s="4"/>
      <c r="AR31" s="4"/>
      <c r="AS31" s="4"/>
      <c r="AT31" s="4"/>
      <c r="AU31" s="4"/>
      <c r="AV31" s="4"/>
      <c r="AW31" s="4"/>
      <c r="AX31" s="4"/>
      <c r="AY31" s="4"/>
    </row>
    <row r="32" spans="1:51" ht="14.5" x14ac:dyDescent="0.35">
      <c r="A32" s="121">
        <f>YampaRiverInflow.TotalOutflow!A32</f>
        <v>46997</v>
      </c>
      <c r="B32" s="122">
        <v>42.307000000000002</v>
      </c>
      <c r="C32" s="123">
        <v>42.307000000000002</v>
      </c>
      <c r="D32" s="124">
        <v>42.307000000000002</v>
      </c>
      <c r="E32" s="16">
        <v>-11.254766</v>
      </c>
      <c r="F32" s="16">
        <v>-1.109622000000003</v>
      </c>
      <c r="G32" s="16">
        <v>14.515779999999999</v>
      </c>
      <c r="H32" s="16">
        <v>21.008659999999999</v>
      </c>
      <c r="I32" s="16">
        <v>59.246279999999999</v>
      </c>
      <c r="J32" s="16">
        <v>36.099170000000001</v>
      </c>
      <c r="K32" s="16">
        <v>49.190080000000002</v>
      </c>
      <c r="L32" s="16">
        <v>39.133879999999998</v>
      </c>
      <c r="M32" s="16">
        <v>48.456199999999995</v>
      </c>
      <c r="N32" s="16">
        <v>103.95372</v>
      </c>
      <c r="O32" s="16">
        <v>34.373550000000002</v>
      </c>
      <c r="P32" s="16">
        <v>57.381819999999998</v>
      </c>
      <c r="Q32" s="16">
        <v>38.360330000000005</v>
      </c>
      <c r="R32" s="16">
        <v>50.87603</v>
      </c>
      <c r="S32" s="16">
        <v>33.83802</v>
      </c>
      <c r="T32" s="16">
        <v>38.677690000000005</v>
      </c>
      <c r="U32" s="16">
        <v>28.363289999999999</v>
      </c>
      <c r="V32" s="16">
        <v>44.250949999999996</v>
      </c>
      <c r="W32" s="16">
        <v>41.255660000000006</v>
      </c>
      <c r="X32" s="16">
        <v>47.999720000000003</v>
      </c>
      <c r="Y32" s="16">
        <v>78.703759999999988</v>
      </c>
      <c r="Z32" s="16">
        <v>38.875680000000003</v>
      </c>
      <c r="AA32" s="16">
        <v>32.726860000000002</v>
      </c>
      <c r="AB32" s="16">
        <v>30.744250000000001</v>
      </c>
      <c r="AC32" s="16">
        <v>24.1193600000001</v>
      </c>
      <c r="AD32" s="16">
        <v>44.628749999999897</v>
      </c>
      <c r="AE32" s="16">
        <v>21.9771800000001</v>
      </c>
      <c r="AF32" s="16">
        <v>24.040019999999899</v>
      </c>
      <c r="AG32" s="16">
        <v>19.180725999999996</v>
      </c>
      <c r="AH32" s="16">
        <v>38.334448000000002</v>
      </c>
      <c r="AI32" s="46"/>
      <c r="AJ32" s="46"/>
      <c r="AK32" s="46"/>
      <c r="AL32" s="46"/>
      <c r="AM32" s="46"/>
      <c r="AN32" s="4"/>
      <c r="AO32" s="4"/>
      <c r="AP32" s="4"/>
      <c r="AQ32" s="4"/>
      <c r="AR32" s="4"/>
      <c r="AS32" s="4"/>
      <c r="AT32" s="4"/>
      <c r="AU32" s="4"/>
      <c r="AV32" s="4"/>
      <c r="AW32" s="4"/>
      <c r="AX32" s="4"/>
      <c r="AY32" s="4"/>
    </row>
    <row r="33" spans="1:51" ht="14.5" x14ac:dyDescent="0.35">
      <c r="A33" s="121">
        <f>YampaRiverInflow.TotalOutflow!A33</f>
        <v>47027</v>
      </c>
      <c r="B33" s="122">
        <v>44.052999999999997</v>
      </c>
      <c r="C33" s="123">
        <v>44.052999999999997</v>
      </c>
      <c r="D33" s="124">
        <v>44.052999999999997</v>
      </c>
      <c r="E33" s="16">
        <v>20.811032000000001</v>
      </c>
      <c r="F33" s="16">
        <v>15.392737999999998</v>
      </c>
      <c r="G33" s="16">
        <v>31.104225999999993</v>
      </c>
      <c r="H33" s="16">
        <v>32.409004000000003</v>
      </c>
      <c r="I33" s="16">
        <v>36.495870000000004</v>
      </c>
      <c r="J33" s="16">
        <v>22.413220000000003</v>
      </c>
      <c r="K33" s="16">
        <v>37.884300000000003</v>
      </c>
      <c r="L33" s="16">
        <v>47.385120000000001</v>
      </c>
      <c r="M33" s="16">
        <v>23.34545</v>
      </c>
      <c r="N33" s="16">
        <v>20.647929999999999</v>
      </c>
      <c r="O33" s="16">
        <v>30.664459999999998</v>
      </c>
      <c r="P33" s="16">
        <v>41.077690000000004</v>
      </c>
      <c r="Q33" s="16">
        <v>31.060849999999999</v>
      </c>
      <c r="R33" s="16">
        <v>69.758679999999998</v>
      </c>
      <c r="S33" s="16">
        <v>20.94511</v>
      </c>
      <c r="T33" s="16">
        <v>34.908660000000005</v>
      </c>
      <c r="U33" s="16">
        <v>24.793029999999998</v>
      </c>
      <c r="V33" s="16">
        <v>40.680699999999995</v>
      </c>
      <c r="W33" s="16">
        <v>34.511849999999995</v>
      </c>
      <c r="X33" s="16">
        <v>29.513770000000001</v>
      </c>
      <c r="Y33" s="16">
        <v>19.080719999999999</v>
      </c>
      <c r="Z33" s="16">
        <v>42.445929999999997</v>
      </c>
      <c r="AA33" s="16">
        <v>56.012860000000003</v>
      </c>
      <c r="AB33" s="16">
        <v>29.236789999999999</v>
      </c>
      <c r="AC33" s="16">
        <v>25.884679999999999</v>
      </c>
      <c r="AD33" s="16">
        <v>63.214149999999897</v>
      </c>
      <c r="AE33" s="16">
        <v>23.663159999999799</v>
      </c>
      <c r="AF33" s="16">
        <v>24.972269999999799</v>
      </c>
      <c r="AG33" s="16">
        <v>26.040343999999997</v>
      </c>
      <c r="AH33" s="16">
        <v>13.166246000000003</v>
      </c>
      <c r="AI33" s="46"/>
      <c r="AJ33" s="46"/>
      <c r="AK33" s="46"/>
      <c r="AL33" s="46"/>
      <c r="AM33" s="46"/>
      <c r="AN33" s="4"/>
      <c r="AO33" s="4"/>
      <c r="AP33" s="4"/>
      <c r="AQ33" s="4"/>
      <c r="AR33" s="4"/>
      <c r="AS33" s="4"/>
      <c r="AT33" s="4"/>
      <c r="AU33" s="4"/>
      <c r="AV33" s="4"/>
      <c r="AW33" s="4"/>
      <c r="AX33" s="4"/>
      <c r="AY33" s="4"/>
    </row>
    <row r="34" spans="1:51" ht="14.5" x14ac:dyDescent="0.35">
      <c r="A34" s="121">
        <f>YampaRiverInflow.TotalOutflow!A34</f>
        <v>47058</v>
      </c>
      <c r="B34" s="122">
        <v>26.126000000000001</v>
      </c>
      <c r="C34" s="123">
        <v>26.126000000000001</v>
      </c>
      <c r="D34" s="124">
        <v>26.126000000000001</v>
      </c>
      <c r="E34" s="16">
        <v>1.1222839999999996</v>
      </c>
      <c r="F34" s="16">
        <v>9.8448719999999987</v>
      </c>
      <c r="G34" s="16">
        <v>28.013811999999998</v>
      </c>
      <c r="H34" s="16">
        <v>15.793877999999999</v>
      </c>
      <c r="I34" s="16">
        <v>24.595040000000001</v>
      </c>
      <c r="J34" s="16">
        <v>18.446279999999998</v>
      </c>
      <c r="K34" s="16">
        <v>36.495870000000004</v>
      </c>
      <c r="L34" s="16">
        <v>27.966939999999997</v>
      </c>
      <c r="M34" s="16">
        <v>25.487599999999997</v>
      </c>
      <c r="N34" s="16">
        <v>23.10744</v>
      </c>
      <c r="O34" s="16">
        <v>22.472729999999999</v>
      </c>
      <c r="P34" s="16">
        <v>35.166530000000002</v>
      </c>
      <c r="Q34" s="16">
        <v>20.925319999999999</v>
      </c>
      <c r="R34" s="16">
        <v>16.066120000000002</v>
      </c>
      <c r="S34" s="16">
        <v>25.54711</v>
      </c>
      <c r="T34" s="16">
        <v>41.950060000000001</v>
      </c>
      <c r="U34" s="16">
        <v>23.00787</v>
      </c>
      <c r="V34" s="16">
        <v>14.39954</v>
      </c>
      <c r="W34" s="16">
        <v>23.602700000000002</v>
      </c>
      <c r="X34" s="16">
        <v>28.581400000000002</v>
      </c>
      <c r="Y34" s="16">
        <v>27.807869999999998</v>
      </c>
      <c r="Z34" s="16">
        <v>24.69378</v>
      </c>
      <c r="AA34" s="16">
        <v>22.293890000000001</v>
      </c>
      <c r="AB34" s="16">
        <v>27.888010000000101</v>
      </c>
      <c r="AC34" s="16">
        <v>24.873090000000097</v>
      </c>
      <c r="AD34" s="16">
        <v>23.24662</v>
      </c>
      <c r="AE34" s="16">
        <v>25.646650000000101</v>
      </c>
      <c r="AF34" s="16">
        <v>24.793749999999999</v>
      </c>
      <c r="AG34" s="16">
        <v>17.507805999999995</v>
      </c>
      <c r="AH34" s="16">
        <v>8.8944699999999983</v>
      </c>
      <c r="AI34" s="46"/>
      <c r="AJ34" s="46"/>
      <c r="AK34" s="46"/>
      <c r="AL34" s="46"/>
      <c r="AM34" s="46"/>
      <c r="AN34" s="4"/>
      <c r="AO34" s="4"/>
      <c r="AP34" s="4"/>
      <c r="AQ34" s="4"/>
      <c r="AR34" s="4"/>
      <c r="AS34" s="4"/>
      <c r="AT34" s="4"/>
      <c r="AU34" s="4"/>
      <c r="AV34" s="4"/>
      <c r="AW34" s="4"/>
      <c r="AX34" s="4"/>
      <c r="AY34" s="4"/>
    </row>
    <row r="35" spans="1:51" ht="14.5" x14ac:dyDescent="0.35">
      <c r="A35" s="121">
        <f>YampaRiverInflow.TotalOutflow!A35</f>
        <v>47088</v>
      </c>
      <c r="B35" s="122">
        <v>27.3</v>
      </c>
      <c r="C35" s="123">
        <v>27.3</v>
      </c>
      <c r="D35" s="124">
        <v>27.3</v>
      </c>
      <c r="E35" s="16">
        <v>-6.7709719999999995</v>
      </c>
      <c r="F35" s="16">
        <v>0.60159199999999691</v>
      </c>
      <c r="G35" s="16">
        <v>44.223798000000002</v>
      </c>
      <c r="H35" s="16">
        <v>1.110544</v>
      </c>
      <c r="I35" s="16">
        <v>15.07438</v>
      </c>
      <c r="J35" s="16">
        <v>12.69421</v>
      </c>
      <c r="K35" s="16">
        <v>35.305790000000002</v>
      </c>
      <c r="L35" s="16">
        <v>29.355370000000001</v>
      </c>
      <c r="M35" s="16">
        <v>13.4876</v>
      </c>
      <c r="N35" s="16">
        <v>18.723970000000001</v>
      </c>
      <c r="O35" s="16">
        <v>15.471069999999999</v>
      </c>
      <c r="P35" s="16">
        <v>19.100490000000001</v>
      </c>
      <c r="Q35" s="16">
        <v>3.9664899999999998</v>
      </c>
      <c r="R35" s="16">
        <v>23.801650000000002</v>
      </c>
      <c r="S35" s="16">
        <v>57.520660000000007</v>
      </c>
      <c r="T35" s="16">
        <v>23.99954</v>
      </c>
      <c r="U35" s="16">
        <v>19.4375</v>
      </c>
      <c r="V35" s="16">
        <v>33.916870000000003</v>
      </c>
      <c r="W35" s="16">
        <v>31.734860000000001</v>
      </c>
      <c r="X35" s="16">
        <v>22.7103</v>
      </c>
      <c r="Y35" s="16">
        <v>25.368259999999999</v>
      </c>
      <c r="Z35" s="16">
        <v>31.6557</v>
      </c>
      <c r="AA35" s="16">
        <v>22.412740000000003</v>
      </c>
      <c r="AB35" s="16">
        <v>36.377389999999899</v>
      </c>
      <c r="AC35" s="16">
        <v>25.983849999999997</v>
      </c>
      <c r="AD35" s="16">
        <v>23.544150000000002</v>
      </c>
      <c r="AE35" s="16">
        <v>39.471650000000103</v>
      </c>
      <c r="AF35" s="16">
        <v>24.5160599999999</v>
      </c>
      <c r="AG35" s="16">
        <v>8.4644880000000011</v>
      </c>
      <c r="AH35" s="16">
        <v>2.3967059999999982</v>
      </c>
      <c r="AI35" s="46"/>
      <c r="AJ35" s="46"/>
      <c r="AK35" s="46"/>
      <c r="AL35" s="46"/>
      <c r="AM35" s="46"/>
      <c r="AN35" s="4"/>
      <c r="AO35" s="4"/>
      <c r="AP35" s="4"/>
      <c r="AQ35" s="4"/>
      <c r="AR35" s="4"/>
      <c r="AS35" s="4"/>
      <c r="AT35" s="4"/>
      <c r="AU35" s="4"/>
      <c r="AV35" s="4"/>
      <c r="AW35" s="4"/>
      <c r="AX35" s="4"/>
      <c r="AY35" s="4"/>
    </row>
    <row r="36" spans="1:51" ht="14.5" x14ac:dyDescent="0.35">
      <c r="A36" s="121">
        <f>YampaRiverInflow.TotalOutflow!A36</f>
        <v>47119</v>
      </c>
      <c r="B36" s="122">
        <v>25.349</v>
      </c>
      <c r="C36" s="123">
        <v>25.349</v>
      </c>
      <c r="D36" s="124">
        <v>25.349</v>
      </c>
      <c r="E36" s="16">
        <v>-19.261465999999999</v>
      </c>
      <c r="F36" s="16">
        <v>-11.55139</v>
      </c>
      <c r="G36" s="16">
        <v>25.526097999999998</v>
      </c>
      <c r="H36" s="16">
        <v>1.3745679999999993</v>
      </c>
      <c r="I36" s="16">
        <v>21.421490000000002</v>
      </c>
      <c r="J36" s="16">
        <v>24.198349999999998</v>
      </c>
      <c r="K36" s="16">
        <v>42.049589999999995</v>
      </c>
      <c r="L36" s="16">
        <v>21.61983</v>
      </c>
      <c r="M36" s="16">
        <v>18.446279999999998</v>
      </c>
      <c r="N36" s="16">
        <v>23.206610000000001</v>
      </c>
      <c r="O36" s="16">
        <v>20.033060000000003</v>
      </c>
      <c r="P36" s="16">
        <v>101.09752</v>
      </c>
      <c r="Q36" s="16">
        <v>22.61157</v>
      </c>
      <c r="R36" s="16">
        <v>23.206610000000001</v>
      </c>
      <c r="S36" s="16">
        <v>42.247930000000004</v>
      </c>
      <c r="T36" s="16">
        <v>34.11524</v>
      </c>
      <c r="U36" s="16">
        <v>41.255679999999998</v>
      </c>
      <c r="V36" s="16">
        <v>24.792830000000002</v>
      </c>
      <c r="W36" s="16">
        <v>40.065640000000002</v>
      </c>
      <c r="X36" s="16">
        <v>37.883839999999999</v>
      </c>
      <c r="Y36" s="16">
        <v>23.007810000000003</v>
      </c>
      <c r="Z36" s="16">
        <v>30.743310000000001</v>
      </c>
      <c r="AA36" s="16">
        <v>36.496400000000001</v>
      </c>
      <c r="AB36" s="16">
        <v>45.025449999999999</v>
      </c>
      <c r="AC36" s="16">
        <v>23.802</v>
      </c>
      <c r="AD36" s="16">
        <v>42.050199999999904</v>
      </c>
      <c r="AE36" s="16">
        <v>26.777249999999999</v>
      </c>
      <c r="AF36" s="16">
        <v>29.809785999999992</v>
      </c>
      <c r="AG36" s="16">
        <v>0.14888199999999779</v>
      </c>
      <c r="AH36" s="16">
        <v>188.36769600000002</v>
      </c>
      <c r="AI36" s="46"/>
      <c r="AJ36" s="46"/>
      <c r="AK36" s="46"/>
      <c r="AL36" s="46"/>
      <c r="AM36" s="46"/>
      <c r="AN36" s="4"/>
      <c r="AO36" s="4"/>
      <c r="AP36" s="4"/>
      <c r="AQ36" s="4"/>
      <c r="AR36" s="4"/>
      <c r="AS36" s="4"/>
      <c r="AT36" s="4"/>
      <c r="AU36" s="4"/>
      <c r="AV36" s="4"/>
      <c r="AW36" s="4"/>
      <c r="AX36" s="4"/>
      <c r="AY36" s="4"/>
    </row>
    <row r="37" spans="1:51" ht="14.5" x14ac:dyDescent="0.35">
      <c r="A37" s="121">
        <f>YampaRiverInflow.TotalOutflow!A37</f>
        <v>47150</v>
      </c>
      <c r="B37" s="122">
        <v>23.047999999999998</v>
      </c>
      <c r="C37" s="123">
        <v>23.047999999999998</v>
      </c>
      <c r="D37" s="124">
        <v>23.047999999999998</v>
      </c>
      <c r="E37" s="16">
        <v>-9.7793939999999999</v>
      </c>
      <c r="F37" s="16">
        <v>38.657699999999991</v>
      </c>
      <c r="G37" s="16">
        <v>12.339405999999999</v>
      </c>
      <c r="H37" s="16">
        <v>23.60331</v>
      </c>
      <c r="I37" s="16">
        <v>17.2562</v>
      </c>
      <c r="J37" s="16">
        <v>16.066120000000002</v>
      </c>
      <c r="K37" s="16">
        <v>48.99174</v>
      </c>
      <c r="L37" s="16">
        <v>36.297519999999999</v>
      </c>
      <c r="M37" s="16">
        <v>25.745450000000002</v>
      </c>
      <c r="N37" s="16">
        <v>24.39669</v>
      </c>
      <c r="O37" s="16">
        <v>35.66281</v>
      </c>
      <c r="P37" s="16">
        <v>125.57355</v>
      </c>
      <c r="Q37" s="16">
        <v>20.429749999999999</v>
      </c>
      <c r="R37" s="16">
        <v>29.355370000000001</v>
      </c>
      <c r="S37" s="16">
        <v>90.644630000000006</v>
      </c>
      <c r="T37" s="16">
        <v>38.478989999999996</v>
      </c>
      <c r="U37" s="16">
        <v>35.16657</v>
      </c>
      <c r="V37" s="16">
        <v>33.321769999999994</v>
      </c>
      <c r="W37" s="16">
        <v>18.842610000000001</v>
      </c>
      <c r="X37" s="16">
        <v>38.875690000000006</v>
      </c>
      <c r="Y37" s="16">
        <v>32.449240000000003</v>
      </c>
      <c r="Z37" s="16">
        <v>39.450900000000004</v>
      </c>
      <c r="AA37" s="16">
        <v>41.375809999999994</v>
      </c>
      <c r="AB37" s="16">
        <v>62.678599999999996</v>
      </c>
      <c r="AC37" s="16">
        <v>22.2151999999999</v>
      </c>
      <c r="AD37" s="16">
        <v>72.001050000000006</v>
      </c>
      <c r="AE37" s="16">
        <v>37.884849999999894</v>
      </c>
      <c r="AF37" s="16">
        <v>19.033522000000001</v>
      </c>
      <c r="AG37" s="16">
        <v>7.0302340000000001</v>
      </c>
      <c r="AH37" s="16">
        <v>85.799055999999993</v>
      </c>
      <c r="AI37" s="46"/>
      <c r="AJ37" s="46"/>
      <c r="AK37" s="46"/>
      <c r="AL37" s="46"/>
      <c r="AM37" s="46"/>
      <c r="AN37" s="4"/>
      <c r="AO37" s="4"/>
      <c r="AP37" s="4"/>
      <c r="AQ37" s="4"/>
      <c r="AR37" s="4"/>
      <c r="AS37" s="4"/>
      <c r="AT37" s="4"/>
      <c r="AU37" s="4"/>
      <c r="AV37" s="4"/>
      <c r="AW37" s="4"/>
      <c r="AX37" s="4"/>
      <c r="AY37" s="4"/>
    </row>
    <row r="38" spans="1:51" ht="14.5" x14ac:dyDescent="0.35">
      <c r="A38" s="121">
        <f>YampaRiverInflow.TotalOutflow!A38</f>
        <v>47178</v>
      </c>
      <c r="B38" s="122">
        <v>52.097999999999999</v>
      </c>
      <c r="C38" s="123">
        <v>52.097999999999999</v>
      </c>
      <c r="D38" s="124">
        <v>52.097999999999999</v>
      </c>
      <c r="E38" s="16">
        <v>18.785719999999998</v>
      </c>
      <c r="F38" s="16">
        <v>66.418819999999997</v>
      </c>
      <c r="G38" s="16">
        <v>7.6782579999999996</v>
      </c>
      <c r="H38" s="16">
        <v>63.272730000000003</v>
      </c>
      <c r="I38" s="16">
        <v>48.99174</v>
      </c>
      <c r="J38" s="16">
        <v>19.834709999999998</v>
      </c>
      <c r="K38" s="16">
        <v>54.009920000000001</v>
      </c>
      <c r="L38" s="16">
        <v>55.160330000000002</v>
      </c>
      <c r="M38" s="16">
        <v>23.22645</v>
      </c>
      <c r="N38" s="16">
        <v>42.842980000000004</v>
      </c>
      <c r="O38" s="16">
        <v>27.59008</v>
      </c>
      <c r="P38" s="16">
        <v>69.104129999999998</v>
      </c>
      <c r="Q38" s="16">
        <v>49.190080000000002</v>
      </c>
      <c r="R38" s="16">
        <v>44.628099999999996</v>
      </c>
      <c r="S38" s="16">
        <v>82.373550000000009</v>
      </c>
      <c r="T38" s="16">
        <v>74.04258999999999</v>
      </c>
      <c r="U38" s="16">
        <v>59.404600000000002</v>
      </c>
      <c r="V38" s="16">
        <v>42.445689999999999</v>
      </c>
      <c r="W38" s="16">
        <v>22.21454</v>
      </c>
      <c r="X38" s="16">
        <v>58.769889999999997</v>
      </c>
      <c r="Y38" s="16">
        <v>31.517060000000001</v>
      </c>
      <c r="Z38" s="16">
        <v>41.176480000000005</v>
      </c>
      <c r="AA38" s="16">
        <v>36.615409999999905</v>
      </c>
      <c r="AB38" s="16">
        <v>63.888529999999896</v>
      </c>
      <c r="AC38" s="16">
        <v>26.578900000000001</v>
      </c>
      <c r="AD38" s="16">
        <v>124.9605</v>
      </c>
      <c r="AE38" s="16">
        <v>70.0175499999999</v>
      </c>
      <c r="AF38" s="16">
        <v>37.985829999999993</v>
      </c>
      <c r="AG38" s="16">
        <v>23.852601999999997</v>
      </c>
      <c r="AH38" s="16">
        <v>33.571293999999995</v>
      </c>
      <c r="AI38" s="46"/>
      <c r="AJ38" s="46"/>
      <c r="AK38" s="46"/>
      <c r="AL38" s="46"/>
      <c r="AM38" s="46"/>
      <c r="AN38" s="4"/>
      <c r="AO38" s="4"/>
      <c r="AP38" s="4"/>
      <c r="AQ38" s="4"/>
      <c r="AR38" s="4"/>
      <c r="AS38" s="4"/>
      <c r="AT38" s="4"/>
      <c r="AU38" s="4"/>
      <c r="AV38" s="4"/>
      <c r="AW38" s="4"/>
      <c r="AX38" s="4"/>
      <c r="AY38" s="4"/>
    </row>
    <row r="39" spans="1:51" ht="14.5" x14ac:dyDescent="0.35">
      <c r="A39" s="121">
        <f>YampaRiverInflow.TotalOutflow!A39</f>
        <v>47209</v>
      </c>
      <c r="B39" s="122">
        <v>53.308</v>
      </c>
      <c r="C39" s="123">
        <v>53.308</v>
      </c>
      <c r="D39" s="124">
        <v>53.308</v>
      </c>
      <c r="E39" s="16">
        <v>-2.5694920000000012</v>
      </c>
      <c r="F39" s="16">
        <v>-26.212883999999999</v>
      </c>
      <c r="G39" s="16">
        <v>3.6764540000000014</v>
      </c>
      <c r="H39" s="16">
        <v>29.157019999999999</v>
      </c>
      <c r="I39" s="16">
        <v>70.294210000000007</v>
      </c>
      <c r="J39" s="16">
        <v>23.60331</v>
      </c>
      <c r="K39" s="16">
        <v>16.8</v>
      </c>
      <c r="L39" s="16">
        <v>35.028100000000002</v>
      </c>
      <c r="M39" s="16">
        <v>13.62645</v>
      </c>
      <c r="N39" s="16">
        <v>32.747109999999999</v>
      </c>
      <c r="O39" s="16">
        <v>39.133879999999998</v>
      </c>
      <c r="P39" s="16">
        <v>90.902479999999997</v>
      </c>
      <c r="Q39" s="16">
        <v>33.758679999999998</v>
      </c>
      <c r="R39" s="16">
        <v>33.699169999999995</v>
      </c>
      <c r="S39" s="16">
        <v>29.79214</v>
      </c>
      <c r="T39" s="16">
        <v>43.080640000000002</v>
      </c>
      <c r="U39" s="16">
        <v>88.700450000000004</v>
      </c>
      <c r="V39" s="16">
        <v>43.635820000000002</v>
      </c>
      <c r="W39" s="16">
        <v>17.01784</v>
      </c>
      <c r="X39" s="16">
        <v>26.498860000000001</v>
      </c>
      <c r="Y39" s="16">
        <v>22.988139999999998</v>
      </c>
      <c r="Z39" s="16">
        <v>25.348419999999997</v>
      </c>
      <c r="AA39" s="16">
        <v>31.934349999999899</v>
      </c>
      <c r="AB39" s="16">
        <v>40.2452100000001</v>
      </c>
      <c r="AC39" s="16">
        <v>24.198700000000002</v>
      </c>
      <c r="AD39" s="16">
        <v>43.240300000000097</v>
      </c>
      <c r="AE39" s="16">
        <v>39.828680000000105</v>
      </c>
      <c r="AF39" s="16">
        <v>41.938178000000001</v>
      </c>
      <c r="AG39" s="16">
        <v>40.074694000000001</v>
      </c>
      <c r="AH39" s="16">
        <v>1.3631199999999954</v>
      </c>
      <c r="AI39" s="46"/>
      <c r="AJ39" s="46"/>
      <c r="AK39" s="46"/>
      <c r="AL39" s="46"/>
      <c r="AM39" s="46"/>
      <c r="AN39" s="4"/>
      <c r="AO39" s="4"/>
      <c r="AP39" s="4"/>
      <c r="AQ39" s="4"/>
      <c r="AR39" s="4"/>
      <c r="AS39" s="4"/>
      <c r="AT39" s="4"/>
      <c r="AU39" s="4"/>
      <c r="AV39" s="4"/>
      <c r="AW39" s="4"/>
      <c r="AX39" s="4"/>
      <c r="AY39" s="4"/>
    </row>
    <row r="40" spans="1:51" ht="14.5" x14ac:dyDescent="0.35">
      <c r="A40" s="121">
        <f>YampaRiverInflow.TotalOutflow!A40</f>
        <v>47239</v>
      </c>
      <c r="B40" s="122">
        <v>24.817</v>
      </c>
      <c r="C40" s="123">
        <v>24.817</v>
      </c>
      <c r="D40" s="124">
        <v>24.817</v>
      </c>
      <c r="E40" s="16">
        <v>-5.5054859999999994</v>
      </c>
      <c r="F40" s="16">
        <v>-26.211384000000006</v>
      </c>
      <c r="G40" s="16">
        <v>7.738929999999999</v>
      </c>
      <c r="H40" s="16">
        <v>15.471069999999999</v>
      </c>
      <c r="I40" s="16">
        <v>41.137190000000004</v>
      </c>
      <c r="J40" s="16">
        <v>13.289260000000001</v>
      </c>
      <c r="K40" s="16">
        <v>27.570250000000001</v>
      </c>
      <c r="L40" s="16">
        <v>34.690910000000002</v>
      </c>
      <c r="M40" s="16">
        <v>21.163640000000001</v>
      </c>
      <c r="N40" s="16">
        <v>23.543800000000001</v>
      </c>
      <c r="O40" s="16">
        <v>34.333880000000001</v>
      </c>
      <c r="P40" s="16">
        <v>67.140500000000003</v>
      </c>
      <c r="Q40" s="16">
        <v>34.274380000000001</v>
      </c>
      <c r="R40" s="16">
        <v>36.813220000000001</v>
      </c>
      <c r="S40" s="16">
        <v>20.429749999999999</v>
      </c>
      <c r="T40" s="16">
        <v>51.173209999999997</v>
      </c>
      <c r="U40" s="16">
        <v>36.138489999999997</v>
      </c>
      <c r="V40" s="16">
        <v>21.024139999999999</v>
      </c>
      <c r="W40" s="16">
        <v>18.545120000000001</v>
      </c>
      <c r="X40" s="16">
        <v>27.252549999999999</v>
      </c>
      <c r="Y40" s="16">
        <v>27.252610000000001</v>
      </c>
      <c r="Z40" s="16">
        <v>28.958279999999998</v>
      </c>
      <c r="AA40" s="16">
        <v>32.1327</v>
      </c>
      <c r="AB40" s="16">
        <v>29.573979999999999</v>
      </c>
      <c r="AC40" s="16">
        <v>26.281370000000102</v>
      </c>
      <c r="AD40" s="16">
        <v>27.570650000000001</v>
      </c>
      <c r="AE40" s="16">
        <v>23.583810000000099</v>
      </c>
      <c r="AF40" s="16">
        <v>24.659790000000001</v>
      </c>
      <c r="AG40" s="16">
        <v>21.803582000000002</v>
      </c>
      <c r="AH40" s="16">
        <v>0.19014400000000023</v>
      </c>
      <c r="AI40" s="46"/>
      <c r="AJ40" s="46"/>
      <c r="AK40" s="46"/>
      <c r="AL40" s="46"/>
      <c r="AM40" s="46"/>
      <c r="AN40" s="4"/>
      <c r="AO40" s="4"/>
      <c r="AP40" s="4"/>
      <c r="AQ40" s="4"/>
      <c r="AR40" s="4"/>
      <c r="AS40" s="4"/>
      <c r="AT40" s="4"/>
      <c r="AU40" s="4"/>
      <c r="AV40" s="4"/>
      <c r="AW40" s="4"/>
      <c r="AX40" s="4"/>
      <c r="AY40" s="4"/>
    </row>
    <row r="41" spans="1:51" ht="14.5" x14ac:dyDescent="0.35">
      <c r="A41" s="121">
        <f>YampaRiverInflow.TotalOutflow!A41</f>
        <v>47270</v>
      </c>
      <c r="B41" s="122">
        <v>27.518999999999998</v>
      </c>
      <c r="C41" s="123">
        <v>27.518999999999998</v>
      </c>
      <c r="D41" s="124">
        <v>27.518999999999998</v>
      </c>
      <c r="E41" s="16">
        <v>1.061094</v>
      </c>
      <c r="F41" s="16">
        <v>22.368065999999995</v>
      </c>
      <c r="G41" s="16">
        <v>-1.3633040000000001</v>
      </c>
      <c r="H41" s="16">
        <v>31.73554</v>
      </c>
      <c r="I41" s="16">
        <v>15.272729999999999</v>
      </c>
      <c r="J41" s="16">
        <v>13.68595</v>
      </c>
      <c r="K41" s="16">
        <v>32.07273</v>
      </c>
      <c r="L41" s="16">
        <v>48.238019999999999</v>
      </c>
      <c r="M41" s="16">
        <v>6.5057900000000002</v>
      </c>
      <c r="N41" s="16">
        <v>14.280989999999999</v>
      </c>
      <c r="O41" s="16">
        <v>20.826450000000001</v>
      </c>
      <c r="P41" s="16">
        <v>11.9405</v>
      </c>
      <c r="Q41" s="16">
        <v>14.67769</v>
      </c>
      <c r="R41" s="16">
        <v>31.73554</v>
      </c>
      <c r="S41" s="16">
        <v>13.4876</v>
      </c>
      <c r="T41" s="16">
        <v>35.543419999999998</v>
      </c>
      <c r="U41" s="16">
        <v>23.741799999999998</v>
      </c>
      <c r="V41" s="16">
        <v>24.39593</v>
      </c>
      <c r="W41" s="16">
        <v>22.730180000000001</v>
      </c>
      <c r="X41" s="16">
        <v>25.189630000000001</v>
      </c>
      <c r="Y41" s="16">
        <v>26.0823</v>
      </c>
      <c r="Z41" s="16">
        <v>25.58633</v>
      </c>
      <c r="AA41" s="16">
        <v>28.562399999999901</v>
      </c>
      <c r="AB41" s="16">
        <v>24.3970500000001</v>
      </c>
      <c r="AC41" s="16">
        <v>26.578900000000001</v>
      </c>
      <c r="AD41" s="16">
        <v>24.000349999999901</v>
      </c>
      <c r="AE41" s="16">
        <v>22.730910000000101</v>
      </c>
      <c r="AF41" s="16">
        <v>3.4259199999999983</v>
      </c>
      <c r="AG41" s="16">
        <v>8.1729199999999995</v>
      </c>
      <c r="AH41" s="16">
        <v>12.473674000000001</v>
      </c>
      <c r="AI41" s="46"/>
      <c r="AJ41" s="46"/>
      <c r="AK41" s="46"/>
      <c r="AL41" s="46"/>
      <c r="AM41" s="46"/>
      <c r="AN41" s="4"/>
      <c r="AO41" s="4"/>
      <c r="AP41" s="4"/>
      <c r="AQ41" s="4"/>
      <c r="AR41" s="4"/>
      <c r="AS41" s="4"/>
      <c r="AT41" s="4"/>
      <c r="AU41" s="4"/>
      <c r="AV41" s="4"/>
      <c r="AW41" s="4"/>
      <c r="AX41" s="4"/>
      <c r="AY41" s="4"/>
    </row>
    <row r="42" spans="1:51" ht="14.5" x14ac:dyDescent="0.35">
      <c r="A42" s="121">
        <f>YampaRiverInflow.TotalOutflow!A42</f>
        <v>47300</v>
      </c>
      <c r="B42" s="122">
        <v>40.78</v>
      </c>
      <c r="C42" s="123">
        <v>40.78</v>
      </c>
      <c r="D42" s="124">
        <v>40.78</v>
      </c>
      <c r="E42" s="16">
        <v>-9.1989860000000014</v>
      </c>
      <c r="F42" s="16">
        <v>30.872809999999998</v>
      </c>
      <c r="G42" s="16">
        <v>7.8308159999999951</v>
      </c>
      <c r="H42" s="16">
        <v>31.933880000000002</v>
      </c>
      <c r="I42" s="16">
        <v>33.12397</v>
      </c>
      <c r="J42" s="16">
        <v>30.347110000000001</v>
      </c>
      <c r="K42" s="16">
        <v>21.12397</v>
      </c>
      <c r="L42" s="16">
        <v>19.953720000000001</v>
      </c>
      <c r="M42" s="16">
        <v>10.1157</v>
      </c>
      <c r="N42" s="16">
        <v>17.2562</v>
      </c>
      <c r="O42" s="16">
        <v>39.272730000000003</v>
      </c>
      <c r="P42" s="16">
        <v>21.024789999999999</v>
      </c>
      <c r="Q42" s="16">
        <v>21.223140000000001</v>
      </c>
      <c r="R42" s="16">
        <v>45.421489999999999</v>
      </c>
      <c r="S42" s="16">
        <v>28.760330000000003</v>
      </c>
      <c r="T42" s="16">
        <v>28.164830000000002</v>
      </c>
      <c r="U42" s="16">
        <v>29.156560000000002</v>
      </c>
      <c r="V42" s="16">
        <v>31.536360000000002</v>
      </c>
      <c r="W42" s="16">
        <v>26.379669999999997</v>
      </c>
      <c r="X42" s="16">
        <v>61.685449999999996</v>
      </c>
      <c r="Y42" s="16">
        <v>29.156569999999999</v>
      </c>
      <c r="Z42" s="16">
        <v>33.520060000000001</v>
      </c>
      <c r="AA42" s="16">
        <v>26.182200000000002</v>
      </c>
      <c r="AB42" s="16">
        <v>32.1327</v>
      </c>
      <c r="AC42" s="16">
        <v>49.587499999999999</v>
      </c>
      <c r="AD42" s="16">
        <v>22.016849999999998</v>
      </c>
      <c r="AE42" s="16">
        <v>23.603650000000101</v>
      </c>
      <c r="AF42" s="16">
        <v>-0.52760200000000035</v>
      </c>
      <c r="AG42" s="16">
        <v>14.445949999999996</v>
      </c>
      <c r="AH42" s="16">
        <v>-5.4029160000000003</v>
      </c>
      <c r="AI42" s="46"/>
      <c r="AJ42" s="46"/>
      <c r="AK42" s="46"/>
      <c r="AL42" s="46"/>
      <c r="AM42" s="46"/>
      <c r="AN42" s="4"/>
      <c r="AO42" s="4"/>
      <c r="AP42" s="4"/>
      <c r="AQ42" s="4"/>
      <c r="AR42" s="4"/>
      <c r="AS42" s="4"/>
      <c r="AT42" s="4"/>
      <c r="AU42" s="4"/>
      <c r="AV42" s="4"/>
      <c r="AW42" s="4"/>
      <c r="AX42" s="4"/>
      <c r="AY42" s="4"/>
    </row>
    <row r="43" spans="1:51" ht="14.5" x14ac:dyDescent="0.35">
      <c r="A43" s="121">
        <f>YampaRiverInflow.TotalOutflow!A43</f>
        <v>47331</v>
      </c>
      <c r="B43" s="122">
        <v>66.072999999999993</v>
      </c>
      <c r="C43" s="123">
        <v>66.072999999999993</v>
      </c>
      <c r="D43" s="124">
        <v>66.072999999999993</v>
      </c>
      <c r="E43" s="16">
        <v>-21.766008000000003</v>
      </c>
      <c r="F43" s="16">
        <v>29.917686</v>
      </c>
      <c r="G43" s="16">
        <v>25.019824</v>
      </c>
      <c r="H43" s="16">
        <v>50.280989999999996</v>
      </c>
      <c r="I43" s="16">
        <v>20.826450000000001</v>
      </c>
      <c r="J43" s="16">
        <v>44.033059999999999</v>
      </c>
      <c r="K43" s="16">
        <v>23.404959999999999</v>
      </c>
      <c r="L43" s="16">
        <v>52.066120000000005</v>
      </c>
      <c r="M43" s="16">
        <v>17.851240000000001</v>
      </c>
      <c r="N43" s="16">
        <v>42.049589999999995</v>
      </c>
      <c r="O43" s="16">
        <v>50.578510000000001</v>
      </c>
      <c r="P43" s="16">
        <v>28.36364</v>
      </c>
      <c r="Q43" s="16">
        <v>66.446280000000002</v>
      </c>
      <c r="R43" s="16">
        <v>91.636359999999996</v>
      </c>
      <c r="S43" s="16">
        <v>39.272730000000003</v>
      </c>
      <c r="T43" s="16">
        <v>23.60284</v>
      </c>
      <c r="U43" s="16">
        <v>91.04083</v>
      </c>
      <c r="V43" s="16">
        <v>36.693379999999998</v>
      </c>
      <c r="W43" s="16">
        <v>68.607789999999994</v>
      </c>
      <c r="X43" s="16">
        <v>66.842500000000001</v>
      </c>
      <c r="Y43" s="16">
        <v>41.057389999999998</v>
      </c>
      <c r="Z43" s="16">
        <v>44.429290000000002</v>
      </c>
      <c r="AA43" s="16">
        <v>41.851849999999999</v>
      </c>
      <c r="AB43" s="16">
        <v>40.265050000000002</v>
      </c>
      <c r="AC43" s="16">
        <v>38.876599999999996</v>
      </c>
      <c r="AD43" s="16">
        <v>29.55415</v>
      </c>
      <c r="AE43" s="16">
        <v>23.603649999999899</v>
      </c>
      <c r="AF43" s="16">
        <v>15.498979999999996</v>
      </c>
      <c r="AG43" s="16">
        <v>39.663323999999996</v>
      </c>
      <c r="AH43" s="16">
        <v>-27.475497999999998</v>
      </c>
      <c r="AI43" s="46"/>
      <c r="AJ43" s="46"/>
      <c r="AK43" s="46"/>
      <c r="AL43" s="46"/>
      <c r="AM43" s="46"/>
      <c r="AN43" s="4"/>
      <c r="AO43" s="4"/>
      <c r="AP43" s="4"/>
      <c r="AQ43" s="4"/>
      <c r="AR43" s="4"/>
      <c r="AS43" s="4"/>
      <c r="AT43" s="4"/>
      <c r="AU43" s="4"/>
      <c r="AV43" s="4"/>
      <c r="AW43" s="4"/>
      <c r="AX43" s="4"/>
      <c r="AY43" s="4"/>
    </row>
    <row r="44" spans="1:51" ht="14.5" x14ac:dyDescent="0.35">
      <c r="A44" s="121">
        <f>YampaRiverInflow.TotalOutflow!A44</f>
        <v>47362</v>
      </c>
      <c r="B44" s="122">
        <v>42.307000000000002</v>
      </c>
      <c r="C44" s="123">
        <v>42.307000000000002</v>
      </c>
      <c r="D44" s="124">
        <v>42.307000000000002</v>
      </c>
      <c r="E44" s="16">
        <v>-1.109622000000003</v>
      </c>
      <c r="F44" s="16">
        <v>14.515779999999999</v>
      </c>
      <c r="G44" s="16">
        <v>21.008659999999999</v>
      </c>
      <c r="H44" s="16">
        <v>59.246279999999999</v>
      </c>
      <c r="I44" s="16">
        <v>36.099170000000001</v>
      </c>
      <c r="J44" s="16">
        <v>49.190080000000002</v>
      </c>
      <c r="K44" s="16">
        <v>39.133879999999998</v>
      </c>
      <c r="L44" s="16">
        <v>48.456199999999995</v>
      </c>
      <c r="M44" s="16">
        <v>103.95372</v>
      </c>
      <c r="N44" s="16">
        <v>34.373550000000002</v>
      </c>
      <c r="O44" s="16">
        <v>57.381819999999998</v>
      </c>
      <c r="P44" s="16">
        <v>38.360330000000005</v>
      </c>
      <c r="Q44" s="16">
        <v>50.87603</v>
      </c>
      <c r="R44" s="16">
        <v>33.83802</v>
      </c>
      <c r="S44" s="16">
        <v>38.677690000000005</v>
      </c>
      <c r="T44" s="16">
        <v>28.363289999999999</v>
      </c>
      <c r="U44" s="16">
        <v>44.250949999999996</v>
      </c>
      <c r="V44" s="16">
        <v>41.255660000000006</v>
      </c>
      <c r="W44" s="16">
        <v>47.999720000000003</v>
      </c>
      <c r="X44" s="16">
        <v>78.703759999999988</v>
      </c>
      <c r="Y44" s="16">
        <v>38.875680000000003</v>
      </c>
      <c r="Z44" s="16">
        <v>32.726860000000002</v>
      </c>
      <c r="AA44" s="16">
        <v>30.744250000000001</v>
      </c>
      <c r="AB44" s="16">
        <v>24.1193600000001</v>
      </c>
      <c r="AC44" s="16">
        <v>44.628749999999897</v>
      </c>
      <c r="AD44" s="16">
        <v>21.9771800000001</v>
      </c>
      <c r="AE44" s="16">
        <v>24.040019999999899</v>
      </c>
      <c r="AF44" s="16">
        <v>19.180725999999996</v>
      </c>
      <c r="AG44" s="16">
        <v>38.334448000000002</v>
      </c>
      <c r="AH44" s="16">
        <v>-11.254766</v>
      </c>
      <c r="AI44" s="46"/>
      <c r="AJ44" s="46"/>
      <c r="AK44" s="46"/>
      <c r="AL44" s="46"/>
      <c r="AM44" s="46"/>
      <c r="AN44" s="4"/>
      <c r="AO44" s="4"/>
      <c r="AP44" s="4"/>
      <c r="AQ44" s="4"/>
      <c r="AR44" s="4"/>
      <c r="AS44" s="4"/>
      <c r="AT44" s="4"/>
      <c r="AU44" s="4"/>
      <c r="AV44" s="4"/>
      <c r="AW44" s="4"/>
      <c r="AX44" s="4"/>
      <c r="AY44" s="4"/>
    </row>
    <row r="45" spans="1:51" ht="14.5" x14ac:dyDescent="0.35">
      <c r="A45" s="121">
        <f>YampaRiverInflow.TotalOutflow!A45</f>
        <v>47392</v>
      </c>
      <c r="B45" s="122">
        <v>44.052999999999997</v>
      </c>
      <c r="C45" s="123">
        <v>44.052999999999997</v>
      </c>
      <c r="D45" s="124">
        <v>44.052999999999997</v>
      </c>
      <c r="E45" s="16">
        <v>15.392737999999998</v>
      </c>
      <c r="F45" s="16">
        <v>31.104225999999993</v>
      </c>
      <c r="G45" s="16">
        <v>32.409004000000003</v>
      </c>
      <c r="H45" s="16">
        <v>36.495870000000004</v>
      </c>
      <c r="I45" s="16">
        <v>22.413220000000003</v>
      </c>
      <c r="J45" s="16">
        <v>37.884300000000003</v>
      </c>
      <c r="K45" s="16">
        <v>47.385120000000001</v>
      </c>
      <c r="L45" s="16">
        <v>23.34545</v>
      </c>
      <c r="M45" s="16">
        <v>20.647929999999999</v>
      </c>
      <c r="N45" s="16">
        <v>30.664459999999998</v>
      </c>
      <c r="O45" s="16">
        <v>41.077690000000004</v>
      </c>
      <c r="P45" s="16">
        <v>31.060849999999999</v>
      </c>
      <c r="Q45" s="16">
        <v>69.758679999999998</v>
      </c>
      <c r="R45" s="16">
        <v>20.94511</v>
      </c>
      <c r="S45" s="16">
        <v>34.908660000000005</v>
      </c>
      <c r="T45" s="16">
        <v>24.793029999999998</v>
      </c>
      <c r="U45" s="16">
        <v>40.680699999999995</v>
      </c>
      <c r="V45" s="16">
        <v>34.511849999999995</v>
      </c>
      <c r="W45" s="16">
        <v>29.513770000000001</v>
      </c>
      <c r="X45" s="16">
        <v>19.080719999999999</v>
      </c>
      <c r="Y45" s="16">
        <v>42.445929999999997</v>
      </c>
      <c r="Z45" s="16">
        <v>56.012860000000003</v>
      </c>
      <c r="AA45" s="16">
        <v>29.236789999999999</v>
      </c>
      <c r="AB45" s="16">
        <v>25.884679999999999</v>
      </c>
      <c r="AC45" s="16">
        <v>63.214149999999897</v>
      </c>
      <c r="AD45" s="16">
        <v>23.663159999999799</v>
      </c>
      <c r="AE45" s="16">
        <v>24.972269999999799</v>
      </c>
      <c r="AF45" s="16">
        <v>26.040343999999997</v>
      </c>
      <c r="AG45" s="16">
        <v>13.166246000000003</v>
      </c>
      <c r="AH45" s="16">
        <v>20.811032000000001</v>
      </c>
      <c r="AI45" s="46"/>
      <c r="AJ45" s="46"/>
      <c r="AK45" s="46"/>
      <c r="AL45" s="46"/>
      <c r="AM45" s="46"/>
      <c r="AN45" s="4"/>
      <c r="AO45" s="4"/>
      <c r="AP45" s="4"/>
      <c r="AQ45" s="4"/>
      <c r="AR45" s="4"/>
      <c r="AS45" s="4"/>
      <c r="AT45" s="4"/>
      <c r="AU45" s="4"/>
      <c r="AV45" s="4"/>
      <c r="AW45" s="4"/>
      <c r="AX45" s="4"/>
      <c r="AY45" s="4"/>
    </row>
    <row r="46" spans="1:51" ht="14.5" x14ac:dyDescent="0.35">
      <c r="A46" s="121">
        <f>YampaRiverInflow.TotalOutflow!A46</f>
        <v>47423</v>
      </c>
      <c r="B46" s="122">
        <v>26.126000000000001</v>
      </c>
      <c r="C46" s="123">
        <v>26.126000000000001</v>
      </c>
      <c r="D46" s="124">
        <v>26.126000000000001</v>
      </c>
      <c r="E46" s="16">
        <v>9.8448719999999987</v>
      </c>
      <c r="F46" s="16">
        <v>28.013811999999998</v>
      </c>
      <c r="G46" s="16">
        <v>15.793877999999999</v>
      </c>
      <c r="H46" s="16">
        <v>24.595040000000001</v>
      </c>
      <c r="I46" s="16">
        <v>18.446279999999998</v>
      </c>
      <c r="J46" s="16">
        <v>36.495870000000004</v>
      </c>
      <c r="K46" s="16">
        <v>27.966939999999997</v>
      </c>
      <c r="L46" s="16">
        <v>25.487599999999997</v>
      </c>
      <c r="M46" s="16">
        <v>23.10744</v>
      </c>
      <c r="N46" s="16">
        <v>22.472729999999999</v>
      </c>
      <c r="O46" s="16">
        <v>35.166530000000002</v>
      </c>
      <c r="P46" s="16">
        <v>20.925319999999999</v>
      </c>
      <c r="Q46" s="16">
        <v>16.066120000000002</v>
      </c>
      <c r="R46" s="16">
        <v>25.54711</v>
      </c>
      <c r="S46" s="16">
        <v>41.950060000000001</v>
      </c>
      <c r="T46" s="16">
        <v>23.00787</v>
      </c>
      <c r="U46" s="16">
        <v>14.39954</v>
      </c>
      <c r="V46" s="16">
        <v>23.602700000000002</v>
      </c>
      <c r="W46" s="16">
        <v>28.581400000000002</v>
      </c>
      <c r="X46" s="16">
        <v>27.807869999999998</v>
      </c>
      <c r="Y46" s="16">
        <v>24.69378</v>
      </c>
      <c r="Z46" s="16">
        <v>22.293890000000001</v>
      </c>
      <c r="AA46" s="16">
        <v>27.888010000000101</v>
      </c>
      <c r="AB46" s="16">
        <v>24.873090000000097</v>
      </c>
      <c r="AC46" s="16">
        <v>23.24662</v>
      </c>
      <c r="AD46" s="16">
        <v>25.646650000000101</v>
      </c>
      <c r="AE46" s="16">
        <v>24.793749999999999</v>
      </c>
      <c r="AF46" s="16">
        <v>17.507805999999995</v>
      </c>
      <c r="AG46" s="16">
        <v>8.8944699999999983</v>
      </c>
      <c r="AH46" s="16">
        <v>1.1222839999999996</v>
      </c>
      <c r="AI46" s="46"/>
      <c r="AJ46" s="46"/>
      <c r="AK46" s="46"/>
      <c r="AL46" s="46"/>
      <c r="AM46" s="46"/>
      <c r="AN46" s="4"/>
      <c r="AO46" s="4"/>
      <c r="AP46" s="4"/>
      <c r="AQ46" s="4"/>
      <c r="AR46" s="4"/>
      <c r="AS46" s="4"/>
      <c r="AT46" s="4"/>
      <c r="AU46" s="4"/>
      <c r="AV46" s="4"/>
      <c r="AW46" s="4"/>
      <c r="AX46" s="4"/>
      <c r="AY46" s="4"/>
    </row>
    <row r="47" spans="1:51" ht="14.5" x14ac:dyDescent="0.35">
      <c r="A47" s="121">
        <f>YampaRiverInflow.TotalOutflow!A47</f>
        <v>47453</v>
      </c>
      <c r="B47" s="122">
        <v>27.3</v>
      </c>
      <c r="C47" s="123">
        <v>27.3</v>
      </c>
      <c r="D47" s="124">
        <v>27.3</v>
      </c>
      <c r="E47" s="16">
        <v>0.60159199999999691</v>
      </c>
      <c r="F47" s="16">
        <v>44.223798000000002</v>
      </c>
      <c r="G47" s="16">
        <v>1.110544</v>
      </c>
      <c r="H47" s="16">
        <v>15.07438</v>
      </c>
      <c r="I47" s="16">
        <v>12.69421</v>
      </c>
      <c r="J47" s="16">
        <v>35.305790000000002</v>
      </c>
      <c r="K47" s="16">
        <v>29.355370000000001</v>
      </c>
      <c r="L47" s="16">
        <v>13.4876</v>
      </c>
      <c r="M47" s="16">
        <v>18.723970000000001</v>
      </c>
      <c r="N47" s="16">
        <v>15.471069999999999</v>
      </c>
      <c r="O47" s="16">
        <v>19.100490000000001</v>
      </c>
      <c r="P47" s="16">
        <v>3.9664899999999998</v>
      </c>
      <c r="Q47" s="16">
        <v>23.801650000000002</v>
      </c>
      <c r="R47" s="16">
        <v>57.520660000000007</v>
      </c>
      <c r="S47" s="16">
        <v>23.99954</v>
      </c>
      <c r="T47" s="16">
        <v>19.4375</v>
      </c>
      <c r="U47" s="16">
        <v>33.916870000000003</v>
      </c>
      <c r="V47" s="16">
        <v>31.734860000000001</v>
      </c>
      <c r="W47" s="16">
        <v>22.7103</v>
      </c>
      <c r="X47" s="16">
        <v>25.368259999999999</v>
      </c>
      <c r="Y47" s="16">
        <v>31.6557</v>
      </c>
      <c r="Z47" s="16">
        <v>22.412740000000003</v>
      </c>
      <c r="AA47" s="16">
        <v>36.377389999999899</v>
      </c>
      <c r="AB47" s="16">
        <v>25.983849999999997</v>
      </c>
      <c r="AC47" s="16">
        <v>23.544150000000002</v>
      </c>
      <c r="AD47" s="16">
        <v>39.471650000000103</v>
      </c>
      <c r="AE47" s="16">
        <v>24.5160599999999</v>
      </c>
      <c r="AF47" s="16">
        <v>8.4644880000000011</v>
      </c>
      <c r="AG47" s="16">
        <v>2.3967059999999982</v>
      </c>
      <c r="AH47" s="16">
        <v>-6.7709719999999995</v>
      </c>
      <c r="AI47" s="46"/>
      <c r="AJ47" s="46"/>
      <c r="AK47" s="46"/>
      <c r="AL47" s="46"/>
      <c r="AM47" s="46"/>
      <c r="AN47" s="4"/>
      <c r="AO47" s="4"/>
      <c r="AP47" s="4"/>
      <c r="AQ47" s="4"/>
      <c r="AR47" s="4"/>
      <c r="AS47" s="4"/>
      <c r="AT47" s="4"/>
      <c r="AU47" s="4"/>
      <c r="AV47" s="4"/>
      <c r="AW47" s="4"/>
      <c r="AX47" s="4"/>
      <c r="AY47" s="4"/>
    </row>
    <row r="48" spans="1:51" ht="14.5" x14ac:dyDescent="0.35">
      <c r="A48" s="121">
        <f>YampaRiverInflow.TotalOutflow!A48</f>
        <v>47484</v>
      </c>
      <c r="B48" s="122">
        <v>25.349</v>
      </c>
      <c r="C48" s="123">
        <v>25.349</v>
      </c>
      <c r="D48" s="124">
        <v>25.349</v>
      </c>
      <c r="E48" s="16">
        <v>-11.55139</v>
      </c>
      <c r="F48" s="16">
        <v>25.526097999999998</v>
      </c>
      <c r="G48" s="16">
        <v>1.3745679999999993</v>
      </c>
      <c r="H48" s="16">
        <v>21.421490000000002</v>
      </c>
      <c r="I48" s="16">
        <v>24.198349999999998</v>
      </c>
      <c r="J48" s="16">
        <v>42.049589999999995</v>
      </c>
      <c r="K48" s="16">
        <v>21.61983</v>
      </c>
      <c r="L48" s="16">
        <v>18.446279999999998</v>
      </c>
      <c r="M48" s="16">
        <v>23.206610000000001</v>
      </c>
      <c r="N48" s="16">
        <v>20.033060000000003</v>
      </c>
      <c r="O48" s="16">
        <v>101.09752</v>
      </c>
      <c r="P48" s="16">
        <v>22.61157</v>
      </c>
      <c r="Q48" s="16">
        <v>23.206610000000001</v>
      </c>
      <c r="R48" s="16">
        <v>42.247930000000004</v>
      </c>
      <c r="S48" s="16">
        <v>34.11524</v>
      </c>
      <c r="T48" s="16">
        <v>41.255679999999998</v>
      </c>
      <c r="U48" s="16">
        <v>24.792830000000002</v>
      </c>
      <c r="V48" s="16">
        <v>40.065640000000002</v>
      </c>
      <c r="W48" s="16">
        <v>37.883839999999999</v>
      </c>
      <c r="X48" s="16">
        <v>23.007810000000003</v>
      </c>
      <c r="Y48" s="16">
        <v>30.743310000000001</v>
      </c>
      <c r="Z48" s="16">
        <v>36.496400000000001</v>
      </c>
      <c r="AA48" s="16">
        <v>45.025449999999999</v>
      </c>
      <c r="AB48" s="16">
        <v>23.802</v>
      </c>
      <c r="AC48" s="16">
        <v>42.050199999999904</v>
      </c>
      <c r="AD48" s="16">
        <v>26.777249999999999</v>
      </c>
      <c r="AE48" s="16">
        <v>29.809785999999992</v>
      </c>
      <c r="AF48" s="16">
        <v>0.14888199999999779</v>
      </c>
      <c r="AG48" s="16">
        <v>188.36769600000002</v>
      </c>
      <c r="AH48" s="16">
        <v>-19.261465999999999</v>
      </c>
      <c r="AI48" s="46"/>
      <c r="AJ48" s="46"/>
      <c r="AK48" s="46"/>
      <c r="AL48" s="46"/>
      <c r="AM48" s="46"/>
      <c r="AN48" s="4"/>
      <c r="AO48" s="4"/>
      <c r="AP48" s="4"/>
      <c r="AQ48" s="4"/>
      <c r="AR48" s="4"/>
      <c r="AS48" s="4"/>
      <c r="AT48" s="4"/>
      <c r="AU48" s="4"/>
      <c r="AV48" s="4"/>
      <c r="AW48" s="4"/>
      <c r="AX48" s="4"/>
      <c r="AY48" s="4"/>
    </row>
    <row r="49" spans="1:1005" ht="14.5" x14ac:dyDescent="0.35">
      <c r="A49" s="121">
        <f>YampaRiverInflow.TotalOutflow!A49</f>
        <v>47515</v>
      </c>
      <c r="B49" s="122">
        <v>23.047999999999998</v>
      </c>
      <c r="C49" s="123">
        <v>23.047999999999998</v>
      </c>
      <c r="D49" s="124">
        <v>23.047999999999998</v>
      </c>
      <c r="E49" s="16">
        <v>38.657699999999991</v>
      </c>
      <c r="F49" s="16">
        <v>12.339405999999999</v>
      </c>
      <c r="G49" s="16">
        <v>23.60331</v>
      </c>
      <c r="H49" s="16">
        <v>17.2562</v>
      </c>
      <c r="I49" s="16">
        <v>16.066120000000002</v>
      </c>
      <c r="J49" s="16">
        <v>48.99174</v>
      </c>
      <c r="K49" s="16">
        <v>36.297519999999999</v>
      </c>
      <c r="L49" s="16">
        <v>25.745450000000002</v>
      </c>
      <c r="M49" s="16">
        <v>24.39669</v>
      </c>
      <c r="N49" s="16">
        <v>35.66281</v>
      </c>
      <c r="O49" s="16">
        <v>125.57355</v>
      </c>
      <c r="P49" s="16">
        <v>20.429749999999999</v>
      </c>
      <c r="Q49" s="16">
        <v>29.355370000000001</v>
      </c>
      <c r="R49" s="16">
        <v>90.644630000000006</v>
      </c>
      <c r="S49" s="16">
        <v>38.478989999999996</v>
      </c>
      <c r="T49" s="16">
        <v>35.16657</v>
      </c>
      <c r="U49" s="16">
        <v>33.321769999999994</v>
      </c>
      <c r="V49" s="16">
        <v>18.842610000000001</v>
      </c>
      <c r="W49" s="16">
        <v>38.875690000000006</v>
      </c>
      <c r="X49" s="16">
        <v>32.449240000000003</v>
      </c>
      <c r="Y49" s="16">
        <v>39.450900000000004</v>
      </c>
      <c r="Z49" s="16">
        <v>41.375809999999994</v>
      </c>
      <c r="AA49" s="16">
        <v>62.678599999999996</v>
      </c>
      <c r="AB49" s="16">
        <v>22.2151999999999</v>
      </c>
      <c r="AC49" s="16">
        <v>72.001050000000006</v>
      </c>
      <c r="AD49" s="16">
        <v>37.884849999999894</v>
      </c>
      <c r="AE49" s="16">
        <v>19.033522000000001</v>
      </c>
      <c r="AF49" s="16">
        <v>7.0302340000000001</v>
      </c>
      <c r="AG49" s="16">
        <v>85.799055999999993</v>
      </c>
      <c r="AH49" s="16">
        <v>-9.7793939999999999</v>
      </c>
      <c r="AI49" s="46"/>
      <c r="AJ49" s="46"/>
      <c r="AK49" s="46"/>
      <c r="AL49" s="46"/>
      <c r="AM49" s="46"/>
      <c r="AN49" s="4"/>
      <c r="AO49" s="4"/>
      <c r="AP49" s="4"/>
      <c r="AQ49" s="4"/>
      <c r="AR49" s="4"/>
      <c r="AS49" s="4"/>
      <c r="AT49" s="4"/>
      <c r="AU49" s="4"/>
      <c r="AV49" s="4"/>
      <c r="AW49" s="4"/>
      <c r="AX49" s="4"/>
      <c r="AY49" s="4"/>
    </row>
    <row r="50" spans="1:1005" ht="14.5" x14ac:dyDescent="0.35">
      <c r="A50" s="121">
        <f>YampaRiverInflow.TotalOutflow!A50</f>
        <v>47543</v>
      </c>
      <c r="B50" s="122">
        <v>52.097999999999999</v>
      </c>
      <c r="C50" s="123">
        <v>52.097999999999999</v>
      </c>
      <c r="D50" s="124">
        <v>52.097999999999999</v>
      </c>
      <c r="E50" s="16">
        <v>66.418819999999997</v>
      </c>
      <c r="F50" s="16">
        <v>7.6782579999999996</v>
      </c>
      <c r="G50" s="16">
        <v>63.272730000000003</v>
      </c>
      <c r="H50" s="16">
        <v>48.99174</v>
      </c>
      <c r="I50" s="16">
        <v>19.834709999999998</v>
      </c>
      <c r="J50" s="16">
        <v>54.009920000000001</v>
      </c>
      <c r="K50" s="16">
        <v>55.160330000000002</v>
      </c>
      <c r="L50" s="16">
        <v>23.22645</v>
      </c>
      <c r="M50" s="16">
        <v>42.842980000000004</v>
      </c>
      <c r="N50" s="16">
        <v>27.59008</v>
      </c>
      <c r="O50" s="16">
        <v>69.104129999999998</v>
      </c>
      <c r="P50" s="16">
        <v>49.190080000000002</v>
      </c>
      <c r="Q50" s="16">
        <v>44.628099999999996</v>
      </c>
      <c r="R50" s="16">
        <v>82.373550000000009</v>
      </c>
      <c r="S50" s="16">
        <v>74.04258999999999</v>
      </c>
      <c r="T50" s="16">
        <v>59.404600000000002</v>
      </c>
      <c r="U50" s="16">
        <v>42.445689999999999</v>
      </c>
      <c r="V50" s="16">
        <v>22.21454</v>
      </c>
      <c r="W50" s="16">
        <v>58.769889999999997</v>
      </c>
      <c r="X50" s="16">
        <v>31.517060000000001</v>
      </c>
      <c r="Y50" s="16">
        <v>41.176480000000005</v>
      </c>
      <c r="Z50" s="16">
        <v>36.615409999999905</v>
      </c>
      <c r="AA50" s="16">
        <v>63.888529999999896</v>
      </c>
      <c r="AB50" s="16">
        <v>26.578900000000001</v>
      </c>
      <c r="AC50" s="16">
        <v>124.9605</v>
      </c>
      <c r="AD50" s="16">
        <v>70.0175499999999</v>
      </c>
      <c r="AE50" s="16">
        <v>37.985829999999993</v>
      </c>
      <c r="AF50" s="16">
        <v>23.852601999999997</v>
      </c>
      <c r="AG50" s="16">
        <v>33.571293999999995</v>
      </c>
      <c r="AH50" s="16">
        <v>18.785719999999998</v>
      </c>
      <c r="AI50" s="46"/>
      <c r="AJ50" s="46"/>
      <c r="AK50" s="46"/>
      <c r="AL50" s="46"/>
      <c r="AM50" s="46"/>
      <c r="AN50" s="4"/>
      <c r="AO50" s="4"/>
      <c r="AP50" s="4"/>
      <c r="AQ50" s="4"/>
      <c r="AR50" s="4"/>
      <c r="AS50" s="4"/>
      <c r="AT50" s="4"/>
      <c r="AU50" s="4"/>
      <c r="AV50" s="4"/>
      <c r="AW50" s="4"/>
      <c r="AX50" s="4"/>
      <c r="AY50" s="4"/>
    </row>
    <row r="51" spans="1:1005" ht="14.5" x14ac:dyDescent="0.35">
      <c r="A51" s="121">
        <f>YampaRiverInflow.TotalOutflow!A51</f>
        <v>47574</v>
      </c>
      <c r="B51" s="122">
        <v>53.308</v>
      </c>
      <c r="C51" s="123">
        <v>53.308</v>
      </c>
      <c r="D51" s="124">
        <v>53.308</v>
      </c>
      <c r="E51" s="16">
        <v>-26.212883999999999</v>
      </c>
      <c r="F51" s="16">
        <v>3.6764540000000014</v>
      </c>
      <c r="G51" s="16">
        <v>29.157019999999999</v>
      </c>
      <c r="H51" s="16">
        <v>70.294210000000007</v>
      </c>
      <c r="I51" s="16">
        <v>23.60331</v>
      </c>
      <c r="J51" s="16">
        <v>16.8</v>
      </c>
      <c r="K51" s="16">
        <v>35.028100000000002</v>
      </c>
      <c r="L51" s="16">
        <v>13.62645</v>
      </c>
      <c r="M51" s="16">
        <v>32.747109999999999</v>
      </c>
      <c r="N51" s="16">
        <v>39.133879999999998</v>
      </c>
      <c r="O51" s="16">
        <v>90.902479999999997</v>
      </c>
      <c r="P51" s="16">
        <v>33.758679999999998</v>
      </c>
      <c r="Q51" s="16">
        <v>33.699169999999995</v>
      </c>
      <c r="R51" s="16">
        <v>29.79214</v>
      </c>
      <c r="S51" s="16">
        <v>43.080640000000002</v>
      </c>
      <c r="T51" s="16">
        <v>88.700450000000004</v>
      </c>
      <c r="U51" s="16">
        <v>43.635820000000002</v>
      </c>
      <c r="V51" s="16">
        <v>17.01784</v>
      </c>
      <c r="W51" s="16">
        <v>26.498860000000001</v>
      </c>
      <c r="X51" s="16">
        <v>22.988139999999998</v>
      </c>
      <c r="Y51" s="16">
        <v>25.348419999999997</v>
      </c>
      <c r="Z51" s="16">
        <v>31.934349999999899</v>
      </c>
      <c r="AA51" s="16">
        <v>40.2452100000001</v>
      </c>
      <c r="AB51" s="16">
        <v>24.198700000000002</v>
      </c>
      <c r="AC51" s="16">
        <v>43.240300000000097</v>
      </c>
      <c r="AD51" s="16">
        <v>39.828680000000105</v>
      </c>
      <c r="AE51" s="16">
        <v>41.938178000000001</v>
      </c>
      <c r="AF51" s="16">
        <v>40.074694000000001</v>
      </c>
      <c r="AG51" s="16">
        <v>1.3631199999999954</v>
      </c>
      <c r="AH51" s="16">
        <v>-2.5694920000000012</v>
      </c>
      <c r="AI51" s="46"/>
      <c r="AJ51" s="46"/>
      <c r="AK51" s="46"/>
      <c r="AL51" s="46"/>
      <c r="AM51" s="46"/>
      <c r="AN51" s="4"/>
      <c r="AO51" s="4"/>
      <c r="AP51" s="4"/>
      <c r="AQ51" s="4"/>
      <c r="AR51" s="4"/>
      <c r="AS51" s="4"/>
      <c r="AT51" s="4"/>
      <c r="AU51" s="4"/>
      <c r="AV51" s="4"/>
      <c r="AW51" s="4"/>
      <c r="AX51" s="4"/>
      <c r="AY51" s="4"/>
    </row>
    <row r="52" spans="1:1005" ht="14.5" x14ac:dyDescent="0.35">
      <c r="A52" s="121">
        <f>YampaRiverInflow.TotalOutflow!A52</f>
        <v>47604</v>
      </c>
      <c r="B52" s="122">
        <v>24.817</v>
      </c>
      <c r="C52" s="123">
        <v>24.817</v>
      </c>
      <c r="D52" s="124">
        <v>24.817</v>
      </c>
      <c r="E52" s="16">
        <v>-26.211384000000006</v>
      </c>
      <c r="F52" s="16">
        <v>7.738929999999999</v>
      </c>
      <c r="G52" s="16">
        <v>15.471069999999999</v>
      </c>
      <c r="H52" s="16">
        <v>41.137190000000004</v>
      </c>
      <c r="I52" s="16">
        <v>13.289260000000001</v>
      </c>
      <c r="J52" s="16">
        <v>27.570250000000001</v>
      </c>
      <c r="K52" s="16">
        <v>34.690910000000002</v>
      </c>
      <c r="L52" s="16">
        <v>21.163640000000001</v>
      </c>
      <c r="M52" s="16">
        <v>23.543800000000001</v>
      </c>
      <c r="N52" s="16">
        <v>34.333880000000001</v>
      </c>
      <c r="O52" s="16">
        <v>67.140500000000003</v>
      </c>
      <c r="P52" s="16">
        <v>34.274380000000001</v>
      </c>
      <c r="Q52" s="16">
        <v>36.813220000000001</v>
      </c>
      <c r="R52" s="16">
        <v>20.429749999999999</v>
      </c>
      <c r="S52" s="16">
        <v>51.173209999999997</v>
      </c>
      <c r="T52" s="16">
        <v>36.138489999999997</v>
      </c>
      <c r="U52" s="16">
        <v>21.024139999999999</v>
      </c>
      <c r="V52" s="16">
        <v>18.545120000000001</v>
      </c>
      <c r="W52" s="16">
        <v>27.252549999999999</v>
      </c>
      <c r="X52" s="16">
        <v>27.252610000000001</v>
      </c>
      <c r="Y52" s="16">
        <v>28.958279999999998</v>
      </c>
      <c r="Z52" s="16">
        <v>32.1327</v>
      </c>
      <c r="AA52" s="16">
        <v>29.573979999999999</v>
      </c>
      <c r="AB52" s="16">
        <v>26.281370000000102</v>
      </c>
      <c r="AC52" s="16">
        <v>27.570650000000001</v>
      </c>
      <c r="AD52" s="16">
        <v>23.583810000000099</v>
      </c>
      <c r="AE52" s="16">
        <v>24.659790000000001</v>
      </c>
      <c r="AF52" s="16">
        <v>21.803582000000002</v>
      </c>
      <c r="AG52" s="16">
        <v>0.19014400000000023</v>
      </c>
      <c r="AH52" s="16">
        <v>-5.5054859999999994</v>
      </c>
      <c r="AI52" s="46"/>
      <c r="AJ52" s="46"/>
      <c r="AK52" s="46"/>
      <c r="AL52" s="46"/>
      <c r="AM52" s="46"/>
      <c r="AN52" s="4"/>
      <c r="AO52" s="4"/>
      <c r="AP52" s="4"/>
      <c r="AQ52" s="4"/>
      <c r="AR52" s="4"/>
      <c r="AS52" s="4"/>
      <c r="AT52" s="4"/>
      <c r="AU52" s="4"/>
      <c r="AV52" s="4"/>
      <c r="AW52" s="4"/>
      <c r="AX52" s="4"/>
      <c r="AY52" s="4"/>
    </row>
    <row r="53" spans="1:1005" ht="14.5" x14ac:dyDescent="0.35">
      <c r="A53" s="121">
        <f>YampaRiverInflow.TotalOutflow!A53</f>
        <v>47635</v>
      </c>
      <c r="B53" s="122">
        <v>27.518999999999998</v>
      </c>
      <c r="C53" s="123">
        <v>27.518999999999998</v>
      </c>
      <c r="D53" s="124">
        <v>27.518999999999998</v>
      </c>
      <c r="E53" s="16">
        <v>22.368065999999995</v>
      </c>
      <c r="F53" s="16">
        <v>-1.3633040000000001</v>
      </c>
      <c r="G53" s="16">
        <v>31.73554</v>
      </c>
      <c r="H53" s="16">
        <v>15.272729999999999</v>
      </c>
      <c r="I53" s="16">
        <v>13.68595</v>
      </c>
      <c r="J53" s="16">
        <v>32.07273</v>
      </c>
      <c r="K53" s="16">
        <v>48.238019999999999</v>
      </c>
      <c r="L53" s="16">
        <v>6.5057900000000002</v>
      </c>
      <c r="M53" s="16">
        <v>14.280989999999999</v>
      </c>
      <c r="N53" s="16">
        <v>20.826450000000001</v>
      </c>
      <c r="O53" s="16">
        <v>11.9405</v>
      </c>
      <c r="P53" s="16">
        <v>14.67769</v>
      </c>
      <c r="Q53" s="16">
        <v>31.73554</v>
      </c>
      <c r="R53" s="16">
        <v>13.4876</v>
      </c>
      <c r="S53" s="16">
        <v>35.543419999999998</v>
      </c>
      <c r="T53" s="16">
        <v>23.741799999999998</v>
      </c>
      <c r="U53" s="16">
        <v>24.39593</v>
      </c>
      <c r="V53" s="16">
        <v>22.730180000000001</v>
      </c>
      <c r="W53" s="16">
        <v>25.189630000000001</v>
      </c>
      <c r="X53" s="16">
        <v>26.0823</v>
      </c>
      <c r="Y53" s="16">
        <v>25.58633</v>
      </c>
      <c r="Z53" s="16">
        <v>28.562399999999901</v>
      </c>
      <c r="AA53" s="16">
        <v>24.3970500000001</v>
      </c>
      <c r="AB53" s="16">
        <v>26.578900000000001</v>
      </c>
      <c r="AC53" s="16">
        <v>24.000349999999901</v>
      </c>
      <c r="AD53" s="16">
        <v>22.730910000000101</v>
      </c>
      <c r="AE53" s="16">
        <v>3.4259199999999983</v>
      </c>
      <c r="AF53" s="16">
        <v>8.1729199999999995</v>
      </c>
      <c r="AG53" s="16">
        <v>12.473674000000001</v>
      </c>
      <c r="AH53" s="16">
        <v>1.061094</v>
      </c>
      <c r="AI53" s="46"/>
      <c r="AJ53" s="46"/>
      <c r="AK53" s="46"/>
      <c r="AL53" s="46"/>
      <c r="AM53" s="46"/>
      <c r="AN53" s="4"/>
      <c r="AO53" s="4"/>
      <c r="AP53" s="4"/>
      <c r="AQ53" s="4"/>
      <c r="AR53" s="4"/>
      <c r="AS53" s="4"/>
      <c r="AT53" s="4"/>
      <c r="AU53" s="4"/>
      <c r="AV53" s="4"/>
      <c r="AW53" s="4"/>
      <c r="AX53" s="4"/>
      <c r="AY53" s="4"/>
    </row>
    <row r="54" spans="1:1005" ht="14.5" x14ac:dyDescent="0.35">
      <c r="A54" s="121">
        <f>YampaRiverInflow.TotalOutflow!A54</f>
        <v>47665</v>
      </c>
      <c r="B54" s="122">
        <v>40.78</v>
      </c>
      <c r="C54" s="123">
        <v>40.78</v>
      </c>
      <c r="D54" s="124">
        <v>40.78</v>
      </c>
      <c r="E54" s="16">
        <v>30.872809999999998</v>
      </c>
      <c r="F54" s="16">
        <v>7.8308159999999951</v>
      </c>
      <c r="G54" s="16">
        <v>31.933880000000002</v>
      </c>
      <c r="H54" s="16">
        <v>33.12397</v>
      </c>
      <c r="I54" s="16">
        <v>30.347110000000001</v>
      </c>
      <c r="J54" s="16">
        <v>21.12397</v>
      </c>
      <c r="K54" s="16">
        <v>19.953720000000001</v>
      </c>
      <c r="L54" s="16">
        <v>10.1157</v>
      </c>
      <c r="M54" s="16">
        <v>17.2562</v>
      </c>
      <c r="N54" s="16">
        <v>39.272730000000003</v>
      </c>
      <c r="O54" s="16">
        <v>21.024789999999999</v>
      </c>
      <c r="P54" s="16">
        <v>21.223140000000001</v>
      </c>
      <c r="Q54" s="16">
        <v>45.421489999999999</v>
      </c>
      <c r="R54" s="16">
        <v>28.760330000000003</v>
      </c>
      <c r="S54" s="16">
        <v>28.164830000000002</v>
      </c>
      <c r="T54" s="16">
        <v>29.156560000000002</v>
      </c>
      <c r="U54" s="16">
        <v>31.536360000000002</v>
      </c>
      <c r="V54" s="16">
        <v>26.379669999999997</v>
      </c>
      <c r="W54" s="16">
        <v>61.685449999999996</v>
      </c>
      <c r="X54" s="16">
        <v>29.156569999999999</v>
      </c>
      <c r="Y54" s="16">
        <v>33.520060000000001</v>
      </c>
      <c r="Z54" s="16">
        <v>26.182200000000002</v>
      </c>
      <c r="AA54" s="16">
        <v>32.1327</v>
      </c>
      <c r="AB54" s="16">
        <v>49.587499999999999</v>
      </c>
      <c r="AC54" s="16">
        <v>22.016849999999998</v>
      </c>
      <c r="AD54" s="16">
        <v>23.603650000000101</v>
      </c>
      <c r="AE54" s="16">
        <v>-0.52760200000000035</v>
      </c>
      <c r="AF54" s="16">
        <v>14.445949999999996</v>
      </c>
      <c r="AG54" s="16">
        <v>-5.4029160000000003</v>
      </c>
      <c r="AH54" s="16">
        <v>-9.1989860000000014</v>
      </c>
      <c r="AI54" s="46"/>
      <c r="AJ54" s="46"/>
      <c r="AK54" s="46"/>
      <c r="AL54" s="46"/>
      <c r="AM54" s="46"/>
      <c r="AN54" s="4"/>
      <c r="AO54" s="4"/>
      <c r="AP54" s="4"/>
      <c r="AQ54" s="4"/>
      <c r="AR54" s="4"/>
      <c r="AS54" s="4"/>
      <c r="AT54" s="4"/>
      <c r="AU54" s="4"/>
      <c r="AV54" s="4"/>
      <c r="AW54" s="4"/>
      <c r="AX54" s="4"/>
      <c r="AY54" s="4"/>
    </row>
    <row r="55" spans="1:1005" ht="14.5" x14ac:dyDescent="0.35">
      <c r="A55" s="121">
        <f>YampaRiverInflow.TotalOutflow!A55</f>
        <v>47696</v>
      </c>
      <c r="B55" s="122">
        <v>66.072999999999993</v>
      </c>
      <c r="C55" s="123">
        <v>66.072999999999993</v>
      </c>
      <c r="D55" s="124">
        <v>66.072999999999993</v>
      </c>
      <c r="E55" s="16">
        <v>29.917686</v>
      </c>
      <c r="F55" s="16">
        <v>25.019824</v>
      </c>
      <c r="G55" s="16">
        <v>50.280989999999996</v>
      </c>
      <c r="H55" s="16">
        <v>20.826450000000001</v>
      </c>
      <c r="I55" s="16">
        <v>44.033059999999999</v>
      </c>
      <c r="J55" s="16">
        <v>23.404959999999999</v>
      </c>
      <c r="K55" s="16">
        <v>52.066120000000005</v>
      </c>
      <c r="L55" s="16">
        <v>17.851240000000001</v>
      </c>
      <c r="M55" s="16">
        <v>42.049589999999995</v>
      </c>
      <c r="N55" s="16">
        <v>50.578510000000001</v>
      </c>
      <c r="O55" s="16">
        <v>28.36364</v>
      </c>
      <c r="P55" s="16">
        <v>66.446280000000002</v>
      </c>
      <c r="Q55" s="16">
        <v>91.636359999999996</v>
      </c>
      <c r="R55" s="16">
        <v>39.272730000000003</v>
      </c>
      <c r="S55" s="16">
        <v>23.60284</v>
      </c>
      <c r="T55" s="16">
        <v>91.04083</v>
      </c>
      <c r="U55" s="16">
        <v>36.693379999999998</v>
      </c>
      <c r="V55" s="16">
        <v>68.607789999999994</v>
      </c>
      <c r="W55" s="16">
        <v>66.842500000000001</v>
      </c>
      <c r="X55" s="16">
        <v>41.057389999999998</v>
      </c>
      <c r="Y55" s="16">
        <v>44.429290000000002</v>
      </c>
      <c r="Z55" s="16">
        <v>41.851849999999999</v>
      </c>
      <c r="AA55" s="16">
        <v>40.265050000000002</v>
      </c>
      <c r="AB55" s="16">
        <v>38.876599999999996</v>
      </c>
      <c r="AC55" s="16">
        <v>29.55415</v>
      </c>
      <c r="AD55" s="16">
        <v>23.603649999999899</v>
      </c>
      <c r="AE55" s="16">
        <v>15.498979999999996</v>
      </c>
      <c r="AF55" s="16">
        <v>39.663323999999996</v>
      </c>
      <c r="AG55" s="16">
        <v>-27.475497999999998</v>
      </c>
      <c r="AH55" s="16">
        <v>-21.766008000000003</v>
      </c>
      <c r="AI55" s="46"/>
      <c r="AJ55" s="46"/>
      <c r="AK55" s="46"/>
      <c r="AL55" s="46"/>
      <c r="AM55" s="46"/>
      <c r="AN55" s="4"/>
      <c r="AO55" s="4"/>
      <c r="AP55" s="4"/>
      <c r="AQ55" s="4"/>
      <c r="AR55" s="4"/>
      <c r="AS55" s="4"/>
      <c r="AT55" s="4"/>
      <c r="AU55" s="4"/>
      <c r="AV55" s="4"/>
      <c r="AW55" s="4"/>
      <c r="AX55" s="4"/>
      <c r="AY55" s="4"/>
    </row>
    <row r="56" spans="1:1005" ht="14.5" x14ac:dyDescent="0.35">
      <c r="A56" s="121">
        <f>YampaRiverInflow.TotalOutflow!A56</f>
        <v>47727</v>
      </c>
      <c r="B56" s="122">
        <v>42.307000000000002</v>
      </c>
      <c r="C56" s="123">
        <v>42.307000000000002</v>
      </c>
      <c r="D56" s="124">
        <v>42.307000000000002</v>
      </c>
      <c r="E56" s="16">
        <v>14.515779999999999</v>
      </c>
      <c r="F56" s="16">
        <v>21.008659999999999</v>
      </c>
      <c r="G56" s="16">
        <v>59.246279999999999</v>
      </c>
      <c r="H56" s="16">
        <v>36.099170000000001</v>
      </c>
      <c r="I56" s="16">
        <v>49.190080000000002</v>
      </c>
      <c r="J56" s="16">
        <v>39.133879999999998</v>
      </c>
      <c r="K56" s="16">
        <v>48.456199999999995</v>
      </c>
      <c r="L56" s="16">
        <v>103.95372</v>
      </c>
      <c r="M56" s="16">
        <v>34.373550000000002</v>
      </c>
      <c r="N56" s="16">
        <v>57.381819999999998</v>
      </c>
      <c r="O56" s="16">
        <v>38.360330000000005</v>
      </c>
      <c r="P56" s="16">
        <v>50.87603</v>
      </c>
      <c r="Q56" s="16">
        <v>33.83802</v>
      </c>
      <c r="R56" s="16">
        <v>38.677690000000005</v>
      </c>
      <c r="S56" s="16">
        <v>28.363289999999999</v>
      </c>
      <c r="T56" s="16">
        <v>44.250949999999996</v>
      </c>
      <c r="U56" s="16">
        <v>41.255660000000006</v>
      </c>
      <c r="V56" s="16">
        <v>47.999720000000003</v>
      </c>
      <c r="W56" s="16">
        <v>78.703759999999988</v>
      </c>
      <c r="X56" s="16">
        <v>38.875680000000003</v>
      </c>
      <c r="Y56" s="16">
        <v>32.726860000000002</v>
      </c>
      <c r="Z56" s="16">
        <v>30.744250000000001</v>
      </c>
      <c r="AA56" s="16">
        <v>24.1193600000001</v>
      </c>
      <c r="AB56" s="16">
        <v>44.628749999999897</v>
      </c>
      <c r="AC56" s="16">
        <v>21.9771800000001</v>
      </c>
      <c r="AD56" s="16">
        <v>24.040019999999899</v>
      </c>
      <c r="AE56" s="16">
        <v>19.180725999999996</v>
      </c>
      <c r="AF56" s="16">
        <v>38.334448000000002</v>
      </c>
      <c r="AG56" s="16">
        <v>-11.254766</v>
      </c>
      <c r="AH56" s="16">
        <v>-1.109622000000003</v>
      </c>
      <c r="AI56" s="46"/>
      <c r="AJ56" s="46"/>
      <c r="AK56" s="46"/>
      <c r="AL56" s="46"/>
      <c r="AM56" s="46"/>
      <c r="AN56" s="4"/>
      <c r="AO56" s="4"/>
      <c r="AP56" s="4"/>
      <c r="AQ56" s="4"/>
      <c r="AR56" s="4"/>
      <c r="AS56" s="4"/>
      <c r="AT56" s="4"/>
      <c r="AU56" s="4"/>
      <c r="AV56" s="4"/>
      <c r="AW56" s="4"/>
      <c r="AX56" s="4"/>
      <c r="AY56" s="4"/>
    </row>
    <row r="57" spans="1:1005" ht="14.5" x14ac:dyDescent="0.35">
      <c r="A57" s="121">
        <f>YampaRiverInflow.TotalOutflow!A57</f>
        <v>47757</v>
      </c>
      <c r="B57" s="122">
        <v>44.052999999999997</v>
      </c>
      <c r="C57" s="123">
        <v>44.052999999999997</v>
      </c>
      <c r="D57" s="124">
        <v>44.052999999999997</v>
      </c>
      <c r="E57" s="16">
        <v>31.104225999999993</v>
      </c>
      <c r="F57" s="16">
        <v>32.409004000000003</v>
      </c>
      <c r="G57" s="16">
        <v>36.495870000000004</v>
      </c>
      <c r="H57" s="16">
        <v>22.413220000000003</v>
      </c>
      <c r="I57" s="16">
        <v>37.884300000000003</v>
      </c>
      <c r="J57" s="16">
        <v>47.385120000000001</v>
      </c>
      <c r="K57" s="16">
        <v>23.34545</v>
      </c>
      <c r="L57" s="16">
        <v>20.647929999999999</v>
      </c>
      <c r="M57" s="16">
        <v>30.664459999999998</v>
      </c>
      <c r="N57" s="16">
        <v>41.077690000000004</v>
      </c>
      <c r="O57" s="16">
        <v>31.060849999999999</v>
      </c>
      <c r="P57" s="16">
        <v>69.758679999999998</v>
      </c>
      <c r="Q57" s="16">
        <v>20.94511</v>
      </c>
      <c r="R57" s="16">
        <v>34.908660000000005</v>
      </c>
      <c r="S57" s="16">
        <v>24.793029999999998</v>
      </c>
      <c r="T57" s="16">
        <v>40.680699999999995</v>
      </c>
      <c r="U57" s="16">
        <v>34.511849999999995</v>
      </c>
      <c r="V57" s="16">
        <v>29.513770000000001</v>
      </c>
      <c r="W57" s="16">
        <v>19.080719999999999</v>
      </c>
      <c r="X57" s="16">
        <v>42.445929999999997</v>
      </c>
      <c r="Y57" s="16">
        <v>56.012860000000003</v>
      </c>
      <c r="Z57" s="16">
        <v>29.236789999999999</v>
      </c>
      <c r="AA57" s="16">
        <v>25.884679999999999</v>
      </c>
      <c r="AB57" s="16">
        <v>63.214149999999897</v>
      </c>
      <c r="AC57" s="16">
        <v>23.663159999999799</v>
      </c>
      <c r="AD57" s="16">
        <v>24.972269999999799</v>
      </c>
      <c r="AE57" s="16">
        <v>26.040343999999997</v>
      </c>
      <c r="AF57" s="16">
        <v>13.166246000000003</v>
      </c>
      <c r="AG57" s="16">
        <v>20.811032000000001</v>
      </c>
      <c r="AH57" s="16">
        <v>15.392737999999998</v>
      </c>
      <c r="AI57" s="46"/>
      <c r="AJ57" s="46"/>
      <c r="AK57" s="46"/>
      <c r="AL57" s="46"/>
      <c r="AM57" s="46"/>
      <c r="AN57" s="4"/>
      <c r="AO57" s="4"/>
      <c r="AP57" s="4"/>
      <c r="AQ57" s="4"/>
      <c r="AR57" s="4"/>
      <c r="AS57" s="4"/>
      <c r="AT57" s="4"/>
      <c r="AU57" s="4"/>
      <c r="AV57" s="4"/>
      <c r="AW57" s="4"/>
      <c r="AX57" s="4"/>
      <c r="AY57" s="4"/>
    </row>
    <row r="58" spans="1:1005" ht="14.5" x14ac:dyDescent="0.35">
      <c r="A58" s="121">
        <f>YampaRiverInflow.TotalOutflow!A58</f>
        <v>47788</v>
      </c>
      <c r="B58" s="122">
        <v>26.126000000000001</v>
      </c>
      <c r="C58" s="123">
        <v>26.126000000000001</v>
      </c>
      <c r="D58" s="124">
        <v>26.126000000000001</v>
      </c>
      <c r="E58" s="16">
        <v>28.013811999999998</v>
      </c>
      <c r="F58" s="16">
        <v>15.793877999999999</v>
      </c>
      <c r="G58" s="16">
        <v>24.595040000000001</v>
      </c>
      <c r="H58" s="16">
        <v>18.446279999999998</v>
      </c>
      <c r="I58" s="16">
        <v>36.495870000000004</v>
      </c>
      <c r="J58" s="16">
        <v>27.966939999999997</v>
      </c>
      <c r="K58" s="16">
        <v>25.487599999999997</v>
      </c>
      <c r="L58" s="16">
        <v>23.10744</v>
      </c>
      <c r="M58" s="16">
        <v>22.472729999999999</v>
      </c>
      <c r="N58" s="16">
        <v>35.166530000000002</v>
      </c>
      <c r="O58" s="16">
        <v>20.925319999999999</v>
      </c>
      <c r="P58" s="16">
        <v>16.066120000000002</v>
      </c>
      <c r="Q58" s="16">
        <v>25.54711</v>
      </c>
      <c r="R58" s="16">
        <v>41.950060000000001</v>
      </c>
      <c r="S58" s="16">
        <v>23.00787</v>
      </c>
      <c r="T58" s="16">
        <v>14.39954</v>
      </c>
      <c r="U58" s="16">
        <v>23.602700000000002</v>
      </c>
      <c r="V58" s="16">
        <v>28.581400000000002</v>
      </c>
      <c r="W58" s="16">
        <v>27.807869999999998</v>
      </c>
      <c r="X58" s="16">
        <v>24.69378</v>
      </c>
      <c r="Y58" s="16">
        <v>22.293890000000001</v>
      </c>
      <c r="Z58" s="16">
        <v>27.888010000000101</v>
      </c>
      <c r="AA58" s="16">
        <v>24.873090000000097</v>
      </c>
      <c r="AB58" s="16">
        <v>23.24662</v>
      </c>
      <c r="AC58" s="16">
        <v>25.646650000000101</v>
      </c>
      <c r="AD58" s="16">
        <v>24.793749999999999</v>
      </c>
      <c r="AE58" s="16">
        <v>17.507805999999995</v>
      </c>
      <c r="AF58" s="16">
        <v>8.8944699999999983</v>
      </c>
      <c r="AG58" s="16">
        <v>1.1222839999999996</v>
      </c>
      <c r="AH58" s="16">
        <v>9.8448719999999987</v>
      </c>
      <c r="AI58" s="46"/>
      <c r="AJ58" s="46"/>
      <c r="AK58" s="46"/>
      <c r="AL58" s="46"/>
      <c r="AM58" s="46"/>
      <c r="AN58" s="4"/>
      <c r="AO58" s="4"/>
      <c r="AP58" s="4"/>
      <c r="AQ58" s="4"/>
      <c r="AR58" s="4"/>
      <c r="AS58" s="4"/>
      <c r="AT58" s="4"/>
      <c r="AU58" s="4"/>
      <c r="AV58" s="4"/>
      <c r="AW58" s="4"/>
      <c r="AX58" s="4"/>
      <c r="AY58" s="4"/>
    </row>
    <row r="59" spans="1:1005" ht="14.5" x14ac:dyDescent="0.35">
      <c r="A59" s="121">
        <f>YampaRiverInflow.TotalOutflow!A59</f>
        <v>47818</v>
      </c>
      <c r="B59" s="122">
        <v>27.3</v>
      </c>
      <c r="C59" s="123">
        <v>27.3</v>
      </c>
      <c r="D59" s="124">
        <v>27.3</v>
      </c>
      <c r="E59" s="16">
        <v>44.223798000000002</v>
      </c>
      <c r="F59" s="16">
        <v>1.110544</v>
      </c>
      <c r="G59" s="16">
        <v>15.07438</v>
      </c>
      <c r="H59" s="16">
        <v>12.69421</v>
      </c>
      <c r="I59" s="16">
        <v>35.305790000000002</v>
      </c>
      <c r="J59" s="16">
        <v>29.355370000000001</v>
      </c>
      <c r="K59" s="16">
        <v>13.4876</v>
      </c>
      <c r="L59" s="16">
        <v>18.723970000000001</v>
      </c>
      <c r="M59" s="16">
        <v>15.471069999999999</v>
      </c>
      <c r="N59" s="16">
        <v>19.100490000000001</v>
      </c>
      <c r="O59" s="16">
        <v>3.9664899999999998</v>
      </c>
      <c r="P59" s="16">
        <v>23.801650000000002</v>
      </c>
      <c r="Q59" s="16">
        <v>57.520660000000007</v>
      </c>
      <c r="R59" s="16">
        <v>23.99954</v>
      </c>
      <c r="S59" s="16">
        <v>19.4375</v>
      </c>
      <c r="T59" s="16">
        <v>33.916870000000003</v>
      </c>
      <c r="U59" s="16">
        <v>31.734860000000001</v>
      </c>
      <c r="V59" s="16">
        <v>22.7103</v>
      </c>
      <c r="W59" s="16">
        <v>25.368259999999999</v>
      </c>
      <c r="X59" s="16">
        <v>31.6557</v>
      </c>
      <c r="Y59" s="16">
        <v>22.412740000000003</v>
      </c>
      <c r="Z59" s="16">
        <v>36.377389999999899</v>
      </c>
      <c r="AA59" s="16">
        <v>25.983849999999997</v>
      </c>
      <c r="AB59" s="16">
        <v>23.544150000000002</v>
      </c>
      <c r="AC59" s="16">
        <v>39.471650000000103</v>
      </c>
      <c r="AD59" s="16">
        <v>24.5160599999999</v>
      </c>
      <c r="AE59" s="16">
        <v>8.4644880000000011</v>
      </c>
      <c r="AF59" s="16">
        <v>2.3967059999999982</v>
      </c>
      <c r="AG59" s="16">
        <v>-6.7709719999999995</v>
      </c>
      <c r="AH59" s="16">
        <v>0.60159199999999691</v>
      </c>
      <c r="AI59" s="46"/>
      <c r="AJ59" s="46"/>
      <c r="AK59" s="46"/>
      <c r="AL59" s="46"/>
      <c r="AM59" s="46"/>
      <c r="AN59" s="4"/>
      <c r="AO59" s="4"/>
      <c r="AP59" s="4"/>
      <c r="AQ59" s="4"/>
      <c r="AR59" s="4"/>
      <c r="AS59" s="4"/>
      <c r="AT59" s="4"/>
      <c r="AU59" s="4"/>
      <c r="AV59" s="4"/>
      <c r="AW59" s="4"/>
      <c r="AX59" s="4"/>
      <c r="AY59" s="4"/>
    </row>
    <row r="60" spans="1:1005" ht="14.5" x14ac:dyDescent="0.35">
      <c r="A60" s="121">
        <f>YampaRiverInflow.TotalOutflow!A60</f>
        <v>47849</v>
      </c>
      <c r="B60" s="122">
        <v>25.349</v>
      </c>
      <c r="C60" s="123">
        <v>25.349</v>
      </c>
      <c r="D60" s="124">
        <v>25.349</v>
      </c>
      <c r="E60" s="16">
        <v>25.526097999999998</v>
      </c>
      <c r="F60" s="16">
        <v>1.3745679999999993</v>
      </c>
      <c r="G60" s="16">
        <v>21.421490000000002</v>
      </c>
      <c r="H60" s="16">
        <v>24.198349999999998</v>
      </c>
      <c r="I60" s="16">
        <v>42.049589999999995</v>
      </c>
      <c r="J60" s="16">
        <v>21.61983</v>
      </c>
      <c r="K60" s="16">
        <v>18.446279999999998</v>
      </c>
      <c r="L60" s="16">
        <v>23.206610000000001</v>
      </c>
      <c r="M60" s="16">
        <v>20.033060000000003</v>
      </c>
      <c r="N60" s="16">
        <v>101.09752</v>
      </c>
      <c r="O60" s="16">
        <v>22.61157</v>
      </c>
      <c r="P60" s="16">
        <v>23.206610000000001</v>
      </c>
      <c r="Q60" s="16">
        <v>42.247930000000004</v>
      </c>
      <c r="R60" s="16">
        <v>34.11524</v>
      </c>
      <c r="S60" s="16">
        <v>41.255679999999998</v>
      </c>
      <c r="T60" s="16">
        <v>24.792830000000002</v>
      </c>
      <c r="U60" s="16">
        <v>40.065640000000002</v>
      </c>
      <c r="V60" s="16">
        <v>37.883839999999999</v>
      </c>
      <c r="W60" s="16">
        <v>23.007810000000003</v>
      </c>
      <c r="X60" s="16">
        <v>30.743310000000001</v>
      </c>
      <c r="Y60" s="16">
        <v>36.496400000000001</v>
      </c>
      <c r="Z60" s="16">
        <v>45.025449999999999</v>
      </c>
      <c r="AA60" s="16">
        <v>23.802</v>
      </c>
      <c r="AB60" s="16">
        <v>42.050199999999904</v>
      </c>
      <c r="AC60" s="16">
        <v>26.777249999999999</v>
      </c>
      <c r="AD60" s="16">
        <v>29.809785999999992</v>
      </c>
      <c r="AE60" s="16">
        <v>0.14888199999999779</v>
      </c>
      <c r="AF60" s="16">
        <v>188.36769600000002</v>
      </c>
      <c r="AG60" s="16">
        <v>-19.261465999999999</v>
      </c>
      <c r="AH60" s="16">
        <v>-11.55139</v>
      </c>
      <c r="AI60" s="46"/>
      <c r="AJ60" s="46"/>
      <c r="AK60" s="46"/>
      <c r="AL60" s="46"/>
      <c r="AM60" s="46"/>
      <c r="AN60" s="4"/>
      <c r="AO60" s="4"/>
      <c r="AP60" s="4"/>
      <c r="AQ60" s="4"/>
      <c r="AR60" s="4"/>
      <c r="AS60" s="4"/>
      <c r="AT60" s="4"/>
      <c r="AU60" s="4"/>
      <c r="AV60" s="4"/>
      <c r="AW60" s="4"/>
      <c r="AX60" s="4"/>
      <c r="AY60" s="4"/>
    </row>
    <row r="61" spans="1:1005" ht="14.5" x14ac:dyDescent="0.35">
      <c r="A61" s="121">
        <f>YampaRiverInflow.TotalOutflow!A61</f>
        <v>47880</v>
      </c>
      <c r="B61" s="122">
        <v>23.047999999999998</v>
      </c>
      <c r="C61" s="123">
        <v>23.047999999999998</v>
      </c>
      <c r="D61" s="124">
        <v>23.047999999999998</v>
      </c>
      <c r="E61" s="16">
        <v>12.339405999999999</v>
      </c>
      <c r="F61" s="16">
        <v>23.60331</v>
      </c>
      <c r="G61" s="16">
        <v>17.2562</v>
      </c>
      <c r="H61" s="16">
        <v>16.066120000000002</v>
      </c>
      <c r="I61" s="16">
        <v>48.99174</v>
      </c>
      <c r="J61" s="16">
        <v>36.297519999999999</v>
      </c>
      <c r="K61" s="16">
        <v>25.745450000000002</v>
      </c>
      <c r="L61" s="16">
        <v>24.39669</v>
      </c>
      <c r="M61" s="16">
        <v>35.66281</v>
      </c>
      <c r="N61" s="16">
        <v>125.57355</v>
      </c>
      <c r="O61" s="16">
        <v>20.429749999999999</v>
      </c>
      <c r="P61" s="16">
        <v>29.355370000000001</v>
      </c>
      <c r="Q61" s="16">
        <v>90.644630000000006</v>
      </c>
      <c r="R61" s="16">
        <v>38.478989999999996</v>
      </c>
      <c r="S61" s="16">
        <v>35.16657</v>
      </c>
      <c r="T61" s="16">
        <v>33.321769999999994</v>
      </c>
      <c r="U61" s="16">
        <v>18.842610000000001</v>
      </c>
      <c r="V61" s="16">
        <v>38.875690000000006</v>
      </c>
      <c r="W61" s="16">
        <v>32.449240000000003</v>
      </c>
      <c r="X61" s="16">
        <v>39.450900000000004</v>
      </c>
      <c r="Y61" s="16">
        <v>41.375809999999994</v>
      </c>
      <c r="Z61" s="16">
        <v>62.678599999999996</v>
      </c>
      <c r="AA61" s="16">
        <v>22.2151999999999</v>
      </c>
      <c r="AB61" s="16">
        <v>72.001050000000006</v>
      </c>
      <c r="AC61" s="16">
        <v>37.884849999999894</v>
      </c>
      <c r="AD61" s="16">
        <v>19.033522000000001</v>
      </c>
      <c r="AE61" s="16">
        <v>7.0302340000000001</v>
      </c>
      <c r="AF61" s="16">
        <v>85.799055999999993</v>
      </c>
      <c r="AG61" s="16">
        <v>-9.7793939999999999</v>
      </c>
      <c r="AH61" s="16">
        <v>38.657699999999991</v>
      </c>
      <c r="AI61" s="46"/>
      <c r="AJ61" s="46"/>
      <c r="AK61" s="46"/>
      <c r="AL61" s="46"/>
      <c r="AM61" s="46"/>
      <c r="AN61" s="4"/>
      <c r="AO61" s="4"/>
      <c r="AP61" s="4"/>
      <c r="AQ61" s="4"/>
      <c r="AR61" s="4"/>
      <c r="AS61" s="4"/>
      <c r="AT61" s="4"/>
      <c r="AU61" s="4"/>
      <c r="AV61" s="4"/>
      <c r="AW61" s="4"/>
      <c r="AX61" s="4"/>
      <c r="AY61" s="4"/>
    </row>
    <row r="62" spans="1:1005" ht="14.5" x14ac:dyDescent="0.35">
      <c r="A62" s="121">
        <f>YampaRiverInflow.TotalOutflow!A62</f>
        <v>47908</v>
      </c>
      <c r="B62" s="122">
        <v>52.097999999999999</v>
      </c>
      <c r="C62" s="123">
        <v>52.097999999999999</v>
      </c>
      <c r="D62" s="124">
        <v>52.097999999999999</v>
      </c>
      <c r="E62" s="16">
        <v>7.6782579999999996</v>
      </c>
      <c r="F62" s="16">
        <v>63.272730000000003</v>
      </c>
      <c r="G62" s="16">
        <v>48.99174</v>
      </c>
      <c r="H62" s="16">
        <v>19.834709999999998</v>
      </c>
      <c r="I62" s="16">
        <v>54.009920000000001</v>
      </c>
      <c r="J62" s="16">
        <v>55.160330000000002</v>
      </c>
      <c r="K62" s="16">
        <v>23.22645</v>
      </c>
      <c r="L62" s="16">
        <v>42.842980000000004</v>
      </c>
      <c r="M62" s="16">
        <v>27.59008</v>
      </c>
      <c r="N62" s="16">
        <v>69.104129999999998</v>
      </c>
      <c r="O62" s="16">
        <v>49.190080000000002</v>
      </c>
      <c r="P62" s="16">
        <v>44.628099999999996</v>
      </c>
      <c r="Q62" s="16">
        <v>82.373550000000009</v>
      </c>
      <c r="R62" s="16">
        <v>74.04258999999999</v>
      </c>
      <c r="S62" s="16">
        <v>59.404600000000002</v>
      </c>
      <c r="T62" s="16">
        <v>42.445689999999999</v>
      </c>
      <c r="U62" s="16">
        <v>22.21454</v>
      </c>
      <c r="V62" s="16">
        <v>58.769889999999997</v>
      </c>
      <c r="W62" s="16">
        <v>31.517060000000001</v>
      </c>
      <c r="X62" s="16">
        <v>41.176480000000005</v>
      </c>
      <c r="Y62" s="16">
        <v>36.615409999999905</v>
      </c>
      <c r="Z62" s="16">
        <v>63.888529999999896</v>
      </c>
      <c r="AA62" s="16">
        <v>26.578900000000001</v>
      </c>
      <c r="AB62" s="16">
        <v>124.9605</v>
      </c>
      <c r="AC62" s="16">
        <v>70.0175499999999</v>
      </c>
      <c r="AD62" s="16">
        <v>37.985829999999993</v>
      </c>
      <c r="AE62" s="16">
        <v>23.852601999999997</v>
      </c>
      <c r="AF62" s="16">
        <v>33.571293999999995</v>
      </c>
      <c r="AG62" s="16">
        <v>18.785719999999998</v>
      </c>
      <c r="AH62" s="16">
        <v>66.418819999999997</v>
      </c>
      <c r="AI62" s="46"/>
      <c r="AJ62" s="46"/>
      <c r="AK62" s="46"/>
      <c r="AL62" s="46"/>
      <c r="AM62" s="46"/>
      <c r="AN62" s="4"/>
      <c r="AO62" s="4"/>
      <c r="AP62" s="4"/>
      <c r="AQ62" s="4"/>
      <c r="AR62" s="4"/>
      <c r="AS62" s="4"/>
      <c r="AT62" s="4"/>
      <c r="AU62" s="4"/>
      <c r="AV62" s="4"/>
      <c r="AW62" s="4"/>
      <c r="AX62" s="4"/>
      <c r="AY62" s="4"/>
    </row>
    <row r="63" spans="1:1005" ht="14.5" x14ac:dyDescent="0.35">
      <c r="A63" s="121">
        <f>YampaRiverInflow.TotalOutflow!A63</f>
        <v>47939</v>
      </c>
      <c r="B63" s="122">
        <v>53.308</v>
      </c>
      <c r="C63" s="123">
        <v>53.308</v>
      </c>
      <c r="D63" s="124">
        <v>53.308</v>
      </c>
      <c r="E63" s="16">
        <v>3.6764540000000014</v>
      </c>
      <c r="F63" s="16">
        <v>29.157019999999999</v>
      </c>
      <c r="G63" s="16">
        <v>70.294210000000007</v>
      </c>
      <c r="H63" s="16">
        <v>23.60331</v>
      </c>
      <c r="I63" s="16">
        <v>16.8</v>
      </c>
      <c r="J63" s="16">
        <v>35.028100000000002</v>
      </c>
      <c r="K63" s="16">
        <v>13.62645</v>
      </c>
      <c r="L63" s="16">
        <v>32.747109999999999</v>
      </c>
      <c r="M63" s="16">
        <v>39.133879999999998</v>
      </c>
      <c r="N63" s="16">
        <v>90.902479999999997</v>
      </c>
      <c r="O63" s="16">
        <v>33.758679999999998</v>
      </c>
      <c r="P63" s="16">
        <v>33.699169999999995</v>
      </c>
      <c r="Q63" s="16">
        <v>29.79214</v>
      </c>
      <c r="R63" s="16">
        <v>43.080640000000002</v>
      </c>
      <c r="S63" s="16">
        <v>88.700450000000004</v>
      </c>
      <c r="T63" s="16">
        <v>43.635820000000002</v>
      </c>
      <c r="U63" s="16">
        <v>17.01784</v>
      </c>
      <c r="V63" s="16">
        <v>26.498860000000001</v>
      </c>
      <c r="W63" s="16">
        <v>22.988139999999998</v>
      </c>
      <c r="X63" s="16">
        <v>25.348419999999997</v>
      </c>
      <c r="Y63" s="16">
        <v>31.934349999999899</v>
      </c>
      <c r="Z63" s="16">
        <v>40.2452100000001</v>
      </c>
      <c r="AA63" s="16">
        <v>24.198700000000002</v>
      </c>
      <c r="AB63" s="16">
        <v>43.240300000000097</v>
      </c>
      <c r="AC63" s="16">
        <v>39.828680000000105</v>
      </c>
      <c r="AD63" s="16">
        <v>41.938178000000001</v>
      </c>
      <c r="AE63" s="16">
        <v>40.074694000000001</v>
      </c>
      <c r="AF63" s="16">
        <v>1.3631199999999954</v>
      </c>
      <c r="AG63" s="16">
        <v>-2.5694920000000012</v>
      </c>
      <c r="AH63" s="16">
        <v>-26.212883999999999</v>
      </c>
      <c r="AI63" s="46"/>
      <c r="AJ63" s="46"/>
      <c r="AK63" s="46"/>
      <c r="AL63" s="46"/>
      <c r="AM63" s="46"/>
      <c r="AN63" s="4"/>
      <c r="AO63" s="4"/>
      <c r="AP63" s="4"/>
      <c r="AQ63" s="4"/>
      <c r="AR63" s="4"/>
      <c r="AS63" s="4"/>
      <c r="AT63" s="4"/>
      <c r="AU63" s="4"/>
      <c r="AV63" s="4"/>
      <c r="AW63" s="4"/>
      <c r="AX63" s="4"/>
      <c r="AY63" s="4"/>
    </row>
    <row r="64" spans="1:1005" ht="14.5" x14ac:dyDescent="0.35">
      <c r="A64" s="121">
        <f>YampaRiverInflow.TotalOutflow!A64</f>
        <v>47969</v>
      </c>
      <c r="B64" s="122">
        <v>24.817</v>
      </c>
      <c r="C64" s="123">
        <v>24.817</v>
      </c>
      <c r="D64" s="124">
        <v>24.817</v>
      </c>
      <c r="E64" s="16">
        <v>7.738929999999999</v>
      </c>
      <c r="F64" s="16">
        <v>15.471069999999999</v>
      </c>
      <c r="G64" s="16">
        <v>41.137190000000004</v>
      </c>
      <c r="H64" s="16">
        <v>13.289260000000001</v>
      </c>
      <c r="I64" s="16">
        <v>27.570250000000001</v>
      </c>
      <c r="J64" s="16">
        <v>34.690910000000002</v>
      </c>
      <c r="K64" s="16">
        <v>21.163640000000001</v>
      </c>
      <c r="L64" s="16">
        <v>23.543800000000001</v>
      </c>
      <c r="M64" s="16">
        <v>34.333880000000001</v>
      </c>
      <c r="N64" s="16">
        <v>67.140500000000003</v>
      </c>
      <c r="O64" s="16">
        <v>34.274380000000001</v>
      </c>
      <c r="P64" s="16">
        <v>36.813220000000001</v>
      </c>
      <c r="Q64" s="16">
        <v>20.429749999999999</v>
      </c>
      <c r="R64" s="16">
        <v>51.173209999999997</v>
      </c>
      <c r="S64" s="16">
        <v>36.138489999999997</v>
      </c>
      <c r="T64" s="16">
        <v>21.024139999999999</v>
      </c>
      <c r="U64" s="16">
        <v>18.545120000000001</v>
      </c>
      <c r="V64" s="16">
        <v>27.252549999999999</v>
      </c>
      <c r="W64" s="16">
        <v>27.252610000000001</v>
      </c>
      <c r="X64" s="16">
        <v>28.958279999999998</v>
      </c>
      <c r="Y64" s="16">
        <v>32.1327</v>
      </c>
      <c r="Z64" s="16">
        <v>29.573979999999999</v>
      </c>
      <c r="AA64" s="16">
        <v>26.281370000000102</v>
      </c>
      <c r="AB64" s="16">
        <v>27.570650000000001</v>
      </c>
      <c r="AC64" s="16">
        <v>23.583810000000099</v>
      </c>
      <c r="AD64" s="16">
        <v>24.659790000000001</v>
      </c>
      <c r="AE64" s="16">
        <v>21.803582000000002</v>
      </c>
      <c r="AF64" s="16">
        <v>0.19014400000000023</v>
      </c>
      <c r="AG64" s="16">
        <v>-5.5054859999999994</v>
      </c>
      <c r="AH64" s="16">
        <v>-26.211384000000006</v>
      </c>
      <c r="AI64" s="46"/>
      <c r="AJ64" s="46"/>
      <c r="AK64" s="46"/>
      <c r="AL64" s="46"/>
      <c r="AM64" s="46"/>
      <c r="AN64" s="4"/>
      <c r="AO64" s="4"/>
      <c r="AP64" s="4"/>
      <c r="AQ64" s="4"/>
      <c r="AR64" s="4"/>
      <c r="AS64" s="4"/>
      <c r="AT64" s="4"/>
      <c r="AU64" s="4"/>
      <c r="AV64" s="4"/>
      <c r="AW64" s="4"/>
      <c r="AX64" s="4"/>
      <c r="AY64" s="4"/>
      <c r="ALQ64" t="e">
        <v>#N/A</v>
      </c>
    </row>
    <row r="65" spans="1:1005" ht="14.5" x14ac:dyDescent="0.35">
      <c r="A65" s="121">
        <f>YampaRiverInflow.TotalOutflow!A65</f>
        <v>48000</v>
      </c>
      <c r="B65" s="122">
        <v>27.518999999999998</v>
      </c>
      <c r="C65" s="123">
        <v>27.518999999999998</v>
      </c>
      <c r="D65" s="124">
        <v>27.518999999999998</v>
      </c>
      <c r="E65" s="16">
        <v>-1.3633040000000001</v>
      </c>
      <c r="F65" s="16">
        <v>31.73554</v>
      </c>
      <c r="G65" s="16">
        <v>15.272729999999999</v>
      </c>
      <c r="H65" s="16">
        <v>13.68595</v>
      </c>
      <c r="I65" s="16">
        <v>32.07273</v>
      </c>
      <c r="J65" s="16">
        <v>48.238019999999999</v>
      </c>
      <c r="K65" s="16">
        <v>6.5057900000000002</v>
      </c>
      <c r="L65" s="16">
        <v>14.280989999999999</v>
      </c>
      <c r="M65" s="16">
        <v>20.826450000000001</v>
      </c>
      <c r="N65" s="16">
        <v>11.9405</v>
      </c>
      <c r="O65" s="16">
        <v>14.67769</v>
      </c>
      <c r="P65" s="16">
        <v>31.73554</v>
      </c>
      <c r="Q65" s="16">
        <v>13.4876</v>
      </c>
      <c r="R65" s="16">
        <v>35.543419999999998</v>
      </c>
      <c r="S65" s="16">
        <v>23.741799999999998</v>
      </c>
      <c r="T65" s="16">
        <v>24.39593</v>
      </c>
      <c r="U65" s="16">
        <v>22.730180000000001</v>
      </c>
      <c r="V65" s="16">
        <v>25.189630000000001</v>
      </c>
      <c r="W65" s="16">
        <v>26.0823</v>
      </c>
      <c r="X65" s="16">
        <v>25.58633</v>
      </c>
      <c r="Y65" s="16">
        <v>28.562399999999901</v>
      </c>
      <c r="Z65" s="16">
        <v>24.3970500000001</v>
      </c>
      <c r="AA65" s="16">
        <v>26.578900000000001</v>
      </c>
      <c r="AB65" s="16">
        <v>24.000349999999901</v>
      </c>
      <c r="AC65" s="16">
        <v>22.730910000000101</v>
      </c>
      <c r="AD65" s="16">
        <v>3.4259199999999983</v>
      </c>
      <c r="AE65" s="16">
        <v>8.1729199999999995</v>
      </c>
      <c r="AF65" s="16">
        <v>12.473674000000001</v>
      </c>
      <c r="AG65" s="16">
        <v>1.061094</v>
      </c>
      <c r="AH65" s="16">
        <v>22.368065999999995</v>
      </c>
      <c r="AI65" s="46"/>
      <c r="AJ65" s="46"/>
      <c r="AK65" s="46"/>
      <c r="AL65" s="46"/>
      <c r="AM65" s="46"/>
      <c r="AN65" s="4"/>
      <c r="AO65" s="4"/>
      <c r="AP65" s="4"/>
      <c r="AQ65" s="4"/>
      <c r="AR65" s="4"/>
      <c r="AS65" s="4"/>
      <c r="AT65" s="4"/>
      <c r="AU65" s="4"/>
      <c r="AV65" s="4"/>
      <c r="AW65" s="4"/>
      <c r="AX65" s="4"/>
      <c r="AY65" s="4"/>
      <c r="ALQ65" t="e">
        <v>#N/A</v>
      </c>
    </row>
    <row r="66" spans="1:1005" ht="14.5" x14ac:dyDescent="0.35">
      <c r="A66" s="121">
        <f>YampaRiverInflow.TotalOutflow!A66</f>
        <v>48030</v>
      </c>
      <c r="B66" s="122">
        <v>40.78</v>
      </c>
      <c r="C66" s="123">
        <v>40.78</v>
      </c>
      <c r="D66" s="124">
        <v>40.78</v>
      </c>
      <c r="E66" s="16">
        <v>7.8308159999999951</v>
      </c>
      <c r="F66" s="16">
        <v>31.933880000000002</v>
      </c>
      <c r="G66" s="16">
        <v>33.12397</v>
      </c>
      <c r="H66" s="16">
        <v>30.347110000000001</v>
      </c>
      <c r="I66" s="16">
        <v>21.12397</v>
      </c>
      <c r="J66" s="16">
        <v>19.953720000000001</v>
      </c>
      <c r="K66" s="16">
        <v>10.1157</v>
      </c>
      <c r="L66" s="16">
        <v>17.2562</v>
      </c>
      <c r="M66" s="16">
        <v>39.272730000000003</v>
      </c>
      <c r="N66" s="16">
        <v>21.024789999999999</v>
      </c>
      <c r="O66" s="16">
        <v>21.223140000000001</v>
      </c>
      <c r="P66" s="16">
        <v>45.421489999999999</v>
      </c>
      <c r="Q66" s="16">
        <v>28.760330000000003</v>
      </c>
      <c r="R66" s="16">
        <v>28.164830000000002</v>
      </c>
      <c r="S66" s="16">
        <v>29.156560000000002</v>
      </c>
      <c r="T66" s="16">
        <v>31.536360000000002</v>
      </c>
      <c r="U66" s="16">
        <v>26.379669999999997</v>
      </c>
      <c r="V66" s="16">
        <v>61.685449999999996</v>
      </c>
      <c r="W66" s="16">
        <v>29.156569999999999</v>
      </c>
      <c r="X66" s="16">
        <v>33.520060000000001</v>
      </c>
      <c r="Y66" s="16">
        <v>26.182200000000002</v>
      </c>
      <c r="Z66" s="16">
        <v>32.1327</v>
      </c>
      <c r="AA66" s="16">
        <v>49.587499999999999</v>
      </c>
      <c r="AB66" s="16">
        <v>22.016849999999998</v>
      </c>
      <c r="AC66" s="16">
        <v>23.603650000000101</v>
      </c>
      <c r="AD66" s="16">
        <v>-0.52760200000000035</v>
      </c>
      <c r="AE66" s="16">
        <v>14.445949999999996</v>
      </c>
      <c r="AF66" s="16">
        <v>-5.4029160000000003</v>
      </c>
      <c r="AG66" s="16">
        <v>-9.1989860000000014</v>
      </c>
      <c r="AH66" s="16">
        <v>30.872809999999998</v>
      </c>
      <c r="AI66" s="46"/>
      <c r="AJ66" s="46"/>
      <c r="AK66" s="46"/>
      <c r="AL66" s="46"/>
      <c r="AM66" s="46"/>
      <c r="AN66" s="4"/>
      <c r="AO66" s="4"/>
      <c r="AP66" s="4"/>
      <c r="AQ66" s="4"/>
      <c r="AR66" s="4"/>
      <c r="AS66" s="4"/>
      <c r="AT66" s="4"/>
      <c r="AU66" s="4"/>
      <c r="AV66" s="4"/>
      <c r="AW66" s="4"/>
      <c r="AX66" s="4"/>
      <c r="AY66" s="4"/>
      <c r="ALQ66" t="e">
        <v>#N/A</v>
      </c>
    </row>
    <row r="67" spans="1:1005" ht="14.5" x14ac:dyDescent="0.35">
      <c r="A67" s="121">
        <f>YampaRiverInflow.TotalOutflow!A67</f>
        <v>48061</v>
      </c>
      <c r="B67" s="122">
        <v>66.072999999999993</v>
      </c>
      <c r="C67" s="123">
        <v>66.072999999999993</v>
      </c>
      <c r="D67" s="124">
        <v>66.072999999999993</v>
      </c>
      <c r="E67" s="16">
        <v>25.019824</v>
      </c>
      <c r="F67" s="16">
        <v>50.280989999999996</v>
      </c>
      <c r="G67" s="16">
        <v>20.826450000000001</v>
      </c>
      <c r="H67" s="16">
        <v>44.033059999999999</v>
      </c>
      <c r="I67" s="16">
        <v>23.404959999999999</v>
      </c>
      <c r="J67" s="16">
        <v>52.066120000000005</v>
      </c>
      <c r="K67" s="16">
        <v>17.851240000000001</v>
      </c>
      <c r="L67" s="16">
        <v>42.049589999999995</v>
      </c>
      <c r="M67" s="16">
        <v>50.578510000000001</v>
      </c>
      <c r="N67" s="16">
        <v>28.36364</v>
      </c>
      <c r="O67" s="16">
        <v>66.446280000000002</v>
      </c>
      <c r="P67" s="16">
        <v>91.636359999999996</v>
      </c>
      <c r="Q67" s="16">
        <v>39.272730000000003</v>
      </c>
      <c r="R67" s="16">
        <v>23.60284</v>
      </c>
      <c r="S67" s="16">
        <v>91.04083</v>
      </c>
      <c r="T67" s="16">
        <v>36.693379999999998</v>
      </c>
      <c r="U67" s="16">
        <v>68.607789999999994</v>
      </c>
      <c r="V67" s="16">
        <v>66.842500000000001</v>
      </c>
      <c r="W67" s="16">
        <v>41.057389999999998</v>
      </c>
      <c r="X67" s="16">
        <v>44.429290000000002</v>
      </c>
      <c r="Y67" s="16">
        <v>41.851849999999999</v>
      </c>
      <c r="Z67" s="16">
        <v>40.265050000000002</v>
      </c>
      <c r="AA67" s="16">
        <v>38.876599999999996</v>
      </c>
      <c r="AB67" s="16">
        <v>29.55415</v>
      </c>
      <c r="AC67" s="16">
        <v>23.603649999999899</v>
      </c>
      <c r="AD67" s="16">
        <v>15.498979999999996</v>
      </c>
      <c r="AE67" s="16">
        <v>39.663323999999996</v>
      </c>
      <c r="AF67" s="16">
        <v>-27.475497999999998</v>
      </c>
      <c r="AG67" s="16">
        <v>-21.766008000000003</v>
      </c>
      <c r="AH67" s="16">
        <v>29.917686</v>
      </c>
      <c r="AI67" s="46"/>
      <c r="AJ67" s="46"/>
      <c r="AK67" s="46"/>
      <c r="AL67" s="46"/>
      <c r="AM67" s="46"/>
      <c r="AN67" s="4"/>
      <c r="AO67" s="4"/>
      <c r="AP67" s="4"/>
      <c r="AQ67" s="4"/>
      <c r="AR67" s="4"/>
      <c r="AS67" s="4"/>
      <c r="AT67" s="4"/>
      <c r="AU67" s="4"/>
      <c r="AV67" s="4"/>
      <c r="AW67" s="4"/>
      <c r="AX67" s="4"/>
      <c r="AY67" s="4"/>
      <c r="ALQ67" t="e">
        <v>#N/A</v>
      </c>
    </row>
    <row r="68" spans="1:1005" ht="14.5" x14ac:dyDescent="0.35">
      <c r="A68" s="121">
        <f>YampaRiverInflow.TotalOutflow!A68</f>
        <v>48092</v>
      </c>
      <c r="B68" s="122">
        <v>42.307000000000002</v>
      </c>
      <c r="C68" s="123">
        <v>42.307000000000002</v>
      </c>
      <c r="D68" s="124">
        <v>42.307000000000002</v>
      </c>
      <c r="E68" s="16">
        <v>21.008659999999999</v>
      </c>
      <c r="F68" s="16">
        <v>59.246279999999999</v>
      </c>
      <c r="G68" s="16">
        <v>36.099170000000001</v>
      </c>
      <c r="H68" s="16">
        <v>49.190080000000002</v>
      </c>
      <c r="I68" s="16">
        <v>39.133879999999998</v>
      </c>
      <c r="J68" s="16">
        <v>48.456199999999995</v>
      </c>
      <c r="K68" s="16">
        <v>103.95372</v>
      </c>
      <c r="L68" s="16">
        <v>34.373550000000002</v>
      </c>
      <c r="M68" s="16">
        <v>57.381819999999998</v>
      </c>
      <c r="N68" s="16">
        <v>38.360330000000005</v>
      </c>
      <c r="O68" s="16">
        <v>50.87603</v>
      </c>
      <c r="P68" s="16">
        <v>33.83802</v>
      </c>
      <c r="Q68" s="16">
        <v>38.677690000000005</v>
      </c>
      <c r="R68" s="16">
        <v>28.363289999999999</v>
      </c>
      <c r="S68" s="16">
        <v>44.250949999999996</v>
      </c>
      <c r="T68" s="16">
        <v>41.255660000000006</v>
      </c>
      <c r="U68" s="16">
        <v>47.999720000000003</v>
      </c>
      <c r="V68" s="16">
        <v>78.703759999999988</v>
      </c>
      <c r="W68" s="16">
        <v>38.875680000000003</v>
      </c>
      <c r="X68" s="16">
        <v>32.726860000000002</v>
      </c>
      <c r="Y68" s="16">
        <v>30.744250000000001</v>
      </c>
      <c r="Z68" s="16">
        <v>24.1193600000001</v>
      </c>
      <c r="AA68" s="16">
        <v>44.628749999999897</v>
      </c>
      <c r="AB68" s="16">
        <v>21.9771800000001</v>
      </c>
      <c r="AC68" s="16">
        <v>24.040019999999899</v>
      </c>
      <c r="AD68" s="16">
        <v>19.180725999999996</v>
      </c>
      <c r="AE68" s="16">
        <v>38.334448000000002</v>
      </c>
      <c r="AF68" s="16">
        <v>-11.254766</v>
      </c>
      <c r="AG68" s="16">
        <v>-1.109622000000003</v>
      </c>
      <c r="AH68" s="16">
        <v>14.515779999999999</v>
      </c>
      <c r="AI68" s="46"/>
      <c r="AJ68" s="46"/>
      <c r="AK68" s="46"/>
      <c r="AL68" s="46"/>
      <c r="AM68" s="46"/>
      <c r="AN68" s="4"/>
      <c r="AO68" s="4"/>
      <c r="AP68" s="4"/>
      <c r="AQ68" s="4"/>
      <c r="AR68" s="4"/>
      <c r="AS68" s="4"/>
      <c r="AT68" s="4"/>
      <c r="AU68" s="4"/>
      <c r="AV68" s="4"/>
      <c r="AW68" s="4"/>
      <c r="AX68" s="4"/>
      <c r="AY68" s="4"/>
      <c r="ALQ68" t="e">
        <v>#N/A</v>
      </c>
    </row>
    <row r="69" spans="1:1005" ht="14.5" x14ac:dyDescent="0.35">
      <c r="A69" s="121"/>
      <c r="B69" s="122"/>
      <c r="C69" s="123"/>
      <c r="D69" s="124"/>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46"/>
      <c r="AJ69" s="46"/>
      <c r="AK69" s="46"/>
      <c r="AL69" s="46"/>
      <c r="AM69" s="46"/>
      <c r="AN69" s="4"/>
      <c r="AO69" s="4"/>
      <c r="AP69" s="4"/>
      <c r="AQ69" s="4"/>
      <c r="AR69" s="4"/>
      <c r="AS69" s="4"/>
      <c r="AT69" s="4"/>
      <c r="AU69" s="4"/>
      <c r="AV69" s="4"/>
      <c r="AW69" s="4"/>
      <c r="AX69" s="4"/>
      <c r="AY69" s="4"/>
      <c r="ALQ69" t="e">
        <v>#N/A</v>
      </c>
    </row>
    <row r="70" spans="1:1005" ht="14.5" x14ac:dyDescent="0.35">
      <c r="A70" s="121"/>
      <c r="B70" s="122"/>
      <c r="C70" s="123"/>
      <c r="D70" s="124"/>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46"/>
      <c r="AJ70" s="46"/>
      <c r="AK70" s="46"/>
      <c r="AL70" s="46"/>
      <c r="AM70" s="46"/>
      <c r="AN70" s="4"/>
      <c r="AO70" s="4"/>
      <c r="AP70" s="4"/>
      <c r="AQ70" s="4"/>
      <c r="AR70" s="4"/>
      <c r="AS70" s="4"/>
      <c r="AT70" s="4"/>
      <c r="AU70" s="4"/>
      <c r="AV70" s="4"/>
      <c r="AW70" s="4"/>
      <c r="AX70" s="4"/>
      <c r="AY70" s="4"/>
      <c r="ALQ70" t="e">
        <v>#N/A</v>
      </c>
    </row>
    <row r="71" spans="1:1005" ht="14.5" x14ac:dyDescent="0.35">
      <c r="A71" s="121"/>
      <c r="B71" s="122"/>
      <c r="C71" s="123"/>
      <c r="D71" s="124"/>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46"/>
      <c r="AJ71" s="46"/>
      <c r="AK71" s="46"/>
      <c r="AL71" s="46"/>
      <c r="AM71" s="46"/>
      <c r="AN71" s="4"/>
      <c r="AO71" s="4"/>
      <c r="AP71" s="4"/>
      <c r="AQ71" s="4"/>
      <c r="AR71" s="4"/>
      <c r="AS71" s="4"/>
      <c r="AT71" s="4"/>
      <c r="AU71" s="4"/>
      <c r="AV71" s="4"/>
      <c r="AW71" s="4"/>
      <c r="AX71" s="4"/>
      <c r="AY71" s="4"/>
      <c r="ALQ71" t="e">
        <v>#N/A</v>
      </c>
    </row>
    <row r="72" spans="1:1005" ht="12.75" customHeight="1" x14ac:dyDescent="0.35">
      <c r="A72" s="125"/>
      <c r="B72" s="122"/>
      <c r="C72" s="123"/>
      <c r="D72" s="124"/>
      <c r="ALQ72" t="e">
        <v>#N/A</v>
      </c>
    </row>
    <row r="73" spans="1:1005" ht="12.75" customHeight="1" x14ac:dyDescent="0.35">
      <c r="A73" s="125"/>
      <c r="B73" s="122"/>
      <c r="C73" s="123"/>
      <c r="D73" s="124"/>
    </row>
    <row r="74" spans="1:1005" ht="12.75" customHeight="1" x14ac:dyDescent="0.35">
      <c r="A74" s="125"/>
      <c r="B74" s="122"/>
      <c r="C74" s="123"/>
      <c r="D74" s="124"/>
    </row>
    <row r="75" spans="1:1005" ht="12.75" customHeight="1" x14ac:dyDescent="0.35">
      <c r="A75" s="125"/>
      <c r="B75" s="122"/>
      <c r="C75" s="123"/>
      <c r="D75" s="124"/>
    </row>
    <row r="76" spans="1:1005" ht="12.75" customHeight="1" x14ac:dyDescent="0.35">
      <c r="A76" s="125"/>
      <c r="B76" s="122"/>
      <c r="C76" s="123"/>
      <c r="D76" s="124"/>
    </row>
    <row r="77" spans="1:1005" ht="12.75" customHeight="1" x14ac:dyDescent="0.35">
      <c r="A77" s="125"/>
      <c r="B77" s="122"/>
      <c r="C77" s="123"/>
      <c r="D77" s="124"/>
    </row>
    <row r="78" spans="1:1005" ht="12.75" customHeight="1" x14ac:dyDescent="0.35">
      <c r="A78" s="125"/>
      <c r="B78" s="122"/>
      <c r="C78" s="123"/>
      <c r="D78" s="124"/>
    </row>
    <row r="79" spans="1:1005" ht="12.75" customHeight="1" x14ac:dyDescent="0.35">
      <c r="A79" s="125"/>
      <c r="B79" s="122"/>
      <c r="C79" s="123"/>
      <c r="D79" s="124"/>
    </row>
    <row r="80" spans="1:1005" ht="12.75" customHeight="1" x14ac:dyDescent="0.35">
      <c r="A80" s="125"/>
      <c r="B80" s="122"/>
      <c r="C80" s="123"/>
      <c r="D80" s="124"/>
    </row>
    <row r="81" spans="1:4" ht="12.75" customHeight="1" x14ac:dyDescent="0.35">
      <c r="A81" s="125"/>
      <c r="B81" s="122"/>
      <c r="C81" s="123"/>
      <c r="D81" s="124"/>
    </row>
  </sheetData>
  <mergeCells count="1">
    <mergeCell ref="B1:AH1"/>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4E34-47C5-4392-A014-82BA30F3CA81}">
  <sheetPr codeName="Sheet18">
    <tabColor theme="8" tint="0.39997558519241921"/>
  </sheetPr>
  <dimension ref="A1:ALQ84"/>
  <sheetViews>
    <sheetView topLeftCell="A16" workbookViewId="0">
      <selection activeCell="B4" sqref="B4:AZ100"/>
    </sheetView>
  </sheetViews>
  <sheetFormatPr defaultColWidth="18.6328125" defaultRowHeight="12.75" customHeight="1" x14ac:dyDescent="0.35"/>
  <cols>
    <col min="1" max="34" width="9.36328125" customWidth="1"/>
    <col min="35" max="39" width="9.36328125" style="16" customWidth="1"/>
    <col min="40" max="54" width="9.36328125" customWidth="1"/>
  </cols>
  <sheetData>
    <row r="1" spans="1:51" ht="14.5" x14ac:dyDescent="0.35">
      <c r="A1" s="126"/>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3"/>
      <c r="AJ1" s="3"/>
      <c r="AK1" s="3"/>
      <c r="AL1" s="3"/>
      <c r="AM1" s="3"/>
    </row>
    <row r="2" spans="1:51" ht="14.5" x14ac:dyDescent="0.35">
      <c r="A2" s="126"/>
      <c r="B2" s="118" t="s">
        <v>0</v>
      </c>
      <c r="C2" s="118" t="s">
        <v>1</v>
      </c>
      <c r="D2" s="118" t="s">
        <v>2</v>
      </c>
      <c r="E2" s="118">
        <v>1991</v>
      </c>
      <c r="F2" s="118">
        <v>1992</v>
      </c>
      <c r="G2" s="118">
        <v>1993</v>
      </c>
      <c r="H2" s="118">
        <v>1994</v>
      </c>
      <c r="I2" s="118">
        <v>1995</v>
      </c>
      <c r="J2" s="118">
        <v>1996</v>
      </c>
      <c r="K2" s="118">
        <v>1997</v>
      </c>
      <c r="L2" s="118">
        <v>1998</v>
      </c>
      <c r="M2" s="118">
        <v>1999</v>
      </c>
      <c r="N2" s="118">
        <v>2000</v>
      </c>
      <c r="O2" s="118">
        <v>2001</v>
      </c>
      <c r="P2" s="118">
        <v>2002</v>
      </c>
      <c r="Q2" s="118">
        <v>2003</v>
      </c>
      <c r="R2" s="118">
        <v>2004</v>
      </c>
      <c r="S2" s="118">
        <v>2005</v>
      </c>
      <c r="T2" s="118">
        <v>2006</v>
      </c>
      <c r="U2" s="118">
        <v>2007</v>
      </c>
      <c r="V2" s="118">
        <v>2008</v>
      </c>
      <c r="W2" s="118">
        <v>2009</v>
      </c>
      <c r="X2" s="118">
        <v>2010</v>
      </c>
      <c r="Y2" s="118">
        <v>2011</v>
      </c>
      <c r="Z2" s="118">
        <v>2012</v>
      </c>
      <c r="AA2" s="118">
        <v>2013</v>
      </c>
      <c r="AB2" s="118">
        <v>2014</v>
      </c>
      <c r="AC2" s="118">
        <v>2015</v>
      </c>
      <c r="AD2" s="118">
        <v>2016</v>
      </c>
      <c r="AE2" s="120">
        <v>2017</v>
      </c>
      <c r="AF2" s="118">
        <v>2018</v>
      </c>
      <c r="AG2" s="118">
        <v>2019</v>
      </c>
      <c r="AH2" s="118">
        <v>2020</v>
      </c>
      <c r="AI2" s="3"/>
      <c r="AJ2" s="3"/>
      <c r="AK2" s="3"/>
      <c r="AL2" s="3"/>
      <c r="AM2" s="3"/>
      <c r="AN2" s="3"/>
      <c r="AO2" s="3"/>
      <c r="AP2" s="3"/>
      <c r="AQ2" s="3"/>
      <c r="AR2" s="3"/>
      <c r="AS2" s="3"/>
      <c r="AT2" s="3"/>
      <c r="AU2" s="3"/>
    </row>
    <row r="3" spans="1:51" ht="14.5" x14ac:dyDescent="0.35">
      <c r="A3" s="127"/>
      <c r="B3" s="128" t="s">
        <v>3</v>
      </c>
      <c r="C3" s="128" t="s">
        <v>4</v>
      </c>
      <c r="D3" s="128" t="s">
        <v>5</v>
      </c>
      <c r="E3" s="128" t="s">
        <v>6</v>
      </c>
      <c r="F3" s="128" t="s">
        <v>7</v>
      </c>
      <c r="G3" s="128" t="s">
        <v>8</v>
      </c>
      <c r="H3" s="128" t="s">
        <v>9</v>
      </c>
      <c r="I3" s="128" t="s">
        <v>10</v>
      </c>
      <c r="J3" s="128" t="s">
        <v>11</v>
      </c>
      <c r="K3" s="128" t="s">
        <v>12</v>
      </c>
      <c r="L3" s="128" t="s">
        <v>13</v>
      </c>
      <c r="M3" s="128" t="s">
        <v>14</v>
      </c>
      <c r="N3" s="128" t="s">
        <v>15</v>
      </c>
      <c r="O3" s="128" t="s">
        <v>16</v>
      </c>
      <c r="P3" s="128" t="s">
        <v>17</v>
      </c>
      <c r="Q3" s="128" t="s">
        <v>18</v>
      </c>
      <c r="R3" s="128" t="s">
        <v>19</v>
      </c>
      <c r="S3" s="128" t="s">
        <v>20</v>
      </c>
      <c r="T3" s="128" t="s">
        <v>21</v>
      </c>
      <c r="U3" s="128" t="s">
        <v>22</v>
      </c>
      <c r="V3" s="128" t="s">
        <v>23</v>
      </c>
      <c r="W3" s="128" t="s">
        <v>24</v>
      </c>
      <c r="X3" s="128" t="s">
        <v>25</v>
      </c>
      <c r="Y3" s="128" t="s">
        <v>26</v>
      </c>
      <c r="Z3" s="128" t="s">
        <v>27</v>
      </c>
      <c r="AA3" s="128" t="s">
        <v>28</v>
      </c>
      <c r="AB3" s="128" t="s">
        <v>29</v>
      </c>
      <c r="AC3" s="128" t="s">
        <v>30</v>
      </c>
      <c r="AD3" s="128" t="s">
        <v>31</v>
      </c>
      <c r="AE3" s="128" t="s">
        <v>32</v>
      </c>
      <c r="AF3" s="128" t="s">
        <v>33</v>
      </c>
      <c r="AG3" s="128" t="s">
        <v>34</v>
      </c>
      <c r="AH3" s="128" t="s">
        <v>35</v>
      </c>
      <c r="AI3" s="3"/>
      <c r="AJ3" s="3"/>
      <c r="AK3" s="3"/>
      <c r="AL3" s="3"/>
      <c r="AM3" s="3"/>
      <c r="AN3" s="3"/>
      <c r="AO3" s="3"/>
      <c r="AP3" s="3"/>
      <c r="AQ3" s="3"/>
      <c r="AR3" s="3"/>
      <c r="AS3" s="3"/>
      <c r="AT3" s="3"/>
      <c r="AU3" s="3"/>
    </row>
    <row r="4" spans="1:51" ht="14.5" x14ac:dyDescent="0.35">
      <c r="A4" s="125">
        <f>YampaRiverInflow.TotalOutflow!A4</f>
        <v>46143</v>
      </c>
      <c r="B4" s="81">
        <v>32.805999999999997</v>
      </c>
      <c r="C4" s="82">
        <v>3.8969999999999998</v>
      </c>
      <c r="D4" s="129">
        <v>11.801</v>
      </c>
      <c r="E4" s="16">
        <v>13.905670000000001</v>
      </c>
      <c r="F4" s="16">
        <v>50.254080000000002</v>
      </c>
      <c r="G4" s="16">
        <v>122.22750000000001</v>
      </c>
      <c r="H4" s="16">
        <v>45.130360000000003</v>
      </c>
      <c r="I4" s="16">
        <v>144.82448000000002</v>
      </c>
      <c r="J4" s="16">
        <v>15.857620000000001</v>
      </c>
      <c r="K4" s="16">
        <v>26.527619999999999</v>
      </c>
      <c r="L4" s="16">
        <v>112.01666</v>
      </c>
      <c r="M4" s="16">
        <v>5.9267599999999998</v>
      </c>
      <c r="N4" s="16">
        <v>-7.9631999999999996</v>
      </c>
      <c r="O4" s="16">
        <v>-10.182930000000001</v>
      </c>
      <c r="P4" s="16">
        <v>-18.910119999999999</v>
      </c>
      <c r="Q4" s="16">
        <v>-5.1637899999999997</v>
      </c>
      <c r="R4" s="16">
        <v>4.8523900000000006</v>
      </c>
      <c r="S4" s="16">
        <v>136.5727</v>
      </c>
      <c r="T4" s="16">
        <v>-17.06551</v>
      </c>
      <c r="U4" s="16">
        <v>-25.80247</v>
      </c>
      <c r="V4" s="16">
        <v>13.146979999999999</v>
      </c>
      <c r="W4" s="16">
        <v>9.7264300000000006</v>
      </c>
      <c r="X4" s="16">
        <v>41.096609999999998</v>
      </c>
      <c r="Y4" s="16">
        <v>63.824849999999998</v>
      </c>
      <c r="Z4" s="16">
        <v>-6.9918699999999996</v>
      </c>
      <c r="AA4" s="16">
        <v>0.73799999999999999</v>
      </c>
      <c r="AB4" s="16">
        <v>-18.297540000000001</v>
      </c>
      <c r="AC4" s="16">
        <v>-12.214030000000001</v>
      </c>
      <c r="AD4" s="16">
        <v>9.0859300000000012</v>
      </c>
      <c r="AE4" s="16">
        <v>5.1340200000000005</v>
      </c>
      <c r="AF4" s="16">
        <v>-29.088660000000001</v>
      </c>
      <c r="AG4" s="16">
        <v>48.692149999999998</v>
      </c>
      <c r="AH4" s="16">
        <v>-11.59253</v>
      </c>
      <c r="AN4" s="4"/>
      <c r="AO4" s="4"/>
      <c r="AP4" s="4"/>
      <c r="AQ4" s="4"/>
      <c r="AR4" s="4"/>
      <c r="AS4" s="4"/>
      <c r="AT4" s="4"/>
      <c r="AU4" s="4"/>
      <c r="AV4" s="4"/>
      <c r="AW4" s="4"/>
      <c r="AX4" s="4"/>
      <c r="AY4" s="4"/>
    </row>
    <row r="5" spans="1:51" ht="14.5" x14ac:dyDescent="0.35">
      <c r="A5" s="125">
        <f>YampaRiverInflow.TotalOutflow!A5</f>
        <v>46174</v>
      </c>
      <c r="B5" s="34">
        <v>13.407999999999999</v>
      </c>
      <c r="C5" s="12">
        <v>-4.798</v>
      </c>
      <c r="D5" s="45">
        <v>-17.097999999999999</v>
      </c>
      <c r="E5" s="16">
        <v>78.603580000000008</v>
      </c>
      <c r="F5" s="16">
        <v>0.77813999999999994</v>
      </c>
      <c r="G5" s="16">
        <v>11.42347</v>
      </c>
      <c r="H5" s="16">
        <v>-1.8183699999999998</v>
      </c>
      <c r="I5" s="16">
        <v>48.385210000000001</v>
      </c>
      <c r="J5" s="16">
        <v>10.9796</v>
      </c>
      <c r="K5" s="16">
        <v>-16.415560000000003</v>
      </c>
      <c r="L5" s="16">
        <v>59.579190000000004</v>
      </c>
      <c r="M5" s="16">
        <v>20.131820000000001</v>
      </c>
      <c r="N5" s="16">
        <v>-1.8760000000000002E-2</v>
      </c>
      <c r="O5" s="16">
        <v>-40.888860000000001</v>
      </c>
      <c r="P5" s="16">
        <v>-24.57798</v>
      </c>
      <c r="Q5" s="16">
        <v>-41.014429999999997</v>
      </c>
      <c r="R5" s="16">
        <v>-32.649230000000003</v>
      </c>
      <c r="S5" s="16">
        <v>31.118189999999998</v>
      </c>
      <c r="T5" s="16">
        <v>-16.25863</v>
      </c>
      <c r="U5" s="16">
        <v>-29.007360000000002</v>
      </c>
      <c r="V5" s="16">
        <v>15.05063</v>
      </c>
      <c r="W5" s="16">
        <v>-28.113409999999998</v>
      </c>
      <c r="X5" s="16">
        <v>-6.2963900000000006</v>
      </c>
      <c r="Y5" s="16">
        <v>35.037300000000002</v>
      </c>
      <c r="Z5" s="16">
        <v>-16.40408</v>
      </c>
      <c r="AA5" s="16">
        <v>-27.575620000000001</v>
      </c>
      <c r="AB5" s="16">
        <v>-23.976099999999999</v>
      </c>
      <c r="AC5" s="16">
        <v>-8.1685800000000004</v>
      </c>
      <c r="AD5" s="16">
        <v>-18.756529999999998</v>
      </c>
      <c r="AE5" s="16">
        <v>-18.879729999999999</v>
      </c>
      <c r="AF5" s="16">
        <v>-18.7621</v>
      </c>
      <c r="AG5" s="16">
        <v>4.9375299999999998</v>
      </c>
      <c r="AH5" s="16">
        <v>-14.283790000000002</v>
      </c>
      <c r="AI5" s="46"/>
      <c r="AJ5" s="46"/>
      <c r="AK5" s="46"/>
      <c r="AL5" s="46"/>
      <c r="AM5" s="46"/>
      <c r="AN5" s="4"/>
      <c r="AO5" s="4"/>
      <c r="AP5" s="4"/>
      <c r="AQ5" s="4"/>
      <c r="AR5" s="4"/>
      <c r="AS5" s="4"/>
      <c r="AT5" s="4"/>
      <c r="AU5" s="4"/>
      <c r="AV5" s="4"/>
      <c r="AW5" s="4"/>
      <c r="AX5" s="4"/>
      <c r="AY5" s="4"/>
    </row>
    <row r="6" spans="1:51" ht="14.5" x14ac:dyDescent="0.35">
      <c r="A6" s="125">
        <f>YampaRiverInflow.TotalOutflow!A6</f>
        <v>46204</v>
      </c>
      <c r="B6" s="34">
        <v>21.058</v>
      </c>
      <c r="C6" s="12">
        <v>11.021000000000001</v>
      </c>
      <c r="D6" s="45">
        <v>9.3360000000000003</v>
      </c>
      <c r="E6" s="16">
        <v>-5.8830900000000002</v>
      </c>
      <c r="F6" s="16">
        <v>27.880080000000003</v>
      </c>
      <c r="G6" s="16">
        <v>-8.3493899999999996</v>
      </c>
      <c r="H6" s="16">
        <v>20.232430000000001</v>
      </c>
      <c r="I6" s="16">
        <v>30.843540000000001</v>
      </c>
      <c r="J6" s="16">
        <v>41.040230000000001</v>
      </c>
      <c r="K6" s="16">
        <v>14.490680000000001</v>
      </c>
      <c r="L6" s="16">
        <v>75.778990000000007</v>
      </c>
      <c r="M6" s="16">
        <v>65.886160000000004</v>
      </c>
      <c r="N6" s="16">
        <v>-49.466929999999998</v>
      </c>
      <c r="O6" s="16">
        <v>-38.095980000000004</v>
      </c>
      <c r="P6" s="16">
        <v>-9.229239999999999</v>
      </c>
      <c r="Q6" s="16">
        <v>-13.51318</v>
      </c>
      <c r="R6" s="16">
        <v>-26.592950000000002</v>
      </c>
      <c r="S6" s="16">
        <v>24.434360000000002</v>
      </c>
      <c r="T6" s="16">
        <v>-13.056049999999999</v>
      </c>
      <c r="U6" s="16">
        <v>-8.1851199999999995</v>
      </c>
      <c r="V6" s="16">
        <v>-2.57158</v>
      </c>
      <c r="W6" s="16">
        <v>-30.264680000000002</v>
      </c>
      <c r="X6" s="16">
        <v>-36.50526</v>
      </c>
      <c r="Y6" s="16">
        <v>7.3666599999999995</v>
      </c>
      <c r="Z6" s="16">
        <v>20.909459999999999</v>
      </c>
      <c r="AA6" s="16">
        <v>21.97174</v>
      </c>
      <c r="AB6" s="16">
        <v>-3.3679099999999997</v>
      </c>
      <c r="AC6" s="16">
        <v>5.8490699999999993</v>
      </c>
      <c r="AD6" s="16">
        <v>18.370330000000003</v>
      </c>
      <c r="AE6" s="16">
        <v>18.507080000000002</v>
      </c>
      <c r="AF6" s="16">
        <v>26.724900000000002</v>
      </c>
      <c r="AG6" s="16">
        <v>-54.714529999999996</v>
      </c>
      <c r="AH6" s="16">
        <v>-25.463419999999999</v>
      </c>
      <c r="AI6" s="46"/>
      <c r="AJ6" s="46"/>
      <c r="AK6" s="46"/>
      <c r="AL6" s="46"/>
      <c r="AM6" s="46"/>
      <c r="AN6" s="4"/>
      <c r="AO6" s="4"/>
      <c r="AP6" s="4"/>
      <c r="AQ6" s="4"/>
      <c r="AR6" s="4"/>
      <c r="AS6" s="4"/>
      <c r="AT6" s="4"/>
      <c r="AU6" s="4"/>
      <c r="AV6" s="4"/>
      <c r="AW6" s="4"/>
      <c r="AX6" s="4"/>
      <c r="AY6" s="4"/>
    </row>
    <row r="7" spans="1:51" ht="14.5" x14ac:dyDescent="0.35">
      <c r="A7" s="125">
        <f>YampaRiverInflow.TotalOutflow!A7</f>
        <v>46235</v>
      </c>
      <c r="B7" s="34">
        <v>42.043999999999997</v>
      </c>
      <c r="C7" s="12">
        <v>28.393999999999998</v>
      </c>
      <c r="D7" s="45">
        <v>37.031999999999996</v>
      </c>
      <c r="E7" s="16">
        <v>53.409349999999996</v>
      </c>
      <c r="F7" s="16">
        <v>56.28331</v>
      </c>
      <c r="G7" s="16">
        <v>85.919169999999994</v>
      </c>
      <c r="H7" s="16">
        <v>47.941989999999997</v>
      </c>
      <c r="I7" s="16">
        <v>32.843679999999999</v>
      </c>
      <c r="J7" s="16">
        <v>9.41737</v>
      </c>
      <c r="K7" s="16">
        <v>73.407210000000006</v>
      </c>
      <c r="L7" s="16">
        <v>56.459800000000001</v>
      </c>
      <c r="M7" s="16">
        <v>48.113410000000002</v>
      </c>
      <c r="N7" s="16">
        <v>12.67862</v>
      </c>
      <c r="O7" s="16">
        <v>24.742099999999997</v>
      </c>
      <c r="P7" s="16">
        <v>-3.3823099999999999</v>
      </c>
      <c r="Q7" s="16">
        <v>40.45872</v>
      </c>
      <c r="R7" s="16">
        <v>7.9324300000000001</v>
      </c>
      <c r="S7" s="16">
        <v>46.411089999999994</v>
      </c>
      <c r="T7" s="16">
        <v>6.7395899999999997</v>
      </c>
      <c r="U7" s="16">
        <v>17.925740000000001</v>
      </c>
      <c r="V7" s="16">
        <v>17.421220000000002</v>
      </c>
      <c r="W7" s="16">
        <v>-3.9880599999999999</v>
      </c>
      <c r="X7" s="16">
        <v>-1.2442899999999999</v>
      </c>
      <c r="Y7" s="16">
        <v>21.964880000000001</v>
      </c>
      <c r="Z7" s="16">
        <v>75.510499999999993</v>
      </c>
      <c r="AA7" s="16">
        <v>37.568370000000002</v>
      </c>
      <c r="AB7" s="16">
        <v>42.03425</v>
      </c>
      <c r="AC7" s="16">
        <v>42.976790000000001</v>
      </c>
      <c r="AD7" s="16">
        <v>38.019089999999998</v>
      </c>
      <c r="AE7" s="16">
        <v>12.330110000000001</v>
      </c>
      <c r="AF7" s="16">
        <v>11.853590000000001</v>
      </c>
      <c r="AG7" s="16">
        <v>-10.878549999999999</v>
      </c>
      <c r="AH7" s="16">
        <v>0.28339999999999999</v>
      </c>
      <c r="AI7" s="46"/>
      <c r="AJ7" s="46"/>
      <c r="AK7" s="46"/>
      <c r="AL7" s="46"/>
      <c r="AM7" s="46"/>
      <c r="AN7" s="4"/>
      <c r="AO7" s="4"/>
      <c r="AP7" s="4"/>
      <c r="AQ7" s="4"/>
      <c r="AR7" s="4"/>
      <c r="AS7" s="4"/>
      <c r="AT7" s="4"/>
      <c r="AU7" s="4"/>
      <c r="AV7" s="4"/>
      <c r="AW7" s="4"/>
      <c r="AX7" s="4"/>
      <c r="AY7" s="4"/>
    </row>
    <row r="8" spans="1:51" ht="14.5" x14ac:dyDescent="0.35">
      <c r="A8" s="125">
        <f>YampaRiverInflow.TotalOutflow!A8</f>
        <v>46266</v>
      </c>
      <c r="B8" s="34">
        <v>33.444000000000003</v>
      </c>
      <c r="C8" s="12">
        <v>24.954000000000001</v>
      </c>
      <c r="D8" s="45">
        <v>43.808999999999997</v>
      </c>
      <c r="E8" s="16">
        <v>64.282830000000004</v>
      </c>
      <c r="F8" s="16">
        <v>64.577929999999995</v>
      </c>
      <c r="G8" s="16">
        <v>71.455939999999998</v>
      </c>
      <c r="H8" s="16">
        <v>58.154240000000001</v>
      </c>
      <c r="I8" s="16">
        <v>42.169260000000001</v>
      </c>
      <c r="J8" s="16">
        <v>18.811229999999998</v>
      </c>
      <c r="K8" s="16">
        <v>37.728870000000001</v>
      </c>
      <c r="L8" s="16">
        <v>102.28238999999999</v>
      </c>
      <c r="M8" s="16">
        <v>63.219099999999997</v>
      </c>
      <c r="N8" s="16">
        <v>-1.1670799999999999</v>
      </c>
      <c r="O8" s="16">
        <v>27.992830000000001</v>
      </c>
      <c r="P8" s="16">
        <v>55.190280000000001</v>
      </c>
      <c r="Q8" s="16">
        <v>32.140479999999997</v>
      </c>
      <c r="R8" s="16">
        <v>31.014310000000002</v>
      </c>
      <c r="S8" s="16">
        <v>29.221220000000002</v>
      </c>
      <c r="T8" s="16">
        <v>-5.8577599999999999</v>
      </c>
      <c r="U8" s="16">
        <v>13.77566</v>
      </c>
      <c r="V8" s="16">
        <v>20.98864</v>
      </c>
      <c r="W8" s="16">
        <v>9.6280200000000011</v>
      </c>
      <c r="X8" s="16">
        <v>25.324290000000001</v>
      </c>
      <c r="Y8" s="16">
        <v>17.578880000000002</v>
      </c>
      <c r="Z8" s="16">
        <v>49.973109999999998</v>
      </c>
      <c r="AA8" s="16">
        <v>68.102980000000002</v>
      </c>
      <c r="AB8" s="16">
        <v>84.069659999999999</v>
      </c>
      <c r="AC8" s="16">
        <v>26.646470000000001</v>
      </c>
      <c r="AD8" s="16">
        <v>42.182259999999999</v>
      </c>
      <c r="AE8" s="16">
        <v>36.151679999999999</v>
      </c>
      <c r="AF8" s="16">
        <v>18.166060000000002</v>
      </c>
      <c r="AG8" s="16">
        <v>17.873080000000002</v>
      </c>
      <c r="AH8" s="16">
        <v>4.9049300000000002</v>
      </c>
      <c r="AI8" s="46"/>
      <c r="AJ8" s="46"/>
      <c r="AK8" s="46"/>
      <c r="AL8" s="46"/>
      <c r="AM8" s="46"/>
      <c r="AN8" s="4"/>
      <c r="AO8" s="4"/>
      <c r="AP8" s="4"/>
      <c r="AQ8" s="4"/>
      <c r="AR8" s="4"/>
      <c r="AS8" s="4"/>
      <c r="AT8" s="4"/>
      <c r="AU8" s="4"/>
      <c r="AV8" s="4"/>
      <c r="AW8" s="4"/>
      <c r="AX8" s="4"/>
      <c r="AY8" s="4"/>
    </row>
    <row r="9" spans="1:51" ht="14.5" x14ac:dyDescent="0.35">
      <c r="A9" s="125">
        <f>YampaRiverInflow.TotalOutflow!A9</f>
        <v>46296</v>
      </c>
      <c r="B9" s="34">
        <v>26.856000000000002</v>
      </c>
      <c r="C9" s="12">
        <v>17.803000000000001</v>
      </c>
      <c r="D9" s="45">
        <v>23.17</v>
      </c>
      <c r="E9" s="16">
        <v>24.83699</v>
      </c>
      <c r="F9" s="16">
        <v>75.222429999999989</v>
      </c>
      <c r="G9" s="16">
        <v>44.385730000000002</v>
      </c>
      <c r="H9" s="16">
        <v>47.589800000000004</v>
      </c>
      <c r="I9" s="16">
        <v>34.997630000000001</v>
      </c>
      <c r="J9" s="16">
        <v>11.211030000000001</v>
      </c>
      <c r="K9" s="16">
        <v>19.502970000000001</v>
      </c>
      <c r="L9" s="16">
        <v>54.718679999999999</v>
      </c>
      <c r="M9" s="16">
        <v>17.3261</v>
      </c>
      <c r="N9" s="16">
        <v>33.096730000000001</v>
      </c>
      <c r="O9" s="16">
        <v>7.0241199999999999</v>
      </c>
      <c r="P9" s="16">
        <v>38.168879999999994</v>
      </c>
      <c r="Q9" s="16">
        <v>-0.32697000000000004</v>
      </c>
      <c r="R9" s="16">
        <v>84.070039999999992</v>
      </c>
      <c r="S9" s="16">
        <v>20.03706</v>
      </c>
      <c r="T9" s="16">
        <v>40.291160000000005</v>
      </c>
      <c r="U9" s="16">
        <v>11.96547</v>
      </c>
      <c r="V9" s="16">
        <v>9.7060499999999994</v>
      </c>
      <c r="W9" s="16">
        <v>-4.8878300000000001</v>
      </c>
      <c r="X9" s="16">
        <v>42.031129999999997</v>
      </c>
      <c r="Y9" s="16">
        <v>22.63785</v>
      </c>
      <c r="Z9" s="16">
        <v>39.329860000000004</v>
      </c>
      <c r="AA9" s="16">
        <v>28.046230000000001</v>
      </c>
      <c r="AB9" s="16">
        <v>21.405650000000001</v>
      </c>
      <c r="AC9" s="16">
        <v>63.749839999999999</v>
      </c>
      <c r="AD9" s="16">
        <v>50.552589999999995</v>
      </c>
      <c r="AE9" s="16">
        <v>35.498150000000003</v>
      </c>
      <c r="AF9" s="16">
        <v>22.665689999999998</v>
      </c>
      <c r="AG9" s="16">
        <v>13.309760000000001</v>
      </c>
      <c r="AH9" s="16">
        <v>-5.9156000000000004</v>
      </c>
      <c r="AI9" s="46"/>
      <c r="AJ9" s="46"/>
      <c r="AK9" s="46"/>
      <c r="AL9" s="46"/>
      <c r="AM9" s="46"/>
      <c r="AN9" s="4"/>
      <c r="AO9" s="4"/>
      <c r="AP9" s="4"/>
      <c r="AQ9" s="4"/>
      <c r="AR9" s="4"/>
      <c r="AS9" s="4"/>
      <c r="AT9" s="4"/>
      <c r="AU9" s="4"/>
      <c r="AV9" s="4"/>
      <c r="AW9" s="4"/>
      <c r="AX9" s="4"/>
      <c r="AY9" s="4"/>
    </row>
    <row r="10" spans="1:51" ht="14.5" x14ac:dyDescent="0.35">
      <c r="A10" s="125">
        <f>YampaRiverInflow.TotalOutflow!A10</f>
        <v>46327</v>
      </c>
      <c r="B10" s="34">
        <v>13.406000000000001</v>
      </c>
      <c r="C10" s="12">
        <v>15.353999999999999</v>
      </c>
      <c r="D10" s="45">
        <v>17.687000000000001</v>
      </c>
      <c r="E10" s="16">
        <v>24.755089999999999</v>
      </c>
      <c r="F10" s="16">
        <v>41.368510000000001</v>
      </c>
      <c r="G10" s="16">
        <v>54.319510000000001</v>
      </c>
      <c r="H10" s="16">
        <v>11.286760000000001</v>
      </c>
      <c r="I10" s="16">
        <v>42.111879999999999</v>
      </c>
      <c r="J10" s="16">
        <v>49.319809999999997</v>
      </c>
      <c r="K10" s="16">
        <v>62.6631</v>
      </c>
      <c r="L10" s="16">
        <v>57.306669999999997</v>
      </c>
      <c r="M10" s="16">
        <v>20.52073</v>
      </c>
      <c r="N10" s="16">
        <v>2.0303399999999998</v>
      </c>
      <c r="O10" s="16">
        <v>10.25154</v>
      </c>
      <c r="P10" s="16">
        <v>11.652959999999998</v>
      </c>
      <c r="Q10" s="16">
        <v>18.590709999999998</v>
      </c>
      <c r="R10" s="16">
        <v>93.237679999999997</v>
      </c>
      <c r="S10" s="16">
        <v>8.5751200000000001</v>
      </c>
      <c r="T10" s="16">
        <v>14.65644</v>
      </c>
      <c r="U10" s="16">
        <v>33.630459999999999</v>
      </c>
      <c r="V10" s="16">
        <v>27.760300000000001</v>
      </c>
      <c r="W10" s="16">
        <v>11.286379999999999</v>
      </c>
      <c r="X10" s="16">
        <v>-14.38903</v>
      </c>
      <c r="Y10" s="16">
        <v>11.00366</v>
      </c>
      <c r="Z10" s="16">
        <v>30.656770000000002</v>
      </c>
      <c r="AA10" s="16">
        <v>78.433350000000004</v>
      </c>
      <c r="AB10" s="16">
        <v>20.926279999999998</v>
      </c>
      <c r="AC10" s="16">
        <v>17.11955</v>
      </c>
      <c r="AD10" s="16">
        <v>49.568680000000001</v>
      </c>
      <c r="AE10" s="16">
        <v>30.38326</v>
      </c>
      <c r="AF10" s="16">
        <v>41.949339999999999</v>
      </c>
      <c r="AG10" s="16">
        <v>90.300280000000001</v>
      </c>
      <c r="AH10" s="16">
        <v>25.237020000000001</v>
      </c>
      <c r="AI10" s="46"/>
      <c r="AJ10" s="46"/>
      <c r="AK10" s="46"/>
      <c r="AL10" s="46"/>
      <c r="AM10" s="46"/>
      <c r="AN10" s="4"/>
      <c r="AO10" s="4"/>
      <c r="AP10" s="4"/>
      <c r="AQ10" s="4"/>
      <c r="AR10" s="4"/>
      <c r="AS10" s="4"/>
      <c r="AT10" s="4"/>
      <c r="AU10" s="4"/>
      <c r="AV10" s="4"/>
      <c r="AW10" s="4"/>
      <c r="AX10" s="4"/>
      <c r="AY10" s="4"/>
    </row>
    <row r="11" spans="1:51" ht="14.5" x14ac:dyDescent="0.35">
      <c r="A11" s="125">
        <f>YampaRiverInflow.TotalOutflow!A11</f>
        <v>46357</v>
      </c>
      <c r="B11" s="34">
        <v>21.186</v>
      </c>
      <c r="C11" s="12">
        <v>24.32</v>
      </c>
      <c r="D11" s="45">
        <v>39.872999999999998</v>
      </c>
      <c r="E11" s="16">
        <v>60.335120000000003</v>
      </c>
      <c r="F11" s="16">
        <v>94.61439</v>
      </c>
      <c r="G11" s="16">
        <v>57.228949999999998</v>
      </c>
      <c r="H11" s="16">
        <v>76.772750000000002</v>
      </c>
      <c r="I11" s="16">
        <v>23.632810000000003</v>
      </c>
      <c r="J11" s="16">
        <v>26.613599999999998</v>
      </c>
      <c r="K11" s="16">
        <v>20.40418</v>
      </c>
      <c r="L11" s="16">
        <v>6.7861099999999999</v>
      </c>
      <c r="M11" s="16">
        <v>7.0875000000000004</v>
      </c>
      <c r="N11" s="16">
        <v>18.854099999999999</v>
      </c>
      <c r="O11" s="16">
        <v>35.589959999999998</v>
      </c>
      <c r="P11" s="16">
        <v>26.338159999999998</v>
      </c>
      <c r="Q11" s="16">
        <v>20.191050000000001</v>
      </c>
      <c r="R11" s="16">
        <v>74.97139</v>
      </c>
      <c r="S11" s="16">
        <v>11.51708</v>
      </c>
      <c r="T11" s="16">
        <v>-4.6183199999999998</v>
      </c>
      <c r="U11" s="16">
        <v>27.153869999999998</v>
      </c>
      <c r="V11" s="16">
        <v>22.050689999999999</v>
      </c>
      <c r="W11" s="16">
        <v>10.000299999999999</v>
      </c>
      <c r="X11" s="16">
        <v>200.48664000000002</v>
      </c>
      <c r="Y11" s="16">
        <v>49.498660000000001</v>
      </c>
      <c r="Z11" s="16">
        <v>30.962709999999998</v>
      </c>
      <c r="AA11" s="16">
        <v>25.01275</v>
      </c>
      <c r="AB11" s="16">
        <v>10.133760000000001</v>
      </c>
      <c r="AC11" s="16">
        <v>15.85665</v>
      </c>
      <c r="AD11" s="16">
        <v>14.69364</v>
      </c>
      <c r="AE11" s="16">
        <v>24.777099999999997</v>
      </c>
      <c r="AF11" s="16">
        <v>25.998349999999999</v>
      </c>
      <c r="AG11" s="16">
        <v>73.964010000000002</v>
      </c>
      <c r="AH11" s="16">
        <v>39.270139999999998</v>
      </c>
      <c r="AI11" s="46"/>
      <c r="AJ11" s="46"/>
      <c r="AK11" s="46"/>
      <c r="AL11" s="46"/>
      <c r="AM11" s="46"/>
      <c r="AN11" s="4"/>
      <c r="AO11" s="4"/>
      <c r="AP11" s="4"/>
      <c r="AQ11" s="4"/>
      <c r="AR11" s="4"/>
      <c r="AS11" s="4"/>
      <c r="AT11" s="4"/>
      <c r="AU11" s="4"/>
      <c r="AV11" s="4"/>
      <c r="AW11" s="4"/>
      <c r="AX11" s="4"/>
      <c r="AY11" s="4"/>
    </row>
    <row r="12" spans="1:51" ht="14.5" x14ac:dyDescent="0.35">
      <c r="A12" s="125">
        <f>YampaRiverInflow.TotalOutflow!A12</f>
        <v>46388</v>
      </c>
      <c r="B12" s="34">
        <v>19.553999999999998</v>
      </c>
      <c r="C12" s="12">
        <v>22.81</v>
      </c>
      <c r="D12" s="45">
        <v>38.064</v>
      </c>
      <c r="E12" s="16">
        <v>66.690010000000001</v>
      </c>
      <c r="F12" s="16">
        <v>209.91325000000001</v>
      </c>
      <c r="G12" s="16">
        <v>68.707340000000002</v>
      </c>
      <c r="H12" s="16">
        <v>147.14017999999999</v>
      </c>
      <c r="I12" s="16">
        <v>12.95735</v>
      </c>
      <c r="J12" s="16">
        <v>43.173999999999999</v>
      </c>
      <c r="K12" s="16">
        <v>43.572859999999999</v>
      </c>
      <c r="L12" s="16">
        <v>40.911610000000003</v>
      </c>
      <c r="M12" s="16">
        <v>13.873209999999998</v>
      </c>
      <c r="N12" s="16">
        <v>43.65607</v>
      </c>
      <c r="O12" s="16">
        <v>8.8752700000000004</v>
      </c>
      <c r="P12" s="16">
        <v>27.946300000000001</v>
      </c>
      <c r="Q12" s="16">
        <v>3.3895900000000001</v>
      </c>
      <c r="R12" s="16">
        <v>303.37369000000001</v>
      </c>
      <c r="S12" s="16">
        <v>12.219719999999999</v>
      </c>
      <c r="T12" s="16">
        <v>-9.3584500000000013</v>
      </c>
      <c r="U12" s="16">
        <v>28.872540000000001</v>
      </c>
      <c r="V12" s="16">
        <v>4.9805900000000003</v>
      </c>
      <c r="W12" s="16">
        <v>53.234699999999997</v>
      </c>
      <c r="X12" s="16">
        <v>36.51267</v>
      </c>
      <c r="Y12" s="16">
        <v>15.039200000000001</v>
      </c>
      <c r="Z12" s="16">
        <v>13.099450000000001</v>
      </c>
      <c r="AA12" s="16">
        <v>6.7984099999999996</v>
      </c>
      <c r="AB12" s="16">
        <v>21.993320000000001</v>
      </c>
      <c r="AC12" s="16">
        <v>41.238190000000003</v>
      </c>
      <c r="AD12" s="16">
        <v>58.881329999999998</v>
      </c>
      <c r="AE12" s="16">
        <v>49.533120000000004</v>
      </c>
      <c r="AF12" s="16">
        <v>48.656099999999995</v>
      </c>
      <c r="AG12" s="16">
        <v>36.149560000000001</v>
      </c>
      <c r="AH12" s="16">
        <v>28.502187496324908</v>
      </c>
      <c r="AI12" s="46"/>
      <c r="AJ12" s="46"/>
      <c r="AK12" s="46"/>
      <c r="AL12" s="46"/>
      <c r="AM12" s="46"/>
      <c r="AN12" s="4"/>
      <c r="AO12" s="4"/>
      <c r="AP12" s="4"/>
      <c r="AQ12" s="4"/>
      <c r="AR12" s="4"/>
      <c r="AS12" s="4"/>
      <c r="AT12" s="4"/>
      <c r="AU12" s="4"/>
      <c r="AV12" s="4"/>
      <c r="AW12" s="4"/>
      <c r="AX12" s="4"/>
      <c r="AY12" s="4"/>
    </row>
    <row r="13" spans="1:51" ht="14.5" x14ac:dyDescent="0.35">
      <c r="A13" s="125">
        <f>YampaRiverInflow.TotalOutflow!A13</f>
        <v>46419</v>
      </c>
      <c r="B13" s="34">
        <v>16.581</v>
      </c>
      <c r="C13" s="12">
        <v>19.545999999999999</v>
      </c>
      <c r="D13" s="45">
        <v>28.969000000000001</v>
      </c>
      <c r="E13" s="16">
        <v>97.829139999999995</v>
      </c>
      <c r="F13" s="16">
        <v>211.77466000000001</v>
      </c>
      <c r="G13" s="16">
        <v>63.109250000000003</v>
      </c>
      <c r="H13" s="16">
        <v>89.958119999999994</v>
      </c>
      <c r="I13" s="16">
        <v>24.910400000000003</v>
      </c>
      <c r="J13" s="16">
        <v>-4.8160100000000003</v>
      </c>
      <c r="K13" s="16">
        <v>73.336060000000003</v>
      </c>
      <c r="L13" s="16">
        <v>36.586980000000004</v>
      </c>
      <c r="M13" s="16">
        <v>21.691119999999998</v>
      </c>
      <c r="N13" s="16">
        <v>36.689769999999996</v>
      </c>
      <c r="O13" s="16">
        <v>4.0654399999999997</v>
      </c>
      <c r="P13" s="16">
        <v>38.304220000000001</v>
      </c>
      <c r="Q13" s="16">
        <v>19.567259999999997</v>
      </c>
      <c r="R13" s="16">
        <v>194.10926000000001</v>
      </c>
      <c r="S13" s="16">
        <v>10.566690000000001</v>
      </c>
      <c r="T13" s="16">
        <v>18.006209999999999</v>
      </c>
      <c r="U13" s="16">
        <v>42.33981</v>
      </c>
      <c r="V13" s="16">
        <v>29.493419999999997</v>
      </c>
      <c r="W13" s="16">
        <v>57.446640000000002</v>
      </c>
      <c r="X13" s="16">
        <v>36.949750000000002</v>
      </c>
      <c r="Y13" s="16">
        <v>19.886479999999999</v>
      </c>
      <c r="Z13" s="16">
        <v>30.005659999999999</v>
      </c>
      <c r="AA13" s="16">
        <v>35.553809999999999</v>
      </c>
      <c r="AB13" s="16">
        <v>40.773769999999999</v>
      </c>
      <c r="AC13" s="16">
        <v>31.995979999999999</v>
      </c>
      <c r="AD13" s="16">
        <v>74.449780000000004</v>
      </c>
      <c r="AE13" s="16">
        <v>14.88969</v>
      </c>
      <c r="AF13" s="16">
        <v>39.650980000000004</v>
      </c>
      <c r="AG13" s="16">
        <v>14.91981</v>
      </c>
      <c r="AH13" s="16">
        <v>53.503218596593655</v>
      </c>
      <c r="AI13" s="46"/>
      <c r="AJ13" s="46"/>
      <c r="AK13" s="46"/>
      <c r="AL13" s="46"/>
      <c r="AM13" s="46"/>
      <c r="AN13" s="4"/>
      <c r="AO13" s="4"/>
      <c r="AP13" s="4"/>
      <c r="AQ13" s="4"/>
      <c r="AR13" s="4"/>
      <c r="AS13" s="4"/>
      <c r="AT13" s="4"/>
      <c r="AU13" s="4"/>
      <c r="AV13" s="4"/>
      <c r="AW13" s="4"/>
      <c r="AX13" s="4"/>
      <c r="AY13" s="4"/>
    </row>
    <row r="14" spans="1:51" ht="14.5" x14ac:dyDescent="0.35">
      <c r="A14" s="125">
        <f>YampaRiverInflow.TotalOutflow!A14</f>
        <v>46447</v>
      </c>
      <c r="B14" s="34">
        <v>17.277999999999999</v>
      </c>
      <c r="C14" s="12">
        <v>15.711</v>
      </c>
      <c r="D14" s="45">
        <v>20.625</v>
      </c>
      <c r="E14" s="16">
        <v>129.22682</v>
      </c>
      <c r="F14" s="16">
        <v>224.96581</v>
      </c>
      <c r="G14" s="16">
        <v>44.835190000000004</v>
      </c>
      <c r="H14" s="16">
        <v>177.33817000000002</v>
      </c>
      <c r="I14" s="16">
        <v>-56.693550000000002</v>
      </c>
      <c r="J14" s="16">
        <v>37.615089999999995</v>
      </c>
      <c r="K14" s="16">
        <v>83.826080000000005</v>
      </c>
      <c r="L14" s="16">
        <v>-9.628680000000001</v>
      </c>
      <c r="M14" s="16">
        <v>-8.9868500000000004</v>
      </c>
      <c r="N14" s="16">
        <v>31.59817</v>
      </c>
      <c r="O14" s="16">
        <v>-31.764150000000001</v>
      </c>
      <c r="P14" s="16">
        <v>8.1977799999999998</v>
      </c>
      <c r="Q14" s="16">
        <v>-4.6275300000000001</v>
      </c>
      <c r="R14" s="16">
        <v>107.54282000000001</v>
      </c>
      <c r="S14" s="16">
        <v>18.535509999999999</v>
      </c>
      <c r="T14" s="16">
        <v>-8.2876000000000012</v>
      </c>
      <c r="U14" s="16">
        <v>9.9111000000000011</v>
      </c>
      <c r="V14" s="16">
        <v>-22.678090000000001</v>
      </c>
      <c r="W14" s="16">
        <v>14.65991</v>
      </c>
      <c r="X14" s="16">
        <v>17.707439999999998</v>
      </c>
      <c r="Y14" s="16">
        <v>9.1945100000000011</v>
      </c>
      <c r="Z14" s="16">
        <v>12.195319999999999</v>
      </c>
      <c r="AA14" s="16">
        <v>-13.04682</v>
      </c>
      <c r="AB14" s="16">
        <v>5.0683699999999998</v>
      </c>
      <c r="AC14" s="16">
        <v>-22.833819999999999</v>
      </c>
      <c r="AD14" s="16">
        <v>21.36993</v>
      </c>
      <c r="AE14" s="16">
        <v>4.0066199999999998</v>
      </c>
      <c r="AF14" s="16">
        <v>64.574950000000001</v>
      </c>
      <c r="AG14" s="16">
        <v>63.134869999999999</v>
      </c>
      <c r="AH14" s="16">
        <v>61.180317783398927</v>
      </c>
      <c r="AI14" s="46"/>
      <c r="AJ14" s="46"/>
      <c r="AK14" s="46"/>
      <c r="AL14" s="46"/>
      <c r="AM14" s="46"/>
      <c r="AN14" s="4"/>
      <c r="AO14" s="4"/>
      <c r="AP14" s="4"/>
      <c r="AQ14" s="4"/>
      <c r="AR14" s="4"/>
      <c r="AS14" s="4"/>
      <c r="AT14" s="4"/>
      <c r="AU14" s="4"/>
      <c r="AV14" s="4"/>
      <c r="AW14" s="4"/>
      <c r="AX14" s="4"/>
      <c r="AY14" s="4"/>
    </row>
    <row r="15" spans="1:51" ht="14.5" x14ac:dyDescent="0.35">
      <c r="A15" s="125">
        <f>YampaRiverInflow.TotalOutflow!A15</f>
        <v>46478</v>
      </c>
      <c r="B15" s="34">
        <v>22.577000000000002</v>
      </c>
      <c r="C15" s="12">
        <v>11.551</v>
      </c>
      <c r="D15" s="45">
        <v>19.73</v>
      </c>
      <c r="E15" s="16">
        <v>75.024360000000001</v>
      </c>
      <c r="F15" s="16">
        <v>159.47320999999999</v>
      </c>
      <c r="G15" s="16">
        <v>29.552319999999998</v>
      </c>
      <c r="H15" s="16">
        <v>81.07553999999999</v>
      </c>
      <c r="I15" s="16">
        <v>86.656300000000002</v>
      </c>
      <c r="J15" s="16">
        <v>38.537150000000004</v>
      </c>
      <c r="K15" s="16">
        <v>88.094770000000011</v>
      </c>
      <c r="L15" s="16">
        <v>-55.505400000000002</v>
      </c>
      <c r="M15" s="16">
        <v>-25.224409999999999</v>
      </c>
      <c r="N15" s="16">
        <v>-11.06203</v>
      </c>
      <c r="O15" s="16">
        <v>-40.472319999999996</v>
      </c>
      <c r="P15" s="16">
        <v>-8.5150300000000012</v>
      </c>
      <c r="Q15" s="16">
        <v>5.4860100000000003</v>
      </c>
      <c r="R15" s="16">
        <v>89.623949999999994</v>
      </c>
      <c r="S15" s="16">
        <v>5.5964700000000001</v>
      </c>
      <c r="T15" s="16">
        <v>-13.982229999999999</v>
      </c>
      <c r="U15" s="16">
        <v>-5.7306000000000008</v>
      </c>
      <c r="V15" s="16">
        <v>-15.20013</v>
      </c>
      <c r="W15" s="16">
        <v>34.876040000000003</v>
      </c>
      <c r="X15" s="16">
        <v>71.3001</v>
      </c>
      <c r="Y15" s="16">
        <v>20.61309</v>
      </c>
      <c r="Z15" s="16">
        <v>9.5076800000000006</v>
      </c>
      <c r="AA15" s="16">
        <v>-18.428540000000002</v>
      </c>
      <c r="AB15" s="16">
        <v>-11.481530000000001</v>
      </c>
      <c r="AC15" s="16">
        <v>17.488060000000001</v>
      </c>
      <c r="AD15" s="16">
        <v>42.204129999999999</v>
      </c>
      <c r="AE15" s="16">
        <v>-16.627680000000002</v>
      </c>
      <c r="AF15" s="16">
        <v>57.904980000000002</v>
      </c>
      <c r="AG15" s="16">
        <v>18.792390000000001</v>
      </c>
      <c r="AH15" s="16">
        <v>27.715374733300219</v>
      </c>
      <c r="AI15" s="46"/>
      <c r="AJ15" s="46"/>
      <c r="AK15" s="46"/>
      <c r="AL15" s="46"/>
      <c r="AM15" s="46"/>
      <c r="AN15" s="4"/>
      <c r="AO15" s="4"/>
      <c r="AP15" s="4"/>
      <c r="AQ15" s="4"/>
      <c r="AR15" s="4"/>
      <c r="AS15" s="4"/>
      <c r="AT15" s="4"/>
      <c r="AU15" s="4"/>
      <c r="AV15" s="4"/>
      <c r="AW15" s="4"/>
      <c r="AX15" s="4"/>
      <c r="AY15" s="4"/>
    </row>
    <row r="16" spans="1:51" ht="14.5" x14ac:dyDescent="0.35">
      <c r="A16" s="125">
        <f>YampaRiverInflow.TotalOutflow!A16</f>
        <v>46508</v>
      </c>
      <c r="B16" s="34">
        <v>6.93</v>
      </c>
      <c r="C16" s="12">
        <v>3.9740000000000002</v>
      </c>
      <c r="D16" s="45">
        <v>11.801</v>
      </c>
      <c r="E16" s="16">
        <v>50.254080000000002</v>
      </c>
      <c r="F16" s="16">
        <v>122.22750000000001</v>
      </c>
      <c r="G16" s="16">
        <v>45.130360000000003</v>
      </c>
      <c r="H16" s="16">
        <v>144.82448000000002</v>
      </c>
      <c r="I16" s="16">
        <v>15.857620000000001</v>
      </c>
      <c r="J16" s="16">
        <v>26.527619999999999</v>
      </c>
      <c r="K16" s="16">
        <v>112.01666</v>
      </c>
      <c r="L16" s="16">
        <v>5.9267599999999998</v>
      </c>
      <c r="M16" s="16">
        <v>-7.9631999999999996</v>
      </c>
      <c r="N16" s="16">
        <v>-10.182930000000001</v>
      </c>
      <c r="O16" s="16">
        <v>-18.910119999999999</v>
      </c>
      <c r="P16" s="16">
        <v>-5.1637899999999997</v>
      </c>
      <c r="Q16" s="16">
        <v>4.8523900000000006</v>
      </c>
      <c r="R16" s="16">
        <v>136.5727</v>
      </c>
      <c r="S16" s="16">
        <v>-17.06551</v>
      </c>
      <c r="T16" s="16">
        <v>-25.80247</v>
      </c>
      <c r="U16" s="16">
        <v>13.146979999999999</v>
      </c>
      <c r="V16" s="16">
        <v>9.7264300000000006</v>
      </c>
      <c r="W16" s="16">
        <v>41.096609999999998</v>
      </c>
      <c r="X16" s="16">
        <v>63.824849999999998</v>
      </c>
      <c r="Y16" s="16">
        <v>-6.9918699999999996</v>
      </c>
      <c r="Z16" s="16">
        <v>0.73799999999999999</v>
      </c>
      <c r="AA16" s="16">
        <v>-18.297540000000001</v>
      </c>
      <c r="AB16" s="16">
        <v>-12.214030000000001</v>
      </c>
      <c r="AC16" s="16">
        <v>9.0859300000000012</v>
      </c>
      <c r="AD16" s="16">
        <v>5.1340200000000005</v>
      </c>
      <c r="AE16" s="16">
        <v>-29.088660000000001</v>
      </c>
      <c r="AF16" s="16">
        <v>48.692149999999998</v>
      </c>
      <c r="AG16" s="16">
        <v>-11.59253</v>
      </c>
      <c r="AH16" s="16">
        <v>13.941845357980599</v>
      </c>
      <c r="AI16" s="46"/>
      <c r="AJ16" s="46"/>
      <c r="AK16" s="46"/>
      <c r="AL16" s="46"/>
      <c r="AM16" s="46"/>
      <c r="AN16" s="4"/>
      <c r="AO16" s="4"/>
      <c r="AP16" s="4"/>
      <c r="AQ16" s="4"/>
      <c r="AR16" s="4"/>
      <c r="AS16" s="4"/>
      <c r="AT16" s="4"/>
      <c r="AU16" s="4"/>
      <c r="AV16" s="4"/>
      <c r="AW16" s="4"/>
      <c r="AX16" s="4"/>
      <c r="AY16" s="4"/>
    </row>
    <row r="17" spans="1:51" ht="14.5" x14ac:dyDescent="0.35">
      <c r="A17" s="125">
        <f>YampaRiverInflow.TotalOutflow!A17</f>
        <v>46539</v>
      </c>
      <c r="B17" s="34">
        <v>8.8870000000000005</v>
      </c>
      <c r="C17" s="12">
        <v>6.2169999999999996</v>
      </c>
      <c r="D17" s="45">
        <v>-17.097999999999999</v>
      </c>
      <c r="E17" s="16">
        <v>0.77813999999999994</v>
      </c>
      <c r="F17" s="16">
        <v>11.42347</v>
      </c>
      <c r="G17" s="16">
        <v>-1.8183699999999998</v>
      </c>
      <c r="H17" s="16">
        <v>48.385210000000001</v>
      </c>
      <c r="I17" s="16">
        <v>10.9796</v>
      </c>
      <c r="J17" s="16">
        <v>-16.415560000000003</v>
      </c>
      <c r="K17" s="16">
        <v>59.579190000000004</v>
      </c>
      <c r="L17" s="16">
        <v>20.131820000000001</v>
      </c>
      <c r="M17" s="16">
        <v>-1.8760000000000002E-2</v>
      </c>
      <c r="N17" s="16">
        <v>-40.888860000000001</v>
      </c>
      <c r="O17" s="16">
        <v>-24.57798</v>
      </c>
      <c r="P17" s="16">
        <v>-41.014429999999997</v>
      </c>
      <c r="Q17" s="16">
        <v>-32.649230000000003</v>
      </c>
      <c r="R17" s="16">
        <v>31.118189999999998</v>
      </c>
      <c r="S17" s="16">
        <v>-16.25863</v>
      </c>
      <c r="T17" s="16">
        <v>-29.007360000000002</v>
      </c>
      <c r="U17" s="16">
        <v>15.05063</v>
      </c>
      <c r="V17" s="16">
        <v>-28.113409999999998</v>
      </c>
      <c r="W17" s="16">
        <v>-6.2963900000000006</v>
      </c>
      <c r="X17" s="16">
        <v>35.037300000000002</v>
      </c>
      <c r="Y17" s="16">
        <v>-16.40408</v>
      </c>
      <c r="Z17" s="16">
        <v>-27.575620000000001</v>
      </c>
      <c r="AA17" s="16">
        <v>-23.976099999999999</v>
      </c>
      <c r="AB17" s="16">
        <v>-8.1685800000000004</v>
      </c>
      <c r="AC17" s="16">
        <v>-18.756529999999998</v>
      </c>
      <c r="AD17" s="16">
        <v>-18.879729999999999</v>
      </c>
      <c r="AE17" s="16">
        <v>-18.7621</v>
      </c>
      <c r="AF17" s="16">
        <v>4.9375299999999998</v>
      </c>
      <c r="AG17" s="16">
        <v>-14.283790000000002</v>
      </c>
      <c r="AH17" s="16">
        <v>78.656605207787052</v>
      </c>
      <c r="AI17" s="46"/>
      <c r="AJ17" s="46"/>
      <c r="AK17" s="46"/>
      <c r="AL17" s="46"/>
      <c r="AM17" s="46"/>
      <c r="AN17" s="4"/>
      <c r="AO17" s="4"/>
      <c r="AP17" s="4"/>
      <c r="AQ17" s="4"/>
      <c r="AR17" s="4"/>
      <c r="AS17" s="4"/>
      <c r="AT17" s="4"/>
      <c r="AU17" s="4"/>
      <c r="AV17" s="4"/>
      <c r="AW17" s="4"/>
      <c r="AX17" s="4"/>
      <c r="AY17" s="4"/>
    </row>
    <row r="18" spans="1:51" ht="14.5" x14ac:dyDescent="0.35">
      <c r="A18" s="125">
        <f>YampaRiverInflow.TotalOutflow!A18</f>
        <v>46569</v>
      </c>
      <c r="B18" s="34">
        <v>20.102</v>
      </c>
      <c r="C18" s="12">
        <v>10.704000000000001</v>
      </c>
      <c r="D18" s="45">
        <v>9.3360000000000003</v>
      </c>
      <c r="E18" s="16">
        <v>27.880080000000003</v>
      </c>
      <c r="F18" s="16">
        <v>-8.3493899999999996</v>
      </c>
      <c r="G18" s="16">
        <v>20.232430000000001</v>
      </c>
      <c r="H18" s="16">
        <v>30.843540000000001</v>
      </c>
      <c r="I18" s="16">
        <v>41.040230000000001</v>
      </c>
      <c r="J18" s="16">
        <v>14.490680000000001</v>
      </c>
      <c r="K18" s="16">
        <v>75.778990000000007</v>
      </c>
      <c r="L18" s="16">
        <v>65.886160000000004</v>
      </c>
      <c r="M18" s="16">
        <v>-49.466929999999998</v>
      </c>
      <c r="N18" s="16">
        <v>-38.095980000000004</v>
      </c>
      <c r="O18" s="16">
        <v>-9.229239999999999</v>
      </c>
      <c r="P18" s="16">
        <v>-13.51318</v>
      </c>
      <c r="Q18" s="16">
        <v>-26.592950000000002</v>
      </c>
      <c r="R18" s="16">
        <v>24.434360000000002</v>
      </c>
      <c r="S18" s="16">
        <v>-13.056049999999999</v>
      </c>
      <c r="T18" s="16">
        <v>-8.1851199999999995</v>
      </c>
      <c r="U18" s="16">
        <v>-2.57158</v>
      </c>
      <c r="V18" s="16">
        <v>-30.264680000000002</v>
      </c>
      <c r="W18" s="16">
        <v>-36.50526</v>
      </c>
      <c r="X18" s="16">
        <v>7.3666599999999995</v>
      </c>
      <c r="Y18" s="16">
        <v>20.909459999999999</v>
      </c>
      <c r="Z18" s="16">
        <v>21.97174</v>
      </c>
      <c r="AA18" s="16">
        <v>-3.3679099999999997</v>
      </c>
      <c r="AB18" s="16">
        <v>5.8490699999999993</v>
      </c>
      <c r="AC18" s="16">
        <v>18.370330000000003</v>
      </c>
      <c r="AD18" s="16">
        <v>18.507080000000002</v>
      </c>
      <c r="AE18" s="16">
        <v>26.724900000000002</v>
      </c>
      <c r="AF18" s="16">
        <v>-54.714529999999996</v>
      </c>
      <c r="AG18" s="16">
        <v>-25.463419999999999</v>
      </c>
      <c r="AH18" s="16">
        <v>-6.2687281740997962</v>
      </c>
      <c r="AI18" s="46"/>
      <c r="AJ18" s="46"/>
      <c r="AK18" s="46"/>
      <c r="AL18" s="46"/>
      <c r="AM18" s="46"/>
      <c r="AN18" s="4"/>
      <c r="AO18" s="4"/>
      <c r="AP18" s="4"/>
      <c r="AQ18" s="4"/>
      <c r="AR18" s="4"/>
      <c r="AS18" s="4"/>
      <c r="AT18" s="4"/>
      <c r="AU18" s="4"/>
      <c r="AV18" s="4"/>
      <c r="AW18" s="4"/>
      <c r="AX18" s="4"/>
      <c r="AY18" s="4"/>
    </row>
    <row r="19" spans="1:51" ht="14.5" x14ac:dyDescent="0.35">
      <c r="A19" s="125">
        <f>YampaRiverInflow.TotalOutflow!A19</f>
        <v>46600</v>
      </c>
      <c r="B19" s="34">
        <v>32.247</v>
      </c>
      <c r="C19" s="12">
        <v>29.236000000000001</v>
      </c>
      <c r="D19" s="45">
        <v>37.031999999999996</v>
      </c>
      <c r="E19" s="16">
        <v>56.28331</v>
      </c>
      <c r="F19" s="16">
        <v>85.919169999999994</v>
      </c>
      <c r="G19" s="16">
        <v>47.941989999999997</v>
      </c>
      <c r="H19" s="16">
        <v>32.843679999999999</v>
      </c>
      <c r="I19" s="16">
        <v>9.41737</v>
      </c>
      <c r="J19" s="16">
        <v>73.407210000000006</v>
      </c>
      <c r="K19" s="16">
        <v>56.459800000000001</v>
      </c>
      <c r="L19" s="16">
        <v>48.113410000000002</v>
      </c>
      <c r="M19" s="16">
        <v>12.67862</v>
      </c>
      <c r="N19" s="16">
        <v>24.742099999999997</v>
      </c>
      <c r="O19" s="16">
        <v>-3.3823099999999999</v>
      </c>
      <c r="P19" s="16">
        <v>40.45872</v>
      </c>
      <c r="Q19" s="16">
        <v>7.9324300000000001</v>
      </c>
      <c r="R19" s="16">
        <v>46.411089999999994</v>
      </c>
      <c r="S19" s="16">
        <v>6.7395899999999997</v>
      </c>
      <c r="T19" s="16">
        <v>17.925740000000001</v>
      </c>
      <c r="U19" s="16">
        <v>17.421220000000002</v>
      </c>
      <c r="V19" s="16">
        <v>-3.9880599999999999</v>
      </c>
      <c r="W19" s="16">
        <v>-1.2442899999999999</v>
      </c>
      <c r="X19" s="16">
        <v>21.964880000000001</v>
      </c>
      <c r="Y19" s="16">
        <v>75.510499999999993</v>
      </c>
      <c r="Z19" s="16">
        <v>37.568370000000002</v>
      </c>
      <c r="AA19" s="16">
        <v>42.03425</v>
      </c>
      <c r="AB19" s="16">
        <v>42.976790000000001</v>
      </c>
      <c r="AC19" s="16">
        <v>38.019089999999998</v>
      </c>
      <c r="AD19" s="16">
        <v>12.330110000000001</v>
      </c>
      <c r="AE19" s="16">
        <v>11.853590000000001</v>
      </c>
      <c r="AF19" s="16">
        <v>-10.878549999999999</v>
      </c>
      <c r="AG19" s="16">
        <v>0.28339999999999999</v>
      </c>
      <c r="AH19" s="16">
        <v>51.813121174655578</v>
      </c>
      <c r="AI19" s="46"/>
      <c r="AJ19" s="46"/>
      <c r="AK19" s="46"/>
      <c r="AL19" s="46"/>
      <c r="AM19" s="46"/>
      <c r="AN19" s="4"/>
      <c r="AO19" s="4"/>
      <c r="AP19" s="4"/>
      <c r="AQ19" s="4"/>
      <c r="AR19" s="4"/>
      <c r="AS19" s="4"/>
      <c r="AT19" s="4"/>
      <c r="AU19" s="4"/>
      <c r="AV19" s="4"/>
      <c r="AW19" s="4"/>
      <c r="AX19" s="4"/>
      <c r="AY19" s="4"/>
    </row>
    <row r="20" spans="1:51" ht="14.5" x14ac:dyDescent="0.35">
      <c r="A20" s="125">
        <f>YampaRiverInflow.TotalOutflow!A20</f>
        <v>46631</v>
      </c>
      <c r="B20" s="34">
        <v>33.854999999999997</v>
      </c>
      <c r="C20" s="12">
        <v>25.785</v>
      </c>
      <c r="D20" s="45">
        <v>43.808999999999997</v>
      </c>
      <c r="E20" s="16">
        <v>64.577929999999995</v>
      </c>
      <c r="F20" s="16">
        <v>71.455939999999998</v>
      </c>
      <c r="G20" s="16">
        <v>58.154240000000001</v>
      </c>
      <c r="H20" s="16">
        <v>42.169260000000001</v>
      </c>
      <c r="I20" s="16">
        <v>18.811229999999998</v>
      </c>
      <c r="J20" s="16">
        <v>37.728870000000001</v>
      </c>
      <c r="K20" s="16">
        <v>102.28238999999999</v>
      </c>
      <c r="L20" s="16">
        <v>63.219099999999997</v>
      </c>
      <c r="M20" s="16">
        <v>-1.1670799999999999</v>
      </c>
      <c r="N20" s="16">
        <v>27.992830000000001</v>
      </c>
      <c r="O20" s="16">
        <v>55.190280000000001</v>
      </c>
      <c r="P20" s="16">
        <v>32.140479999999997</v>
      </c>
      <c r="Q20" s="16">
        <v>31.014310000000002</v>
      </c>
      <c r="R20" s="16">
        <v>29.221220000000002</v>
      </c>
      <c r="S20" s="16">
        <v>-5.8577599999999999</v>
      </c>
      <c r="T20" s="16">
        <v>13.77566</v>
      </c>
      <c r="U20" s="16">
        <v>20.98864</v>
      </c>
      <c r="V20" s="16">
        <v>9.6280200000000011</v>
      </c>
      <c r="W20" s="16">
        <v>25.324290000000001</v>
      </c>
      <c r="X20" s="16">
        <v>17.578880000000002</v>
      </c>
      <c r="Y20" s="16">
        <v>49.973109999999998</v>
      </c>
      <c r="Z20" s="16">
        <v>68.102980000000002</v>
      </c>
      <c r="AA20" s="16">
        <v>84.069659999999999</v>
      </c>
      <c r="AB20" s="16">
        <v>26.646470000000001</v>
      </c>
      <c r="AC20" s="16">
        <v>42.182259999999999</v>
      </c>
      <c r="AD20" s="16">
        <v>36.151679999999999</v>
      </c>
      <c r="AE20" s="16">
        <v>18.166060000000002</v>
      </c>
      <c r="AF20" s="16">
        <v>17.873080000000002</v>
      </c>
      <c r="AG20" s="16">
        <v>4.9049300000000002</v>
      </c>
      <c r="AH20" s="16">
        <v>64.526982142959554</v>
      </c>
      <c r="AI20" s="46"/>
      <c r="AJ20" s="46"/>
      <c r="AK20" s="46"/>
      <c r="AL20" s="46"/>
      <c r="AM20" s="46"/>
      <c r="AN20" s="4"/>
      <c r="AO20" s="4"/>
      <c r="AP20" s="4"/>
      <c r="AQ20" s="4"/>
      <c r="AR20" s="4"/>
      <c r="AS20" s="4"/>
      <c r="AT20" s="4"/>
      <c r="AU20" s="4"/>
      <c r="AV20" s="4"/>
      <c r="AW20" s="4"/>
      <c r="AX20" s="4"/>
      <c r="AY20" s="4"/>
    </row>
    <row r="21" spans="1:51" ht="14.5" x14ac:dyDescent="0.35">
      <c r="A21" s="125">
        <f>YampaRiverInflow.TotalOutflow!A21</f>
        <v>46661</v>
      </c>
      <c r="B21" s="34">
        <v>23.17</v>
      </c>
      <c r="C21" s="12">
        <v>23.17</v>
      </c>
      <c r="D21" s="45">
        <v>23.17</v>
      </c>
      <c r="E21" s="16">
        <v>75.222429999999989</v>
      </c>
      <c r="F21" s="16">
        <v>44.385730000000002</v>
      </c>
      <c r="G21" s="16">
        <v>47.589800000000004</v>
      </c>
      <c r="H21" s="16">
        <v>34.997630000000001</v>
      </c>
      <c r="I21" s="16">
        <v>11.211030000000001</v>
      </c>
      <c r="J21" s="16">
        <v>19.502970000000001</v>
      </c>
      <c r="K21" s="16">
        <v>54.718679999999999</v>
      </c>
      <c r="L21" s="16">
        <v>17.3261</v>
      </c>
      <c r="M21" s="16">
        <v>33.096730000000001</v>
      </c>
      <c r="N21" s="16">
        <v>7.0241199999999999</v>
      </c>
      <c r="O21" s="16">
        <v>38.168879999999994</v>
      </c>
      <c r="P21" s="16">
        <v>-0.32697000000000004</v>
      </c>
      <c r="Q21" s="16">
        <v>84.070039999999992</v>
      </c>
      <c r="R21" s="16">
        <v>20.03706</v>
      </c>
      <c r="S21" s="16">
        <v>40.291160000000005</v>
      </c>
      <c r="T21" s="16">
        <v>11.96547</v>
      </c>
      <c r="U21" s="16">
        <v>9.7060499999999994</v>
      </c>
      <c r="V21" s="16">
        <v>-4.8878300000000001</v>
      </c>
      <c r="W21" s="16">
        <v>42.031129999999997</v>
      </c>
      <c r="X21" s="16">
        <v>22.63785</v>
      </c>
      <c r="Y21" s="16">
        <v>39.329860000000004</v>
      </c>
      <c r="Z21" s="16">
        <v>28.046230000000001</v>
      </c>
      <c r="AA21" s="16">
        <v>21.405650000000001</v>
      </c>
      <c r="AB21" s="16">
        <v>63.749839999999999</v>
      </c>
      <c r="AC21" s="16">
        <v>50.552589999999995</v>
      </c>
      <c r="AD21" s="16">
        <v>35.498150000000003</v>
      </c>
      <c r="AE21" s="16">
        <v>22.665689999999998</v>
      </c>
      <c r="AF21" s="16">
        <v>13.309760000000001</v>
      </c>
      <c r="AG21" s="16">
        <v>-5.9156000000000004</v>
      </c>
      <c r="AH21" s="16">
        <v>26.268479665397614</v>
      </c>
      <c r="AI21" s="46"/>
      <c r="AJ21" s="46"/>
      <c r="AK21" s="46"/>
      <c r="AL21" s="46"/>
      <c r="AM21" s="46"/>
      <c r="AN21" s="4"/>
      <c r="AO21" s="4"/>
      <c r="AP21" s="4"/>
      <c r="AQ21" s="4"/>
      <c r="AR21" s="4"/>
      <c r="AS21" s="4"/>
      <c r="AT21" s="4"/>
      <c r="AU21" s="4"/>
      <c r="AV21" s="4"/>
      <c r="AW21" s="4"/>
      <c r="AX21" s="4"/>
      <c r="AY21" s="4"/>
    </row>
    <row r="22" spans="1:51" ht="14.5" x14ac:dyDescent="0.35">
      <c r="A22" s="125">
        <f>YampaRiverInflow.TotalOutflow!A22</f>
        <v>46692</v>
      </c>
      <c r="B22" s="34">
        <v>17.687000000000001</v>
      </c>
      <c r="C22" s="12">
        <v>17.687000000000001</v>
      </c>
      <c r="D22" s="45">
        <v>17.687000000000001</v>
      </c>
      <c r="E22" s="16">
        <v>41.368510000000001</v>
      </c>
      <c r="F22" s="16">
        <v>54.319510000000001</v>
      </c>
      <c r="G22" s="16">
        <v>11.286760000000001</v>
      </c>
      <c r="H22" s="16">
        <v>42.111879999999999</v>
      </c>
      <c r="I22" s="16">
        <v>49.319809999999997</v>
      </c>
      <c r="J22" s="16">
        <v>62.6631</v>
      </c>
      <c r="K22" s="16">
        <v>57.306669999999997</v>
      </c>
      <c r="L22" s="16">
        <v>20.52073</v>
      </c>
      <c r="M22" s="16">
        <v>2.0303399999999998</v>
      </c>
      <c r="N22" s="16">
        <v>10.25154</v>
      </c>
      <c r="O22" s="16">
        <v>11.652959999999998</v>
      </c>
      <c r="P22" s="16">
        <v>18.590709999999998</v>
      </c>
      <c r="Q22" s="16">
        <v>93.237679999999997</v>
      </c>
      <c r="R22" s="16">
        <v>8.5751200000000001</v>
      </c>
      <c r="S22" s="16">
        <v>14.65644</v>
      </c>
      <c r="T22" s="16">
        <v>33.630459999999999</v>
      </c>
      <c r="U22" s="16">
        <v>27.760300000000001</v>
      </c>
      <c r="V22" s="16">
        <v>11.286379999999999</v>
      </c>
      <c r="W22" s="16">
        <v>-14.38903</v>
      </c>
      <c r="X22" s="16">
        <v>11.00366</v>
      </c>
      <c r="Y22" s="16">
        <v>30.656770000000002</v>
      </c>
      <c r="Z22" s="16">
        <v>78.433350000000004</v>
      </c>
      <c r="AA22" s="16">
        <v>20.926279999999998</v>
      </c>
      <c r="AB22" s="16">
        <v>17.11955</v>
      </c>
      <c r="AC22" s="16">
        <v>49.568680000000001</v>
      </c>
      <c r="AD22" s="16">
        <v>30.38326</v>
      </c>
      <c r="AE22" s="16">
        <v>41.949339999999999</v>
      </c>
      <c r="AF22" s="16">
        <v>90.300280000000001</v>
      </c>
      <c r="AG22" s="16">
        <v>25.237020000000001</v>
      </c>
      <c r="AH22" s="16">
        <v>26.017717809976254</v>
      </c>
      <c r="AI22" s="46"/>
      <c r="AJ22" s="46"/>
      <c r="AK22" s="46"/>
      <c r="AL22" s="46"/>
      <c r="AM22" s="46"/>
      <c r="AN22" s="4"/>
      <c r="AO22" s="4"/>
      <c r="AP22" s="4"/>
      <c r="AQ22" s="4"/>
      <c r="AR22" s="4"/>
      <c r="AS22" s="4"/>
      <c r="AT22" s="4"/>
      <c r="AU22" s="4"/>
      <c r="AV22" s="4"/>
      <c r="AW22" s="4"/>
      <c r="AX22" s="4"/>
      <c r="AY22" s="4"/>
    </row>
    <row r="23" spans="1:51" ht="14.5" x14ac:dyDescent="0.35">
      <c r="A23" s="125">
        <f>YampaRiverInflow.TotalOutflow!A23</f>
        <v>46722</v>
      </c>
      <c r="B23" s="34">
        <v>39.872999999999998</v>
      </c>
      <c r="C23" s="12">
        <v>39.872999999999998</v>
      </c>
      <c r="D23" s="45">
        <v>39.872999999999998</v>
      </c>
      <c r="E23" s="16">
        <v>94.61439</v>
      </c>
      <c r="F23" s="16">
        <v>57.228949999999998</v>
      </c>
      <c r="G23" s="16">
        <v>76.772750000000002</v>
      </c>
      <c r="H23" s="16">
        <v>23.632810000000003</v>
      </c>
      <c r="I23" s="16">
        <v>26.613599999999998</v>
      </c>
      <c r="J23" s="16">
        <v>20.40418</v>
      </c>
      <c r="K23" s="16">
        <v>6.7861099999999999</v>
      </c>
      <c r="L23" s="16">
        <v>7.0875000000000004</v>
      </c>
      <c r="M23" s="16">
        <v>18.854099999999999</v>
      </c>
      <c r="N23" s="16">
        <v>35.589959999999998</v>
      </c>
      <c r="O23" s="16">
        <v>26.338159999999998</v>
      </c>
      <c r="P23" s="16">
        <v>20.191050000000001</v>
      </c>
      <c r="Q23" s="16">
        <v>74.97139</v>
      </c>
      <c r="R23" s="16">
        <v>11.51708</v>
      </c>
      <c r="S23" s="16">
        <v>-4.6183199999999998</v>
      </c>
      <c r="T23" s="16">
        <v>27.153869999999998</v>
      </c>
      <c r="U23" s="16">
        <v>22.050689999999999</v>
      </c>
      <c r="V23" s="16">
        <v>10.000299999999999</v>
      </c>
      <c r="W23" s="16">
        <v>200.48664000000002</v>
      </c>
      <c r="X23" s="16">
        <v>49.498660000000001</v>
      </c>
      <c r="Y23" s="16">
        <v>30.962709999999998</v>
      </c>
      <c r="Z23" s="16">
        <v>25.01275</v>
      </c>
      <c r="AA23" s="16">
        <v>10.133760000000001</v>
      </c>
      <c r="AB23" s="16">
        <v>15.85665</v>
      </c>
      <c r="AC23" s="16">
        <v>14.69364</v>
      </c>
      <c r="AD23" s="16">
        <v>24.777099999999997</v>
      </c>
      <c r="AE23" s="16">
        <v>25.998349999999999</v>
      </c>
      <c r="AF23" s="16">
        <v>73.964010000000002</v>
      </c>
      <c r="AG23" s="16">
        <v>39.270139999999998</v>
      </c>
      <c r="AH23" s="16">
        <v>58.229954837951695</v>
      </c>
      <c r="AI23" s="46"/>
      <c r="AJ23" s="46"/>
      <c r="AK23" s="46"/>
      <c r="AL23" s="46"/>
      <c r="AM23" s="46"/>
      <c r="AN23" s="4"/>
      <c r="AO23" s="4"/>
      <c r="AP23" s="4"/>
      <c r="AQ23" s="4"/>
      <c r="AR23" s="4"/>
      <c r="AS23" s="4"/>
      <c r="AT23" s="4"/>
      <c r="AU23" s="4"/>
      <c r="AV23" s="4"/>
      <c r="AW23" s="4"/>
      <c r="AX23" s="4"/>
      <c r="AY23" s="4"/>
    </row>
    <row r="24" spans="1:51" ht="14.5" x14ac:dyDescent="0.35">
      <c r="A24" s="125">
        <f>YampaRiverInflow.TotalOutflow!A24</f>
        <v>46753</v>
      </c>
      <c r="B24" s="34">
        <v>38.064</v>
      </c>
      <c r="C24" s="12">
        <v>38.064</v>
      </c>
      <c r="D24" s="45">
        <v>38.064</v>
      </c>
      <c r="E24" s="16">
        <v>209.91325000000001</v>
      </c>
      <c r="F24" s="16">
        <v>68.707340000000002</v>
      </c>
      <c r="G24" s="16">
        <v>147.14017999999999</v>
      </c>
      <c r="H24" s="16">
        <v>12.95735</v>
      </c>
      <c r="I24" s="16">
        <v>43.173999999999999</v>
      </c>
      <c r="J24" s="16">
        <v>43.572859999999999</v>
      </c>
      <c r="K24" s="16">
        <v>40.911610000000003</v>
      </c>
      <c r="L24" s="16">
        <v>13.873209999999998</v>
      </c>
      <c r="M24" s="16">
        <v>43.65607</v>
      </c>
      <c r="N24" s="16">
        <v>8.8752700000000004</v>
      </c>
      <c r="O24" s="16">
        <v>27.946300000000001</v>
      </c>
      <c r="P24" s="16">
        <v>3.3895900000000001</v>
      </c>
      <c r="Q24" s="16">
        <v>303.37369000000001</v>
      </c>
      <c r="R24" s="16">
        <v>12.219719999999999</v>
      </c>
      <c r="S24" s="16">
        <v>-9.3584500000000013</v>
      </c>
      <c r="T24" s="16">
        <v>28.872540000000001</v>
      </c>
      <c r="U24" s="16">
        <v>4.9805900000000003</v>
      </c>
      <c r="V24" s="16">
        <v>53.234699999999997</v>
      </c>
      <c r="W24" s="16">
        <v>36.51267</v>
      </c>
      <c r="X24" s="16">
        <v>15.039200000000001</v>
      </c>
      <c r="Y24" s="16">
        <v>13.099450000000001</v>
      </c>
      <c r="Z24" s="16">
        <v>6.7984099999999996</v>
      </c>
      <c r="AA24" s="16">
        <v>21.993320000000001</v>
      </c>
      <c r="AB24" s="16">
        <v>41.238190000000003</v>
      </c>
      <c r="AC24" s="16">
        <v>58.881329999999998</v>
      </c>
      <c r="AD24" s="16">
        <v>49.533120000000004</v>
      </c>
      <c r="AE24" s="16">
        <v>48.656099999999995</v>
      </c>
      <c r="AF24" s="16">
        <v>36.149560000000001</v>
      </c>
      <c r="AG24" s="16">
        <v>28.502187496324908</v>
      </c>
      <c r="AH24" s="16">
        <v>66.377511872836507</v>
      </c>
      <c r="AI24" s="46"/>
      <c r="AJ24" s="46"/>
      <c r="AK24" s="46"/>
      <c r="AL24" s="46"/>
      <c r="AM24" s="46"/>
      <c r="AN24" s="4"/>
      <c r="AO24" s="4"/>
      <c r="AP24" s="4"/>
      <c r="AQ24" s="4"/>
      <c r="AR24" s="4"/>
      <c r="AS24" s="4"/>
      <c r="AT24" s="4"/>
      <c r="AU24" s="4"/>
      <c r="AV24" s="4"/>
      <c r="AW24" s="4"/>
      <c r="AX24" s="4"/>
      <c r="AY24" s="4"/>
    </row>
    <row r="25" spans="1:51" ht="14.5" x14ac:dyDescent="0.35">
      <c r="A25" s="125">
        <f>YampaRiverInflow.TotalOutflow!A25</f>
        <v>46784</v>
      </c>
      <c r="B25" s="34">
        <v>28.969000000000001</v>
      </c>
      <c r="C25" s="12">
        <v>28.969000000000001</v>
      </c>
      <c r="D25" s="45">
        <v>28.969000000000001</v>
      </c>
      <c r="E25" s="16">
        <v>211.77466000000001</v>
      </c>
      <c r="F25" s="16">
        <v>63.109250000000003</v>
      </c>
      <c r="G25" s="16">
        <v>89.958119999999994</v>
      </c>
      <c r="H25" s="16">
        <v>24.910400000000003</v>
      </c>
      <c r="I25" s="16">
        <v>-4.8160100000000003</v>
      </c>
      <c r="J25" s="16">
        <v>73.336060000000003</v>
      </c>
      <c r="K25" s="16">
        <v>36.586980000000004</v>
      </c>
      <c r="L25" s="16">
        <v>21.691119999999998</v>
      </c>
      <c r="M25" s="16">
        <v>36.689769999999996</v>
      </c>
      <c r="N25" s="16">
        <v>4.0654399999999997</v>
      </c>
      <c r="O25" s="16">
        <v>38.304220000000001</v>
      </c>
      <c r="P25" s="16">
        <v>19.567259999999997</v>
      </c>
      <c r="Q25" s="16">
        <v>194.10926000000001</v>
      </c>
      <c r="R25" s="16">
        <v>10.566690000000001</v>
      </c>
      <c r="S25" s="16">
        <v>18.006209999999999</v>
      </c>
      <c r="T25" s="16">
        <v>42.33981</v>
      </c>
      <c r="U25" s="16">
        <v>29.493419999999997</v>
      </c>
      <c r="V25" s="16">
        <v>57.446640000000002</v>
      </c>
      <c r="W25" s="16">
        <v>36.949750000000002</v>
      </c>
      <c r="X25" s="16">
        <v>19.886479999999999</v>
      </c>
      <c r="Y25" s="16">
        <v>30.005659999999999</v>
      </c>
      <c r="Z25" s="16">
        <v>35.553809999999999</v>
      </c>
      <c r="AA25" s="16">
        <v>40.773769999999999</v>
      </c>
      <c r="AB25" s="16">
        <v>31.995979999999999</v>
      </c>
      <c r="AC25" s="16">
        <v>74.449780000000004</v>
      </c>
      <c r="AD25" s="16">
        <v>14.88969</v>
      </c>
      <c r="AE25" s="16">
        <v>39.650980000000004</v>
      </c>
      <c r="AF25" s="16">
        <v>14.91981</v>
      </c>
      <c r="AG25" s="16">
        <v>53.503218596593655</v>
      </c>
      <c r="AH25" s="16">
        <v>97.944624983882534</v>
      </c>
      <c r="AI25" s="46"/>
      <c r="AJ25" s="46"/>
      <c r="AK25" s="46"/>
      <c r="AL25" s="46"/>
      <c r="AM25" s="46"/>
      <c r="AN25" s="4"/>
      <c r="AO25" s="4"/>
      <c r="AP25" s="4"/>
      <c r="AQ25" s="4"/>
      <c r="AR25" s="4"/>
      <c r="AS25" s="4"/>
      <c r="AT25" s="4"/>
      <c r="AU25" s="4"/>
      <c r="AV25" s="4"/>
      <c r="AW25" s="4"/>
      <c r="AX25" s="4"/>
      <c r="AY25" s="4"/>
    </row>
    <row r="26" spans="1:51" ht="14.5" x14ac:dyDescent="0.35">
      <c r="A26" s="125">
        <f>YampaRiverInflow.TotalOutflow!A26</f>
        <v>46813</v>
      </c>
      <c r="B26" s="34">
        <v>20.625</v>
      </c>
      <c r="C26" s="12">
        <v>20.625</v>
      </c>
      <c r="D26" s="45">
        <v>20.625</v>
      </c>
      <c r="E26" s="16">
        <v>224.96581</v>
      </c>
      <c r="F26" s="16">
        <v>44.835190000000004</v>
      </c>
      <c r="G26" s="16">
        <v>177.33817000000002</v>
      </c>
      <c r="H26" s="16">
        <v>-56.693550000000002</v>
      </c>
      <c r="I26" s="16">
        <v>37.615089999999995</v>
      </c>
      <c r="J26" s="16">
        <v>83.826080000000005</v>
      </c>
      <c r="K26" s="16">
        <v>-9.628680000000001</v>
      </c>
      <c r="L26" s="16">
        <v>-8.9868500000000004</v>
      </c>
      <c r="M26" s="16">
        <v>31.59817</v>
      </c>
      <c r="N26" s="16">
        <v>-31.764150000000001</v>
      </c>
      <c r="O26" s="16">
        <v>8.1977799999999998</v>
      </c>
      <c r="P26" s="16">
        <v>-4.6275300000000001</v>
      </c>
      <c r="Q26" s="16">
        <v>107.54282000000001</v>
      </c>
      <c r="R26" s="16">
        <v>18.535509999999999</v>
      </c>
      <c r="S26" s="16">
        <v>-8.2876000000000012</v>
      </c>
      <c r="T26" s="16">
        <v>9.9111000000000011</v>
      </c>
      <c r="U26" s="16">
        <v>-22.678090000000001</v>
      </c>
      <c r="V26" s="16">
        <v>14.65991</v>
      </c>
      <c r="W26" s="16">
        <v>17.707439999999998</v>
      </c>
      <c r="X26" s="16">
        <v>9.1945100000000011</v>
      </c>
      <c r="Y26" s="16">
        <v>12.195319999999999</v>
      </c>
      <c r="Z26" s="16">
        <v>-13.04682</v>
      </c>
      <c r="AA26" s="16">
        <v>5.0683699999999998</v>
      </c>
      <c r="AB26" s="16">
        <v>-22.833819999999999</v>
      </c>
      <c r="AC26" s="16">
        <v>21.36993</v>
      </c>
      <c r="AD26" s="16">
        <v>4.0066199999999998</v>
      </c>
      <c r="AE26" s="16">
        <v>64.574950000000001</v>
      </c>
      <c r="AF26" s="16">
        <v>63.134869999999999</v>
      </c>
      <c r="AG26" s="16">
        <v>61.180317783398927</v>
      </c>
      <c r="AH26" s="16">
        <v>128.26726604236279</v>
      </c>
      <c r="AI26" s="46"/>
      <c r="AJ26" s="46"/>
      <c r="AK26" s="46"/>
      <c r="AL26" s="46"/>
      <c r="AM26" s="46"/>
      <c r="AN26" s="4"/>
      <c r="AO26" s="4"/>
      <c r="AP26" s="4"/>
      <c r="AQ26" s="4"/>
      <c r="AR26" s="4"/>
      <c r="AS26" s="4"/>
      <c r="AT26" s="4"/>
      <c r="AU26" s="4"/>
      <c r="AV26" s="4"/>
      <c r="AW26" s="4"/>
      <c r="AX26" s="4"/>
      <c r="AY26" s="4"/>
    </row>
    <row r="27" spans="1:51" ht="14.5" x14ac:dyDescent="0.35">
      <c r="A27" s="125">
        <f>YampaRiverInflow.TotalOutflow!A27</f>
        <v>46844</v>
      </c>
      <c r="B27" s="34">
        <v>19.73</v>
      </c>
      <c r="C27" s="12">
        <v>19.73</v>
      </c>
      <c r="D27" s="45">
        <v>19.73</v>
      </c>
      <c r="E27" s="16">
        <v>159.47320999999999</v>
      </c>
      <c r="F27" s="16">
        <v>29.552319999999998</v>
      </c>
      <c r="G27" s="16">
        <v>81.07553999999999</v>
      </c>
      <c r="H27" s="16">
        <v>86.656300000000002</v>
      </c>
      <c r="I27" s="16">
        <v>38.537150000000004</v>
      </c>
      <c r="J27" s="16">
        <v>88.094770000000011</v>
      </c>
      <c r="K27" s="16">
        <v>-55.505400000000002</v>
      </c>
      <c r="L27" s="16">
        <v>-25.224409999999999</v>
      </c>
      <c r="M27" s="16">
        <v>-11.06203</v>
      </c>
      <c r="N27" s="16">
        <v>-40.472319999999996</v>
      </c>
      <c r="O27" s="16">
        <v>-8.5150300000000012</v>
      </c>
      <c r="P27" s="16">
        <v>5.4860100000000003</v>
      </c>
      <c r="Q27" s="16">
        <v>89.623949999999994</v>
      </c>
      <c r="R27" s="16">
        <v>5.5964700000000001</v>
      </c>
      <c r="S27" s="16">
        <v>-13.982229999999999</v>
      </c>
      <c r="T27" s="16">
        <v>-5.7306000000000008</v>
      </c>
      <c r="U27" s="16">
        <v>-15.20013</v>
      </c>
      <c r="V27" s="16">
        <v>34.876040000000003</v>
      </c>
      <c r="W27" s="16">
        <v>71.3001</v>
      </c>
      <c r="X27" s="16">
        <v>20.61309</v>
      </c>
      <c r="Y27" s="16">
        <v>9.5076800000000006</v>
      </c>
      <c r="Z27" s="16">
        <v>-18.428540000000002</v>
      </c>
      <c r="AA27" s="16">
        <v>-11.481530000000001</v>
      </c>
      <c r="AB27" s="16">
        <v>17.488060000000001</v>
      </c>
      <c r="AC27" s="16">
        <v>42.204129999999999</v>
      </c>
      <c r="AD27" s="16">
        <v>-16.627680000000002</v>
      </c>
      <c r="AE27" s="16">
        <v>57.904980000000002</v>
      </c>
      <c r="AF27" s="16">
        <v>18.792390000000001</v>
      </c>
      <c r="AG27" s="16">
        <v>27.715374733300219</v>
      </c>
      <c r="AH27" s="16">
        <v>73.575185829979745</v>
      </c>
      <c r="AI27" s="46"/>
      <c r="AJ27" s="46"/>
      <c r="AK27" s="46"/>
      <c r="AL27" s="46"/>
      <c r="AM27" s="46"/>
      <c r="AN27" s="4"/>
      <c r="AO27" s="4"/>
      <c r="AP27" s="4"/>
      <c r="AQ27" s="4"/>
      <c r="AR27" s="4"/>
      <c r="AS27" s="4"/>
      <c r="AT27" s="4"/>
      <c r="AU27" s="4"/>
      <c r="AV27" s="4"/>
      <c r="AW27" s="4"/>
      <c r="AX27" s="4"/>
      <c r="AY27" s="4"/>
    </row>
    <row r="28" spans="1:51" ht="14.5" x14ac:dyDescent="0.35">
      <c r="A28" s="125">
        <f>YampaRiverInflow.TotalOutflow!A28</f>
        <v>46874</v>
      </c>
      <c r="B28" s="34">
        <v>11.801</v>
      </c>
      <c r="C28" s="12">
        <v>11.801</v>
      </c>
      <c r="D28" s="45">
        <v>11.801</v>
      </c>
      <c r="E28" s="16">
        <v>122.22750000000001</v>
      </c>
      <c r="F28" s="16">
        <v>45.130360000000003</v>
      </c>
      <c r="G28" s="16">
        <v>144.82448000000002</v>
      </c>
      <c r="H28" s="16">
        <v>15.857620000000001</v>
      </c>
      <c r="I28" s="16">
        <v>26.527619999999999</v>
      </c>
      <c r="J28" s="16">
        <v>112.01666</v>
      </c>
      <c r="K28" s="16">
        <v>5.9267599999999998</v>
      </c>
      <c r="L28" s="16">
        <v>-7.9631999999999996</v>
      </c>
      <c r="M28" s="16">
        <v>-10.182930000000001</v>
      </c>
      <c r="N28" s="16">
        <v>-18.910119999999999</v>
      </c>
      <c r="O28" s="16">
        <v>-5.1637899999999997</v>
      </c>
      <c r="P28" s="16">
        <v>4.8523900000000006</v>
      </c>
      <c r="Q28" s="16">
        <v>136.5727</v>
      </c>
      <c r="R28" s="16">
        <v>-17.06551</v>
      </c>
      <c r="S28" s="16">
        <v>-25.80247</v>
      </c>
      <c r="T28" s="16">
        <v>13.146979999999999</v>
      </c>
      <c r="U28" s="16">
        <v>9.7264300000000006</v>
      </c>
      <c r="V28" s="16">
        <v>41.096609999999998</v>
      </c>
      <c r="W28" s="16">
        <v>63.824849999999998</v>
      </c>
      <c r="X28" s="16">
        <v>-6.9918699999999996</v>
      </c>
      <c r="Y28" s="16">
        <v>0.73799999999999999</v>
      </c>
      <c r="Z28" s="16">
        <v>-18.297540000000001</v>
      </c>
      <c r="AA28" s="16">
        <v>-12.214030000000001</v>
      </c>
      <c r="AB28" s="16">
        <v>9.0859300000000012</v>
      </c>
      <c r="AC28" s="16">
        <v>5.1340200000000005</v>
      </c>
      <c r="AD28" s="16">
        <v>-29.088660000000001</v>
      </c>
      <c r="AE28" s="16">
        <v>48.692149999999998</v>
      </c>
      <c r="AF28" s="16">
        <v>-11.59253</v>
      </c>
      <c r="AG28" s="16">
        <v>13.941845357980599</v>
      </c>
      <c r="AH28" s="16">
        <v>50.616735034495079</v>
      </c>
      <c r="AI28" s="46"/>
      <c r="AJ28" s="46"/>
      <c r="AK28" s="46"/>
      <c r="AL28" s="46"/>
      <c r="AM28" s="46"/>
      <c r="AN28" s="4"/>
      <c r="AO28" s="4"/>
      <c r="AP28" s="4"/>
      <c r="AQ28" s="4"/>
      <c r="AR28" s="4"/>
      <c r="AS28" s="4"/>
      <c r="AT28" s="4"/>
      <c r="AU28" s="4"/>
      <c r="AV28" s="4"/>
      <c r="AW28" s="4"/>
      <c r="AX28" s="4"/>
      <c r="AY28" s="4"/>
    </row>
    <row r="29" spans="1:51" ht="14.5" x14ac:dyDescent="0.35">
      <c r="A29" s="125">
        <f>YampaRiverInflow.TotalOutflow!A29</f>
        <v>46905</v>
      </c>
      <c r="B29" s="34">
        <v>-17.097999999999999</v>
      </c>
      <c r="C29" s="12">
        <v>-17.097999999999999</v>
      </c>
      <c r="D29" s="45">
        <v>-17.097999999999999</v>
      </c>
      <c r="E29" s="16">
        <v>11.42347</v>
      </c>
      <c r="F29" s="16">
        <v>-1.8183699999999998</v>
      </c>
      <c r="G29" s="16">
        <v>48.385210000000001</v>
      </c>
      <c r="H29" s="16">
        <v>10.9796</v>
      </c>
      <c r="I29" s="16">
        <v>-16.415560000000003</v>
      </c>
      <c r="J29" s="16">
        <v>59.579190000000004</v>
      </c>
      <c r="K29" s="16">
        <v>20.131820000000001</v>
      </c>
      <c r="L29" s="16">
        <v>-1.8760000000000002E-2</v>
      </c>
      <c r="M29" s="16">
        <v>-40.888860000000001</v>
      </c>
      <c r="N29" s="16">
        <v>-24.57798</v>
      </c>
      <c r="O29" s="16">
        <v>-41.014429999999997</v>
      </c>
      <c r="P29" s="16">
        <v>-32.649230000000003</v>
      </c>
      <c r="Q29" s="16">
        <v>31.118189999999998</v>
      </c>
      <c r="R29" s="16">
        <v>-16.25863</v>
      </c>
      <c r="S29" s="16">
        <v>-29.007360000000002</v>
      </c>
      <c r="T29" s="16">
        <v>15.05063</v>
      </c>
      <c r="U29" s="16">
        <v>-28.113409999999998</v>
      </c>
      <c r="V29" s="16">
        <v>-6.2963900000000006</v>
      </c>
      <c r="W29" s="16">
        <v>35.037300000000002</v>
      </c>
      <c r="X29" s="16">
        <v>-16.40408</v>
      </c>
      <c r="Y29" s="16">
        <v>-27.575620000000001</v>
      </c>
      <c r="Z29" s="16">
        <v>-23.976099999999999</v>
      </c>
      <c r="AA29" s="16">
        <v>-8.1685800000000004</v>
      </c>
      <c r="AB29" s="16">
        <v>-18.756529999999998</v>
      </c>
      <c r="AC29" s="16">
        <v>-18.879729999999999</v>
      </c>
      <c r="AD29" s="16">
        <v>-18.7621</v>
      </c>
      <c r="AE29" s="16">
        <v>4.9375299999999998</v>
      </c>
      <c r="AF29" s="16">
        <v>-14.283790000000002</v>
      </c>
      <c r="AG29" s="16">
        <v>78.656605207787052</v>
      </c>
      <c r="AH29" s="16">
        <v>0.79443608718219216</v>
      </c>
      <c r="AI29" s="46"/>
      <c r="AJ29" s="46"/>
      <c r="AK29" s="46"/>
      <c r="AL29" s="46"/>
      <c r="AM29" s="46"/>
      <c r="AN29" s="4"/>
      <c r="AO29" s="4"/>
      <c r="AP29" s="4"/>
      <c r="AQ29" s="4"/>
      <c r="AR29" s="4"/>
      <c r="AS29" s="4"/>
      <c r="AT29" s="4"/>
      <c r="AU29" s="4"/>
      <c r="AV29" s="4"/>
      <c r="AW29" s="4"/>
      <c r="AX29" s="4"/>
      <c r="AY29" s="4"/>
    </row>
    <row r="30" spans="1:51" ht="14.5" x14ac:dyDescent="0.35">
      <c r="A30" s="125">
        <f>YampaRiverInflow.TotalOutflow!A30</f>
        <v>46935</v>
      </c>
      <c r="B30" s="34">
        <v>9.3360000000000003</v>
      </c>
      <c r="C30" s="12">
        <v>9.3360000000000003</v>
      </c>
      <c r="D30" s="45">
        <v>9.3360000000000003</v>
      </c>
      <c r="E30" s="16">
        <v>-8.3493899999999996</v>
      </c>
      <c r="F30" s="16">
        <v>20.232430000000001</v>
      </c>
      <c r="G30" s="16">
        <v>30.843540000000001</v>
      </c>
      <c r="H30" s="16">
        <v>41.040230000000001</v>
      </c>
      <c r="I30" s="16">
        <v>14.490680000000001</v>
      </c>
      <c r="J30" s="16">
        <v>75.778990000000007</v>
      </c>
      <c r="K30" s="16">
        <v>65.886160000000004</v>
      </c>
      <c r="L30" s="16">
        <v>-49.466929999999998</v>
      </c>
      <c r="M30" s="16">
        <v>-38.095980000000004</v>
      </c>
      <c r="N30" s="16">
        <v>-9.229239999999999</v>
      </c>
      <c r="O30" s="16">
        <v>-13.51318</v>
      </c>
      <c r="P30" s="16">
        <v>-26.592950000000002</v>
      </c>
      <c r="Q30" s="16">
        <v>24.434360000000002</v>
      </c>
      <c r="R30" s="16">
        <v>-13.056049999999999</v>
      </c>
      <c r="S30" s="16">
        <v>-8.1851199999999995</v>
      </c>
      <c r="T30" s="16">
        <v>-2.57158</v>
      </c>
      <c r="U30" s="16">
        <v>-30.264680000000002</v>
      </c>
      <c r="V30" s="16">
        <v>-36.50526</v>
      </c>
      <c r="W30" s="16">
        <v>7.3666599999999995</v>
      </c>
      <c r="X30" s="16">
        <v>20.909459999999999</v>
      </c>
      <c r="Y30" s="16">
        <v>21.97174</v>
      </c>
      <c r="Z30" s="16">
        <v>-3.3679099999999997</v>
      </c>
      <c r="AA30" s="16">
        <v>5.8490699999999993</v>
      </c>
      <c r="AB30" s="16">
        <v>18.370330000000003</v>
      </c>
      <c r="AC30" s="16">
        <v>18.507080000000002</v>
      </c>
      <c r="AD30" s="16">
        <v>26.724900000000002</v>
      </c>
      <c r="AE30" s="16">
        <v>-54.714529999999996</v>
      </c>
      <c r="AF30" s="16">
        <v>-25.463419999999999</v>
      </c>
      <c r="AG30" s="16">
        <v>-6.2687281740997962</v>
      </c>
      <c r="AH30" s="16">
        <v>27.797003253292672</v>
      </c>
      <c r="AI30" s="46"/>
      <c r="AJ30" s="46"/>
      <c r="AK30" s="46"/>
      <c r="AL30" s="46"/>
      <c r="AM30" s="46"/>
      <c r="AN30" s="4"/>
      <c r="AO30" s="4"/>
      <c r="AP30" s="4"/>
      <c r="AQ30" s="4"/>
      <c r="AR30" s="4"/>
      <c r="AS30" s="4"/>
      <c r="AT30" s="4"/>
      <c r="AU30" s="4"/>
      <c r="AV30" s="4"/>
      <c r="AW30" s="4"/>
      <c r="AX30" s="4"/>
      <c r="AY30" s="4"/>
    </row>
    <row r="31" spans="1:51" ht="14.5" x14ac:dyDescent="0.35">
      <c r="A31" s="125">
        <f>YampaRiverInflow.TotalOutflow!A31</f>
        <v>46966</v>
      </c>
      <c r="B31" s="34">
        <v>37.031999999999996</v>
      </c>
      <c r="C31" s="12">
        <v>37.031999999999996</v>
      </c>
      <c r="D31" s="45">
        <v>37.031999999999996</v>
      </c>
      <c r="E31" s="16">
        <v>85.919169999999994</v>
      </c>
      <c r="F31" s="16">
        <v>47.941989999999997</v>
      </c>
      <c r="G31" s="16">
        <v>32.843679999999999</v>
      </c>
      <c r="H31" s="16">
        <v>9.41737</v>
      </c>
      <c r="I31" s="16">
        <v>73.407210000000006</v>
      </c>
      <c r="J31" s="16">
        <v>56.459800000000001</v>
      </c>
      <c r="K31" s="16">
        <v>48.113410000000002</v>
      </c>
      <c r="L31" s="16">
        <v>12.67862</v>
      </c>
      <c r="M31" s="16">
        <v>24.742099999999997</v>
      </c>
      <c r="N31" s="16">
        <v>-3.3823099999999999</v>
      </c>
      <c r="O31" s="16">
        <v>40.45872</v>
      </c>
      <c r="P31" s="16">
        <v>7.9324300000000001</v>
      </c>
      <c r="Q31" s="16">
        <v>46.411089999999994</v>
      </c>
      <c r="R31" s="16">
        <v>6.7395899999999997</v>
      </c>
      <c r="S31" s="16">
        <v>17.925740000000001</v>
      </c>
      <c r="T31" s="16">
        <v>17.421220000000002</v>
      </c>
      <c r="U31" s="16">
        <v>-3.9880599999999999</v>
      </c>
      <c r="V31" s="16">
        <v>-1.2442899999999999</v>
      </c>
      <c r="W31" s="16">
        <v>21.964880000000001</v>
      </c>
      <c r="X31" s="16">
        <v>75.510499999999993</v>
      </c>
      <c r="Y31" s="16">
        <v>37.568370000000002</v>
      </c>
      <c r="Z31" s="16">
        <v>42.03425</v>
      </c>
      <c r="AA31" s="16">
        <v>42.976790000000001</v>
      </c>
      <c r="AB31" s="16">
        <v>38.019089999999998</v>
      </c>
      <c r="AC31" s="16">
        <v>12.330110000000001</v>
      </c>
      <c r="AD31" s="16">
        <v>11.853590000000001</v>
      </c>
      <c r="AE31" s="16">
        <v>-10.878549999999999</v>
      </c>
      <c r="AF31" s="16">
        <v>0.28339999999999999</v>
      </c>
      <c r="AG31" s="16">
        <v>51.813121174655578</v>
      </c>
      <c r="AH31" s="16">
        <v>55.485192829981116</v>
      </c>
      <c r="AI31" s="46"/>
      <c r="AJ31" s="46"/>
      <c r="AK31" s="46"/>
      <c r="AL31" s="46"/>
      <c r="AM31" s="46"/>
      <c r="AN31" s="4"/>
      <c r="AO31" s="4"/>
      <c r="AP31" s="4"/>
      <c r="AQ31" s="4"/>
      <c r="AR31" s="4"/>
      <c r="AS31" s="4"/>
      <c r="AT31" s="4"/>
      <c r="AU31" s="4"/>
      <c r="AV31" s="4"/>
      <c r="AW31" s="4"/>
      <c r="AX31" s="4"/>
      <c r="AY31" s="4"/>
    </row>
    <row r="32" spans="1:51" ht="14.5" x14ac:dyDescent="0.35">
      <c r="A32" s="125">
        <f>YampaRiverInflow.TotalOutflow!A32</f>
        <v>46997</v>
      </c>
      <c r="B32" s="34">
        <v>43.808999999999997</v>
      </c>
      <c r="C32" s="12">
        <v>43.808999999999997</v>
      </c>
      <c r="D32" s="45">
        <v>43.808999999999997</v>
      </c>
      <c r="E32" s="16">
        <v>71.455939999999998</v>
      </c>
      <c r="F32" s="16">
        <v>58.154240000000001</v>
      </c>
      <c r="G32" s="16">
        <v>42.169260000000001</v>
      </c>
      <c r="H32" s="16">
        <v>18.811229999999998</v>
      </c>
      <c r="I32" s="16">
        <v>37.728870000000001</v>
      </c>
      <c r="J32" s="16">
        <v>102.28238999999999</v>
      </c>
      <c r="K32" s="16">
        <v>63.219099999999997</v>
      </c>
      <c r="L32" s="16">
        <v>-1.1670799999999999</v>
      </c>
      <c r="M32" s="16">
        <v>27.992830000000001</v>
      </c>
      <c r="N32" s="16">
        <v>55.190280000000001</v>
      </c>
      <c r="O32" s="16">
        <v>32.140479999999997</v>
      </c>
      <c r="P32" s="16">
        <v>31.014310000000002</v>
      </c>
      <c r="Q32" s="16">
        <v>29.221220000000002</v>
      </c>
      <c r="R32" s="16">
        <v>-5.8577599999999999</v>
      </c>
      <c r="S32" s="16">
        <v>13.77566</v>
      </c>
      <c r="T32" s="16">
        <v>20.98864</v>
      </c>
      <c r="U32" s="16">
        <v>9.6280200000000011</v>
      </c>
      <c r="V32" s="16">
        <v>25.324290000000001</v>
      </c>
      <c r="W32" s="16">
        <v>17.578880000000002</v>
      </c>
      <c r="X32" s="16">
        <v>49.973109999999998</v>
      </c>
      <c r="Y32" s="16">
        <v>68.102980000000002</v>
      </c>
      <c r="Z32" s="16">
        <v>84.069659999999999</v>
      </c>
      <c r="AA32" s="16">
        <v>26.646470000000001</v>
      </c>
      <c r="AB32" s="16">
        <v>42.182259999999999</v>
      </c>
      <c r="AC32" s="16">
        <v>36.151679999999999</v>
      </c>
      <c r="AD32" s="16">
        <v>18.166060000000002</v>
      </c>
      <c r="AE32" s="16">
        <v>17.873080000000002</v>
      </c>
      <c r="AF32" s="16">
        <v>4.9049300000000002</v>
      </c>
      <c r="AG32" s="16">
        <v>64.526982142959554</v>
      </c>
      <c r="AH32" s="16">
        <v>64.196070820739521</v>
      </c>
      <c r="AI32" s="46"/>
      <c r="AJ32" s="46"/>
      <c r="AK32" s="46"/>
      <c r="AL32" s="46"/>
      <c r="AM32" s="46"/>
      <c r="AN32" s="4"/>
      <c r="AO32" s="4"/>
      <c r="AP32" s="4"/>
      <c r="AQ32" s="4"/>
      <c r="AR32" s="4"/>
      <c r="AS32" s="4"/>
      <c r="AT32" s="4"/>
      <c r="AU32" s="4"/>
      <c r="AV32" s="4"/>
      <c r="AW32" s="4"/>
      <c r="AX32" s="4"/>
      <c r="AY32" s="4"/>
    </row>
    <row r="33" spans="1:51" ht="14.5" x14ac:dyDescent="0.35">
      <c r="A33" s="125">
        <f>YampaRiverInflow.TotalOutflow!A33</f>
        <v>47027</v>
      </c>
      <c r="B33" s="34">
        <v>23.17</v>
      </c>
      <c r="C33" s="12">
        <v>23.17</v>
      </c>
      <c r="D33" s="45">
        <v>23.17</v>
      </c>
      <c r="E33" s="16">
        <v>44.385730000000002</v>
      </c>
      <c r="F33" s="16">
        <v>47.589800000000004</v>
      </c>
      <c r="G33" s="16">
        <v>34.997630000000001</v>
      </c>
      <c r="H33" s="16">
        <v>11.211030000000001</v>
      </c>
      <c r="I33" s="16">
        <v>19.502970000000001</v>
      </c>
      <c r="J33" s="16">
        <v>54.718679999999999</v>
      </c>
      <c r="K33" s="16">
        <v>17.3261</v>
      </c>
      <c r="L33" s="16">
        <v>33.096730000000001</v>
      </c>
      <c r="M33" s="16">
        <v>7.0241199999999999</v>
      </c>
      <c r="N33" s="16">
        <v>38.168879999999994</v>
      </c>
      <c r="O33" s="16">
        <v>-0.32697000000000004</v>
      </c>
      <c r="P33" s="16">
        <v>84.070039999999992</v>
      </c>
      <c r="Q33" s="16">
        <v>20.03706</v>
      </c>
      <c r="R33" s="16">
        <v>40.291160000000005</v>
      </c>
      <c r="S33" s="16">
        <v>11.96547</v>
      </c>
      <c r="T33" s="16">
        <v>9.7060499999999994</v>
      </c>
      <c r="U33" s="16">
        <v>-4.8878300000000001</v>
      </c>
      <c r="V33" s="16">
        <v>42.031129999999997</v>
      </c>
      <c r="W33" s="16">
        <v>22.63785</v>
      </c>
      <c r="X33" s="16">
        <v>39.329860000000004</v>
      </c>
      <c r="Y33" s="16">
        <v>28.046230000000001</v>
      </c>
      <c r="Z33" s="16">
        <v>21.405650000000001</v>
      </c>
      <c r="AA33" s="16">
        <v>63.749839999999999</v>
      </c>
      <c r="AB33" s="16">
        <v>50.552589999999995</v>
      </c>
      <c r="AC33" s="16">
        <v>35.498150000000003</v>
      </c>
      <c r="AD33" s="16">
        <v>22.665689999999998</v>
      </c>
      <c r="AE33" s="16">
        <v>13.309760000000001</v>
      </c>
      <c r="AF33" s="16">
        <v>-5.9156000000000004</v>
      </c>
      <c r="AG33" s="16">
        <v>26.268479665397614</v>
      </c>
      <c r="AH33" s="16">
        <v>76.404177790335339</v>
      </c>
      <c r="AI33" s="46"/>
      <c r="AJ33" s="46"/>
      <c r="AK33" s="46"/>
      <c r="AL33" s="46"/>
      <c r="AM33" s="46"/>
      <c r="AN33" s="4"/>
      <c r="AO33" s="4"/>
      <c r="AP33" s="4"/>
      <c r="AQ33" s="4"/>
      <c r="AR33" s="4"/>
      <c r="AS33" s="4"/>
      <c r="AT33" s="4"/>
      <c r="AU33" s="4"/>
      <c r="AV33" s="4"/>
      <c r="AW33" s="4"/>
      <c r="AX33" s="4"/>
      <c r="AY33" s="4"/>
    </row>
    <row r="34" spans="1:51" ht="14.5" x14ac:dyDescent="0.35">
      <c r="A34" s="125">
        <f>YampaRiverInflow.TotalOutflow!A34</f>
        <v>47058</v>
      </c>
      <c r="B34" s="34">
        <v>17.687000000000001</v>
      </c>
      <c r="C34" s="12">
        <v>17.687000000000001</v>
      </c>
      <c r="D34" s="45">
        <v>17.687000000000001</v>
      </c>
      <c r="E34" s="16">
        <v>54.319510000000001</v>
      </c>
      <c r="F34" s="16">
        <v>11.286760000000001</v>
      </c>
      <c r="G34" s="16">
        <v>42.111879999999999</v>
      </c>
      <c r="H34" s="16">
        <v>49.319809999999997</v>
      </c>
      <c r="I34" s="16">
        <v>62.6631</v>
      </c>
      <c r="J34" s="16">
        <v>57.306669999999997</v>
      </c>
      <c r="K34" s="16">
        <v>20.52073</v>
      </c>
      <c r="L34" s="16">
        <v>2.0303399999999998</v>
      </c>
      <c r="M34" s="16">
        <v>10.25154</v>
      </c>
      <c r="N34" s="16">
        <v>11.652959999999998</v>
      </c>
      <c r="O34" s="16">
        <v>18.590709999999998</v>
      </c>
      <c r="P34" s="16">
        <v>93.237679999999997</v>
      </c>
      <c r="Q34" s="16">
        <v>8.5751200000000001</v>
      </c>
      <c r="R34" s="16">
        <v>14.65644</v>
      </c>
      <c r="S34" s="16">
        <v>33.630459999999999</v>
      </c>
      <c r="T34" s="16">
        <v>27.760300000000001</v>
      </c>
      <c r="U34" s="16">
        <v>11.286379999999999</v>
      </c>
      <c r="V34" s="16">
        <v>-14.38903</v>
      </c>
      <c r="W34" s="16">
        <v>11.00366</v>
      </c>
      <c r="X34" s="16">
        <v>30.656770000000002</v>
      </c>
      <c r="Y34" s="16">
        <v>78.433350000000004</v>
      </c>
      <c r="Z34" s="16">
        <v>20.926279999999998</v>
      </c>
      <c r="AA34" s="16">
        <v>17.11955</v>
      </c>
      <c r="AB34" s="16">
        <v>49.568680000000001</v>
      </c>
      <c r="AC34" s="16">
        <v>30.38326</v>
      </c>
      <c r="AD34" s="16">
        <v>41.949339999999999</v>
      </c>
      <c r="AE34" s="16">
        <v>90.300280000000001</v>
      </c>
      <c r="AF34" s="16">
        <v>25.237020000000001</v>
      </c>
      <c r="AG34" s="16">
        <v>26.017717809976254</v>
      </c>
      <c r="AH34" s="16">
        <v>42.795492049736886</v>
      </c>
      <c r="AI34" s="46"/>
      <c r="AJ34" s="46"/>
      <c r="AK34" s="46"/>
      <c r="AL34" s="46"/>
      <c r="AM34" s="46"/>
      <c r="AN34" s="4"/>
      <c r="AO34" s="4"/>
      <c r="AP34" s="4"/>
      <c r="AQ34" s="4"/>
      <c r="AR34" s="4"/>
      <c r="AS34" s="4"/>
      <c r="AT34" s="4"/>
      <c r="AU34" s="4"/>
      <c r="AV34" s="4"/>
      <c r="AW34" s="4"/>
      <c r="AX34" s="4"/>
      <c r="AY34" s="4"/>
    </row>
    <row r="35" spans="1:51" ht="14.5" x14ac:dyDescent="0.35">
      <c r="A35" s="125">
        <f>YampaRiverInflow.TotalOutflow!A35</f>
        <v>47088</v>
      </c>
      <c r="B35" s="34">
        <v>39.872999999999998</v>
      </c>
      <c r="C35" s="12">
        <v>39.872999999999998</v>
      </c>
      <c r="D35" s="45">
        <v>39.872999999999998</v>
      </c>
      <c r="E35" s="16">
        <v>57.228949999999998</v>
      </c>
      <c r="F35" s="16">
        <v>76.772750000000002</v>
      </c>
      <c r="G35" s="16">
        <v>23.632810000000003</v>
      </c>
      <c r="H35" s="16">
        <v>26.613599999999998</v>
      </c>
      <c r="I35" s="16">
        <v>20.40418</v>
      </c>
      <c r="J35" s="16">
        <v>6.7861099999999999</v>
      </c>
      <c r="K35" s="16">
        <v>7.0875000000000004</v>
      </c>
      <c r="L35" s="16">
        <v>18.854099999999999</v>
      </c>
      <c r="M35" s="16">
        <v>35.589959999999998</v>
      </c>
      <c r="N35" s="16">
        <v>26.338159999999998</v>
      </c>
      <c r="O35" s="16">
        <v>20.191050000000001</v>
      </c>
      <c r="P35" s="16">
        <v>74.97139</v>
      </c>
      <c r="Q35" s="16">
        <v>11.51708</v>
      </c>
      <c r="R35" s="16">
        <v>-4.6183199999999998</v>
      </c>
      <c r="S35" s="16">
        <v>27.153869999999998</v>
      </c>
      <c r="T35" s="16">
        <v>22.050689999999999</v>
      </c>
      <c r="U35" s="16">
        <v>10.000299999999999</v>
      </c>
      <c r="V35" s="16">
        <v>200.48664000000002</v>
      </c>
      <c r="W35" s="16">
        <v>49.498660000000001</v>
      </c>
      <c r="X35" s="16">
        <v>30.962709999999998</v>
      </c>
      <c r="Y35" s="16">
        <v>25.01275</v>
      </c>
      <c r="Z35" s="16">
        <v>10.133760000000001</v>
      </c>
      <c r="AA35" s="16">
        <v>15.85665</v>
      </c>
      <c r="AB35" s="16">
        <v>14.69364</v>
      </c>
      <c r="AC35" s="16">
        <v>24.777099999999997</v>
      </c>
      <c r="AD35" s="16">
        <v>25.998349999999999</v>
      </c>
      <c r="AE35" s="16">
        <v>73.964010000000002</v>
      </c>
      <c r="AF35" s="16">
        <v>39.270139999999998</v>
      </c>
      <c r="AG35" s="16">
        <v>58.229954837951695</v>
      </c>
      <c r="AH35" s="16">
        <v>94.346721745758927</v>
      </c>
      <c r="AI35" s="46"/>
      <c r="AJ35" s="46"/>
      <c r="AK35" s="46"/>
      <c r="AL35" s="46"/>
      <c r="AM35" s="46"/>
      <c r="AN35" s="4"/>
      <c r="AO35" s="4"/>
      <c r="AP35" s="4"/>
      <c r="AQ35" s="4"/>
      <c r="AR35" s="4"/>
      <c r="AS35" s="4"/>
      <c r="AT35" s="4"/>
      <c r="AU35" s="4"/>
      <c r="AV35" s="4"/>
      <c r="AW35" s="4"/>
      <c r="AX35" s="4"/>
      <c r="AY35" s="4"/>
    </row>
    <row r="36" spans="1:51" ht="14.5" x14ac:dyDescent="0.35">
      <c r="A36" s="125">
        <f>YampaRiverInflow.TotalOutflow!A36</f>
        <v>47119</v>
      </c>
      <c r="B36" s="34">
        <v>38.064</v>
      </c>
      <c r="C36" s="12">
        <v>38.064</v>
      </c>
      <c r="D36" s="45">
        <v>38.064</v>
      </c>
      <c r="E36" s="16">
        <v>68.707340000000002</v>
      </c>
      <c r="F36" s="16">
        <v>147.14017999999999</v>
      </c>
      <c r="G36" s="16">
        <v>12.95735</v>
      </c>
      <c r="H36" s="16">
        <v>43.173999999999999</v>
      </c>
      <c r="I36" s="16">
        <v>43.572859999999999</v>
      </c>
      <c r="J36" s="16">
        <v>40.911610000000003</v>
      </c>
      <c r="K36" s="16">
        <v>13.873209999999998</v>
      </c>
      <c r="L36" s="16">
        <v>43.65607</v>
      </c>
      <c r="M36" s="16">
        <v>8.8752700000000004</v>
      </c>
      <c r="N36" s="16">
        <v>27.946300000000001</v>
      </c>
      <c r="O36" s="16">
        <v>3.3895900000000001</v>
      </c>
      <c r="P36" s="16">
        <v>303.37369000000001</v>
      </c>
      <c r="Q36" s="16">
        <v>12.219719999999999</v>
      </c>
      <c r="R36" s="16">
        <v>-9.3584500000000013</v>
      </c>
      <c r="S36" s="16">
        <v>28.872540000000001</v>
      </c>
      <c r="T36" s="16">
        <v>4.9805900000000003</v>
      </c>
      <c r="U36" s="16">
        <v>53.234699999999997</v>
      </c>
      <c r="V36" s="16">
        <v>36.51267</v>
      </c>
      <c r="W36" s="16">
        <v>15.039200000000001</v>
      </c>
      <c r="X36" s="16">
        <v>13.099450000000001</v>
      </c>
      <c r="Y36" s="16">
        <v>6.7984099999999996</v>
      </c>
      <c r="Z36" s="16">
        <v>21.993320000000001</v>
      </c>
      <c r="AA36" s="16">
        <v>41.238190000000003</v>
      </c>
      <c r="AB36" s="16">
        <v>58.881329999999998</v>
      </c>
      <c r="AC36" s="16">
        <v>49.533120000000004</v>
      </c>
      <c r="AD36" s="16">
        <v>48.656099999999995</v>
      </c>
      <c r="AE36" s="16">
        <v>36.149560000000001</v>
      </c>
      <c r="AF36" s="16">
        <v>28.502187496324908</v>
      </c>
      <c r="AG36" s="16">
        <v>66.377511872836507</v>
      </c>
      <c r="AH36" s="16">
        <v>211.12333447291081</v>
      </c>
      <c r="AI36" s="46"/>
      <c r="AJ36" s="46"/>
      <c r="AK36" s="46"/>
      <c r="AL36" s="46"/>
      <c r="AM36" s="46"/>
      <c r="AN36" s="4"/>
      <c r="AO36" s="4"/>
      <c r="AP36" s="4"/>
      <c r="AQ36" s="4"/>
      <c r="AR36" s="4"/>
      <c r="AS36" s="4"/>
      <c r="AT36" s="4"/>
      <c r="AU36" s="4"/>
      <c r="AV36" s="4"/>
      <c r="AW36" s="4"/>
      <c r="AX36" s="4"/>
      <c r="AY36" s="4"/>
    </row>
    <row r="37" spans="1:51" ht="14.5" x14ac:dyDescent="0.35">
      <c r="A37" s="125">
        <f>YampaRiverInflow.TotalOutflow!A37</f>
        <v>47150</v>
      </c>
      <c r="B37" s="34">
        <v>28.969000000000001</v>
      </c>
      <c r="C37" s="12">
        <v>28.969000000000001</v>
      </c>
      <c r="D37" s="45">
        <v>28.969000000000001</v>
      </c>
      <c r="E37" s="16">
        <v>63.109250000000003</v>
      </c>
      <c r="F37" s="16">
        <v>89.958119999999994</v>
      </c>
      <c r="G37" s="16">
        <v>24.910400000000003</v>
      </c>
      <c r="H37" s="16">
        <v>-4.8160100000000003</v>
      </c>
      <c r="I37" s="16">
        <v>73.336060000000003</v>
      </c>
      <c r="J37" s="16">
        <v>36.586980000000004</v>
      </c>
      <c r="K37" s="16">
        <v>21.691119999999998</v>
      </c>
      <c r="L37" s="16">
        <v>36.689769999999996</v>
      </c>
      <c r="M37" s="16">
        <v>4.0654399999999997</v>
      </c>
      <c r="N37" s="16">
        <v>38.304220000000001</v>
      </c>
      <c r="O37" s="16">
        <v>19.567259999999997</v>
      </c>
      <c r="P37" s="16">
        <v>194.10926000000001</v>
      </c>
      <c r="Q37" s="16">
        <v>10.566690000000001</v>
      </c>
      <c r="R37" s="16">
        <v>18.006209999999999</v>
      </c>
      <c r="S37" s="16">
        <v>42.33981</v>
      </c>
      <c r="T37" s="16">
        <v>29.493419999999997</v>
      </c>
      <c r="U37" s="16">
        <v>57.446640000000002</v>
      </c>
      <c r="V37" s="16">
        <v>36.949750000000002</v>
      </c>
      <c r="W37" s="16">
        <v>19.886479999999999</v>
      </c>
      <c r="X37" s="16">
        <v>30.005659999999999</v>
      </c>
      <c r="Y37" s="16">
        <v>35.553809999999999</v>
      </c>
      <c r="Z37" s="16">
        <v>40.773769999999999</v>
      </c>
      <c r="AA37" s="16">
        <v>31.995979999999999</v>
      </c>
      <c r="AB37" s="16">
        <v>74.449780000000004</v>
      </c>
      <c r="AC37" s="16">
        <v>14.88969</v>
      </c>
      <c r="AD37" s="16">
        <v>39.650980000000004</v>
      </c>
      <c r="AE37" s="16">
        <v>14.91981</v>
      </c>
      <c r="AF37" s="16">
        <v>53.503218596593655</v>
      </c>
      <c r="AG37" s="16">
        <v>97.944624983882534</v>
      </c>
      <c r="AH37" s="16">
        <v>211.27383722176506</v>
      </c>
      <c r="AI37" s="46"/>
      <c r="AJ37" s="46"/>
      <c r="AK37" s="46"/>
      <c r="AL37" s="46"/>
      <c r="AM37" s="46"/>
      <c r="AN37" s="4"/>
      <c r="AO37" s="4"/>
      <c r="AP37" s="4"/>
      <c r="AQ37" s="4"/>
      <c r="AR37" s="4"/>
      <c r="AS37" s="4"/>
      <c r="AT37" s="4"/>
      <c r="AU37" s="4"/>
      <c r="AV37" s="4"/>
      <c r="AW37" s="4"/>
      <c r="AX37" s="4"/>
      <c r="AY37" s="4"/>
    </row>
    <row r="38" spans="1:51" ht="14.5" x14ac:dyDescent="0.35">
      <c r="A38" s="125">
        <f>YampaRiverInflow.TotalOutflow!A38</f>
        <v>47178</v>
      </c>
      <c r="B38" s="34">
        <v>20.625</v>
      </c>
      <c r="C38" s="12">
        <v>20.625</v>
      </c>
      <c r="D38" s="45">
        <v>20.625</v>
      </c>
      <c r="E38" s="16">
        <v>44.835190000000004</v>
      </c>
      <c r="F38" s="16">
        <v>177.33817000000002</v>
      </c>
      <c r="G38" s="16">
        <v>-56.693550000000002</v>
      </c>
      <c r="H38" s="16">
        <v>37.615089999999995</v>
      </c>
      <c r="I38" s="16">
        <v>83.826080000000005</v>
      </c>
      <c r="J38" s="16">
        <v>-9.628680000000001</v>
      </c>
      <c r="K38" s="16">
        <v>-8.9868500000000004</v>
      </c>
      <c r="L38" s="16">
        <v>31.59817</v>
      </c>
      <c r="M38" s="16">
        <v>-31.764150000000001</v>
      </c>
      <c r="N38" s="16">
        <v>8.1977799999999998</v>
      </c>
      <c r="O38" s="16">
        <v>-4.6275300000000001</v>
      </c>
      <c r="P38" s="16">
        <v>107.54282000000001</v>
      </c>
      <c r="Q38" s="16">
        <v>18.535509999999999</v>
      </c>
      <c r="R38" s="16">
        <v>-8.2876000000000012</v>
      </c>
      <c r="S38" s="16">
        <v>9.9111000000000011</v>
      </c>
      <c r="T38" s="16">
        <v>-22.678090000000001</v>
      </c>
      <c r="U38" s="16">
        <v>14.65991</v>
      </c>
      <c r="V38" s="16">
        <v>17.707439999999998</v>
      </c>
      <c r="W38" s="16">
        <v>9.1945100000000011</v>
      </c>
      <c r="X38" s="16">
        <v>12.195319999999999</v>
      </c>
      <c r="Y38" s="16">
        <v>-13.04682</v>
      </c>
      <c r="Z38" s="16">
        <v>5.0683699999999998</v>
      </c>
      <c r="AA38" s="16">
        <v>-22.833819999999999</v>
      </c>
      <c r="AB38" s="16">
        <v>21.36993</v>
      </c>
      <c r="AC38" s="16">
        <v>4.0066199999999998</v>
      </c>
      <c r="AD38" s="16">
        <v>64.574950000000001</v>
      </c>
      <c r="AE38" s="16">
        <v>63.134869999999999</v>
      </c>
      <c r="AF38" s="16">
        <v>61.180317783398927</v>
      </c>
      <c r="AG38" s="16">
        <v>128.26726604236279</v>
      </c>
      <c r="AH38" s="16">
        <v>224.00764611072893</v>
      </c>
      <c r="AI38" s="46"/>
      <c r="AJ38" s="46"/>
      <c r="AK38" s="46"/>
      <c r="AL38" s="46"/>
      <c r="AM38" s="46"/>
      <c r="AN38" s="4"/>
      <c r="AO38" s="4"/>
      <c r="AP38" s="4"/>
      <c r="AQ38" s="4"/>
      <c r="AR38" s="4"/>
      <c r="AS38" s="4"/>
      <c r="AT38" s="4"/>
      <c r="AU38" s="4"/>
      <c r="AV38" s="4"/>
      <c r="AW38" s="4"/>
      <c r="AX38" s="4"/>
      <c r="AY38" s="4"/>
    </row>
    <row r="39" spans="1:51" ht="14.5" x14ac:dyDescent="0.35">
      <c r="A39" s="125">
        <f>YampaRiverInflow.TotalOutflow!A39</f>
        <v>47209</v>
      </c>
      <c r="B39" s="34">
        <v>19.73</v>
      </c>
      <c r="C39" s="12">
        <v>19.73</v>
      </c>
      <c r="D39" s="45">
        <v>19.73</v>
      </c>
      <c r="E39" s="16">
        <v>29.552319999999998</v>
      </c>
      <c r="F39" s="16">
        <v>81.07553999999999</v>
      </c>
      <c r="G39" s="16">
        <v>86.656300000000002</v>
      </c>
      <c r="H39" s="16">
        <v>38.537150000000004</v>
      </c>
      <c r="I39" s="16">
        <v>88.094770000000011</v>
      </c>
      <c r="J39" s="16">
        <v>-55.505400000000002</v>
      </c>
      <c r="K39" s="16">
        <v>-25.224409999999999</v>
      </c>
      <c r="L39" s="16">
        <v>-11.06203</v>
      </c>
      <c r="M39" s="16">
        <v>-40.472319999999996</v>
      </c>
      <c r="N39" s="16">
        <v>-8.5150300000000012</v>
      </c>
      <c r="O39" s="16">
        <v>5.4860100000000003</v>
      </c>
      <c r="P39" s="16">
        <v>89.623949999999994</v>
      </c>
      <c r="Q39" s="16">
        <v>5.5964700000000001</v>
      </c>
      <c r="R39" s="16">
        <v>-13.982229999999999</v>
      </c>
      <c r="S39" s="16">
        <v>-5.7306000000000008</v>
      </c>
      <c r="T39" s="16">
        <v>-15.20013</v>
      </c>
      <c r="U39" s="16">
        <v>34.876040000000003</v>
      </c>
      <c r="V39" s="16">
        <v>71.3001</v>
      </c>
      <c r="W39" s="16">
        <v>20.61309</v>
      </c>
      <c r="X39" s="16">
        <v>9.5076800000000006</v>
      </c>
      <c r="Y39" s="16">
        <v>-18.428540000000002</v>
      </c>
      <c r="Z39" s="16">
        <v>-11.481530000000001</v>
      </c>
      <c r="AA39" s="16">
        <v>17.488060000000001</v>
      </c>
      <c r="AB39" s="16">
        <v>42.204129999999999</v>
      </c>
      <c r="AC39" s="16">
        <v>-16.627680000000002</v>
      </c>
      <c r="AD39" s="16">
        <v>57.904980000000002</v>
      </c>
      <c r="AE39" s="16">
        <v>18.792390000000001</v>
      </c>
      <c r="AF39" s="16">
        <v>27.715374733300219</v>
      </c>
      <c r="AG39" s="16">
        <v>73.575185829979745</v>
      </c>
      <c r="AH39" s="16">
        <v>159.09265105449037</v>
      </c>
      <c r="AI39" s="46"/>
      <c r="AJ39" s="46"/>
      <c r="AK39" s="46"/>
      <c r="AL39" s="46"/>
      <c r="AM39" s="46"/>
      <c r="AN39" s="4"/>
      <c r="AO39" s="4"/>
      <c r="AP39" s="4"/>
      <c r="AQ39" s="4"/>
      <c r="AR39" s="4"/>
      <c r="AS39" s="4"/>
      <c r="AT39" s="4"/>
      <c r="AU39" s="4"/>
      <c r="AV39" s="4"/>
      <c r="AW39" s="4"/>
      <c r="AX39" s="4"/>
      <c r="AY39" s="4"/>
    </row>
    <row r="40" spans="1:51" ht="14.5" x14ac:dyDescent="0.35">
      <c r="A40" s="125">
        <f>YampaRiverInflow.TotalOutflow!A40</f>
        <v>47239</v>
      </c>
      <c r="B40" s="34">
        <v>11.801</v>
      </c>
      <c r="C40" s="12">
        <v>11.801</v>
      </c>
      <c r="D40" s="45">
        <v>11.801</v>
      </c>
      <c r="E40" s="16">
        <v>45.130360000000003</v>
      </c>
      <c r="F40" s="16">
        <v>144.82448000000002</v>
      </c>
      <c r="G40" s="16">
        <v>15.857620000000001</v>
      </c>
      <c r="H40" s="16">
        <v>26.527619999999999</v>
      </c>
      <c r="I40" s="16">
        <v>112.01666</v>
      </c>
      <c r="J40" s="16">
        <v>5.9267599999999998</v>
      </c>
      <c r="K40" s="16">
        <v>-7.9631999999999996</v>
      </c>
      <c r="L40" s="16">
        <v>-10.182930000000001</v>
      </c>
      <c r="M40" s="16">
        <v>-18.910119999999999</v>
      </c>
      <c r="N40" s="16">
        <v>-5.1637899999999997</v>
      </c>
      <c r="O40" s="16">
        <v>4.8523900000000006</v>
      </c>
      <c r="P40" s="16">
        <v>136.5727</v>
      </c>
      <c r="Q40" s="16">
        <v>-17.06551</v>
      </c>
      <c r="R40" s="16">
        <v>-25.80247</v>
      </c>
      <c r="S40" s="16">
        <v>13.146979999999999</v>
      </c>
      <c r="T40" s="16">
        <v>9.7264300000000006</v>
      </c>
      <c r="U40" s="16">
        <v>41.096609999999998</v>
      </c>
      <c r="V40" s="16">
        <v>63.824849999999998</v>
      </c>
      <c r="W40" s="16">
        <v>-6.9918699999999996</v>
      </c>
      <c r="X40" s="16">
        <v>0.73799999999999999</v>
      </c>
      <c r="Y40" s="16">
        <v>-18.297540000000001</v>
      </c>
      <c r="Z40" s="16">
        <v>-12.214030000000001</v>
      </c>
      <c r="AA40" s="16">
        <v>9.0859300000000012</v>
      </c>
      <c r="AB40" s="16">
        <v>5.1340200000000005</v>
      </c>
      <c r="AC40" s="16">
        <v>-29.088660000000001</v>
      </c>
      <c r="AD40" s="16">
        <v>48.692149999999998</v>
      </c>
      <c r="AE40" s="16">
        <v>-11.59253</v>
      </c>
      <c r="AF40" s="16">
        <v>13.941845357980599</v>
      </c>
      <c r="AG40" s="16">
        <v>50.616735034495079</v>
      </c>
      <c r="AH40" s="16">
        <v>122.33935550539928</v>
      </c>
      <c r="AI40" s="46"/>
      <c r="AJ40" s="46"/>
      <c r="AK40" s="46"/>
      <c r="AL40" s="46"/>
      <c r="AM40" s="46"/>
      <c r="AN40" s="4"/>
      <c r="AO40" s="4"/>
      <c r="AP40" s="4"/>
      <c r="AQ40" s="4"/>
      <c r="AR40" s="4"/>
      <c r="AS40" s="4"/>
      <c r="AT40" s="4"/>
      <c r="AU40" s="4"/>
      <c r="AV40" s="4"/>
      <c r="AW40" s="4"/>
      <c r="AX40" s="4"/>
      <c r="AY40" s="4"/>
    </row>
    <row r="41" spans="1:51" ht="14.5" x14ac:dyDescent="0.35">
      <c r="A41" s="125">
        <f>YampaRiverInflow.TotalOutflow!A41</f>
        <v>47270</v>
      </c>
      <c r="B41" s="34">
        <v>-17.097999999999999</v>
      </c>
      <c r="C41" s="12">
        <v>-17.097999999999999</v>
      </c>
      <c r="D41" s="45">
        <v>-17.097999999999999</v>
      </c>
      <c r="E41" s="16">
        <v>-1.8183699999999998</v>
      </c>
      <c r="F41" s="16">
        <v>48.385210000000001</v>
      </c>
      <c r="G41" s="16">
        <v>10.9796</v>
      </c>
      <c r="H41" s="16">
        <v>-16.415560000000003</v>
      </c>
      <c r="I41" s="16">
        <v>59.579190000000004</v>
      </c>
      <c r="J41" s="16">
        <v>20.131820000000001</v>
      </c>
      <c r="K41" s="16">
        <v>-1.8760000000000002E-2</v>
      </c>
      <c r="L41" s="16">
        <v>-40.888860000000001</v>
      </c>
      <c r="M41" s="16">
        <v>-24.57798</v>
      </c>
      <c r="N41" s="16">
        <v>-41.014429999999997</v>
      </c>
      <c r="O41" s="16">
        <v>-32.649230000000003</v>
      </c>
      <c r="P41" s="16">
        <v>31.118189999999998</v>
      </c>
      <c r="Q41" s="16">
        <v>-16.25863</v>
      </c>
      <c r="R41" s="16">
        <v>-29.007360000000002</v>
      </c>
      <c r="S41" s="16">
        <v>15.05063</v>
      </c>
      <c r="T41" s="16">
        <v>-28.113409999999998</v>
      </c>
      <c r="U41" s="16">
        <v>-6.2963900000000006</v>
      </c>
      <c r="V41" s="16">
        <v>35.037300000000002</v>
      </c>
      <c r="W41" s="16">
        <v>-16.40408</v>
      </c>
      <c r="X41" s="16">
        <v>-27.575620000000001</v>
      </c>
      <c r="Y41" s="16">
        <v>-23.976099999999999</v>
      </c>
      <c r="Z41" s="16">
        <v>-8.1685800000000004</v>
      </c>
      <c r="AA41" s="16">
        <v>-18.756529999999998</v>
      </c>
      <c r="AB41" s="16">
        <v>-18.879729999999999</v>
      </c>
      <c r="AC41" s="16">
        <v>-18.7621</v>
      </c>
      <c r="AD41" s="16">
        <v>4.9375299999999998</v>
      </c>
      <c r="AE41" s="16">
        <v>-14.283790000000002</v>
      </c>
      <c r="AF41" s="16">
        <v>78.656605207787052</v>
      </c>
      <c r="AG41" s="16">
        <v>0.79443608718219216</v>
      </c>
      <c r="AH41" s="16">
        <v>10.795318554272191</v>
      </c>
      <c r="AI41" s="46"/>
      <c r="AJ41" s="46"/>
      <c r="AK41" s="46"/>
      <c r="AL41" s="46"/>
      <c r="AM41" s="46"/>
      <c r="AN41" s="4"/>
      <c r="AO41" s="4"/>
      <c r="AP41" s="4"/>
      <c r="AQ41" s="4"/>
      <c r="AR41" s="4"/>
      <c r="AS41" s="4"/>
      <c r="AT41" s="4"/>
      <c r="AU41" s="4"/>
      <c r="AV41" s="4"/>
      <c r="AW41" s="4"/>
      <c r="AX41" s="4"/>
      <c r="AY41" s="4"/>
    </row>
    <row r="42" spans="1:51" ht="14.5" x14ac:dyDescent="0.35">
      <c r="A42" s="125">
        <f>YampaRiverInflow.TotalOutflow!A42</f>
        <v>47300</v>
      </c>
      <c r="B42" s="34">
        <v>9.3360000000000003</v>
      </c>
      <c r="C42" s="12">
        <v>9.3360000000000003</v>
      </c>
      <c r="D42" s="45">
        <v>9.3360000000000003</v>
      </c>
      <c r="E42" s="16">
        <v>20.232430000000001</v>
      </c>
      <c r="F42" s="16">
        <v>30.843540000000001</v>
      </c>
      <c r="G42" s="16">
        <v>41.040230000000001</v>
      </c>
      <c r="H42" s="16">
        <v>14.490680000000001</v>
      </c>
      <c r="I42" s="16">
        <v>75.778990000000007</v>
      </c>
      <c r="J42" s="16">
        <v>65.886160000000004</v>
      </c>
      <c r="K42" s="16">
        <v>-49.466929999999998</v>
      </c>
      <c r="L42" s="16">
        <v>-38.095980000000004</v>
      </c>
      <c r="M42" s="16">
        <v>-9.229239999999999</v>
      </c>
      <c r="N42" s="16">
        <v>-13.51318</v>
      </c>
      <c r="O42" s="16">
        <v>-26.592950000000002</v>
      </c>
      <c r="P42" s="16">
        <v>24.434360000000002</v>
      </c>
      <c r="Q42" s="16">
        <v>-13.056049999999999</v>
      </c>
      <c r="R42" s="16">
        <v>-8.1851199999999995</v>
      </c>
      <c r="S42" s="16">
        <v>-2.57158</v>
      </c>
      <c r="T42" s="16">
        <v>-30.264680000000002</v>
      </c>
      <c r="U42" s="16">
        <v>-36.50526</v>
      </c>
      <c r="V42" s="16">
        <v>7.3666599999999995</v>
      </c>
      <c r="W42" s="16">
        <v>20.909459999999999</v>
      </c>
      <c r="X42" s="16">
        <v>21.97174</v>
      </c>
      <c r="Y42" s="16">
        <v>-3.3679099999999997</v>
      </c>
      <c r="Z42" s="16">
        <v>5.8490699999999993</v>
      </c>
      <c r="AA42" s="16">
        <v>18.370330000000003</v>
      </c>
      <c r="AB42" s="16">
        <v>18.507080000000002</v>
      </c>
      <c r="AC42" s="16">
        <v>26.724900000000002</v>
      </c>
      <c r="AD42" s="16">
        <v>-54.714529999999996</v>
      </c>
      <c r="AE42" s="16">
        <v>-25.463419999999999</v>
      </c>
      <c r="AF42" s="16">
        <v>-6.2687281740997962</v>
      </c>
      <c r="AG42" s="16">
        <v>27.797003253292672</v>
      </c>
      <c r="AH42" s="16">
        <v>-8.8693892113595538</v>
      </c>
      <c r="AI42" s="46"/>
      <c r="AJ42" s="46"/>
      <c r="AK42" s="46"/>
      <c r="AL42" s="46"/>
      <c r="AM42" s="46"/>
      <c r="AN42" s="4"/>
      <c r="AO42" s="4"/>
      <c r="AP42" s="4"/>
      <c r="AQ42" s="4"/>
      <c r="AR42" s="4"/>
      <c r="AS42" s="4"/>
      <c r="AT42" s="4"/>
      <c r="AU42" s="4"/>
      <c r="AV42" s="4"/>
      <c r="AW42" s="4"/>
      <c r="AX42" s="4"/>
      <c r="AY42" s="4"/>
    </row>
    <row r="43" spans="1:51" ht="14.5" x14ac:dyDescent="0.35">
      <c r="A43" s="125">
        <f>YampaRiverInflow.TotalOutflow!A43</f>
        <v>47331</v>
      </c>
      <c r="B43" s="34">
        <v>37.031999999999996</v>
      </c>
      <c r="C43" s="12">
        <v>37.031999999999996</v>
      </c>
      <c r="D43" s="45">
        <v>37.031999999999996</v>
      </c>
      <c r="E43" s="16">
        <v>47.941989999999997</v>
      </c>
      <c r="F43" s="16">
        <v>32.843679999999999</v>
      </c>
      <c r="G43" s="16">
        <v>9.41737</v>
      </c>
      <c r="H43" s="16">
        <v>73.407210000000006</v>
      </c>
      <c r="I43" s="16">
        <v>56.459800000000001</v>
      </c>
      <c r="J43" s="16">
        <v>48.113410000000002</v>
      </c>
      <c r="K43" s="16">
        <v>12.67862</v>
      </c>
      <c r="L43" s="16">
        <v>24.742099999999997</v>
      </c>
      <c r="M43" s="16">
        <v>-3.3823099999999999</v>
      </c>
      <c r="N43" s="16">
        <v>40.45872</v>
      </c>
      <c r="O43" s="16">
        <v>7.9324300000000001</v>
      </c>
      <c r="P43" s="16">
        <v>46.411089999999994</v>
      </c>
      <c r="Q43" s="16">
        <v>6.7395899999999997</v>
      </c>
      <c r="R43" s="16">
        <v>17.925740000000001</v>
      </c>
      <c r="S43" s="16">
        <v>17.421220000000002</v>
      </c>
      <c r="T43" s="16">
        <v>-3.9880599999999999</v>
      </c>
      <c r="U43" s="16">
        <v>-1.2442899999999999</v>
      </c>
      <c r="V43" s="16">
        <v>21.964880000000001</v>
      </c>
      <c r="W43" s="16">
        <v>75.510499999999993</v>
      </c>
      <c r="X43" s="16">
        <v>37.568370000000002</v>
      </c>
      <c r="Y43" s="16">
        <v>42.03425</v>
      </c>
      <c r="Z43" s="16">
        <v>42.976790000000001</v>
      </c>
      <c r="AA43" s="16">
        <v>38.019089999999998</v>
      </c>
      <c r="AB43" s="16">
        <v>12.330110000000001</v>
      </c>
      <c r="AC43" s="16">
        <v>11.853590000000001</v>
      </c>
      <c r="AD43" s="16">
        <v>-10.878549999999999</v>
      </c>
      <c r="AE43" s="16">
        <v>0.28339999999999999</v>
      </c>
      <c r="AF43" s="16">
        <v>51.813121174655578</v>
      </c>
      <c r="AG43" s="16">
        <v>55.485192829981116</v>
      </c>
      <c r="AH43" s="16">
        <v>84.255431956262342</v>
      </c>
      <c r="AI43" s="46"/>
      <c r="AJ43" s="46"/>
      <c r="AK43" s="46"/>
      <c r="AL43" s="46"/>
      <c r="AM43" s="46"/>
      <c r="AN43" s="4"/>
      <c r="AO43" s="4"/>
      <c r="AP43" s="4"/>
      <c r="AQ43" s="4"/>
      <c r="AR43" s="4"/>
      <c r="AS43" s="4"/>
      <c r="AT43" s="4"/>
      <c r="AU43" s="4"/>
      <c r="AV43" s="4"/>
      <c r="AW43" s="4"/>
      <c r="AX43" s="4"/>
      <c r="AY43" s="4"/>
    </row>
    <row r="44" spans="1:51" ht="14.5" x14ac:dyDescent="0.35">
      <c r="A44" s="125">
        <f>YampaRiverInflow.TotalOutflow!A44</f>
        <v>47362</v>
      </c>
      <c r="B44" s="34">
        <v>43.808999999999997</v>
      </c>
      <c r="C44" s="12">
        <v>43.808999999999997</v>
      </c>
      <c r="D44" s="45">
        <v>43.808999999999997</v>
      </c>
      <c r="E44" s="16">
        <v>58.154240000000001</v>
      </c>
      <c r="F44" s="16">
        <v>42.169260000000001</v>
      </c>
      <c r="G44" s="16">
        <v>18.811229999999998</v>
      </c>
      <c r="H44" s="16">
        <v>37.728870000000001</v>
      </c>
      <c r="I44" s="16">
        <v>102.28238999999999</v>
      </c>
      <c r="J44" s="16">
        <v>63.219099999999997</v>
      </c>
      <c r="K44" s="16">
        <v>-1.1670799999999999</v>
      </c>
      <c r="L44" s="16">
        <v>27.992830000000001</v>
      </c>
      <c r="M44" s="16">
        <v>55.190280000000001</v>
      </c>
      <c r="N44" s="16">
        <v>32.140479999999997</v>
      </c>
      <c r="O44" s="16">
        <v>31.014310000000002</v>
      </c>
      <c r="P44" s="16">
        <v>29.221220000000002</v>
      </c>
      <c r="Q44" s="16">
        <v>-5.8577599999999999</v>
      </c>
      <c r="R44" s="16">
        <v>13.77566</v>
      </c>
      <c r="S44" s="16">
        <v>20.98864</v>
      </c>
      <c r="T44" s="16">
        <v>9.6280200000000011</v>
      </c>
      <c r="U44" s="16">
        <v>25.324290000000001</v>
      </c>
      <c r="V44" s="16">
        <v>17.578880000000002</v>
      </c>
      <c r="W44" s="16">
        <v>49.973109999999998</v>
      </c>
      <c r="X44" s="16">
        <v>68.102980000000002</v>
      </c>
      <c r="Y44" s="16">
        <v>84.069659999999999</v>
      </c>
      <c r="Z44" s="16">
        <v>26.646470000000001</v>
      </c>
      <c r="AA44" s="16">
        <v>42.182259999999999</v>
      </c>
      <c r="AB44" s="16">
        <v>36.151679999999999</v>
      </c>
      <c r="AC44" s="16">
        <v>18.166060000000002</v>
      </c>
      <c r="AD44" s="16">
        <v>17.873080000000002</v>
      </c>
      <c r="AE44" s="16">
        <v>4.9049300000000002</v>
      </c>
      <c r="AF44" s="16">
        <v>64.526982142959554</v>
      </c>
      <c r="AG44" s="16">
        <v>64.196070820739521</v>
      </c>
      <c r="AH44" s="16">
        <v>71.079936959728215</v>
      </c>
      <c r="AI44" s="46"/>
      <c r="AJ44" s="46"/>
      <c r="AK44" s="46"/>
      <c r="AL44" s="46"/>
      <c r="AM44" s="46"/>
      <c r="AN44" s="4"/>
      <c r="AO44" s="4"/>
      <c r="AP44" s="4"/>
      <c r="AQ44" s="4"/>
      <c r="AR44" s="4"/>
      <c r="AS44" s="4"/>
      <c r="AT44" s="4"/>
      <c r="AU44" s="4"/>
      <c r="AV44" s="4"/>
      <c r="AW44" s="4"/>
      <c r="AX44" s="4"/>
      <c r="AY44" s="4"/>
    </row>
    <row r="45" spans="1:51" ht="14.5" x14ac:dyDescent="0.35">
      <c r="A45" s="125">
        <f>YampaRiverInflow.TotalOutflow!A45</f>
        <v>47392</v>
      </c>
      <c r="B45" s="34">
        <v>23.17</v>
      </c>
      <c r="C45" s="12">
        <v>23.17</v>
      </c>
      <c r="D45" s="45">
        <v>23.17</v>
      </c>
      <c r="E45" s="16">
        <v>47.589800000000004</v>
      </c>
      <c r="F45" s="16">
        <v>34.997630000000001</v>
      </c>
      <c r="G45" s="16">
        <v>11.211030000000001</v>
      </c>
      <c r="H45" s="16">
        <v>19.502970000000001</v>
      </c>
      <c r="I45" s="16">
        <v>54.718679999999999</v>
      </c>
      <c r="J45" s="16">
        <v>17.3261</v>
      </c>
      <c r="K45" s="16">
        <v>33.096730000000001</v>
      </c>
      <c r="L45" s="16">
        <v>7.0241199999999999</v>
      </c>
      <c r="M45" s="16">
        <v>38.168879999999994</v>
      </c>
      <c r="N45" s="16">
        <v>-0.32697000000000004</v>
      </c>
      <c r="O45" s="16">
        <v>84.070039999999992</v>
      </c>
      <c r="P45" s="16">
        <v>20.03706</v>
      </c>
      <c r="Q45" s="16">
        <v>40.291160000000005</v>
      </c>
      <c r="R45" s="16">
        <v>11.96547</v>
      </c>
      <c r="S45" s="16">
        <v>9.7060499999999994</v>
      </c>
      <c r="T45" s="16">
        <v>-4.8878300000000001</v>
      </c>
      <c r="U45" s="16">
        <v>42.031129999999997</v>
      </c>
      <c r="V45" s="16">
        <v>22.63785</v>
      </c>
      <c r="W45" s="16">
        <v>39.329860000000004</v>
      </c>
      <c r="X45" s="16">
        <v>28.046230000000001</v>
      </c>
      <c r="Y45" s="16">
        <v>21.405650000000001</v>
      </c>
      <c r="Z45" s="16">
        <v>63.749839999999999</v>
      </c>
      <c r="AA45" s="16">
        <v>50.552589999999995</v>
      </c>
      <c r="AB45" s="16">
        <v>35.498150000000003</v>
      </c>
      <c r="AC45" s="16">
        <v>22.665689999999998</v>
      </c>
      <c r="AD45" s="16">
        <v>13.309760000000001</v>
      </c>
      <c r="AE45" s="16">
        <v>-5.9156000000000004</v>
      </c>
      <c r="AF45" s="16">
        <v>26.268479665397614</v>
      </c>
      <c r="AG45" s="16">
        <v>76.404177790335339</v>
      </c>
      <c r="AH45" s="16">
        <v>45.021740330611671</v>
      </c>
      <c r="AI45" s="46"/>
      <c r="AJ45" s="46"/>
      <c r="AK45" s="46"/>
      <c r="AL45" s="46"/>
      <c r="AM45" s="46"/>
      <c r="AN45" s="4"/>
      <c r="AO45" s="4"/>
      <c r="AP45" s="4"/>
      <c r="AQ45" s="4"/>
      <c r="AR45" s="4"/>
      <c r="AS45" s="4"/>
      <c r="AT45" s="4"/>
      <c r="AU45" s="4"/>
      <c r="AV45" s="4"/>
      <c r="AW45" s="4"/>
      <c r="AX45" s="4"/>
      <c r="AY45" s="4"/>
    </row>
    <row r="46" spans="1:51" ht="14.5" x14ac:dyDescent="0.35">
      <c r="A46" s="125">
        <f>YampaRiverInflow.TotalOutflow!A46</f>
        <v>47423</v>
      </c>
      <c r="B46" s="34">
        <v>17.687000000000001</v>
      </c>
      <c r="C46" s="12">
        <v>17.687000000000001</v>
      </c>
      <c r="D46" s="45">
        <v>17.687000000000001</v>
      </c>
      <c r="E46" s="16">
        <v>11.286760000000001</v>
      </c>
      <c r="F46" s="16">
        <v>42.111879999999999</v>
      </c>
      <c r="G46" s="16">
        <v>49.319809999999997</v>
      </c>
      <c r="H46" s="16">
        <v>62.6631</v>
      </c>
      <c r="I46" s="16">
        <v>57.306669999999997</v>
      </c>
      <c r="J46" s="16">
        <v>20.52073</v>
      </c>
      <c r="K46" s="16">
        <v>2.0303399999999998</v>
      </c>
      <c r="L46" s="16">
        <v>10.25154</v>
      </c>
      <c r="M46" s="16">
        <v>11.652959999999998</v>
      </c>
      <c r="N46" s="16">
        <v>18.590709999999998</v>
      </c>
      <c r="O46" s="16">
        <v>93.237679999999997</v>
      </c>
      <c r="P46" s="16">
        <v>8.5751200000000001</v>
      </c>
      <c r="Q46" s="16">
        <v>14.65644</v>
      </c>
      <c r="R46" s="16">
        <v>33.630459999999999</v>
      </c>
      <c r="S46" s="16">
        <v>27.760300000000001</v>
      </c>
      <c r="T46" s="16">
        <v>11.286379999999999</v>
      </c>
      <c r="U46" s="16">
        <v>-14.38903</v>
      </c>
      <c r="V46" s="16">
        <v>11.00366</v>
      </c>
      <c r="W46" s="16">
        <v>30.656770000000002</v>
      </c>
      <c r="X46" s="16">
        <v>78.433350000000004</v>
      </c>
      <c r="Y46" s="16">
        <v>20.926279999999998</v>
      </c>
      <c r="Z46" s="16">
        <v>17.11955</v>
      </c>
      <c r="AA46" s="16">
        <v>49.568680000000001</v>
      </c>
      <c r="AB46" s="16">
        <v>30.38326</v>
      </c>
      <c r="AC46" s="16">
        <v>41.949339999999999</v>
      </c>
      <c r="AD46" s="16">
        <v>90.300280000000001</v>
      </c>
      <c r="AE46" s="16">
        <v>25.237020000000001</v>
      </c>
      <c r="AF46" s="16">
        <v>26.017717809976254</v>
      </c>
      <c r="AG46" s="16">
        <v>42.795492049736886</v>
      </c>
      <c r="AH46" s="16">
        <v>56.29713986604478</v>
      </c>
      <c r="AI46" s="46"/>
      <c r="AJ46" s="46"/>
      <c r="AK46" s="46"/>
      <c r="AL46" s="46"/>
      <c r="AM46" s="46"/>
      <c r="AN46" s="4"/>
      <c r="AO46" s="4"/>
      <c r="AP46" s="4"/>
      <c r="AQ46" s="4"/>
      <c r="AR46" s="4"/>
      <c r="AS46" s="4"/>
      <c r="AT46" s="4"/>
      <c r="AU46" s="4"/>
      <c r="AV46" s="4"/>
      <c r="AW46" s="4"/>
      <c r="AX46" s="4"/>
      <c r="AY46" s="4"/>
    </row>
    <row r="47" spans="1:51" ht="14.5" x14ac:dyDescent="0.35">
      <c r="A47" s="125">
        <f>YampaRiverInflow.TotalOutflow!A47</f>
        <v>47453</v>
      </c>
      <c r="B47" s="34">
        <v>39.872999999999998</v>
      </c>
      <c r="C47" s="12">
        <v>39.872999999999998</v>
      </c>
      <c r="D47" s="45">
        <v>39.872999999999998</v>
      </c>
      <c r="E47" s="16">
        <v>76.772750000000002</v>
      </c>
      <c r="F47" s="16">
        <v>23.632810000000003</v>
      </c>
      <c r="G47" s="16">
        <v>26.613599999999998</v>
      </c>
      <c r="H47" s="16">
        <v>20.40418</v>
      </c>
      <c r="I47" s="16">
        <v>6.7861099999999999</v>
      </c>
      <c r="J47" s="16">
        <v>7.0875000000000004</v>
      </c>
      <c r="K47" s="16">
        <v>18.854099999999999</v>
      </c>
      <c r="L47" s="16">
        <v>35.589959999999998</v>
      </c>
      <c r="M47" s="16">
        <v>26.338159999999998</v>
      </c>
      <c r="N47" s="16">
        <v>20.191050000000001</v>
      </c>
      <c r="O47" s="16">
        <v>74.97139</v>
      </c>
      <c r="P47" s="16">
        <v>11.51708</v>
      </c>
      <c r="Q47" s="16">
        <v>-4.6183199999999998</v>
      </c>
      <c r="R47" s="16">
        <v>27.153869999999998</v>
      </c>
      <c r="S47" s="16">
        <v>22.050689999999999</v>
      </c>
      <c r="T47" s="16">
        <v>10.000299999999999</v>
      </c>
      <c r="U47" s="16">
        <v>200.48664000000002</v>
      </c>
      <c r="V47" s="16">
        <v>49.498660000000001</v>
      </c>
      <c r="W47" s="16">
        <v>30.962709999999998</v>
      </c>
      <c r="X47" s="16">
        <v>25.01275</v>
      </c>
      <c r="Y47" s="16">
        <v>10.133760000000001</v>
      </c>
      <c r="Z47" s="16">
        <v>15.85665</v>
      </c>
      <c r="AA47" s="16">
        <v>14.69364</v>
      </c>
      <c r="AB47" s="16">
        <v>24.777099999999997</v>
      </c>
      <c r="AC47" s="16">
        <v>25.998349999999999</v>
      </c>
      <c r="AD47" s="16">
        <v>73.964010000000002</v>
      </c>
      <c r="AE47" s="16">
        <v>39.270139999999998</v>
      </c>
      <c r="AF47" s="16">
        <v>58.229954837951695</v>
      </c>
      <c r="AG47" s="16">
        <v>94.346721745758927</v>
      </c>
      <c r="AH47" s="16">
        <v>58.610447656656703</v>
      </c>
      <c r="AI47" s="46"/>
      <c r="AJ47" s="46"/>
      <c r="AK47" s="46"/>
      <c r="AL47" s="46"/>
      <c r="AM47" s="46"/>
      <c r="AN47" s="4"/>
      <c r="AO47" s="4"/>
      <c r="AP47" s="4"/>
      <c r="AQ47" s="4"/>
      <c r="AR47" s="4"/>
      <c r="AS47" s="4"/>
      <c r="AT47" s="4"/>
      <c r="AU47" s="4"/>
      <c r="AV47" s="4"/>
      <c r="AW47" s="4"/>
      <c r="AX47" s="4"/>
      <c r="AY47" s="4"/>
    </row>
    <row r="48" spans="1:51" ht="14.5" x14ac:dyDescent="0.35">
      <c r="A48" s="125">
        <f>YampaRiverInflow.TotalOutflow!A48</f>
        <v>47484</v>
      </c>
      <c r="B48" s="34">
        <v>38.064</v>
      </c>
      <c r="C48" s="12">
        <v>38.064</v>
      </c>
      <c r="D48" s="45">
        <v>38.064</v>
      </c>
      <c r="E48" s="16">
        <v>147.14017999999999</v>
      </c>
      <c r="F48" s="16">
        <v>12.95735</v>
      </c>
      <c r="G48" s="16">
        <v>43.173999999999999</v>
      </c>
      <c r="H48" s="16">
        <v>43.572859999999999</v>
      </c>
      <c r="I48" s="16">
        <v>40.911610000000003</v>
      </c>
      <c r="J48" s="16">
        <v>13.873209999999998</v>
      </c>
      <c r="K48" s="16">
        <v>43.65607</v>
      </c>
      <c r="L48" s="16">
        <v>8.8752700000000004</v>
      </c>
      <c r="M48" s="16">
        <v>27.946300000000001</v>
      </c>
      <c r="N48" s="16">
        <v>3.3895900000000001</v>
      </c>
      <c r="O48" s="16">
        <v>303.37369000000001</v>
      </c>
      <c r="P48" s="16">
        <v>12.219719999999999</v>
      </c>
      <c r="Q48" s="16">
        <v>-9.3584500000000013</v>
      </c>
      <c r="R48" s="16">
        <v>28.872540000000001</v>
      </c>
      <c r="S48" s="16">
        <v>4.9805900000000003</v>
      </c>
      <c r="T48" s="16">
        <v>53.234699999999997</v>
      </c>
      <c r="U48" s="16">
        <v>36.51267</v>
      </c>
      <c r="V48" s="16">
        <v>15.039200000000001</v>
      </c>
      <c r="W48" s="16">
        <v>13.099450000000001</v>
      </c>
      <c r="X48" s="16">
        <v>6.7984099999999996</v>
      </c>
      <c r="Y48" s="16">
        <v>21.993320000000001</v>
      </c>
      <c r="Z48" s="16">
        <v>41.238190000000003</v>
      </c>
      <c r="AA48" s="16">
        <v>58.881329999999998</v>
      </c>
      <c r="AB48" s="16">
        <v>49.533120000000004</v>
      </c>
      <c r="AC48" s="16">
        <v>48.656099999999995</v>
      </c>
      <c r="AD48" s="16">
        <v>36.149560000000001</v>
      </c>
      <c r="AE48" s="16">
        <v>28.502187496324908</v>
      </c>
      <c r="AF48" s="16">
        <v>66.377511872836507</v>
      </c>
      <c r="AG48" s="16">
        <v>211.12333447291081</v>
      </c>
      <c r="AH48" s="16">
        <v>68.713341688972349</v>
      </c>
      <c r="AI48" s="46"/>
      <c r="AJ48" s="46"/>
      <c r="AK48" s="46"/>
      <c r="AL48" s="46"/>
      <c r="AM48" s="46"/>
      <c r="AN48" s="4"/>
      <c r="AO48" s="4"/>
      <c r="AP48" s="4"/>
      <c r="AQ48" s="4"/>
      <c r="AR48" s="4"/>
      <c r="AS48" s="4"/>
      <c r="AT48" s="4"/>
      <c r="AU48" s="4"/>
      <c r="AV48" s="4"/>
      <c r="AW48" s="4"/>
      <c r="AX48" s="4"/>
      <c r="AY48" s="4"/>
    </row>
    <row r="49" spans="1:1005" ht="14.5" x14ac:dyDescent="0.35">
      <c r="A49" s="125">
        <f>YampaRiverInflow.TotalOutflow!A49</f>
        <v>47515</v>
      </c>
      <c r="B49" s="34">
        <v>28.969000000000001</v>
      </c>
      <c r="C49" s="12">
        <v>28.969000000000001</v>
      </c>
      <c r="D49" s="45">
        <v>28.969000000000001</v>
      </c>
      <c r="E49" s="16">
        <v>89.958119999999994</v>
      </c>
      <c r="F49" s="16">
        <v>24.910400000000003</v>
      </c>
      <c r="G49" s="16">
        <v>-4.8160100000000003</v>
      </c>
      <c r="H49" s="16">
        <v>73.336060000000003</v>
      </c>
      <c r="I49" s="16">
        <v>36.586980000000004</v>
      </c>
      <c r="J49" s="16">
        <v>21.691119999999998</v>
      </c>
      <c r="K49" s="16">
        <v>36.689769999999996</v>
      </c>
      <c r="L49" s="16">
        <v>4.0654399999999997</v>
      </c>
      <c r="M49" s="16">
        <v>38.304220000000001</v>
      </c>
      <c r="N49" s="16">
        <v>19.567259999999997</v>
      </c>
      <c r="O49" s="16">
        <v>194.10926000000001</v>
      </c>
      <c r="P49" s="16">
        <v>10.566690000000001</v>
      </c>
      <c r="Q49" s="16">
        <v>18.006209999999999</v>
      </c>
      <c r="R49" s="16">
        <v>42.33981</v>
      </c>
      <c r="S49" s="16">
        <v>29.493419999999997</v>
      </c>
      <c r="T49" s="16">
        <v>57.446640000000002</v>
      </c>
      <c r="U49" s="16">
        <v>36.949750000000002</v>
      </c>
      <c r="V49" s="16">
        <v>19.886479999999999</v>
      </c>
      <c r="W49" s="16">
        <v>30.005659999999999</v>
      </c>
      <c r="X49" s="16">
        <v>35.553809999999999</v>
      </c>
      <c r="Y49" s="16">
        <v>40.773769999999999</v>
      </c>
      <c r="Z49" s="16">
        <v>31.995979999999999</v>
      </c>
      <c r="AA49" s="16">
        <v>74.449780000000004</v>
      </c>
      <c r="AB49" s="16">
        <v>14.88969</v>
      </c>
      <c r="AC49" s="16">
        <v>39.650980000000004</v>
      </c>
      <c r="AD49" s="16">
        <v>14.91981</v>
      </c>
      <c r="AE49" s="16">
        <v>53.503218596593655</v>
      </c>
      <c r="AF49" s="16">
        <v>97.944624983882534</v>
      </c>
      <c r="AG49" s="16">
        <v>211.27383722176506</v>
      </c>
      <c r="AH49" s="16">
        <v>63.115245487554333</v>
      </c>
      <c r="AI49" s="46"/>
      <c r="AJ49" s="46"/>
      <c r="AK49" s="46"/>
      <c r="AL49" s="46"/>
      <c r="AM49" s="46"/>
      <c r="AN49" s="4"/>
      <c r="AO49" s="4"/>
      <c r="AP49" s="4"/>
      <c r="AQ49" s="4"/>
      <c r="AR49" s="4"/>
      <c r="AS49" s="4"/>
      <c r="AT49" s="4"/>
      <c r="AU49" s="4"/>
      <c r="AV49" s="4"/>
      <c r="AW49" s="4"/>
      <c r="AX49" s="4"/>
      <c r="AY49" s="4"/>
    </row>
    <row r="50" spans="1:1005" ht="14.5" x14ac:dyDescent="0.35">
      <c r="A50" s="125">
        <f>YampaRiverInflow.TotalOutflow!A50</f>
        <v>47543</v>
      </c>
      <c r="B50" s="34">
        <v>20.625</v>
      </c>
      <c r="C50" s="12">
        <v>20.625</v>
      </c>
      <c r="D50" s="45">
        <v>20.625</v>
      </c>
      <c r="E50" s="16">
        <v>177.33817000000002</v>
      </c>
      <c r="F50" s="16">
        <v>-56.693550000000002</v>
      </c>
      <c r="G50" s="16">
        <v>37.615089999999995</v>
      </c>
      <c r="H50" s="16">
        <v>83.826080000000005</v>
      </c>
      <c r="I50" s="16">
        <v>-9.628680000000001</v>
      </c>
      <c r="J50" s="16">
        <v>-8.9868500000000004</v>
      </c>
      <c r="K50" s="16">
        <v>31.59817</v>
      </c>
      <c r="L50" s="16">
        <v>-31.764150000000001</v>
      </c>
      <c r="M50" s="16">
        <v>8.1977799999999998</v>
      </c>
      <c r="N50" s="16">
        <v>-4.6275300000000001</v>
      </c>
      <c r="O50" s="16">
        <v>107.54282000000001</v>
      </c>
      <c r="P50" s="16">
        <v>18.535509999999999</v>
      </c>
      <c r="Q50" s="16">
        <v>-8.2876000000000012</v>
      </c>
      <c r="R50" s="16">
        <v>9.9111000000000011</v>
      </c>
      <c r="S50" s="16">
        <v>-22.678090000000001</v>
      </c>
      <c r="T50" s="16">
        <v>14.65991</v>
      </c>
      <c r="U50" s="16">
        <v>17.707439999999998</v>
      </c>
      <c r="V50" s="16">
        <v>9.1945100000000011</v>
      </c>
      <c r="W50" s="16">
        <v>12.195319999999999</v>
      </c>
      <c r="X50" s="16">
        <v>-13.04682</v>
      </c>
      <c r="Y50" s="16">
        <v>5.0683699999999998</v>
      </c>
      <c r="Z50" s="16">
        <v>-22.833819999999999</v>
      </c>
      <c r="AA50" s="16">
        <v>21.36993</v>
      </c>
      <c r="AB50" s="16">
        <v>4.0066199999999998</v>
      </c>
      <c r="AC50" s="16">
        <v>64.574950000000001</v>
      </c>
      <c r="AD50" s="16">
        <v>63.134869999999999</v>
      </c>
      <c r="AE50" s="16">
        <v>61.180317783398927</v>
      </c>
      <c r="AF50" s="16">
        <v>128.26726604236279</v>
      </c>
      <c r="AG50" s="16">
        <v>224.00764611072893</v>
      </c>
      <c r="AH50" s="16">
        <v>43.466726188585206</v>
      </c>
      <c r="AI50" s="46"/>
      <c r="AJ50" s="46"/>
      <c r="AK50" s="46"/>
      <c r="AL50" s="46"/>
      <c r="AM50" s="46"/>
      <c r="AN50" s="4"/>
      <c r="AO50" s="4"/>
      <c r="AP50" s="4"/>
      <c r="AQ50" s="4"/>
      <c r="AR50" s="4"/>
      <c r="AS50" s="4"/>
      <c r="AT50" s="4"/>
      <c r="AU50" s="4"/>
      <c r="AV50" s="4"/>
      <c r="AW50" s="4"/>
      <c r="AX50" s="4"/>
      <c r="AY50" s="4"/>
    </row>
    <row r="51" spans="1:1005" ht="14.5" x14ac:dyDescent="0.35">
      <c r="A51" s="125">
        <f>YampaRiverInflow.TotalOutflow!A51</f>
        <v>47574</v>
      </c>
      <c r="B51" s="34">
        <v>19.73</v>
      </c>
      <c r="C51" s="12">
        <v>19.73</v>
      </c>
      <c r="D51" s="45">
        <v>19.73</v>
      </c>
      <c r="E51" s="16">
        <v>81.07553999999999</v>
      </c>
      <c r="F51" s="16">
        <v>86.656300000000002</v>
      </c>
      <c r="G51" s="16">
        <v>38.537150000000004</v>
      </c>
      <c r="H51" s="16">
        <v>88.094770000000011</v>
      </c>
      <c r="I51" s="16">
        <v>-55.505400000000002</v>
      </c>
      <c r="J51" s="16">
        <v>-25.224409999999999</v>
      </c>
      <c r="K51" s="16">
        <v>-11.06203</v>
      </c>
      <c r="L51" s="16">
        <v>-40.472319999999996</v>
      </c>
      <c r="M51" s="16">
        <v>-8.5150300000000012</v>
      </c>
      <c r="N51" s="16">
        <v>5.4860100000000003</v>
      </c>
      <c r="O51" s="16">
        <v>89.623949999999994</v>
      </c>
      <c r="P51" s="16">
        <v>5.5964700000000001</v>
      </c>
      <c r="Q51" s="16">
        <v>-13.982229999999999</v>
      </c>
      <c r="R51" s="16">
        <v>-5.7306000000000008</v>
      </c>
      <c r="S51" s="16">
        <v>-15.20013</v>
      </c>
      <c r="T51" s="16">
        <v>34.876040000000003</v>
      </c>
      <c r="U51" s="16">
        <v>71.3001</v>
      </c>
      <c r="V51" s="16">
        <v>20.61309</v>
      </c>
      <c r="W51" s="16">
        <v>9.5076800000000006</v>
      </c>
      <c r="X51" s="16">
        <v>-18.428540000000002</v>
      </c>
      <c r="Y51" s="16">
        <v>-11.481530000000001</v>
      </c>
      <c r="Z51" s="16">
        <v>17.488060000000001</v>
      </c>
      <c r="AA51" s="16">
        <v>42.204129999999999</v>
      </c>
      <c r="AB51" s="16">
        <v>-16.627680000000002</v>
      </c>
      <c r="AC51" s="16">
        <v>57.904980000000002</v>
      </c>
      <c r="AD51" s="16">
        <v>18.792390000000001</v>
      </c>
      <c r="AE51" s="16">
        <v>27.715374733300219</v>
      </c>
      <c r="AF51" s="16">
        <v>73.575185829979745</v>
      </c>
      <c r="AG51" s="16">
        <v>159.09265105449037</v>
      </c>
      <c r="AH51" s="16">
        <v>29.569324498987175</v>
      </c>
      <c r="AI51" s="46"/>
      <c r="AJ51" s="46"/>
      <c r="AK51" s="46"/>
      <c r="AL51" s="46"/>
      <c r="AM51" s="46"/>
      <c r="AN51" s="4"/>
      <c r="AO51" s="4"/>
      <c r="AP51" s="4"/>
      <c r="AQ51" s="4"/>
      <c r="AR51" s="4"/>
      <c r="AS51" s="4"/>
      <c r="AT51" s="4"/>
      <c r="AU51" s="4"/>
      <c r="AV51" s="4"/>
      <c r="AW51" s="4"/>
      <c r="AX51" s="4"/>
      <c r="AY51" s="4"/>
    </row>
    <row r="52" spans="1:1005" ht="14.5" x14ac:dyDescent="0.35">
      <c r="A52" s="125">
        <f>YampaRiverInflow.TotalOutflow!A52</f>
        <v>47604</v>
      </c>
      <c r="B52" s="34">
        <v>11.801</v>
      </c>
      <c r="C52" s="12">
        <v>11.801</v>
      </c>
      <c r="D52" s="45">
        <v>11.801</v>
      </c>
      <c r="E52" s="16">
        <v>144.82448000000002</v>
      </c>
      <c r="F52" s="16">
        <v>15.857620000000001</v>
      </c>
      <c r="G52" s="16">
        <v>26.527619999999999</v>
      </c>
      <c r="H52" s="16">
        <v>112.01666</v>
      </c>
      <c r="I52" s="16">
        <v>5.9267599999999998</v>
      </c>
      <c r="J52" s="16">
        <v>-7.9631999999999996</v>
      </c>
      <c r="K52" s="16">
        <v>-10.182930000000001</v>
      </c>
      <c r="L52" s="16">
        <v>-18.910119999999999</v>
      </c>
      <c r="M52" s="16">
        <v>-5.1637899999999997</v>
      </c>
      <c r="N52" s="16">
        <v>4.8523900000000006</v>
      </c>
      <c r="O52" s="16">
        <v>136.5727</v>
      </c>
      <c r="P52" s="16">
        <v>-17.06551</v>
      </c>
      <c r="Q52" s="16">
        <v>-25.80247</v>
      </c>
      <c r="R52" s="16">
        <v>13.146979999999999</v>
      </c>
      <c r="S52" s="16">
        <v>9.7264300000000006</v>
      </c>
      <c r="T52" s="16">
        <v>41.096609999999998</v>
      </c>
      <c r="U52" s="16">
        <v>63.824849999999998</v>
      </c>
      <c r="V52" s="16">
        <v>-6.9918699999999996</v>
      </c>
      <c r="W52" s="16">
        <v>0.73799999999999999</v>
      </c>
      <c r="X52" s="16">
        <v>-18.297540000000001</v>
      </c>
      <c r="Y52" s="16">
        <v>-12.214030000000001</v>
      </c>
      <c r="Z52" s="16">
        <v>9.0859300000000012</v>
      </c>
      <c r="AA52" s="16">
        <v>5.1340200000000005</v>
      </c>
      <c r="AB52" s="16">
        <v>-29.088660000000001</v>
      </c>
      <c r="AC52" s="16">
        <v>48.692149999999998</v>
      </c>
      <c r="AD52" s="16">
        <v>-11.59253</v>
      </c>
      <c r="AE52" s="16">
        <v>13.941845357980599</v>
      </c>
      <c r="AF52" s="16">
        <v>50.616735034495079</v>
      </c>
      <c r="AG52" s="16">
        <v>122.33935550539928</v>
      </c>
      <c r="AH52" s="16">
        <v>45.147363021899245</v>
      </c>
      <c r="AI52" s="46"/>
      <c r="AJ52" s="46"/>
      <c r="AK52" s="46"/>
      <c r="AL52" s="46"/>
      <c r="AM52" s="46"/>
      <c r="AN52" s="4"/>
      <c r="AO52" s="4"/>
      <c r="AP52" s="4"/>
      <c r="AQ52" s="4"/>
      <c r="AR52" s="4"/>
      <c r="AS52" s="4"/>
      <c r="AT52" s="4"/>
      <c r="AU52" s="4"/>
      <c r="AV52" s="4"/>
      <c r="AW52" s="4"/>
      <c r="AX52" s="4"/>
      <c r="AY52" s="4"/>
    </row>
    <row r="53" spans="1:1005" ht="14.5" x14ac:dyDescent="0.35">
      <c r="A53" s="125">
        <f>YampaRiverInflow.TotalOutflow!A53</f>
        <v>47635</v>
      </c>
      <c r="B53" s="34">
        <v>-17.097999999999999</v>
      </c>
      <c r="C53" s="12">
        <v>-17.097999999999999</v>
      </c>
      <c r="D53" s="45">
        <v>-17.097999999999999</v>
      </c>
      <c r="E53" s="16">
        <v>48.385210000000001</v>
      </c>
      <c r="F53" s="16">
        <v>10.9796</v>
      </c>
      <c r="G53" s="16">
        <v>-16.415560000000003</v>
      </c>
      <c r="H53" s="16">
        <v>59.579190000000004</v>
      </c>
      <c r="I53" s="16">
        <v>20.131820000000001</v>
      </c>
      <c r="J53" s="16">
        <v>-1.8760000000000002E-2</v>
      </c>
      <c r="K53" s="16">
        <v>-40.888860000000001</v>
      </c>
      <c r="L53" s="16">
        <v>-24.57798</v>
      </c>
      <c r="M53" s="16">
        <v>-41.014429999999997</v>
      </c>
      <c r="N53" s="16">
        <v>-32.649230000000003</v>
      </c>
      <c r="O53" s="16">
        <v>31.118189999999998</v>
      </c>
      <c r="P53" s="16">
        <v>-16.25863</v>
      </c>
      <c r="Q53" s="16">
        <v>-29.007360000000002</v>
      </c>
      <c r="R53" s="16">
        <v>15.05063</v>
      </c>
      <c r="S53" s="16">
        <v>-28.113409999999998</v>
      </c>
      <c r="T53" s="16">
        <v>-6.2963900000000006</v>
      </c>
      <c r="U53" s="16">
        <v>35.037300000000002</v>
      </c>
      <c r="V53" s="16">
        <v>-16.40408</v>
      </c>
      <c r="W53" s="16">
        <v>-27.575620000000001</v>
      </c>
      <c r="X53" s="16">
        <v>-23.976099999999999</v>
      </c>
      <c r="Y53" s="16">
        <v>-8.1685800000000004</v>
      </c>
      <c r="Z53" s="16">
        <v>-18.756529999999998</v>
      </c>
      <c r="AA53" s="16">
        <v>-18.879729999999999</v>
      </c>
      <c r="AB53" s="16">
        <v>-18.7621</v>
      </c>
      <c r="AC53" s="16">
        <v>4.9375299999999998</v>
      </c>
      <c r="AD53" s="16">
        <v>-14.283790000000002</v>
      </c>
      <c r="AE53" s="16">
        <v>78.656605207787052</v>
      </c>
      <c r="AF53" s="16">
        <v>0.79443608718219216</v>
      </c>
      <c r="AG53" s="16">
        <v>10.795318554272191</v>
      </c>
      <c r="AH53" s="16">
        <v>-1.7823744887791051</v>
      </c>
      <c r="AI53" s="46"/>
      <c r="AJ53" s="46"/>
      <c r="AK53" s="46"/>
      <c r="AL53" s="46"/>
      <c r="AM53" s="46"/>
      <c r="AN53" s="4"/>
      <c r="AO53" s="4"/>
      <c r="AP53" s="4"/>
      <c r="AQ53" s="4"/>
      <c r="AR53" s="4"/>
      <c r="AS53" s="4"/>
      <c r="AT53" s="4"/>
      <c r="AU53" s="4"/>
      <c r="AV53" s="4"/>
      <c r="AW53" s="4"/>
      <c r="AX53" s="4"/>
      <c r="AY53" s="4"/>
    </row>
    <row r="54" spans="1:1005" ht="14.5" x14ac:dyDescent="0.35">
      <c r="A54" s="125">
        <f>YampaRiverInflow.TotalOutflow!A54</f>
        <v>47665</v>
      </c>
      <c r="B54" s="34">
        <v>9.3360000000000003</v>
      </c>
      <c r="C54" s="12">
        <v>9.3360000000000003</v>
      </c>
      <c r="D54" s="45">
        <v>9.3360000000000003</v>
      </c>
      <c r="E54" s="16">
        <v>30.843540000000001</v>
      </c>
      <c r="F54" s="16">
        <v>41.040230000000001</v>
      </c>
      <c r="G54" s="16">
        <v>14.490680000000001</v>
      </c>
      <c r="H54" s="16">
        <v>75.778990000000007</v>
      </c>
      <c r="I54" s="16">
        <v>65.886160000000004</v>
      </c>
      <c r="J54" s="16">
        <v>-49.466929999999998</v>
      </c>
      <c r="K54" s="16">
        <v>-38.095980000000004</v>
      </c>
      <c r="L54" s="16">
        <v>-9.229239999999999</v>
      </c>
      <c r="M54" s="16">
        <v>-13.51318</v>
      </c>
      <c r="N54" s="16">
        <v>-26.592950000000002</v>
      </c>
      <c r="O54" s="16">
        <v>24.434360000000002</v>
      </c>
      <c r="P54" s="16">
        <v>-13.056049999999999</v>
      </c>
      <c r="Q54" s="16">
        <v>-8.1851199999999995</v>
      </c>
      <c r="R54" s="16">
        <v>-2.57158</v>
      </c>
      <c r="S54" s="16">
        <v>-30.264680000000002</v>
      </c>
      <c r="T54" s="16">
        <v>-36.50526</v>
      </c>
      <c r="U54" s="16">
        <v>7.3666599999999995</v>
      </c>
      <c r="V54" s="16">
        <v>20.909459999999999</v>
      </c>
      <c r="W54" s="16">
        <v>21.97174</v>
      </c>
      <c r="X54" s="16">
        <v>-3.3679099999999997</v>
      </c>
      <c r="Y54" s="16">
        <v>5.8490699999999993</v>
      </c>
      <c r="Z54" s="16">
        <v>18.370330000000003</v>
      </c>
      <c r="AA54" s="16">
        <v>18.507080000000002</v>
      </c>
      <c r="AB54" s="16">
        <v>26.724900000000002</v>
      </c>
      <c r="AC54" s="16">
        <v>-54.714529999999996</v>
      </c>
      <c r="AD54" s="16">
        <v>-25.463419999999999</v>
      </c>
      <c r="AE54" s="16">
        <v>-6.2687281740997962</v>
      </c>
      <c r="AF54" s="16">
        <v>27.797003253292672</v>
      </c>
      <c r="AG54" s="16">
        <v>-8.8693892113595538</v>
      </c>
      <c r="AH54" s="16">
        <v>20.270427585364928</v>
      </c>
      <c r="AI54" s="46"/>
      <c r="AJ54" s="46"/>
      <c r="AK54" s="46"/>
      <c r="AL54" s="46"/>
      <c r="AM54" s="46"/>
      <c r="AN54" s="4"/>
      <c r="AO54" s="4"/>
      <c r="AP54" s="4"/>
      <c r="AQ54" s="4"/>
      <c r="AR54" s="4"/>
      <c r="AS54" s="4"/>
      <c r="AT54" s="4"/>
      <c r="AU54" s="4"/>
      <c r="AV54" s="4"/>
      <c r="AW54" s="4"/>
      <c r="AX54" s="4"/>
      <c r="AY54" s="4"/>
    </row>
    <row r="55" spans="1:1005" ht="14.5" x14ac:dyDescent="0.35">
      <c r="A55" s="125">
        <f>YampaRiverInflow.TotalOutflow!A55</f>
        <v>47696</v>
      </c>
      <c r="B55" s="34">
        <v>37.031999999999996</v>
      </c>
      <c r="C55" s="12">
        <v>37.031999999999996</v>
      </c>
      <c r="D55" s="45">
        <v>37.031999999999996</v>
      </c>
      <c r="E55" s="16">
        <v>32.843679999999999</v>
      </c>
      <c r="F55" s="16">
        <v>9.41737</v>
      </c>
      <c r="G55" s="16">
        <v>73.407210000000006</v>
      </c>
      <c r="H55" s="16">
        <v>56.459800000000001</v>
      </c>
      <c r="I55" s="16">
        <v>48.113410000000002</v>
      </c>
      <c r="J55" s="16">
        <v>12.67862</v>
      </c>
      <c r="K55" s="16">
        <v>24.742099999999997</v>
      </c>
      <c r="L55" s="16">
        <v>-3.3823099999999999</v>
      </c>
      <c r="M55" s="16">
        <v>40.45872</v>
      </c>
      <c r="N55" s="16">
        <v>7.9324300000000001</v>
      </c>
      <c r="O55" s="16">
        <v>46.411089999999994</v>
      </c>
      <c r="P55" s="16">
        <v>6.7395899999999997</v>
      </c>
      <c r="Q55" s="16">
        <v>17.925740000000001</v>
      </c>
      <c r="R55" s="16">
        <v>17.421220000000002</v>
      </c>
      <c r="S55" s="16">
        <v>-3.9880599999999999</v>
      </c>
      <c r="T55" s="16">
        <v>-1.2442899999999999</v>
      </c>
      <c r="U55" s="16">
        <v>21.964880000000001</v>
      </c>
      <c r="V55" s="16">
        <v>75.510499999999993</v>
      </c>
      <c r="W55" s="16">
        <v>37.568370000000002</v>
      </c>
      <c r="X55" s="16">
        <v>42.03425</v>
      </c>
      <c r="Y55" s="16">
        <v>42.976790000000001</v>
      </c>
      <c r="Z55" s="16">
        <v>38.019089999999998</v>
      </c>
      <c r="AA55" s="16">
        <v>12.330110000000001</v>
      </c>
      <c r="AB55" s="16">
        <v>11.853590000000001</v>
      </c>
      <c r="AC55" s="16">
        <v>-10.878549999999999</v>
      </c>
      <c r="AD55" s="16">
        <v>0.28339999999999999</v>
      </c>
      <c r="AE55" s="16">
        <v>51.813121174655578</v>
      </c>
      <c r="AF55" s="16">
        <v>55.485192829981116</v>
      </c>
      <c r="AG55" s="16">
        <v>84.255431956262342</v>
      </c>
      <c r="AH55" s="16">
        <v>46.678198108351161</v>
      </c>
      <c r="AI55" s="46"/>
      <c r="AJ55" s="46"/>
      <c r="AK55" s="46"/>
      <c r="AL55" s="46"/>
      <c r="AM55" s="46"/>
      <c r="AN55" s="4"/>
      <c r="AO55" s="4"/>
      <c r="AP55" s="4"/>
      <c r="AQ55" s="4"/>
      <c r="AR55" s="4"/>
      <c r="AS55" s="4"/>
      <c r="AT55" s="4"/>
      <c r="AU55" s="4"/>
      <c r="AV55" s="4"/>
      <c r="AW55" s="4"/>
      <c r="AX55" s="4"/>
      <c r="AY55" s="4"/>
    </row>
    <row r="56" spans="1:1005" ht="14.5" x14ac:dyDescent="0.35">
      <c r="A56" s="125">
        <f>YampaRiverInflow.TotalOutflow!A56</f>
        <v>47727</v>
      </c>
      <c r="B56" s="34">
        <v>43.808999999999997</v>
      </c>
      <c r="C56" s="12">
        <v>43.808999999999997</v>
      </c>
      <c r="D56" s="45">
        <v>43.808999999999997</v>
      </c>
      <c r="E56" s="16">
        <v>42.169260000000001</v>
      </c>
      <c r="F56" s="16">
        <v>18.811229999999998</v>
      </c>
      <c r="G56" s="16">
        <v>37.728870000000001</v>
      </c>
      <c r="H56" s="16">
        <v>102.28238999999999</v>
      </c>
      <c r="I56" s="16">
        <v>63.219099999999997</v>
      </c>
      <c r="J56" s="16">
        <v>-1.1670799999999999</v>
      </c>
      <c r="K56" s="16">
        <v>27.992830000000001</v>
      </c>
      <c r="L56" s="16">
        <v>55.190280000000001</v>
      </c>
      <c r="M56" s="16">
        <v>32.140479999999997</v>
      </c>
      <c r="N56" s="16">
        <v>31.014310000000002</v>
      </c>
      <c r="O56" s="16">
        <v>29.221220000000002</v>
      </c>
      <c r="P56" s="16">
        <v>-5.8577599999999999</v>
      </c>
      <c r="Q56" s="16">
        <v>13.77566</v>
      </c>
      <c r="R56" s="16">
        <v>20.98864</v>
      </c>
      <c r="S56" s="16">
        <v>9.6280200000000011</v>
      </c>
      <c r="T56" s="16">
        <v>25.324290000000001</v>
      </c>
      <c r="U56" s="16">
        <v>17.578880000000002</v>
      </c>
      <c r="V56" s="16">
        <v>49.973109999999998</v>
      </c>
      <c r="W56" s="16">
        <v>68.102980000000002</v>
      </c>
      <c r="X56" s="16">
        <v>84.069659999999999</v>
      </c>
      <c r="Y56" s="16">
        <v>26.646470000000001</v>
      </c>
      <c r="Z56" s="16">
        <v>42.182259999999999</v>
      </c>
      <c r="AA56" s="16">
        <v>36.151679999999999</v>
      </c>
      <c r="AB56" s="16">
        <v>18.166060000000002</v>
      </c>
      <c r="AC56" s="16">
        <v>17.873080000000002</v>
      </c>
      <c r="AD56" s="16">
        <v>4.9049300000000002</v>
      </c>
      <c r="AE56" s="16">
        <v>64.526982142959554</v>
      </c>
      <c r="AF56" s="16">
        <v>64.196070820739521</v>
      </c>
      <c r="AG56" s="16">
        <v>71.079936959728215</v>
      </c>
      <c r="AH56" s="16">
        <v>58.189243912840368</v>
      </c>
      <c r="AI56" s="46"/>
      <c r="AJ56" s="46"/>
      <c r="AK56" s="46"/>
      <c r="AL56" s="46"/>
      <c r="AM56" s="46"/>
      <c r="AN56" s="4"/>
      <c r="AO56" s="4"/>
      <c r="AP56" s="4"/>
      <c r="AQ56" s="4"/>
      <c r="AR56" s="4"/>
      <c r="AS56" s="4"/>
      <c r="AT56" s="4"/>
      <c r="AU56" s="4"/>
      <c r="AV56" s="4"/>
      <c r="AW56" s="4"/>
      <c r="AX56" s="4"/>
      <c r="AY56" s="4"/>
    </row>
    <row r="57" spans="1:1005" ht="14.5" x14ac:dyDescent="0.35">
      <c r="A57" s="125">
        <f>YampaRiverInflow.TotalOutflow!A57</f>
        <v>47757</v>
      </c>
      <c r="B57" s="34">
        <v>23.17</v>
      </c>
      <c r="C57" s="12">
        <v>23.17</v>
      </c>
      <c r="D57" s="45">
        <v>23.17</v>
      </c>
      <c r="E57" s="16">
        <v>34.997630000000001</v>
      </c>
      <c r="F57" s="16">
        <v>11.211030000000001</v>
      </c>
      <c r="G57" s="16">
        <v>19.502970000000001</v>
      </c>
      <c r="H57" s="16">
        <v>54.718679999999999</v>
      </c>
      <c r="I57" s="16">
        <v>17.3261</v>
      </c>
      <c r="J57" s="16">
        <v>33.096730000000001</v>
      </c>
      <c r="K57" s="16">
        <v>7.0241199999999999</v>
      </c>
      <c r="L57" s="16">
        <v>38.168879999999994</v>
      </c>
      <c r="M57" s="16">
        <v>-0.32697000000000004</v>
      </c>
      <c r="N57" s="16">
        <v>84.070039999999992</v>
      </c>
      <c r="O57" s="16">
        <v>20.03706</v>
      </c>
      <c r="P57" s="16">
        <v>40.291160000000005</v>
      </c>
      <c r="Q57" s="16">
        <v>11.96547</v>
      </c>
      <c r="R57" s="16">
        <v>9.7060499999999994</v>
      </c>
      <c r="S57" s="16">
        <v>-4.8878300000000001</v>
      </c>
      <c r="T57" s="16">
        <v>42.031129999999997</v>
      </c>
      <c r="U57" s="16">
        <v>22.63785</v>
      </c>
      <c r="V57" s="16">
        <v>39.329860000000004</v>
      </c>
      <c r="W57" s="16">
        <v>28.046230000000001</v>
      </c>
      <c r="X57" s="16">
        <v>21.405650000000001</v>
      </c>
      <c r="Y57" s="16">
        <v>63.749839999999999</v>
      </c>
      <c r="Z57" s="16">
        <v>50.552589999999995</v>
      </c>
      <c r="AA57" s="16">
        <v>35.498150000000003</v>
      </c>
      <c r="AB57" s="16">
        <v>22.665689999999998</v>
      </c>
      <c r="AC57" s="16">
        <v>13.309760000000001</v>
      </c>
      <c r="AD57" s="16">
        <v>-5.9156000000000004</v>
      </c>
      <c r="AE57" s="16">
        <v>26.268479665397614</v>
      </c>
      <c r="AF57" s="16">
        <v>76.404177790335339</v>
      </c>
      <c r="AG57" s="16">
        <v>45.021740330611671</v>
      </c>
      <c r="AH57" s="16">
        <v>48.923185500669511</v>
      </c>
      <c r="AI57" s="46"/>
      <c r="AJ57" s="46"/>
      <c r="AK57" s="46"/>
      <c r="AL57" s="46"/>
      <c r="AM57" s="46"/>
      <c r="AN57" s="4"/>
      <c r="AO57" s="4"/>
      <c r="AP57" s="4"/>
      <c r="AQ57" s="4"/>
      <c r="AR57" s="4"/>
      <c r="AS57" s="4"/>
      <c r="AT57" s="4"/>
      <c r="AU57" s="4"/>
      <c r="AV57" s="4"/>
      <c r="AW57" s="4"/>
      <c r="AX57" s="4"/>
      <c r="AY57" s="4"/>
    </row>
    <row r="58" spans="1:1005" ht="14.5" x14ac:dyDescent="0.35">
      <c r="A58" s="125">
        <f>YampaRiverInflow.TotalOutflow!A58</f>
        <v>47788</v>
      </c>
      <c r="B58" s="34">
        <v>17.687000000000001</v>
      </c>
      <c r="C58" s="12">
        <v>17.687000000000001</v>
      </c>
      <c r="D58" s="45">
        <v>17.687000000000001</v>
      </c>
      <c r="E58" s="16">
        <v>42.111879999999999</v>
      </c>
      <c r="F58" s="16">
        <v>49.319809999999997</v>
      </c>
      <c r="G58" s="16">
        <v>62.6631</v>
      </c>
      <c r="H58" s="16">
        <v>57.306669999999997</v>
      </c>
      <c r="I58" s="16">
        <v>20.52073</v>
      </c>
      <c r="J58" s="16">
        <v>2.0303399999999998</v>
      </c>
      <c r="K58" s="16">
        <v>10.25154</v>
      </c>
      <c r="L58" s="16">
        <v>11.652959999999998</v>
      </c>
      <c r="M58" s="16">
        <v>18.590709999999998</v>
      </c>
      <c r="N58" s="16">
        <v>93.237679999999997</v>
      </c>
      <c r="O58" s="16">
        <v>8.5751200000000001</v>
      </c>
      <c r="P58" s="16">
        <v>14.65644</v>
      </c>
      <c r="Q58" s="16">
        <v>33.630459999999999</v>
      </c>
      <c r="R58" s="16">
        <v>27.760300000000001</v>
      </c>
      <c r="S58" s="16">
        <v>11.286379999999999</v>
      </c>
      <c r="T58" s="16">
        <v>-14.38903</v>
      </c>
      <c r="U58" s="16">
        <v>11.00366</v>
      </c>
      <c r="V58" s="16">
        <v>30.656770000000002</v>
      </c>
      <c r="W58" s="16">
        <v>78.433350000000004</v>
      </c>
      <c r="X58" s="16">
        <v>20.926279999999998</v>
      </c>
      <c r="Y58" s="16">
        <v>17.11955</v>
      </c>
      <c r="Z58" s="16">
        <v>49.568680000000001</v>
      </c>
      <c r="AA58" s="16">
        <v>30.38326</v>
      </c>
      <c r="AB58" s="16">
        <v>41.949339999999999</v>
      </c>
      <c r="AC58" s="16">
        <v>90.300280000000001</v>
      </c>
      <c r="AD58" s="16">
        <v>25.237020000000001</v>
      </c>
      <c r="AE58" s="16">
        <v>26.017717809976254</v>
      </c>
      <c r="AF58" s="16">
        <v>42.795492049736886</v>
      </c>
      <c r="AG58" s="16">
        <v>56.29713986604478</v>
      </c>
      <c r="AH58" s="16">
        <v>12.602030529735451</v>
      </c>
      <c r="AI58" s="46"/>
      <c r="AJ58" s="46"/>
      <c r="AK58" s="46"/>
      <c r="AL58" s="46"/>
      <c r="AM58" s="46"/>
      <c r="AN58" s="4"/>
      <c r="AO58" s="4"/>
      <c r="AP58" s="4"/>
      <c r="AQ58" s="4"/>
      <c r="AR58" s="4"/>
      <c r="AS58" s="4"/>
      <c r="AT58" s="4"/>
      <c r="AU58" s="4"/>
      <c r="AV58" s="4"/>
      <c r="AW58" s="4"/>
      <c r="AX58" s="4"/>
      <c r="AY58" s="4"/>
    </row>
    <row r="59" spans="1:1005" ht="14.5" x14ac:dyDescent="0.35">
      <c r="A59" s="125">
        <f>YampaRiverInflow.TotalOutflow!A59</f>
        <v>47818</v>
      </c>
      <c r="B59" s="34">
        <v>39.872999999999998</v>
      </c>
      <c r="C59" s="12">
        <v>39.872999999999998</v>
      </c>
      <c r="D59" s="45">
        <v>39.872999999999998</v>
      </c>
      <c r="E59" s="16">
        <v>23.632810000000003</v>
      </c>
      <c r="F59" s="16">
        <v>26.613599999999998</v>
      </c>
      <c r="G59" s="16">
        <v>20.40418</v>
      </c>
      <c r="H59" s="16">
        <v>6.7861099999999999</v>
      </c>
      <c r="I59" s="16">
        <v>7.0875000000000004</v>
      </c>
      <c r="J59" s="16">
        <v>18.854099999999999</v>
      </c>
      <c r="K59" s="16">
        <v>35.589959999999998</v>
      </c>
      <c r="L59" s="16">
        <v>26.338159999999998</v>
      </c>
      <c r="M59" s="16">
        <v>20.191050000000001</v>
      </c>
      <c r="N59" s="16">
        <v>74.97139</v>
      </c>
      <c r="O59" s="16">
        <v>11.51708</v>
      </c>
      <c r="P59" s="16">
        <v>-4.6183199999999998</v>
      </c>
      <c r="Q59" s="16">
        <v>27.153869999999998</v>
      </c>
      <c r="R59" s="16">
        <v>22.050689999999999</v>
      </c>
      <c r="S59" s="16">
        <v>10.000299999999999</v>
      </c>
      <c r="T59" s="16">
        <v>200.48664000000002</v>
      </c>
      <c r="U59" s="16">
        <v>49.498660000000001</v>
      </c>
      <c r="V59" s="16">
        <v>30.962709999999998</v>
      </c>
      <c r="W59" s="16">
        <v>25.01275</v>
      </c>
      <c r="X59" s="16">
        <v>10.133760000000001</v>
      </c>
      <c r="Y59" s="16">
        <v>15.85665</v>
      </c>
      <c r="Z59" s="16">
        <v>14.69364</v>
      </c>
      <c r="AA59" s="16">
        <v>24.777099999999997</v>
      </c>
      <c r="AB59" s="16">
        <v>25.998349999999999</v>
      </c>
      <c r="AC59" s="16">
        <v>73.964010000000002</v>
      </c>
      <c r="AD59" s="16">
        <v>39.270139999999998</v>
      </c>
      <c r="AE59" s="16">
        <v>58.229954837951695</v>
      </c>
      <c r="AF59" s="16">
        <v>94.346721745758927</v>
      </c>
      <c r="AG59" s="16">
        <v>58.610447656656703</v>
      </c>
      <c r="AH59" s="16">
        <v>76.782752691710428</v>
      </c>
      <c r="AI59" s="46"/>
      <c r="AJ59" s="46"/>
      <c r="AK59" s="46"/>
      <c r="AL59" s="46"/>
      <c r="AM59" s="46"/>
      <c r="AN59" s="4"/>
      <c r="AO59" s="4"/>
      <c r="AP59" s="4"/>
      <c r="AQ59" s="4"/>
      <c r="AR59" s="4"/>
      <c r="AS59" s="4"/>
      <c r="AT59" s="4"/>
      <c r="AU59" s="4"/>
      <c r="AV59" s="4"/>
      <c r="AW59" s="4"/>
      <c r="AX59" s="4"/>
      <c r="AY59" s="4"/>
    </row>
    <row r="60" spans="1:1005" ht="14.5" x14ac:dyDescent="0.35">
      <c r="A60" s="125">
        <f>YampaRiverInflow.TotalOutflow!A60</f>
        <v>47849</v>
      </c>
      <c r="B60" s="34">
        <v>38.064</v>
      </c>
      <c r="C60" s="12">
        <v>38.064</v>
      </c>
      <c r="D60" s="45">
        <v>38.064</v>
      </c>
      <c r="E60" s="16">
        <v>12.95735</v>
      </c>
      <c r="F60" s="16">
        <v>43.173999999999999</v>
      </c>
      <c r="G60" s="16">
        <v>43.572859999999999</v>
      </c>
      <c r="H60" s="16">
        <v>40.911610000000003</v>
      </c>
      <c r="I60" s="16">
        <v>13.873209999999998</v>
      </c>
      <c r="J60" s="16">
        <v>43.65607</v>
      </c>
      <c r="K60" s="16">
        <v>8.8752700000000004</v>
      </c>
      <c r="L60" s="16">
        <v>27.946300000000001</v>
      </c>
      <c r="M60" s="16">
        <v>3.3895900000000001</v>
      </c>
      <c r="N60" s="16">
        <v>303.37369000000001</v>
      </c>
      <c r="O60" s="16">
        <v>12.219719999999999</v>
      </c>
      <c r="P60" s="16">
        <v>-9.3584500000000013</v>
      </c>
      <c r="Q60" s="16">
        <v>28.872540000000001</v>
      </c>
      <c r="R60" s="16">
        <v>4.9805900000000003</v>
      </c>
      <c r="S60" s="16">
        <v>53.234699999999997</v>
      </c>
      <c r="T60" s="16">
        <v>36.51267</v>
      </c>
      <c r="U60" s="16">
        <v>15.039200000000001</v>
      </c>
      <c r="V60" s="16">
        <v>13.099450000000001</v>
      </c>
      <c r="W60" s="16">
        <v>6.7984099999999996</v>
      </c>
      <c r="X60" s="16">
        <v>21.993320000000001</v>
      </c>
      <c r="Y60" s="16">
        <v>41.238190000000003</v>
      </c>
      <c r="Z60" s="16">
        <v>58.881329999999998</v>
      </c>
      <c r="AA60" s="16">
        <v>49.533120000000004</v>
      </c>
      <c r="AB60" s="16">
        <v>48.656099999999995</v>
      </c>
      <c r="AC60" s="16">
        <v>36.149560000000001</v>
      </c>
      <c r="AD60" s="16">
        <v>28.502187496324908</v>
      </c>
      <c r="AE60" s="16">
        <v>66.377511872836507</v>
      </c>
      <c r="AF60" s="16">
        <v>211.12333447291081</v>
      </c>
      <c r="AG60" s="16">
        <v>68.713341688972349</v>
      </c>
      <c r="AH60" s="16">
        <v>147.80087564376487</v>
      </c>
      <c r="AI60" s="46"/>
      <c r="AJ60" s="46"/>
      <c r="AK60" s="46"/>
      <c r="AL60" s="46"/>
      <c r="AM60" s="46"/>
      <c r="AN60" s="4"/>
      <c r="AO60" s="4"/>
      <c r="AP60" s="4"/>
      <c r="AQ60" s="4"/>
      <c r="AR60" s="4"/>
      <c r="AS60" s="4"/>
      <c r="AT60" s="4"/>
      <c r="AU60" s="4"/>
      <c r="AV60" s="4"/>
      <c r="AW60" s="4"/>
      <c r="AX60" s="4"/>
      <c r="AY60" s="4"/>
    </row>
    <row r="61" spans="1:1005" ht="14.5" x14ac:dyDescent="0.35">
      <c r="A61" s="125">
        <f>YampaRiverInflow.TotalOutflow!A61</f>
        <v>47880</v>
      </c>
      <c r="B61" s="34">
        <v>28.969000000000001</v>
      </c>
      <c r="C61" s="12">
        <v>28.969000000000001</v>
      </c>
      <c r="D61" s="45">
        <v>28.969000000000001</v>
      </c>
      <c r="E61" s="16">
        <v>24.910400000000003</v>
      </c>
      <c r="F61" s="16">
        <v>-4.8160100000000003</v>
      </c>
      <c r="G61" s="16">
        <v>73.336060000000003</v>
      </c>
      <c r="H61" s="16">
        <v>36.586980000000004</v>
      </c>
      <c r="I61" s="16">
        <v>21.691119999999998</v>
      </c>
      <c r="J61" s="16">
        <v>36.689769999999996</v>
      </c>
      <c r="K61" s="16">
        <v>4.0654399999999997</v>
      </c>
      <c r="L61" s="16">
        <v>38.304220000000001</v>
      </c>
      <c r="M61" s="16">
        <v>19.567259999999997</v>
      </c>
      <c r="N61" s="16">
        <v>194.10926000000001</v>
      </c>
      <c r="O61" s="16">
        <v>10.566690000000001</v>
      </c>
      <c r="P61" s="16">
        <v>18.006209999999999</v>
      </c>
      <c r="Q61" s="16">
        <v>42.33981</v>
      </c>
      <c r="R61" s="16">
        <v>29.493419999999997</v>
      </c>
      <c r="S61" s="16">
        <v>57.446640000000002</v>
      </c>
      <c r="T61" s="16">
        <v>36.949750000000002</v>
      </c>
      <c r="U61" s="16">
        <v>19.886479999999999</v>
      </c>
      <c r="V61" s="16">
        <v>30.005659999999999</v>
      </c>
      <c r="W61" s="16">
        <v>35.553809999999999</v>
      </c>
      <c r="X61" s="16">
        <v>40.773769999999999</v>
      </c>
      <c r="Y61" s="16">
        <v>31.995979999999999</v>
      </c>
      <c r="Z61" s="16">
        <v>74.449780000000004</v>
      </c>
      <c r="AA61" s="16">
        <v>14.88969</v>
      </c>
      <c r="AB61" s="16">
        <v>39.650980000000004</v>
      </c>
      <c r="AC61" s="16">
        <v>14.91981</v>
      </c>
      <c r="AD61" s="16">
        <v>53.503218596593655</v>
      </c>
      <c r="AE61" s="16">
        <v>97.944624983882534</v>
      </c>
      <c r="AF61" s="16">
        <v>211.27383722176506</v>
      </c>
      <c r="AG61" s="16">
        <v>63.115245487554333</v>
      </c>
      <c r="AH61" s="16">
        <v>90.409230286593882</v>
      </c>
      <c r="AI61" s="46"/>
      <c r="AJ61" s="46"/>
      <c r="AK61" s="46"/>
      <c r="AL61" s="46"/>
      <c r="AM61" s="46"/>
      <c r="AN61" s="4"/>
      <c r="AO61" s="4"/>
      <c r="AP61" s="4"/>
      <c r="AQ61" s="4"/>
      <c r="AR61" s="4"/>
      <c r="AS61" s="4"/>
      <c r="AT61" s="4"/>
      <c r="AU61" s="4"/>
      <c r="AV61" s="4"/>
      <c r="AW61" s="4"/>
      <c r="AX61" s="4"/>
      <c r="AY61" s="4"/>
    </row>
    <row r="62" spans="1:1005" ht="14.5" x14ac:dyDescent="0.35">
      <c r="A62" s="125">
        <f>YampaRiverInflow.TotalOutflow!A62</f>
        <v>47908</v>
      </c>
      <c r="B62" s="34">
        <v>20.625</v>
      </c>
      <c r="C62" s="12">
        <v>20.625</v>
      </c>
      <c r="D62" s="45">
        <v>20.625</v>
      </c>
      <c r="E62" s="16">
        <v>-56.693550000000002</v>
      </c>
      <c r="F62" s="16">
        <v>37.615089999999995</v>
      </c>
      <c r="G62" s="16">
        <v>83.826080000000005</v>
      </c>
      <c r="H62" s="16">
        <v>-9.628680000000001</v>
      </c>
      <c r="I62" s="16">
        <v>-8.9868500000000004</v>
      </c>
      <c r="J62" s="16">
        <v>31.59817</v>
      </c>
      <c r="K62" s="16">
        <v>-31.764150000000001</v>
      </c>
      <c r="L62" s="16">
        <v>8.1977799999999998</v>
      </c>
      <c r="M62" s="16">
        <v>-4.6275300000000001</v>
      </c>
      <c r="N62" s="16">
        <v>107.54282000000001</v>
      </c>
      <c r="O62" s="16">
        <v>18.535509999999999</v>
      </c>
      <c r="P62" s="16">
        <v>-8.2876000000000012</v>
      </c>
      <c r="Q62" s="16">
        <v>9.9111000000000011</v>
      </c>
      <c r="R62" s="16">
        <v>-22.678090000000001</v>
      </c>
      <c r="S62" s="16">
        <v>14.65991</v>
      </c>
      <c r="T62" s="16">
        <v>17.707439999999998</v>
      </c>
      <c r="U62" s="16">
        <v>9.1945100000000011</v>
      </c>
      <c r="V62" s="16">
        <v>12.195319999999999</v>
      </c>
      <c r="W62" s="16">
        <v>-13.04682</v>
      </c>
      <c r="X62" s="16">
        <v>5.0683699999999998</v>
      </c>
      <c r="Y62" s="16">
        <v>-22.833819999999999</v>
      </c>
      <c r="Z62" s="16">
        <v>21.36993</v>
      </c>
      <c r="AA62" s="16">
        <v>4.0066199999999998</v>
      </c>
      <c r="AB62" s="16">
        <v>64.574950000000001</v>
      </c>
      <c r="AC62" s="16">
        <v>63.134869999999999</v>
      </c>
      <c r="AD62" s="16">
        <v>61.180317783398927</v>
      </c>
      <c r="AE62" s="16">
        <v>128.26726604236279</v>
      </c>
      <c r="AF62" s="16">
        <v>224.00764611072893</v>
      </c>
      <c r="AG62" s="16">
        <v>43.466726188585206</v>
      </c>
      <c r="AH62" s="16">
        <v>176.01578651210627</v>
      </c>
      <c r="AI62" s="46"/>
      <c r="AJ62" s="46"/>
      <c r="AK62" s="46"/>
      <c r="AL62" s="46"/>
      <c r="AM62" s="46"/>
      <c r="AN62" s="4"/>
      <c r="AO62" s="4"/>
      <c r="AP62" s="4"/>
      <c r="AQ62" s="4"/>
      <c r="AR62" s="4"/>
      <c r="AS62" s="4"/>
      <c r="AT62" s="4"/>
      <c r="AU62" s="4"/>
      <c r="AV62" s="4"/>
      <c r="AW62" s="4"/>
      <c r="AX62" s="4"/>
      <c r="AY62" s="4"/>
    </row>
    <row r="63" spans="1:1005" ht="14.5" x14ac:dyDescent="0.35">
      <c r="A63" s="125">
        <f>YampaRiverInflow.TotalOutflow!A63</f>
        <v>47939</v>
      </c>
      <c r="B63" s="34">
        <v>19.73</v>
      </c>
      <c r="C63" s="12">
        <v>19.73</v>
      </c>
      <c r="D63" s="45">
        <v>19.73</v>
      </c>
      <c r="E63" s="16">
        <v>86.656300000000002</v>
      </c>
      <c r="F63" s="16">
        <v>38.537150000000004</v>
      </c>
      <c r="G63" s="16">
        <v>88.094770000000011</v>
      </c>
      <c r="H63" s="16">
        <v>-55.505400000000002</v>
      </c>
      <c r="I63" s="16">
        <v>-25.224409999999999</v>
      </c>
      <c r="J63" s="16">
        <v>-11.06203</v>
      </c>
      <c r="K63" s="16">
        <v>-40.472319999999996</v>
      </c>
      <c r="L63" s="16">
        <v>-8.5150300000000012</v>
      </c>
      <c r="M63" s="16">
        <v>5.4860100000000003</v>
      </c>
      <c r="N63" s="16">
        <v>89.623949999999994</v>
      </c>
      <c r="O63" s="16">
        <v>5.5964700000000001</v>
      </c>
      <c r="P63" s="16">
        <v>-13.982229999999999</v>
      </c>
      <c r="Q63" s="16">
        <v>-5.7306000000000008</v>
      </c>
      <c r="R63" s="16">
        <v>-15.20013</v>
      </c>
      <c r="S63" s="16">
        <v>34.876040000000003</v>
      </c>
      <c r="T63" s="16">
        <v>71.3001</v>
      </c>
      <c r="U63" s="16">
        <v>20.61309</v>
      </c>
      <c r="V63" s="16">
        <v>9.5076800000000006</v>
      </c>
      <c r="W63" s="16">
        <v>-18.428540000000002</v>
      </c>
      <c r="X63" s="16">
        <v>-11.481530000000001</v>
      </c>
      <c r="Y63" s="16">
        <v>17.488060000000001</v>
      </c>
      <c r="Z63" s="16">
        <v>42.204129999999999</v>
      </c>
      <c r="AA63" s="16">
        <v>-16.627680000000002</v>
      </c>
      <c r="AB63" s="16">
        <v>57.904980000000002</v>
      </c>
      <c r="AC63" s="16">
        <v>18.792390000000001</v>
      </c>
      <c r="AD63" s="16">
        <v>27.715374733300219</v>
      </c>
      <c r="AE63" s="16">
        <v>73.575185829979745</v>
      </c>
      <c r="AF63" s="16">
        <v>159.09265105449037</v>
      </c>
      <c r="AG63" s="16">
        <v>29.569324498987175</v>
      </c>
      <c r="AH63" s="16">
        <v>81.100535732897853</v>
      </c>
      <c r="AI63" s="46"/>
      <c r="AJ63" s="46"/>
      <c r="AK63" s="46"/>
      <c r="AL63" s="46"/>
      <c r="AM63" s="46"/>
      <c r="AN63" s="4"/>
      <c r="AO63" s="4"/>
      <c r="AP63" s="4"/>
      <c r="AQ63" s="4"/>
      <c r="AR63" s="4"/>
      <c r="AS63" s="4"/>
      <c r="AT63" s="4"/>
      <c r="AU63" s="4"/>
      <c r="AV63" s="4"/>
      <c r="AW63" s="4"/>
      <c r="AX63" s="4"/>
      <c r="AY63" s="4"/>
    </row>
    <row r="64" spans="1:1005" ht="14.5" x14ac:dyDescent="0.35">
      <c r="A64" s="125">
        <f>YampaRiverInflow.TotalOutflow!A64</f>
        <v>47969</v>
      </c>
      <c r="B64" s="34">
        <v>11.801</v>
      </c>
      <c r="C64" s="12">
        <v>11.801</v>
      </c>
      <c r="D64" s="45">
        <v>11.801</v>
      </c>
      <c r="E64" s="16">
        <v>15.857620000000001</v>
      </c>
      <c r="F64" s="16">
        <v>26.527619999999999</v>
      </c>
      <c r="G64" s="16">
        <v>112.01666</v>
      </c>
      <c r="H64" s="16">
        <v>5.9267599999999998</v>
      </c>
      <c r="I64" s="16">
        <v>-7.9631999999999996</v>
      </c>
      <c r="J64" s="16">
        <v>-10.182930000000001</v>
      </c>
      <c r="K64" s="16">
        <v>-18.910119999999999</v>
      </c>
      <c r="L64" s="16">
        <v>-5.1637899999999997</v>
      </c>
      <c r="M64" s="16">
        <v>4.8523900000000006</v>
      </c>
      <c r="N64" s="16">
        <v>136.5727</v>
      </c>
      <c r="O64" s="16">
        <v>-17.06551</v>
      </c>
      <c r="P64" s="16">
        <v>-25.80247</v>
      </c>
      <c r="Q64" s="16">
        <v>13.146979999999999</v>
      </c>
      <c r="R64" s="16">
        <v>9.7264300000000006</v>
      </c>
      <c r="S64" s="16">
        <v>41.096609999999998</v>
      </c>
      <c r="T64" s="16">
        <v>63.824849999999998</v>
      </c>
      <c r="U64" s="16">
        <v>-6.9918699999999996</v>
      </c>
      <c r="V64" s="16">
        <v>0.73799999999999999</v>
      </c>
      <c r="W64" s="16">
        <v>-18.297540000000001</v>
      </c>
      <c r="X64" s="16">
        <v>-12.214030000000001</v>
      </c>
      <c r="Y64" s="16">
        <v>9.0859300000000012</v>
      </c>
      <c r="Z64" s="16">
        <v>5.1340200000000005</v>
      </c>
      <c r="AA64" s="16">
        <v>-29.088660000000001</v>
      </c>
      <c r="AB64" s="16">
        <v>48.692149999999998</v>
      </c>
      <c r="AC64" s="16">
        <v>-11.59253</v>
      </c>
      <c r="AD64" s="16">
        <v>13.941845357980599</v>
      </c>
      <c r="AE64" s="16">
        <v>50.616735034495079</v>
      </c>
      <c r="AF64" s="16">
        <v>122.33935550539928</v>
      </c>
      <c r="AG64" s="16">
        <v>45.147363021899245</v>
      </c>
      <c r="AH64" s="16">
        <v>144.73754131987366</v>
      </c>
      <c r="AI64" s="46"/>
      <c r="AJ64" s="46"/>
      <c r="AK64" s="46"/>
      <c r="AL64" s="46"/>
      <c r="AM64" s="46"/>
      <c r="AN64" s="4"/>
      <c r="AO64" s="4"/>
      <c r="AP64" s="4"/>
      <c r="AQ64" s="4"/>
      <c r="AR64" s="4"/>
      <c r="AS64" s="4"/>
      <c r="AT64" s="4"/>
      <c r="AU64" s="4"/>
      <c r="AV64" s="4"/>
      <c r="AW64" s="4"/>
      <c r="AX64" s="4"/>
      <c r="AY64" s="4"/>
      <c r="ALQ64" t="e">
        <v>#N/A</v>
      </c>
    </row>
    <row r="65" spans="1:1005" ht="14.5" x14ac:dyDescent="0.35">
      <c r="A65" s="125">
        <f>YampaRiverInflow.TotalOutflow!A65</f>
        <v>48000</v>
      </c>
      <c r="B65" s="34">
        <v>-17.097999999999999</v>
      </c>
      <c r="C65" s="12">
        <v>-17.097999999999999</v>
      </c>
      <c r="D65" s="45">
        <v>-17.097999999999999</v>
      </c>
      <c r="E65" s="16">
        <v>10.9796</v>
      </c>
      <c r="F65" s="16">
        <v>-16.415560000000003</v>
      </c>
      <c r="G65" s="16">
        <v>59.579190000000004</v>
      </c>
      <c r="H65" s="16">
        <v>20.131820000000001</v>
      </c>
      <c r="I65" s="16">
        <v>-1.8760000000000002E-2</v>
      </c>
      <c r="J65" s="16">
        <v>-40.888860000000001</v>
      </c>
      <c r="K65" s="16">
        <v>-24.57798</v>
      </c>
      <c r="L65" s="16">
        <v>-41.014429999999997</v>
      </c>
      <c r="M65" s="16">
        <v>-32.649230000000003</v>
      </c>
      <c r="N65" s="16">
        <v>31.118189999999998</v>
      </c>
      <c r="O65" s="16">
        <v>-16.25863</v>
      </c>
      <c r="P65" s="16">
        <v>-29.007360000000002</v>
      </c>
      <c r="Q65" s="16">
        <v>15.05063</v>
      </c>
      <c r="R65" s="16">
        <v>-28.113409999999998</v>
      </c>
      <c r="S65" s="16">
        <v>-6.2963900000000006</v>
      </c>
      <c r="T65" s="16">
        <v>35.037300000000002</v>
      </c>
      <c r="U65" s="16">
        <v>-16.40408</v>
      </c>
      <c r="V65" s="16">
        <v>-27.575620000000001</v>
      </c>
      <c r="W65" s="16">
        <v>-23.976099999999999</v>
      </c>
      <c r="X65" s="16">
        <v>-8.1685800000000004</v>
      </c>
      <c r="Y65" s="16">
        <v>-18.756529999999998</v>
      </c>
      <c r="Z65" s="16">
        <v>-18.879729999999999</v>
      </c>
      <c r="AA65" s="16">
        <v>-18.7621</v>
      </c>
      <c r="AB65" s="16">
        <v>4.9375299999999998</v>
      </c>
      <c r="AC65" s="16">
        <v>-14.283790000000002</v>
      </c>
      <c r="AD65" s="16">
        <v>78.656605207787052</v>
      </c>
      <c r="AE65" s="16">
        <v>0.79443608718219216</v>
      </c>
      <c r="AF65" s="16">
        <v>10.795318554272191</v>
      </c>
      <c r="AG65" s="16">
        <v>-1.7823744887791051</v>
      </c>
      <c r="AH65" s="16">
        <v>48.433600307417684</v>
      </c>
      <c r="AI65" s="46"/>
      <c r="AJ65" s="46"/>
      <c r="AK65" s="46"/>
      <c r="AL65" s="46"/>
      <c r="AM65" s="46"/>
      <c r="AN65" s="4"/>
      <c r="AO65" s="4"/>
      <c r="AP65" s="4"/>
      <c r="AQ65" s="4"/>
      <c r="AR65" s="4"/>
      <c r="AS65" s="4"/>
      <c r="AT65" s="4"/>
      <c r="AU65" s="4"/>
      <c r="AV65" s="4"/>
      <c r="AW65" s="4"/>
      <c r="AX65" s="4"/>
      <c r="AY65" s="4"/>
      <c r="ALQ65" t="e">
        <v>#N/A</v>
      </c>
    </row>
    <row r="66" spans="1:1005" ht="14.5" x14ac:dyDescent="0.35">
      <c r="A66" s="125">
        <f>YampaRiverInflow.TotalOutflow!A66</f>
        <v>48030</v>
      </c>
      <c r="B66" s="34">
        <v>9.3360000000000003</v>
      </c>
      <c r="C66" s="12">
        <v>9.3360000000000003</v>
      </c>
      <c r="D66" s="45">
        <v>9.3360000000000003</v>
      </c>
      <c r="E66" s="16">
        <v>41.040230000000001</v>
      </c>
      <c r="F66" s="16">
        <v>14.490680000000001</v>
      </c>
      <c r="G66" s="16">
        <v>75.778990000000007</v>
      </c>
      <c r="H66" s="16">
        <v>65.886160000000004</v>
      </c>
      <c r="I66" s="16">
        <v>-49.466929999999998</v>
      </c>
      <c r="J66" s="16">
        <v>-38.095980000000004</v>
      </c>
      <c r="K66" s="16">
        <v>-9.229239999999999</v>
      </c>
      <c r="L66" s="16">
        <v>-13.51318</v>
      </c>
      <c r="M66" s="16">
        <v>-26.592950000000002</v>
      </c>
      <c r="N66" s="16">
        <v>24.434360000000002</v>
      </c>
      <c r="O66" s="16">
        <v>-13.056049999999999</v>
      </c>
      <c r="P66" s="16">
        <v>-8.1851199999999995</v>
      </c>
      <c r="Q66" s="16">
        <v>-2.57158</v>
      </c>
      <c r="R66" s="16">
        <v>-30.264680000000002</v>
      </c>
      <c r="S66" s="16">
        <v>-36.50526</v>
      </c>
      <c r="T66" s="16">
        <v>7.3666599999999995</v>
      </c>
      <c r="U66" s="16">
        <v>20.909459999999999</v>
      </c>
      <c r="V66" s="16">
        <v>21.97174</v>
      </c>
      <c r="W66" s="16">
        <v>-3.3679099999999997</v>
      </c>
      <c r="X66" s="16">
        <v>5.8490699999999993</v>
      </c>
      <c r="Y66" s="16">
        <v>18.370330000000003</v>
      </c>
      <c r="Z66" s="16">
        <v>18.507080000000002</v>
      </c>
      <c r="AA66" s="16">
        <v>26.724900000000002</v>
      </c>
      <c r="AB66" s="16">
        <v>-54.714529999999996</v>
      </c>
      <c r="AC66" s="16">
        <v>-25.463419999999999</v>
      </c>
      <c r="AD66" s="16">
        <v>-6.2687281740997962</v>
      </c>
      <c r="AE66" s="16">
        <v>27.797003253292672</v>
      </c>
      <c r="AF66" s="16">
        <v>-8.8693892113595538</v>
      </c>
      <c r="AG66" s="16">
        <v>20.270427585364928</v>
      </c>
      <c r="AH66" s="16">
        <v>31.095874910913547</v>
      </c>
      <c r="AI66" s="46"/>
      <c r="AJ66" s="46"/>
      <c r="AK66" s="46"/>
      <c r="AL66" s="46"/>
      <c r="AM66" s="46"/>
      <c r="AN66" s="4"/>
      <c r="AO66" s="4"/>
      <c r="AP66" s="4"/>
      <c r="AQ66" s="4"/>
      <c r="AR66" s="4"/>
      <c r="AS66" s="4"/>
      <c r="AT66" s="4"/>
      <c r="AU66" s="4"/>
      <c r="AV66" s="4"/>
      <c r="AW66" s="4"/>
      <c r="AX66" s="4"/>
      <c r="AY66" s="4"/>
      <c r="ALQ66" t="e">
        <v>#N/A</v>
      </c>
    </row>
    <row r="67" spans="1:1005" ht="14.5" x14ac:dyDescent="0.35">
      <c r="A67" s="125">
        <f>YampaRiverInflow.TotalOutflow!A67</f>
        <v>48061</v>
      </c>
      <c r="B67" s="34">
        <v>37.031999999999996</v>
      </c>
      <c r="C67" s="12">
        <v>37.031999999999996</v>
      </c>
      <c r="D67" s="45">
        <v>37.031999999999996</v>
      </c>
      <c r="E67" s="16">
        <v>9.41737</v>
      </c>
      <c r="F67" s="16">
        <v>73.407210000000006</v>
      </c>
      <c r="G67" s="16">
        <v>56.459800000000001</v>
      </c>
      <c r="H67" s="16">
        <v>48.113410000000002</v>
      </c>
      <c r="I67" s="16">
        <v>12.67862</v>
      </c>
      <c r="J67" s="16">
        <v>24.742099999999997</v>
      </c>
      <c r="K67" s="16">
        <v>-3.3823099999999999</v>
      </c>
      <c r="L67" s="16">
        <v>40.45872</v>
      </c>
      <c r="M67" s="16">
        <v>7.9324300000000001</v>
      </c>
      <c r="N67" s="16">
        <v>46.411089999999994</v>
      </c>
      <c r="O67" s="16">
        <v>6.7395899999999997</v>
      </c>
      <c r="P67" s="16">
        <v>17.925740000000001</v>
      </c>
      <c r="Q67" s="16">
        <v>17.421220000000002</v>
      </c>
      <c r="R67" s="16">
        <v>-3.9880599999999999</v>
      </c>
      <c r="S67" s="16">
        <v>-1.2442899999999999</v>
      </c>
      <c r="T67" s="16">
        <v>21.964880000000001</v>
      </c>
      <c r="U67" s="16">
        <v>75.510499999999993</v>
      </c>
      <c r="V67" s="16">
        <v>37.568370000000002</v>
      </c>
      <c r="W67" s="16">
        <v>42.03425</v>
      </c>
      <c r="X67" s="16">
        <v>42.976790000000001</v>
      </c>
      <c r="Y67" s="16">
        <v>38.019089999999998</v>
      </c>
      <c r="Z67" s="16">
        <v>12.330110000000001</v>
      </c>
      <c r="AA67" s="16">
        <v>11.853590000000001</v>
      </c>
      <c r="AB67" s="16">
        <v>-10.878549999999999</v>
      </c>
      <c r="AC67" s="16">
        <v>0.28339999999999999</v>
      </c>
      <c r="AD67" s="16">
        <v>51.813121174655578</v>
      </c>
      <c r="AE67" s="16">
        <v>55.485192829981116</v>
      </c>
      <c r="AF67" s="16">
        <v>84.255431956262342</v>
      </c>
      <c r="AG67" s="16">
        <v>46.678198108351161</v>
      </c>
      <c r="AH67" s="16">
        <v>31.555222937490573</v>
      </c>
      <c r="AI67" s="46"/>
      <c r="AJ67" s="46"/>
      <c r="AK67" s="46"/>
      <c r="AL67" s="46"/>
      <c r="AM67" s="46"/>
      <c r="AN67" s="4"/>
      <c r="AO67" s="4"/>
      <c r="AP67" s="4"/>
      <c r="AQ67" s="4"/>
      <c r="AR67" s="4"/>
      <c r="AS67" s="4"/>
      <c r="AT67" s="4"/>
      <c r="AU67" s="4"/>
      <c r="AV67" s="4"/>
      <c r="AW67" s="4"/>
      <c r="AX67" s="4"/>
      <c r="AY67" s="4"/>
      <c r="ALQ67" t="e">
        <v>#N/A</v>
      </c>
    </row>
    <row r="68" spans="1:1005" ht="14.5" x14ac:dyDescent="0.35">
      <c r="A68" s="125">
        <f>YampaRiverInflow.TotalOutflow!A68</f>
        <v>48092</v>
      </c>
      <c r="B68" s="34">
        <v>43.808999999999997</v>
      </c>
      <c r="C68" s="12">
        <v>43.808999999999997</v>
      </c>
      <c r="D68" s="45">
        <v>43.808999999999997</v>
      </c>
      <c r="E68" s="16">
        <v>18.811229999999998</v>
      </c>
      <c r="F68" s="16">
        <v>37.728870000000001</v>
      </c>
      <c r="G68" s="16">
        <v>102.28238999999999</v>
      </c>
      <c r="H68" s="16">
        <v>63.219099999999997</v>
      </c>
      <c r="I68" s="16">
        <v>-1.1670799999999999</v>
      </c>
      <c r="J68" s="16">
        <v>27.992830000000001</v>
      </c>
      <c r="K68" s="16">
        <v>55.190280000000001</v>
      </c>
      <c r="L68" s="16">
        <v>32.140479999999997</v>
      </c>
      <c r="M68" s="16">
        <v>31.014310000000002</v>
      </c>
      <c r="N68" s="16">
        <v>29.221220000000002</v>
      </c>
      <c r="O68" s="16">
        <v>-5.8577599999999999</v>
      </c>
      <c r="P68" s="16">
        <v>13.77566</v>
      </c>
      <c r="Q68" s="16">
        <v>20.98864</v>
      </c>
      <c r="R68" s="16">
        <v>9.6280200000000011</v>
      </c>
      <c r="S68" s="16">
        <v>25.324290000000001</v>
      </c>
      <c r="T68" s="16">
        <v>17.578880000000002</v>
      </c>
      <c r="U68" s="16">
        <v>49.973109999999998</v>
      </c>
      <c r="V68" s="16">
        <v>68.102980000000002</v>
      </c>
      <c r="W68" s="16">
        <v>84.069659999999999</v>
      </c>
      <c r="X68" s="16">
        <v>26.646470000000001</v>
      </c>
      <c r="Y68" s="16">
        <v>42.182259999999999</v>
      </c>
      <c r="Z68" s="16">
        <v>36.151679999999999</v>
      </c>
      <c r="AA68" s="16">
        <v>18.166060000000002</v>
      </c>
      <c r="AB68" s="16">
        <v>17.873080000000002</v>
      </c>
      <c r="AC68" s="16">
        <v>4.9049300000000002</v>
      </c>
      <c r="AD68" s="16">
        <v>64.526982142959554</v>
      </c>
      <c r="AE68" s="16">
        <v>64.196070820739521</v>
      </c>
      <c r="AF68" s="16">
        <v>71.079936959728215</v>
      </c>
      <c r="AG68" s="16">
        <v>58.189243912840368</v>
      </c>
      <c r="AH68" s="16">
        <v>42.199258041511065</v>
      </c>
      <c r="AI68" s="46"/>
      <c r="AJ68" s="46"/>
      <c r="AK68" s="46"/>
      <c r="AL68" s="46"/>
      <c r="AM68" s="46"/>
      <c r="AN68" s="4"/>
      <c r="AO68" s="4"/>
      <c r="AP68" s="4"/>
      <c r="AQ68" s="4"/>
      <c r="AR68" s="4"/>
      <c r="AS68" s="4"/>
      <c r="AT68" s="4"/>
      <c r="AU68" s="4"/>
      <c r="AV68" s="4"/>
      <c r="AW68" s="4"/>
      <c r="AX68" s="4"/>
      <c r="AY68" s="4"/>
      <c r="ALQ68" t="e">
        <v>#N/A</v>
      </c>
    </row>
    <row r="69" spans="1:1005" ht="14.5" x14ac:dyDescent="0.35">
      <c r="A69" s="125"/>
      <c r="B69" s="34"/>
      <c r="C69" s="12"/>
      <c r="D69" s="45"/>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46"/>
      <c r="AJ69" s="46"/>
      <c r="AK69" s="46"/>
      <c r="AL69" s="46"/>
      <c r="AM69" s="46"/>
      <c r="AN69" s="4"/>
      <c r="AO69" s="4"/>
      <c r="AP69" s="4"/>
      <c r="AQ69" s="4"/>
      <c r="AR69" s="4"/>
      <c r="AS69" s="4"/>
      <c r="AT69" s="4"/>
      <c r="AU69" s="4"/>
      <c r="AV69" s="4"/>
      <c r="AW69" s="4"/>
      <c r="AX69" s="4"/>
      <c r="AY69" s="4"/>
      <c r="ALQ69" t="e">
        <v>#N/A</v>
      </c>
    </row>
    <row r="70" spans="1:1005" ht="14.5" x14ac:dyDescent="0.35">
      <c r="A70" s="125"/>
      <c r="B70" s="34"/>
      <c r="C70" s="12"/>
      <c r="D70" s="45"/>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46"/>
      <c r="AJ70" s="46"/>
      <c r="AK70" s="46"/>
      <c r="AL70" s="46"/>
      <c r="AM70" s="46"/>
      <c r="AN70" s="4"/>
      <c r="AO70" s="4"/>
      <c r="AP70" s="4"/>
      <c r="AQ70" s="4"/>
      <c r="AR70" s="4"/>
      <c r="AS70" s="4"/>
      <c r="AT70" s="4"/>
      <c r="AU70" s="4"/>
      <c r="AV70" s="4"/>
      <c r="AW70" s="4"/>
      <c r="AX70" s="4"/>
      <c r="AY70" s="4"/>
      <c r="ALQ70" t="e">
        <v>#N/A</v>
      </c>
    </row>
    <row r="71" spans="1:1005" ht="14.5" x14ac:dyDescent="0.35">
      <c r="A71" s="125"/>
      <c r="B71" s="34"/>
      <c r="C71" s="12"/>
      <c r="D71" s="45"/>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46"/>
      <c r="AJ71" s="46"/>
      <c r="AK71" s="46"/>
      <c r="AL71" s="46"/>
      <c r="AM71" s="46"/>
      <c r="AN71" s="4"/>
      <c r="AO71" s="4"/>
      <c r="AP71" s="4"/>
      <c r="AQ71" s="4"/>
      <c r="AR71" s="4"/>
      <c r="AS71" s="4"/>
      <c r="AT71" s="4"/>
      <c r="AU71" s="4"/>
      <c r="AV71" s="4"/>
      <c r="AW71" s="4"/>
      <c r="AX71" s="4"/>
      <c r="AY71" s="4"/>
      <c r="ALQ71" t="e">
        <v>#N/A</v>
      </c>
    </row>
    <row r="72" spans="1:1005" ht="12.75" customHeight="1" x14ac:dyDescent="0.35">
      <c r="A72" s="125"/>
      <c r="B72" s="33"/>
      <c r="C72" s="8"/>
      <c r="D72" s="11"/>
      <c r="ALQ72" t="e">
        <v>#N/A</v>
      </c>
    </row>
    <row r="73" spans="1:1005" ht="12.75" customHeight="1" x14ac:dyDescent="0.35">
      <c r="A73" s="125"/>
      <c r="B73" s="33"/>
      <c r="C73" s="8"/>
      <c r="D73" s="11"/>
    </row>
    <row r="74" spans="1:1005" ht="12.75" customHeight="1" x14ac:dyDescent="0.35">
      <c r="A74" s="125"/>
      <c r="B74" s="33"/>
      <c r="C74" s="8"/>
      <c r="D74" s="11"/>
    </row>
    <row r="75" spans="1:1005" ht="12.75" customHeight="1" x14ac:dyDescent="0.35">
      <c r="A75" s="125"/>
      <c r="B75" s="33"/>
      <c r="C75" s="8"/>
      <c r="D75" s="11"/>
    </row>
    <row r="76" spans="1:1005" ht="12.75" customHeight="1" x14ac:dyDescent="0.35">
      <c r="A76" s="125"/>
      <c r="B76" s="33"/>
      <c r="C76" s="8"/>
      <c r="D76" s="11"/>
    </row>
    <row r="77" spans="1:1005" ht="12.75" customHeight="1" x14ac:dyDescent="0.35">
      <c r="A77" s="125"/>
      <c r="B77" s="33"/>
      <c r="C77" s="8"/>
      <c r="D77" s="11"/>
    </row>
    <row r="78" spans="1:1005" ht="12.75" customHeight="1" x14ac:dyDescent="0.35">
      <c r="A78" s="125"/>
      <c r="B78" s="33"/>
      <c r="C78" s="8"/>
      <c r="D78" s="11"/>
    </row>
    <row r="79" spans="1:1005" ht="12.75" customHeight="1" x14ac:dyDescent="0.35">
      <c r="A79" s="125"/>
      <c r="B79" s="33"/>
      <c r="C79" s="8"/>
      <c r="D79" s="11"/>
    </row>
    <row r="80" spans="1:1005" ht="12.75" customHeight="1" x14ac:dyDescent="0.35">
      <c r="A80" s="125"/>
      <c r="B80" s="33"/>
      <c r="C80" s="8"/>
      <c r="D80" s="11"/>
    </row>
    <row r="81" spans="1:4" ht="12.75" customHeight="1" x14ac:dyDescent="0.35">
      <c r="A81" s="125"/>
      <c r="B81" s="33"/>
      <c r="C81" s="8"/>
      <c r="D81" s="11"/>
    </row>
    <row r="82" spans="1:4" ht="12.75" customHeight="1" x14ac:dyDescent="0.35">
      <c r="A82" s="125"/>
      <c r="B82" s="33"/>
      <c r="C82" s="8"/>
      <c r="D82" s="11"/>
    </row>
    <row r="83" spans="1:4" ht="12.75" customHeight="1" x14ac:dyDescent="0.35">
      <c r="A83" s="125"/>
      <c r="B83" s="33"/>
      <c r="C83" s="8"/>
      <c r="D83" s="11"/>
    </row>
    <row r="84" spans="1:4" ht="12.75" customHeight="1" x14ac:dyDescent="0.35">
      <c r="A84" s="125"/>
      <c r="B84" s="33"/>
      <c r="C84" s="8"/>
      <c r="D84" s="11"/>
    </row>
  </sheetData>
  <mergeCells count="1">
    <mergeCell ref="B1:AH1"/>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50F0-6D95-40B0-8DBB-1B95F6D8D305}">
  <sheetPr codeName="Sheet21">
    <tabColor theme="8" tint="0.39997558519241921"/>
  </sheetPr>
  <dimension ref="A1:ALQ84"/>
  <sheetViews>
    <sheetView topLeftCell="A47" workbookViewId="0">
      <selection activeCell="B4" sqref="B4:AZ100"/>
    </sheetView>
  </sheetViews>
  <sheetFormatPr defaultColWidth="18.6328125" defaultRowHeight="12.75" customHeight="1" x14ac:dyDescent="0.35"/>
  <cols>
    <col min="1" max="2" width="9.36328125" customWidth="1"/>
    <col min="3" max="3" width="9.6328125" bestFit="1" customWidth="1"/>
    <col min="4" max="54" width="9.36328125" customWidth="1"/>
  </cols>
  <sheetData>
    <row r="1" spans="1:51" ht="14.5" x14ac:dyDescent="0.35">
      <c r="A1" s="126"/>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3"/>
      <c r="AJ1" s="3"/>
      <c r="AK1" s="3"/>
      <c r="AL1" s="3"/>
      <c r="AM1" s="3"/>
    </row>
    <row r="2" spans="1:51" ht="14.5" x14ac:dyDescent="0.35">
      <c r="A2" s="126"/>
      <c r="B2" s="118" t="s">
        <v>0</v>
      </c>
      <c r="C2" s="118" t="s">
        <v>1</v>
      </c>
      <c r="D2" s="118" t="s">
        <v>2</v>
      </c>
      <c r="E2" s="118">
        <v>1991</v>
      </c>
      <c r="F2" s="118">
        <v>1992</v>
      </c>
      <c r="G2" s="118">
        <v>1993</v>
      </c>
      <c r="H2" s="118">
        <v>1994</v>
      </c>
      <c r="I2" s="118">
        <v>1995</v>
      </c>
      <c r="J2" s="118">
        <v>1996</v>
      </c>
      <c r="K2" s="118">
        <v>1997</v>
      </c>
      <c r="L2" s="118">
        <v>1998</v>
      </c>
      <c r="M2" s="118">
        <v>1999</v>
      </c>
      <c r="N2" s="118">
        <v>2000</v>
      </c>
      <c r="O2" s="118">
        <v>2001</v>
      </c>
      <c r="P2" s="118">
        <v>2002</v>
      </c>
      <c r="Q2" s="118">
        <v>2003</v>
      </c>
      <c r="R2" s="118">
        <v>2004</v>
      </c>
      <c r="S2" s="118">
        <v>2005</v>
      </c>
      <c r="T2" s="118">
        <v>2006</v>
      </c>
      <c r="U2" s="118">
        <v>2007</v>
      </c>
      <c r="V2" s="118">
        <v>2008</v>
      </c>
      <c r="W2" s="118">
        <v>2009</v>
      </c>
      <c r="X2" s="118">
        <v>2010</v>
      </c>
      <c r="Y2" s="118">
        <v>2011</v>
      </c>
      <c r="Z2" s="118">
        <v>2012</v>
      </c>
      <c r="AA2" s="118">
        <v>2013</v>
      </c>
      <c r="AB2" s="118">
        <v>2014</v>
      </c>
      <c r="AC2" s="118">
        <v>2015</v>
      </c>
      <c r="AD2" s="118">
        <v>2016</v>
      </c>
      <c r="AE2" s="120">
        <v>2017</v>
      </c>
      <c r="AF2" s="118">
        <v>2018</v>
      </c>
      <c r="AG2" s="118">
        <v>2019</v>
      </c>
      <c r="AH2" s="118">
        <v>2020</v>
      </c>
      <c r="AI2" s="3"/>
      <c r="AJ2" s="3"/>
      <c r="AK2" s="3"/>
      <c r="AL2" s="3"/>
      <c r="AM2" s="3"/>
      <c r="AN2" s="3"/>
      <c r="AO2" s="3"/>
      <c r="AP2" s="3"/>
      <c r="AQ2" s="3"/>
      <c r="AR2" s="3"/>
    </row>
    <row r="3" spans="1:51" ht="14.5" x14ac:dyDescent="0.35">
      <c r="A3" s="127" t="str">
        <f>$A$1&amp;A2</f>
        <v/>
      </c>
      <c r="B3" s="128" t="s">
        <v>3</v>
      </c>
      <c r="C3" s="128" t="s">
        <v>4</v>
      </c>
      <c r="D3" s="128" t="s">
        <v>5</v>
      </c>
      <c r="E3" s="128" t="s">
        <v>6</v>
      </c>
      <c r="F3" s="128" t="s">
        <v>7</v>
      </c>
      <c r="G3" s="128" t="s">
        <v>8</v>
      </c>
      <c r="H3" s="128" t="s">
        <v>9</v>
      </c>
      <c r="I3" s="128" t="s">
        <v>10</v>
      </c>
      <c r="J3" s="128" t="s">
        <v>11</v>
      </c>
      <c r="K3" s="128" t="s">
        <v>12</v>
      </c>
      <c r="L3" s="128" t="s">
        <v>13</v>
      </c>
      <c r="M3" s="128" t="s">
        <v>14</v>
      </c>
      <c r="N3" s="128" t="s">
        <v>15</v>
      </c>
      <c r="O3" s="128" t="s">
        <v>16</v>
      </c>
      <c r="P3" s="128" t="s">
        <v>17</v>
      </c>
      <c r="Q3" s="128" t="s">
        <v>18</v>
      </c>
      <c r="R3" s="128" t="s">
        <v>19</v>
      </c>
      <c r="S3" s="128" t="s">
        <v>20</v>
      </c>
      <c r="T3" s="128" t="s">
        <v>21</v>
      </c>
      <c r="U3" s="128" t="s">
        <v>22</v>
      </c>
      <c r="V3" s="128" t="s">
        <v>23</v>
      </c>
      <c r="W3" s="128" t="s">
        <v>24</v>
      </c>
      <c r="X3" s="128" t="s">
        <v>25</v>
      </c>
      <c r="Y3" s="128" t="s">
        <v>26</v>
      </c>
      <c r="Z3" s="128" t="s">
        <v>27</v>
      </c>
      <c r="AA3" s="128" t="s">
        <v>28</v>
      </c>
      <c r="AB3" s="128" t="s">
        <v>29</v>
      </c>
      <c r="AC3" s="128" t="s">
        <v>30</v>
      </c>
      <c r="AD3" s="128" t="s">
        <v>31</v>
      </c>
      <c r="AE3" s="128" t="s">
        <v>32</v>
      </c>
      <c r="AF3" s="128" t="s">
        <v>33</v>
      </c>
      <c r="AG3" s="128" t="s">
        <v>34</v>
      </c>
      <c r="AH3" s="128" t="s">
        <v>35</v>
      </c>
      <c r="AI3" s="3"/>
      <c r="AJ3" s="3"/>
      <c r="AK3" s="3"/>
      <c r="AL3" s="3"/>
      <c r="AM3" s="3"/>
      <c r="AN3" s="3"/>
      <c r="AO3" s="3"/>
      <c r="AP3" s="3"/>
      <c r="AQ3" s="3"/>
      <c r="AR3" s="3"/>
    </row>
    <row r="4" spans="1:51" ht="14.5" x14ac:dyDescent="0.35">
      <c r="A4" s="121">
        <f>YampaRiverInflow.TotalOutflow!A4</f>
        <v>46143</v>
      </c>
      <c r="B4" s="81">
        <v>7.88</v>
      </c>
      <c r="C4" s="82">
        <v>0.93600000000000005</v>
      </c>
      <c r="D4" s="129">
        <v>13.552</v>
      </c>
      <c r="E4" s="16">
        <v>9.3170699999999993</v>
      </c>
      <c r="F4" s="16">
        <v>17.687328000000001</v>
      </c>
      <c r="G4" s="16">
        <v>30.256135999999998</v>
      </c>
      <c r="H4" s="16">
        <v>9.5716059999999992</v>
      </c>
      <c r="I4" s="16">
        <v>29.325434000000005</v>
      </c>
      <c r="J4" s="16">
        <v>5.5503300000000007</v>
      </c>
      <c r="K4" s="16">
        <v>8.0619300000000003</v>
      </c>
      <c r="L4" s="16">
        <v>-4.66012</v>
      </c>
      <c r="M4" s="16">
        <v>9.683209999999999</v>
      </c>
      <c r="N4" s="16">
        <v>23.337949999999999</v>
      </c>
      <c r="O4" s="16">
        <v>11.09249</v>
      </c>
      <c r="P4" s="16">
        <v>14.89179</v>
      </c>
      <c r="Q4" s="16">
        <v>9.6852700000000009</v>
      </c>
      <c r="R4" s="16">
        <v>5.5847100000000003</v>
      </c>
      <c r="S4" s="16">
        <v>4.1686000000000005</v>
      </c>
      <c r="T4" s="16">
        <v>14.016170000000001</v>
      </c>
      <c r="U4" s="16">
        <v>5.02379</v>
      </c>
      <c r="V4" s="16">
        <v>16.882990000000003</v>
      </c>
      <c r="W4" s="16">
        <v>3.9549799999999999</v>
      </c>
      <c r="X4" s="16">
        <v>10.53945</v>
      </c>
      <c r="Y4" s="16">
        <v>19.5229</v>
      </c>
      <c r="Z4" s="16">
        <v>4.9721899999999994</v>
      </c>
      <c r="AA4" s="16">
        <v>1.2309300000000001</v>
      </c>
      <c r="AB4" s="16">
        <v>4.9847600000000005</v>
      </c>
      <c r="AC4" s="16">
        <v>9.3964200000000009</v>
      </c>
      <c r="AD4" s="16">
        <v>9.2539210713396098</v>
      </c>
      <c r="AE4" s="16">
        <v>5.5819525592733701</v>
      </c>
      <c r="AF4" s="16">
        <v>25.107575702810699</v>
      </c>
      <c r="AG4" s="16">
        <v>32.171070661818902</v>
      </c>
      <c r="AH4" s="16">
        <v>22.140587519075002</v>
      </c>
      <c r="AI4" s="16"/>
      <c r="AJ4" s="16"/>
      <c r="AK4" s="16"/>
      <c r="AL4" s="16"/>
      <c r="AM4" s="16"/>
      <c r="AN4" s="4"/>
      <c r="AO4" s="4"/>
      <c r="AP4" s="4"/>
      <c r="AQ4" s="4"/>
      <c r="AR4" s="4"/>
      <c r="AS4" s="4"/>
      <c r="AT4" s="4"/>
      <c r="AU4" s="4"/>
      <c r="AV4" s="4"/>
      <c r="AW4" s="4"/>
      <c r="AX4" s="4"/>
      <c r="AY4" s="4"/>
    </row>
    <row r="5" spans="1:51" ht="14.5" x14ac:dyDescent="0.35">
      <c r="A5" s="121">
        <f>YampaRiverInflow.TotalOutflow!A5</f>
        <v>46174</v>
      </c>
      <c r="B5" s="34">
        <v>3.2210000000000001</v>
      </c>
      <c r="C5" s="12">
        <v>-1.153</v>
      </c>
      <c r="D5" s="45">
        <v>9.6039999999999992</v>
      </c>
      <c r="E5" s="16">
        <v>19.542680000000001</v>
      </c>
      <c r="F5" s="16">
        <v>1.2684000000000002</v>
      </c>
      <c r="G5" s="16">
        <v>4.9412060000000002</v>
      </c>
      <c r="H5" s="16">
        <v>-1.180104</v>
      </c>
      <c r="I5" s="16">
        <v>16.706314000000003</v>
      </c>
      <c r="J5" s="16">
        <v>1.3633040000000001</v>
      </c>
      <c r="K5" s="16">
        <v>-0.79383999999999999</v>
      </c>
      <c r="L5" s="16">
        <v>-23.251810000000003</v>
      </c>
      <c r="M5" s="16">
        <v>12.69872</v>
      </c>
      <c r="N5" s="16">
        <v>19.039000000000001</v>
      </c>
      <c r="O5" s="16">
        <v>6.8687700000000005</v>
      </c>
      <c r="P5" s="16">
        <v>14.246139999999999</v>
      </c>
      <c r="Q5" s="16">
        <v>18.845080000000003</v>
      </c>
      <c r="R5" s="16">
        <v>7.4909099999999995</v>
      </c>
      <c r="S5" s="16">
        <v>13.8124</v>
      </c>
      <c r="T5" s="16">
        <v>24.775919999999999</v>
      </c>
      <c r="U5" s="16">
        <v>9.7531100000000013</v>
      </c>
      <c r="V5" s="16">
        <v>18.740459999999999</v>
      </c>
      <c r="W5" s="16">
        <v>5.9942099999999998</v>
      </c>
      <c r="X5" s="16">
        <v>10.93661</v>
      </c>
      <c r="Y5" s="16">
        <v>14.07673</v>
      </c>
      <c r="Z5" s="16">
        <v>3.54962</v>
      </c>
      <c r="AA5" s="16">
        <v>6.4226899999999993</v>
      </c>
      <c r="AB5" s="16">
        <v>10.59356</v>
      </c>
      <c r="AC5" s="16">
        <v>1.32226</v>
      </c>
      <c r="AD5" s="16">
        <v>6.9610190102487604</v>
      </c>
      <c r="AE5" s="16">
        <v>13.6235045447941</v>
      </c>
      <c r="AF5" s="16">
        <v>21.1430438016537</v>
      </c>
      <c r="AG5" s="16">
        <v>42.150180575868696</v>
      </c>
      <c r="AH5" s="16">
        <v>13.4754590082651</v>
      </c>
      <c r="AI5" s="46"/>
      <c r="AJ5" s="46"/>
      <c r="AK5" s="46"/>
      <c r="AL5" s="46"/>
      <c r="AM5" s="46"/>
      <c r="AN5" s="4"/>
      <c r="AO5" s="4"/>
      <c r="AP5" s="4"/>
      <c r="AQ5" s="4"/>
      <c r="AR5" s="4"/>
      <c r="AS5" s="4"/>
      <c r="AT5" s="4"/>
      <c r="AU5" s="4"/>
      <c r="AV5" s="4"/>
      <c r="AW5" s="4"/>
      <c r="AX5" s="4"/>
      <c r="AY5" s="4"/>
    </row>
    <row r="6" spans="1:51" ht="14.5" x14ac:dyDescent="0.35">
      <c r="A6" s="121">
        <f>YampaRiverInflow.TotalOutflow!A6</f>
        <v>46204</v>
      </c>
      <c r="B6" s="34">
        <v>5.0590000000000002</v>
      </c>
      <c r="C6" s="12">
        <v>2.6469999999999998</v>
      </c>
      <c r="D6" s="45">
        <v>2.758</v>
      </c>
      <c r="E6" s="16">
        <v>3.5028120000000005</v>
      </c>
      <c r="F6" s="16">
        <v>15.702810000000001</v>
      </c>
      <c r="G6" s="16">
        <v>2.0310160000000002</v>
      </c>
      <c r="H6" s="16">
        <v>8.0089059999999996</v>
      </c>
      <c r="I6" s="16">
        <v>20.697440000000004</v>
      </c>
      <c r="J6" s="16">
        <v>17.755964000000002</v>
      </c>
      <c r="K6" s="16">
        <v>11.63293</v>
      </c>
      <c r="L6" s="16">
        <v>-12.476629999999998</v>
      </c>
      <c r="M6" s="16">
        <v>23.625509999999998</v>
      </c>
      <c r="N6" s="16">
        <v>20.54889</v>
      </c>
      <c r="O6" s="16">
        <v>8.319090000000001</v>
      </c>
      <c r="P6" s="16">
        <v>20.105460000000001</v>
      </c>
      <c r="Q6" s="16">
        <v>19.50067</v>
      </c>
      <c r="R6" s="16">
        <v>8.3446700000000007</v>
      </c>
      <c r="S6" s="16">
        <v>18.455950000000001</v>
      </c>
      <c r="T6" s="16">
        <v>31.79073</v>
      </c>
      <c r="U6" s="16">
        <v>14.55987</v>
      </c>
      <c r="V6" s="16">
        <v>21.886839999999999</v>
      </c>
      <c r="W6" s="16">
        <v>25.583909999999999</v>
      </c>
      <c r="X6" s="16">
        <v>21.074020000000001</v>
      </c>
      <c r="Y6" s="16">
        <v>18.544400000000003</v>
      </c>
      <c r="Z6" s="16">
        <v>6.5901300000000003</v>
      </c>
      <c r="AA6" s="16">
        <v>14.91146</v>
      </c>
      <c r="AB6" s="16">
        <v>14.38373</v>
      </c>
      <c r="AC6" s="16">
        <v>27.614090000000001</v>
      </c>
      <c r="AD6" s="16">
        <v>12.5574148766291</v>
      </c>
      <c r="AE6" s="16">
        <v>24.781192150480202</v>
      </c>
      <c r="AF6" s="16">
        <v>16.943357023537999</v>
      </c>
      <c r="AG6" s="16">
        <v>39.1588780983151</v>
      </c>
      <c r="AH6" s="16">
        <v>23.713968098447001</v>
      </c>
      <c r="AI6" s="46"/>
      <c r="AJ6" s="46"/>
      <c r="AK6" s="46"/>
      <c r="AL6" s="46"/>
      <c r="AM6" s="46"/>
      <c r="AN6" s="4"/>
      <c r="AO6" s="4"/>
      <c r="AP6" s="4"/>
      <c r="AQ6" s="4"/>
      <c r="AR6" s="4"/>
      <c r="AS6" s="4"/>
      <c r="AT6" s="4"/>
      <c r="AU6" s="4"/>
      <c r="AV6" s="4"/>
      <c r="AW6" s="4"/>
      <c r="AX6" s="4"/>
      <c r="AY6" s="4"/>
    </row>
    <row r="7" spans="1:51" ht="14.5" x14ac:dyDescent="0.35">
      <c r="A7" s="121">
        <f>YampaRiverInflow.TotalOutflow!A7</f>
        <v>46235</v>
      </c>
      <c r="B7" s="34">
        <v>10.1</v>
      </c>
      <c r="C7" s="12">
        <v>6.8209999999999997</v>
      </c>
      <c r="D7" s="45">
        <v>-1.341</v>
      </c>
      <c r="E7" s="16">
        <v>21.988620000000001</v>
      </c>
      <c r="F7" s="16">
        <v>28.766426000000003</v>
      </c>
      <c r="G7" s="16">
        <v>19.739957999999998</v>
      </c>
      <c r="H7" s="16">
        <v>11.451958000000001</v>
      </c>
      <c r="I7" s="16">
        <v>20.660824000000002</v>
      </c>
      <c r="J7" s="16">
        <v>13.796706</v>
      </c>
      <c r="K7" s="16">
        <v>9.7706299999999988</v>
      </c>
      <c r="L7" s="16">
        <v>7.4435000000000002</v>
      </c>
      <c r="M7" s="16">
        <v>20.504860000000001</v>
      </c>
      <c r="N7" s="16">
        <v>22.135639999999999</v>
      </c>
      <c r="O7" s="16">
        <v>5.2130799999999997</v>
      </c>
      <c r="P7" s="16">
        <v>14.802440000000001</v>
      </c>
      <c r="Q7" s="16">
        <v>21.94164</v>
      </c>
      <c r="R7" s="16">
        <v>8.4181799999999996</v>
      </c>
      <c r="S7" s="16">
        <v>21.659500000000001</v>
      </c>
      <c r="T7" s="16">
        <v>35.8294</v>
      </c>
      <c r="U7" s="16">
        <v>14.210139999999999</v>
      </c>
      <c r="V7" s="16">
        <v>24.195160000000001</v>
      </c>
      <c r="W7" s="16">
        <v>26.496269999999999</v>
      </c>
      <c r="X7" s="16">
        <v>24.024999999999999</v>
      </c>
      <c r="Y7" s="16">
        <v>22.344560000000001</v>
      </c>
      <c r="Z7" s="16">
        <v>9.8739599999999985</v>
      </c>
      <c r="AA7" s="16">
        <v>13.84548</v>
      </c>
      <c r="AB7" s="16">
        <v>16.93469</v>
      </c>
      <c r="AC7" s="16">
        <v>14.48996</v>
      </c>
      <c r="AD7" s="16">
        <v>14.623601239406</v>
      </c>
      <c r="AE7" s="16">
        <v>29.351938843042298</v>
      </c>
      <c r="AF7" s="16">
        <v>10.6373367791084</v>
      </c>
      <c r="AG7" s="16">
        <v>32.4739838860175</v>
      </c>
      <c r="AH7" s="16">
        <v>32.289258266844001</v>
      </c>
      <c r="AI7" s="46"/>
      <c r="AJ7" s="46"/>
      <c r="AK7" s="46"/>
      <c r="AL7" s="46"/>
      <c r="AM7" s="46"/>
      <c r="AN7" s="4"/>
      <c r="AO7" s="4"/>
      <c r="AP7" s="4"/>
      <c r="AQ7" s="4"/>
      <c r="AR7" s="4"/>
      <c r="AS7" s="4"/>
      <c r="AT7" s="4"/>
      <c r="AU7" s="4"/>
      <c r="AV7" s="4"/>
      <c r="AW7" s="4"/>
      <c r="AX7" s="4"/>
      <c r="AY7" s="4"/>
    </row>
    <row r="8" spans="1:51" ht="14.5" x14ac:dyDescent="0.35">
      <c r="A8" s="121">
        <f>YampaRiverInflow.TotalOutflow!A8</f>
        <v>46266</v>
      </c>
      <c r="B8" s="34">
        <v>8.0340000000000007</v>
      </c>
      <c r="C8" s="12">
        <v>5.9939999999999998</v>
      </c>
      <c r="D8" s="45">
        <v>5.1230000000000002</v>
      </c>
      <c r="E8" s="16">
        <v>21.500264000000001</v>
      </c>
      <c r="F8" s="16">
        <v>26.366382000000002</v>
      </c>
      <c r="G8" s="16">
        <v>15.737406</v>
      </c>
      <c r="H8" s="16">
        <v>14.914582000000003</v>
      </c>
      <c r="I8" s="16">
        <v>14.839589999999999</v>
      </c>
      <c r="J8" s="16">
        <v>10.647540000000001</v>
      </c>
      <c r="K8" s="16">
        <v>-6.0112700000000006</v>
      </c>
      <c r="L8" s="16">
        <v>19.914009999999998</v>
      </c>
      <c r="M8" s="16">
        <v>13.555149999999999</v>
      </c>
      <c r="N8" s="16">
        <v>15.397549999999999</v>
      </c>
      <c r="O8" s="16">
        <v>7.1036899999999994</v>
      </c>
      <c r="P8" s="16">
        <v>8.6973899999999986</v>
      </c>
      <c r="Q8" s="16">
        <v>11.841569999999999</v>
      </c>
      <c r="R8" s="16">
        <v>3.6388400000000001</v>
      </c>
      <c r="S8" s="16">
        <v>18.084299999999999</v>
      </c>
      <c r="T8" s="16">
        <v>24.926950000000001</v>
      </c>
      <c r="U8" s="16">
        <v>13.032249999999999</v>
      </c>
      <c r="V8" s="16">
        <v>14.707469999999999</v>
      </c>
      <c r="W8" s="16">
        <v>15.101129999999999</v>
      </c>
      <c r="X8" s="16">
        <v>9.3519199999999998</v>
      </c>
      <c r="Y8" s="16">
        <v>35.037589999999994</v>
      </c>
      <c r="Z8" s="16">
        <v>-2.8639899999999998</v>
      </c>
      <c r="AA8" s="16">
        <v>6.7481800000000005</v>
      </c>
      <c r="AB8" s="16">
        <v>15.02529</v>
      </c>
      <c r="AC8" s="16">
        <v>11.451879999999999</v>
      </c>
      <c r="AD8" s="16">
        <v>13.1848636376867</v>
      </c>
      <c r="AE8" s="16">
        <v>8.3238249586783297</v>
      </c>
      <c r="AF8" s="16">
        <v>19.8346958697528</v>
      </c>
      <c r="AG8" s="16">
        <v>16.409711323636998</v>
      </c>
      <c r="AH8" s="16">
        <v>25.7866844641329</v>
      </c>
      <c r="AI8" s="46"/>
      <c r="AJ8" s="46"/>
      <c r="AK8" s="46"/>
      <c r="AL8" s="46"/>
      <c r="AM8" s="46"/>
      <c r="AN8" s="4"/>
      <c r="AO8" s="4"/>
      <c r="AP8" s="4"/>
      <c r="AQ8" s="4"/>
      <c r="AR8" s="4"/>
      <c r="AS8" s="4"/>
      <c r="AT8" s="4"/>
      <c r="AU8" s="4"/>
      <c r="AV8" s="4"/>
      <c r="AW8" s="4"/>
      <c r="AX8" s="4"/>
      <c r="AY8" s="4"/>
    </row>
    <row r="9" spans="1:51" ht="14.5" x14ac:dyDescent="0.35">
      <c r="A9" s="121">
        <f>YampaRiverInflow.TotalOutflow!A9</f>
        <v>46296</v>
      </c>
      <c r="B9" s="34">
        <v>6.4509999999999996</v>
      </c>
      <c r="C9" s="12">
        <v>4.2770000000000001</v>
      </c>
      <c r="D9" s="45">
        <v>4.0090000000000003</v>
      </c>
      <c r="E9" s="16">
        <v>8.6108960000000003</v>
      </c>
      <c r="F9" s="16">
        <v>17.934583999999997</v>
      </c>
      <c r="G9" s="16">
        <v>11.836898000000001</v>
      </c>
      <c r="H9" s="16">
        <v>11.503132000000001</v>
      </c>
      <c r="I9" s="16">
        <v>12.135444000000001</v>
      </c>
      <c r="J9" s="16">
        <v>6.3876860000000004</v>
      </c>
      <c r="K9" s="16">
        <v>-7.82599</v>
      </c>
      <c r="L9" s="16">
        <v>24.362849999999998</v>
      </c>
      <c r="M9" s="16">
        <v>10.95425</v>
      </c>
      <c r="N9" s="16">
        <v>11.723360000000001</v>
      </c>
      <c r="O9" s="16">
        <v>4.6145899999999997</v>
      </c>
      <c r="P9" s="16">
        <v>6.6953500000000004</v>
      </c>
      <c r="Q9" s="16">
        <v>9.5123700000000007</v>
      </c>
      <c r="R9" s="16">
        <v>-0.49925999999999998</v>
      </c>
      <c r="S9" s="16">
        <v>18.132660000000001</v>
      </c>
      <c r="T9" s="16">
        <v>19.22006</v>
      </c>
      <c r="U9" s="16">
        <v>10.97871</v>
      </c>
      <c r="V9" s="16">
        <v>13.21185</v>
      </c>
      <c r="W9" s="16">
        <v>14.04824</v>
      </c>
      <c r="X9" s="16">
        <v>6.9533999999999994</v>
      </c>
      <c r="Y9" s="16">
        <v>23.35398</v>
      </c>
      <c r="Z9" s="16">
        <v>-2.8656299999999999</v>
      </c>
      <c r="AA9" s="16">
        <v>2.3012199999999998</v>
      </c>
      <c r="AB9" s="16">
        <v>14.73507</v>
      </c>
      <c r="AC9" s="16">
        <v>8.505370000000001</v>
      </c>
      <c r="AD9" s="16">
        <v>9.0830627261494108</v>
      </c>
      <c r="AE9" s="16">
        <v>-6.2740460311398598</v>
      </c>
      <c r="AF9" s="16">
        <v>25.002335616926402</v>
      </c>
      <c r="AG9" s="16">
        <v>7.7553593381164196</v>
      </c>
      <c r="AH9" s="16">
        <v>26.857120247405899</v>
      </c>
      <c r="AI9" s="46"/>
      <c r="AJ9" s="46"/>
      <c r="AK9" s="46"/>
      <c r="AL9" s="46"/>
      <c r="AM9" s="46"/>
      <c r="AN9" s="4"/>
      <c r="AO9" s="4"/>
      <c r="AP9" s="4"/>
      <c r="AQ9" s="4"/>
      <c r="AR9" s="4"/>
      <c r="AS9" s="4"/>
      <c r="AT9" s="4"/>
      <c r="AU9" s="4"/>
      <c r="AV9" s="4"/>
      <c r="AW9" s="4"/>
      <c r="AX9" s="4"/>
      <c r="AY9" s="4"/>
    </row>
    <row r="10" spans="1:51" ht="14.5" x14ac:dyDescent="0.35">
      <c r="A10" s="121">
        <f>YampaRiverInflow.TotalOutflow!A10</f>
        <v>46327</v>
      </c>
      <c r="B10" s="34">
        <v>3.22</v>
      </c>
      <c r="C10" s="12">
        <v>3.6880000000000002</v>
      </c>
      <c r="D10" s="45">
        <v>0.72299999999999998</v>
      </c>
      <c r="E10" s="16">
        <v>8.991363999999999</v>
      </c>
      <c r="F10" s="16">
        <v>10.960080000000001</v>
      </c>
      <c r="G10" s="16">
        <v>12.147136</v>
      </c>
      <c r="H10" s="16">
        <v>3.6625680000000003</v>
      </c>
      <c r="I10" s="16">
        <v>15.820898000000001</v>
      </c>
      <c r="J10" s="16">
        <v>14.533392000000001</v>
      </c>
      <c r="K10" s="16">
        <v>-12.37326</v>
      </c>
      <c r="L10" s="16">
        <v>14.93168</v>
      </c>
      <c r="M10" s="16">
        <v>-5.1652700000000005</v>
      </c>
      <c r="N10" s="16">
        <v>10.395850000000001</v>
      </c>
      <c r="O10" s="16">
        <v>4.0648400000000002</v>
      </c>
      <c r="P10" s="16">
        <v>3.5380700000000003</v>
      </c>
      <c r="Q10" s="16">
        <v>7.5272700000000006</v>
      </c>
      <c r="R10" s="16">
        <v>13.11669</v>
      </c>
      <c r="S10" s="16">
        <v>15.47784</v>
      </c>
      <c r="T10" s="16">
        <v>21.893450000000001</v>
      </c>
      <c r="U10" s="16">
        <v>12.1463</v>
      </c>
      <c r="V10" s="16">
        <v>8.651209999999999</v>
      </c>
      <c r="W10" s="16">
        <v>9.7618099999999988</v>
      </c>
      <c r="X10" s="16">
        <v>16.488720000000001</v>
      </c>
      <c r="Y10" s="16">
        <v>4.6226700000000003</v>
      </c>
      <c r="Z10" s="16">
        <v>5.9689499999999995</v>
      </c>
      <c r="AA10" s="16">
        <v>-1.0023</v>
      </c>
      <c r="AB10" s="16">
        <v>2.8529</v>
      </c>
      <c r="AC10" s="16">
        <v>5.8924399999999997</v>
      </c>
      <c r="AD10" s="16">
        <v>3.9897065276040999</v>
      </c>
      <c r="AE10" s="16">
        <v>-11.4351155371894</v>
      </c>
      <c r="AF10" s="16">
        <v>6.3263246300834401</v>
      </c>
      <c r="AG10" s="16">
        <v>3.8446132224799099</v>
      </c>
      <c r="AH10" s="16">
        <v>10.148976943471901</v>
      </c>
      <c r="AI10" s="46"/>
      <c r="AJ10" s="46"/>
      <c r="AK10" s="46"/>
      <c r="AL10" s="46"/>
      <c r="AM10" s="46"/>
      <c r="AN10" s="4"/>
      <c r="AO10" s="4"/>
      <c r="AP10" s="4"/>
      <c r="AQ10" s="4"/>
      <c r="AR10" s="4"/>
      <c r="AS10" s="4"/>
      <c r="AT10" s="4"/>
      <c r="AU10" s="4"/>
      <c r="AV10" s="4"/>
      <c r="AW10" s="4"/>
      <c r="AX10" s="4"/>
      <c r="AY10" s="4"/>
    </row>
    <row r="11" spans="1:51" ht="14.5" x14ac:dyDescent="0.35">
      <c r="A11" s="121">
        <f>YampaRiverInflow.TotalOutflow!A11</f>
        <v>46357</v>
      </c>
      <c r="B11" s="34">
        <v>5.0890000000000004</v>
      </c>
      <c r="C11" s="12">
        <v>5.8419999999999996</v>
      </c>
      <c r="D11" s="45">
        <v>2.6349999999999998</v>
      </c>
      <c r="E11" s="16">
        <v>16.566911999999999</v>
      </c>
      <c r="F11" s="16">
        <v>23.606604000000004</v>
      </c>
      <c r="G11" s="16">
        <v>11.927992</v>
      </c>
      <c r="H11" s="16">
        <v>18.697578</v>
      </c>
      <c r="I11" s="16">
        <v>16.272072000000001</v>
      </c>
      <c r="J11" s="16">
        <v>6.2282960000000003</v>
      </c>
      <c r="K11" s="16">
        <v>-16.238409999999998</v>
      </c>
      <c r="L11" s="16">
        <v>12.00187</v>
      </c>
      <c r="M11" s="16">
        <v>6.5915499999999998</v>
      </c>
      <c r="N11" s="16">
        <v>12.228569999999999</v>
      </c>
      <c r="O11" s="16">
        <v>1.01868</v>
      </c>
      <c r="P11" s="16">
        <v>6.6875100000000005</v>
      </c>
      <c r="Q11" s="16">
        <v>11.483219999999999</v>
      </c>
      <c r="R11" s="16">
        <v>-2.7016499999999999</v>
      </c>
      <c r="S11" s="16">
        <v>25.948370000000001</v>
      </c>
      <c r="T11" s="16">
        <v>22.778939999999999</v>
      </c>
      <c r="U11" s="16">
        <v>11.792920000000001</v>
      </c>
      <c r="V11" s="16">
        <v>17.610810000000001</v>
      </c>
      <c r="W11" s="16">
        <v>24.307770000000001</v>
      </c>
      <c r="X11" s="16">
        <v>18.407709999999998</v>
      </c>
      <c r="Y11" s="16">
        <v>2.61571</v>
      </c>
      <c r="Z11" s="16">
        <v>-1.4079200000000001</v>
      </c>
      <c r="AA11" s="16">
        <v>-6.0315000000000003</v>
      </c>
      <c r="AB11" s="16">
        <v>15.691600000000001</v>
      </c>
      <c r="AC11" s="16">
        <v>6.0872700000000002</v>
      </c>
      <c r="AD11" s="16">
        <v>14.668721902282002</v>
      </c>
      <c r="AE11" s="16">
        <v>-6.0504652876024405</v>
      </c>
      <c r="AF11" s="16">
        <v>3.9440781003643801</v>
      </c>
      <c r="AG11" s="16">
        <v>5.96184380284366</v>
      </c>
      <c r="AH11" s="16">
        <v>-3.3022761146438002</v>
      </c>
      <c r="AI11" s="46"/>
      <c r="AJ11" s="46"/>
      <c r="AK11" s="46"/>
      <c r="AL11" s="46"/>
      <c r="AM11" s="46"/>
      <c r="AN11" s="4"/>
      <c r="AO11" s="4"/>
      <c r="AP11" s="4"/>
      <c r="AQ11" s="4"/>
      <c r="AR11" s="4"/>
      <c r="AS11" s="4"/>
      <c r="AT11" s="4"/>
      <c r="AU11" s="4"/>
      <c r="AV11" s="4"/>
      <c r="AW11" s="4"/>
      <c r="AX11" s="4"/>
      <c r="AY11" s="4"/>
    </row>
    <row r="12" spans="1:51" ht="14.5" x14ac:dyDescent="0.35">
      <c r="A12" s="121">
        <f>YampaRiverInflow.TotalOutflow!A12</f>
        <v>46388</v>
      </c>
      <c r="B12" s="34">
        <v>4.6970000000000001</v>
      </c>
      <c r="C12" s="12">
        <v>5.4790000000000001</v>
      </c>
      <c r="D12" s="45">
        <v>3.6709999999999998</v>
      </c>
      <c r="E12" s="16">
        <v>18.317238</v>
      </c>
      <c r="F12" s="16">
        <v>101.21908400000001</v>
      </c>
      <c r="G12" s="16">
        <v>14.084605999999999</v>
      </c>
      <c r="H12" s="16">
        <v>35.531559999999999</v>
      </c>
      <c r="I12" s="16">
        <v>11.366462</v>
      </c>
      <c r="J12" s="16">
        <v>12.906422000000001</v>
      </c>
      <c r="K12" s="16">
        <v>-12.26146</v>
      </c>
      <c r="L12" s="16">
        <v>9.9685600000000001</v>
      </c>
      <c r="M12" s="16">
        <v>3.9182399999999999</v>
      </c>
      <c r="N12" s="16">
        <v>5.2524799999999994</v>
      </c>
      <c r="O12" s="16">
        <v>0.65434000000000003</v>
      </c>
      <c r="P12" s="16">
        <v>10.38495</v>
      </c>
      <c r="Q12" s="16">
        <v>14.23559</v>
      </c>
      <c r="R12" s="16">
        <v>9.8203300000000002</v>
      </c>
      <c r="S12" s="16">
        <v>24.700430000000001</v>
      </c>
      <c r="T12" s="16">
        <v>22.069479999999999</v>
      </c>
      <c r="U12" s="16">
        <v>12.57952</v>
      </c>
      <c r="V12" s="16">
        <v>19.210369999999998</v>
      </c>
      <c r="W12" s="16">
        <v>24.414390000000001</v>
      </c>
      <c r="X12" s="16">
        <v>14.356399999999999</v>
      </c>
      <c r="Y12" s="16">
        <v>-5.5168900000000001</v>
      </c>
      <c r="Z12" s="16">
        <v>8.7599999999999997E-2</v>
      </c>
      <c r="AA12" s="16">
        <v>10.52117</v>
      </c>
      <c r="AB12" s="16">
        <v>15.80128</v>
      </c>
      <c r="AC12" s="16">
        <v>7.4489752076703502</v>
      </c>
      <c r="AD12" s="16">
        <v>19.8163140489265</v>
      </c>
      <c r="AE12" s="16">
        <v>0.31217231431502396</v>
      </c>
      <c r="AF12" s="16">
        <v>11.158060331372901</v>
      </c>
      <c r="AG12" s="16">
        <v>7.7495685923312703</v>
      </c>
      <c r="AH12" s="16">
        <v>16.305914000000001</v>
      </c>
      <c r="AI12" s="46"/>
      <c r="AJ12" s="46"/>
      <c r="AK12" s="46"/>
      <c r="AL12" s="46"/>
      <c r="AM12" s="46"/>
      <c r="AN12" s="4"/>
      <c r="AO12" s="4"/>
      <c r="AP12" s="4"/>
      <c r="AQ12" s="4"/>
      <c r="AR12" s="4"/>
      <c r="AS12" s="4"/>
      <c r="AT12" s="4"/>
      <c r="AU12" s="4"/>
      <c r="AV12" s="4"/>
      <c r="AW12" s="4"/>
      <c r="AX12" s="4"/>
      <c r="AY12" s="4"/>
    </row>
    <row r="13" spans="1:51" ht="14.5" x14ac:dyDescent="0.35">
      <c r="A13" s="121">
        <f>YampaRiverInflow.TotalOutflow!A13</f>
        <v>46419</v>
      </c>
      <c r="B13" s="34">
        <v>3.9830000000000001</v>
      </c>
      <c r="C13" s="12">
        <v>4.6950000000000003</v>
      </c>
      <c r="D13" s="45">
        <v>7.7359999999999998</v>
      </c>
      <c r="E13" s="16">
        <v>27.521836</v>
      </c>
      <c r="F13" s="16">
        <v>75.754664000000005</v>
      </c>
      <c r="G13" s="16">
        <v>14.718234000000001</v>
      </c>
      <c r="H13" s="16">
        <v>33.481140000000003</v>
      </c>
      <c r="I13" s="16">
        <v>10.668854</v>
      </c>
      <c r="J13" s="16">
        <v>-2.5262600000000002</v>
      </c>
      <c r="K13" s="16">
        <v>-10.192350000000001</v>
      </c>
      <c r="L13" s="16">
        <v>6.2821099999999994</v>
      </c>
      <c r="M13" s="16">
        <v>3.13246</v>
      </c>
      <c r="N13" s="16">
        <v>4.1601400000000002</v>
      </c>
      <c r="O13" s="16">
        <v>2.8380700000000001</v>
      </c>
      <c r="P13" s="16">
        <v>9.7490100000000002</v>
      </c>
      <c r="Q13" s="16">
        <v>16.001570000000001</v>
      </c>
      <c r="R13" s="16">
        <v>9.5720700000000001</v>
      </c>
      <c r="S13" s="16">
        <v>21.740169999999999</v>
      </c>
      <c r="T13" s="16">
        <v>14.98456</v>
      </c>
      <c r="U13" s="16">
        <v>10.01197</v>
      </c>
      <c r="V13" s="16">
        <v>10.48507</v>
      </c>
      <c r="W13" s="16">
        <v>13.671299999999999</v>
      </c>
      <c r="X13" s="16">
        <v>11.7835</v>
      </c>
      <c r="Y13" s="16">
        <v>1.5763499999999999</v>
      </c>
      <c r="Z13" s="16">
        <v>-4.5615100000000002</v>
      </c>
      <c r="AA13" s="16">
        <v>4.3772399999999996</v>
      </c>
      <c r="AB13" s="16">
        <v>6.30464</v>
      </c>
      <c r="AC13" s="16">
        <v>4.0539722308107295</v>
      </c>
      <c r="AD13" s="16">
        <v>9.3226595036040596</v>
      </c>
      <c r="AE13" s="16">
        <v>19.796036777389201</v>
      </c>
      <c r="AF13" s="16">
        <v>11.065682646744701</v>
      </c>
      <c r="AG13" s="16">
        <v>11.6148235514056</v>
      </c>
      <c r="AH13" s="16">
        <v>19.425978000000001</v>
      </c>
      <c r="AI13" s="46"/>
      <c r="AJ13" s="46"/>
      <c r="AK13" s="46"/>
      <c r="AL13" s="46"/>
      <c r="AM13" s="46"/>
      <c r="AN13" s="4"/>
      <c r="AO13" s="4"/>
      <c r="AP13" s="4"/>
      <c r="AQ13" s="4"/>
      <c r="AR13" s="4"/>
      <c r="AS13" s="4"/>
      <c r="AT13" s="4"/>
      <c r="AU13" s="4"/>
      <c r="AV13" s="4"/>
      <c r="AW13" s="4"/>
      <c r="AX13" s="4"/>
      <c r="AY13" s="4"/>
    </row>
    <row r="14" spans="1:51" ht="14.5" x14ac:dyDescent="0.35">
      <c r="A14" s="121">
        <f>YampaRiverInflow.TotalOutflow!A14</f>
        <v>46447</v>
      </c>
      <c r="B14" s="34">
        <v>4.1500000000000004</v>
      </c>
      <c r="C14" s="12">
        <v>3.774</v>
      </c>
      <c r="D14" s="45">
        <v>7.1230000000000002</v>
      </c>
      <c r="E14" s="16">
        <v>39.915998000000002</v>
      </c>
      <c r="F14" s="16">
        <v>66.375816</v>
      </c>
      <c r="G14" s="16">
        <v>17.63081</v>
      </c>
      <c r="H14" s="16">
        <v>62.605969999999999</v>
      </c>
      <c r="I14" s="16">
        <v>-10.494788</v>
      </c>
      <c r="J14" s="16">
        <v>-5.3588699999999996</v>
      </c>
      <c r="K14" s="16">
        <v>-15.49112</v>
      </c>
      <c r="L14" s="16">
        <v>36.322969999999998</v>
      </c>
      <c r="M14" s="16">
        <v>9.210090000000001</v>
      </c>
      <c r="N14" s="16">
        <v>5.7764899999999999</v>
      </c>
      <c r="O14" s="16">
        <v>9.2872199999999996</v>
      </c>
      <c r="P14" s="16">
        <v>8.1139899999999994</v>
      </c>
      <c r="Q14" s="16">
        <v>9.8301200000000009</v>
      </c>
      <c r="R14" s="16">
        <v>14.49926</v>
      </c>
      <c r="S14" s="16">
        <v>12.03308</v>
      </c>
      <c r="T14" s="16">
        <v>4.5342399999999996</v>
      </c>
      <c r="U14" s="16">
        <v>19.332849999999997</v>
      </c>
      <c r="V14" s="16">
        <v>6.37479</v>
      </c>
      <c r="W14" s="16">
        <v>9.2942099999999996</v>
      </c>
      <c r="X14" s="16">
        <v>12.6425</v>
      </c>
      <c r="Y14" s="16">
        <v>6.9273500000000006</v>
      </c>
      <c r="Z14" s="16">
        <v>-7.20953</v>
      </c>
      <c r="AA14" s="16">
        <v>6.0791599999999999</v>
      </c>
      <c r="AB14" s="16">
        <v>6.5443199999999999</v>
      </c>
      <c r="AC14" s="16">
        <v>12.9016643799678</v>
      </c>
      <c r="AD14" s="16">
        <v>7.2940712366949301</v>
      </c>
      <c r="AE14" s="16">
        <v>35.068694212232302</v>
      </c>
      <c r="AF14" s="16">
        <v>6.2901128095215002</v>
      </c>
      <c r="AG14" s="16">
        <v>18.741606197686799</v>
      </c>
      <c r="AH14" s="16">
        <v>26.794340000000005</v>
      </c>
      <c r="AI14" s="46"/>
      <c r="AJ14" s="46"/>
      <c r="AK14" s="46"/>
      <c r="AL14" s="46"/>
      <c r="AM14" s="46"/>
      <c r="AN14" s="4"/>
      <c r="AO14" s="4"/>
      <c r="AP14" s="4"/>
      <c r="AQ14" s="4"/>
      <c r="AR14" s="4"/>
      <c r="AS14" s="4"/>
      <c r="AT14" s="4"/>
      <c r="AU14" s="4"/>
      <c r="AV14" s="4"/>
      <c r="AW14" s="4"/>
      <c r="AX14" s="4"/>
      <c r="AY14" s="4"/>
    </row>
    <row r="15" spans="1:51" ht="14.5" x14ac:dyDescent="0.35">
      <c r="A15" s="121">
        <f>YampaRiverInflow.TotalOutflow!A15</f>
        <v>46478</v>
      </c>
      <c r="B15" s="34">
        <v>5.423</v>
      </c>
      <c r="C15" s="12">
        <v>2.7749999999999999</v>
      </c>
      <c r="D15" s="45">
        <v>9.7159999999999993</v>
      </c>
      <c r="E15" s="16">
        <v>29.763325999999999</v>
      </c>
      <c r="F15" s="16">
        <v>41.261670000000002</v>
      </c>
      <c r="G15" s="16">
        <v>7.7661820000000006</v>
      </c>
      <c r="H15" s="16">
        <v>14.708754000000001</v>
      </c>
      <c r="I15" s="16">
        <v>23.635946000000001</v>
      </c>
      <c r="J15" s="16">
        <v>6.8406400000000005</v>
      </c>
      <c r="K15" s="16">
        <v>-2.2138499999999999</v>
      </c>
      <c r="L15" s="16">
        <v>19.547470000000001</v>
      </c>
      <c r="M15" s="16">
        <v>11.52768</v>
      </c>
      <c r="N15" s="16">
        <v>17.343669999999999</v>
      </c>
      <c r="O15" s="16">
        <v>13.49269</v>
      </c>
      <c r="P15" s="16">
        <v>4.6643299999999996</v>
      </c>
      <c r="Q15" s="16">
        <v>2.3306399999999998</v>
      </c>
      <c r="R15" s="16">
        <v>9.179590000000001</v>
      </c>
      <c r="S15" s="16">
        <v>14.534559999999999</v>
      </c>
      <c r="T15" s="16">
        <v>4.0880400000000003</v>
      </c>
      <c r="U15" s="16">
        <v>12.77216</v>
      </c>
      <c r="V15" s="16">
        <v>7.4774700000000003</v>
      </c>
      <c r="W15" s="16">
        <v>12.525</v>
      </c>
      <c r="X15" s="16">
        <v>22.5366</v>
      </c>
      <c r="Y15" s="16">
        <v>5.4246600000000003</v>
      </c>
      <c r="Z15" s="16">
        <v>-1.42597</v>
      </c>
      <c r="AA15" s="16">
        <v>9.8915199999999999</v>
      </c>
      <c r="AB15" s="16">
        <v>9.72743</v>
      </c>
      <c r="AC15" s="16">
        <v>15.713943386447099</v>
      </c>
      <c r="AD15" s="16">
        <v>6.6015394221493597</v>
      </c>
      <c r="AE15" s="16">
        <v>32.830230167934701</v>
      </c>
      <c r="AF15" s="16">
        <v>14.096756611570999</v>
      </c>
      <c r="AG15" s="16">
        <v>21.908179504132999</v>
      </c>
      <c r="AH15" s="16">
        <v>18.399011999999999</v>
      </c>
      <c r="AI15" s="46"/>
      <c r="AJ15" s="46"/>
      <c r="AK15" s="46"/>
      <c r="AL15" s="46"/>
      <c r="AM15" s="46"/>
      <c r="AN15" s="4"/>
      <c r="AO15" s="4"/>
      <c r="AP15" s="4"/>
      <c r="AQ15" s="4"/>
      <c r="AR15" s="4"/>
      <c r="AS15" s="4"/>
      <c r="AT15" s="4"/>
      <c r="AU15" s="4"/>
      <c r="AV15" s="4"/>
      <c r="AW15" s="4"/>
      <c r="AX15" s="4"/>
      <c r="AY15" s="4"/>
    </row>
    <row r="16" spans="1:51" ht="14.5" x14ac:dyDescent="0.35">
      <c r="A16" s="121">
        <f>YampaRiverInflow.TotalOutflow!A16</f>
        <v>46508</v>
      </c>
      <c r="B16" s="34">
        <v>1.665</v>
      </c>
      <c r="C16" s="12">
        <v>0.95499999999999996</v>
      </c>
      <c r="D16" s="45">
        <v>13.552</v>
      </c>
      <c r="E16" s="16">
        <v>17.687328000000001</v>
      </c>
      <c r="F16" s="16">
        <v>30.256135999999998</v>
      </c>
      <c r="G16" s="16">
        <v>9.5716059999999992</v>
      </c>
      <c r="H16" s="16">
        <v>29.325434000000005</v>
      </c>
      <c r="I16" s="16">
        <v>5.5503300000000007</v>
      </c>
      <c r="J16" s="16">
        <v>8.0619300000000003</v>
      </c>
      <c r="K16" s="16">
        <v>-4.66012</v>
      </c>
      <c r="L16" s="16">
        <v>9.683209999999999</v>
      </c>
      <c r="M16" s="16">
        <v>23.337949999999999</v>
      </c>
      <c r="N16" s="16">
        <v>11.09249</v>
      </c>
      <c r="O16" s="16">
        <v>14.89179</v>
      </c>
      <c r="P16" s="16">
        <v>9.6852700000000009</v>
      </c>
      <c r="Q16" s="16">
        <v>5.5847100000000003</v>
      </c>
      <c r="R16" s="16">
        <v>4.1686000000000005</v>
      </c>
      <c r="S16" s="16">
        <v>14.016170000000001</v>
      </c>
      <c r="T16" s="16">
        <v>5.02379</v>
      </c>
      <c r="U16" s="16">
        <v>16.882990000000003</v>
      </c>
      <c r="V16" s="16">
        <v>3.9549799999999999</v>
      </c>
      <c r="W16" s="16">
        <v>10.53945</v>
      </c>
      <c r="X16" s="16">
        <v>19.5229</v>
      </c>
      <c r="Y16" s="16">
        <v>4.9721899999999994</v>
      </c>
      <c r="Z16" s="16">
        <v>1.2309300000000001</v>
      </c>
      <c r="AA16" s="16">
        <v>4.9847600000000005</v>
      </c>
      <c r="AB16" s="16">
        <v>9.3964200000000009</v>
      </c>
      <c r="AC16" s="16">
        <v>9.2539210713396098</v>
      </c>
      <c r="AD16" s="16">
        <v>5.5819525592733701</v>
      </c>
      <c r="AE16" s="16">
        <v>25.107575702810699</v>
      </c>
      <c r="AF16" s="16">
        <v>32.171070661818902</v>
      </c>
      <c r="AG16" s="16">
        <v>22.140587519075002</v>
      </c>
      <c r="AH16" s="16">
        <v>9.3170699999999993</v>
      </c>
      <c r="AI16" s="46"/>
      <c r="AJ16" s="46"/>
      <c r="AK16" s="46"/>
      <c r="AL16" s="46"/>
      <c r="AM16" s="46"/>
      <c r="AN16" s="4"/>
      <c r="AO16" s="4"/>
      <c r="AP16" s="4"/>
      <c r="AQ16" s="4"/>
      <c r="AR16" s="4"/>
      <c r="AS16" s="4"/>
      <c r="AT16" s="4"/>
      <c r="AU16" s="4"/>
      <c r="AV16" s="4"/>
      <c r="AW16" s="4"/>
      <c r="AX16" s="4"/>
      <c r="AY16" s="4"/>
    </row>
    <row r="17" spans="1:51" ht="14.5" x14ac:dyDescent="0.35">
      <c r="A17" s="121">
        <f>YampaRiverInflow.TotalOutflow!A17</f>
        <v>46539</v>
      </c>
      <c r="B17" s="34">
        <v>2.1349999999999998</v>
      </c>
      <c r="C17" s="12">
        <v>1.4930000000000001</v>
      </c>
      <c r="D17" s="45">
        <v>9.6039999999999992</v>
      </c>
      <c r="E17" s="16">
        <v>1.2684000000000002</v>
      </c>
      <c r="F17" s="16">
        <v>4.9412060000000002</v>
      </c>
      <c r="G17" s="16">
        <v>-1.180104</v>
      </c>
      <c r="H17" s="16">
        <v>16.706314000000003</v>
      </c>
      <c r="I17" s="16">
        <v>1.3633040000000001</v>
      </c>
      <c r="J17" s="16">
        <v>-0.79383999999999999</v>
      </c>
      <c r="K17" s="16">
        <v>-23.251810000000003</v>
      </c>
      <c r="L17" s="16">
        <v>12.69872</v>
      </c>
      <c r="M17" s="16">
        <v>19.039000000000001</v>
      </c>
      <c r="N17" s="16">
        <v>6.8687700000000005</v>
      </c>
      <c r="O17" s="16">
        <v>14.246139999999999</v>
      </c>
      <c r="P17" s="16">
        <v>18.845080000000003</v>
      </c>
      <c r="Q17" s="16">
        <v>7.4909099999999995</v>
      </c>
      <c r="R17" s="16">
        <v>13.8124</v>
      </c>
      <c r="S17" s="16">
        <v>24.775919999999999</v>
      </c>
      <c r="T17" s="16">
        <v>9.7531100000000013</v>
      </c>
      <c r="U17" s="16">
        <v>18.740459999999999</v>
      </c>
      <c r="V17" s="16">
        <v>5.9942099999999998</v>
      </c>
      <c r="W17" s="16">
        <v>10.93661</v>
      </c>
      <c r="X17" s="16">
        <v>14.07673</v>
      </c>
      <c r="Y17" s="16">
        <v>3.54962</v>
      </c>
      <c r="Z17" s="16">
        <v>6.4226899999999993</v>
      </c>
      <c r="AA17" s="16">
        <v>10.59356</v>
      </c>
      <c r="AB17" s="16">
        <v>1.32226</v>
      </c>
      <c r="AC17" s="16">
        <v>6.9610190102487604</v>
      </c>
      <c r="AD17" s="16">
        <v>13.6235045447941</v>
      </c>
      <c r="AE17" s="16">
        <v>21.1430438016537</v>
      </c>
      <c r="AF17" s="16">
        <v>42.150180575868696</v>
      </c>
      <c r="AG17" s="16">
        <v>13.4754590082651</v>
      </c>
      <c r="AH17" s="16">
        <v>19.542680000000001</v>
      </c>
      <c r="AI17" s="46"/>
      <c r="AJ17" s="46"/>
      <c r="AK17" s="46"/>
      <c r="AL17" s="46"/>
      <c r="AM17" s="46"/>
      <c r="AN17" s="4"/>
      <c r="AO17" s="4"/>
      <c r="AP17" s="4"/>
      <c r="AQ17" s="4"/>
      <c r="AR17" s="4"/>
      <c r="AS17" s="4"/>
      <c r="AT17" s="4"/>
      <c r="AU17" s="4"/>
      <c r="AV17" s="4"/>
      <c r="AW17" s="4"/>
      <c r="AX17" s="4"/>
      <c r="AY17" s="4"/>
    </row>
    <row r="18" spans="1:51" ht="14.5" x14ac:dyDescent="0.35">
      <c r="A18" s="121">
        <f>YampaRiverInflow.TotalOutflow!A18</f>
        <v>46569</v>
      </c>
      <c r="B18" s="34">
        <v>4.8289999999999997</v>
      </c>
      <c r="C18" s="12">
        <v>2.5710000000000002</v>
      </c>
      <c r="D18" s="45">
        <v>2.758</v>
      </c>
      <c r="E18" s="16">
        <v>15.702810000000001</v>
      </c>
      <c r="F18" s="16">
        <v>2.0310160000000002</v>
      </c>
      <c r="G18" s="16">
        <v>8.0089059999999996</v>
      </c>
      <c r="H18" s="16">
        <v>20.697440000000004</v>
      </c>
      <c r="I18" s="16">
        <v>17.755964000000002</v>
      </c>
      <c r="J18" s="16">
        <v>11.63293</v>
      </c>
      <c r="K18" s="16">
        <v>-12.476629999999998</v>
      </c>
      <c r="L18" s="16">
        <v>23.625509999999998</v>
      </c>
      <c r="M18" s="16">
        <v>20.54889</v>
      </c>
      <c r="N18" s="16">
        <v>8.319090000000001</v>
      </c>
      <c r="O18" s="16">
        <v>20.105460000000001</v>
      </c>
      <c r="P18" s="16">
        <v>19.50067</v>
      </c>
      <c r="Q18" s="16">
        <v>8.3446700000000007</v>
      </c>
      <c r="R18" s="16">
        <v>18.455950000000001</v>
      </c>
      <c r="S18" s="16">
        <v>31.79073</v>
      </c>
      <c r="T18" s="16">
        <v>14.55987</v>
      </c>
      <c r="U18" s="16">
        <v>21.886839999999999</v>
      </c>
      <c r="V18" s="16">
        <v>25.583909999999999</v>
      </c>
      <c r="W18" s="16">
        <v>21.074020000000001</v>
      </c>
      <c r="X18" s="16">
        <v>18.544400000000003</v>
      </c>
      <c r="Y18" s="16">
        <v>6.5901300000000003</v>
      </c>
      <c r="Z18" s="16">
        <v>14.91146</v>
      </c>
      <c r="AA18" s="16">
        <v>14.38373</v>
      </c>
      <c r="AB18" s="16">
        <v>27.614090000000001</v>
      </c>
      <c r="AC18" s="16">
        <v>12.5574148766291</v>
      </c>
      <c r="AD18" s="16">
        <v>24.781192150480202</v>
      </c>
      <c r="AE18" s="16">
        <v>16.943357023537999</v>
      </c>
      <c r="AF18" s="16">
        <v>39.1588780983151</v>
      </c>
      <c r="AG18" s="16">
        <v>23.713968098447001</v>
      </c>
      <c r="AH18" s="16">
        <v>3.5028120000000005</v>
      </c>
      <c r="AI18" s="46"/>
      <c r="AJ18" s="46"/>
      <c r="AK18" s="46"/>
      <c r="AL18" s="46"/>
      <c r="AM18" s="46"/>
      <c r="AN18" s="4"/>
      <c r="AO18" s="4"/>
      <c r="AP18" s="4"/>
      <c r="AQ18" s="4"/>
      <c r="AR18" s="4"/>
      <c r="AS18" s="4"/>
      <c r="AT18" s="4"/>
      <c r="AU18" s="4"/>
      <c r="AV18" s="4"/>
      <c r="AW18" s="4"/>
      <c r="AX18" s="4"/>
      <c r="AY18" s="4"/>
    </row>
    <row r="19" spans="1:51" ht="14.5" x14ac:dyDescent="0.35">
      <c r="A19" s="121">
        <f>YampaRiverInflow.TotalOutflow!A19</f>
        <v>46600</v>
      </c>
      <c r="B19" s="34">
        <v>7.7460000000000004</v>
      </c>
      <c r="C19" s="12">
        <v>7.0229999999999997</v>
      </c>
      <c r="D19" s="45">
        <v>-1.341</v>
      </c>
      <c r="E19" s="16">
        <v>28.766426000000003</v>
      </c>
      <c r="F19" s="16">
        <v>19.739957999999998</v>
      </c>
      <c r="G19" s="16">
        <v>11.451958000000001</v>
      </c>
      <c r="H19" s="16">
        <v>20.660824000000002</v>
      </c>
      <c r="I19" s="16">
        <v>13.796706</v>
      </c>
      <c r="J19" s="16">
        <v>9.7706299999999988</v>
      </c>
      <c r="K19" s="16">
        <v>7.4435000000000002</v>
      </c>
      <c r="L19" s="16">
        <v>20.504860000000001</v>
      </c>
      <c r="M19" s="16">
        <v>22.135639999999999</v>
      </c>
      <c r="N19" s="16">
        <v>5.2130799999999997</v>
      </c>
      <c r="O19" s="16">
        <v>14.802440000000001</v>
      </c>
      <c r="P19" s="16">
        <v>21.94164</v>
      </c>
      <c r="Q19" s="16">
        <v>8.4181799999999996</v>
      </c>
      <c r="R19" s="16">
        <v>21.659500000000001</v>
      </c>
      <c r="S19" s="16">
        <v>35.8294</v>
      </c>
      <c r="T19" s="16">
        <v>14.210139999999999</v>
      </c>
      <c r="U19" s="16">
        <v>24.195160000000001</v>
      </c>
      <c r="V19" s="16">
        <v>26.496269999999999</v>
      </c>
      <c r="W19" s="16">
        <v>24.024999999999999</v>
      </c>
      <c r="X19" s="16">
        <v>22.344560000000001</v>
      </c>
      <c r="Y19" s="16">
        <v>9.8739599999999985</v>
      </c>
      <c r="Z19" s="16">
        <v>13.84548</v>
      </c>
      <c r="AA19" s="16">
        <v>16.93469</v>
      </c>
      <c r="AB19" s="16">
        <v>14.48996</v>
      </c>
      <c r="AC19" s="16">
        <v>14.623601239406</v>
      </c>
      <c r="AD19" s="16">
        <v>29.351938843042298</v>
      </c>
      <c r="AE19" s="16">
        <v>10.6373367791084</v>
      </c>
      <c r="AF19" s="16">
        <v>32.4739838860175</v>
      </c>
      <c r="AG19" s="16">
        <v>32.289258266844001</v>
      </c>
      <c r="AH19" s="16">
        <v>21.988620000000001</v>
      </c>
      <c r="AI19" s="46"/>
      <c r="AJ19" s="46"/>
      <c r="AK19" s="46"/>
      <c r="AL19" s="46"/>
      <c r="AM19" s="46"/>
      <c r="AN19" s="4"/>
      <c r="AO19" s="4"/>
      <c r="AP19" s="4"/>
      <c r="AQ19" s="4"/>
      <c r="AR19" s="4"/>
      <c r="AS19" s="4"/>
      <c r="AT19" s="4"/>
      <c r="AU19" s="4"/>
      <c r="AV19" s="4"/>
      <c r="AW19" s="4"/>
      <c r="AX19" s="4"/>
      <c r="AY19" s="4"/>
    </row>
    <row r="20" spans="1:51" ht="14.5" x14ac:dyDescent="0.35">
      <c r="A20" s="121">
        <f>YampaRiverInflow.TotalOutflow!A20</f>
        <v>46631</v>
      </c>
      <c r="B20" s="34">
        <v>8.1319999999999997</v>
      </c>
      <c r="C20" s="12">
        <v>6.194</v>
      </c>
      <c r="D20" s="45">
        <v>5.1230000000000002</v>
      </c>
      <c r="E20" s="16">
        <v>26.366382000000002</v>
      </c>
      <c r="F20" s="16">
        <v>15.737406</v>
      </c>
      <c r="G20" s="16">
        <v>14.914582000000003</v>
      </c>
      <c r="H20" s="16">
        <v>14.839589999999999</v>
      </c>
      <c r="I20" s="16">
        <v>10.647540000000001</v>
      </c>
      <c r="J20" s="16">
        <v>-6.0112700000000006</v>
      </c>
      <c r="K20" s="16">
        <v>19.914009999999998</v>
      </c>
      <c r="L20" s="16">
        <v>13.555149999999999</v>
      </c>
      <c r="M20" s="16">
        <v>15.397549999999999</v>
      </c>
      <c r="N20" s="16">
        <v>7.1036899999999994</v>
      </c>
      <c r="O20" s="16">
        <v>8.6973899999999986</v>
      </c>
      <c r="P20" s="16">
        <v>11.841569999999999</v>
      </c>
      <c r="Q20" s="16">
        <v>3.6388400000000001</v>
      </c>
      <c r="R20" s="16">
        <v>18.084299999999999</v>
      </c>
      <c r="S20" s="16">
        <v>24.926950000000001</v>
      </c>
      <c r="T20" s="16">
        <v>13.032249999999999</v>
      </c>
      <c r="U20" s="16">
        <v>14.707469999999999</v>
      </c>
      <c r="V20" s="16">
        <v>15.101129999999999</v>
      </c>
      <c r="W20" s="16">
        <v>9.3519199999999998</v>
      </c>
      <c r="X20" s="16">
        <v>35.037589999999994</v>
      </c>
      <c r="Y20" s="16">
        <v>-2.8639899999999998</v>
      </c>
      <c r="Z20" s="16">
        <v>6.7481800000000005</v>
      </c>
      <c r="AA20" s="16">
        <v>15.02529</v>
      </c>
      <c r="AB20" s="16">
        <v>11.451879999999999</v>
      </c>
      <c r="AC20" s="16">
        <v>13.1848636376867</v>
      </c>
      <c r="AD20" s="16">
        <v>8.3238249586783297</v>
      </c>
      <c r="AE20" s="16">
        <v>19.8346958697528</v>
      </c>
      <c r="AF20" s="16">
        <v>16.409711323636998</v>
      </c>
      <c r="AG20" s="16">
        <v>25.7866844641329</v>
      </c>
      <c r="AH20" s="16">
        <v>21.500264000000001</v>
      </c>
      <c r="AI20" s="46"/>
      <c r="AJ20" s="46"/>
      <c r="AK20" s="46"/>
      <c r="AL20" s="46"/>
      <c r="AM20" s="46"/>
      <c r="AN20" s="4"/>
      <c r="AO20" s="4"/>
      <c r="AP20" s="4"/>
      <c r="AQ20" s="4"/>
      <c r="AR20" s="4"/>
      <c r="AS20" s="4"/>
      <c r="AT20" s="4"/>
      <c r="AU20" s="4"/>
      <c r="AV20" s="4"/>
      <c r="AW20" s="4"/>
      <c r="AX20" s="4"/>
      <c r="AY20" s="4"/>
    </row>
    <row r="21" spans="1:51" ht="14.5" x14ac:dyDescent="0.35">
      <c r="A21" s="121">
        <f>YampaRiverInflow.TotalOutflow!A21</f>
        <v>46661</v>
      </c>
      <c r="B21" s="34">
        <v>4.0090000000000003</v>
      </c>
      <c r="C21" s="12">
        <v>4.0090000000000003</v>
      </c>
      <c r="D21" s="45">
        <v>4.0090000000000003</v>
      </c>
      <c r="E21" s="16">
        <v>17.934583999999997</v>
      </c>
      <c r="F21" s="16">
        <v>11.836898000000001</v>
      </c>
      <c r="G21" s="16">
        <v>11.503132000000001</v>
      </c>
      <c r="H21" s="16">
        <v>12.135444000000001</v>
      </c>
      <c r="I21" s="16">
        <v>6.3876860000000004</v>
      </c>
      <c r="J21" s="16">
        <v>-7.82599</v>
      </c>
      <c r="K21" s="16">
        <v>24.362849999999998</v>
      </c>
      <c r="L21" s="16">
        <v>10.95425</v>
      </c>
      <c r="M21" s="16">
        <v>11.723360000000001</v>
      </c>
      <c r="N21" s="16">
        <v>4.6145899999999997</v>
      </c>
      <c r="O21" s="16">
        <v>6.6953500000000004</v>
      </c>
      <c r="P21" s="16">
        <v>9.5123700000000007</v>
      </c>
      <c r="Q21" s="16">
        <v>-0.49925999999999998</v>
      </c>
      <c r="R21" s="16">
        <v>18.132660000000001</v>
      </c>
      <c r="S21" s="16">
        <v>19.22006</v>
      </c>
      <c r="T21" s="16">
        <v>10.97871</v>
      </c>
      <c r="U21" s="16">
        <v>13.21185</v>
      </c>
      <c r="V21" s="16">
        <v>14.04824</v>
      </c>
      <c r="W21" s="16">
        <v>6.9533999999999994</v>
      </c>
      <c r="X21" s="16">
        <v>23.35398</v>
      </c>
      <c r="Y21" s="16">
        <v>-2.8656299999999999</v>
      </c>
      <c r="Z21" s="16">
        <v>2.3012199999999998</v>
      </c>
      <c r="AA21" s="16">
        <v>14.73507</v>
      </c>
      <c r="AB21" s="16">
        <v>8.505370000000001</v>
      </c>
      <c r="AC21" s="16">
        <v>9.0830627261494108</v>
      </c>
      <c r="AD21" s="16">
        <v>-6.2740460311398598</v>
      </c>
      <c r="AE21" s="16">
        <v>25.002335616926402</v>
      </c>
      <c r="AF21" s="16">
        <v>7.7553593381164196</v>
      </c>
      <c r="AG21" s="16">
        <v>26.857120247405899</v>
      </c>
      <c r="AH21" s="16">
        <v>8.6108960000000003</v>
      </c>
      <c r="AI21" s="46"/>
      <c r="AJ21" s="46"/>
      <c r="AK21" s="46"/>
      <c r="AL21" s="46"/>
      <c r="AM21" s="46"/>
      <c r="AN21" s="4"/>
      <c r="AO21" s="4"/>
      <c r="AP21" s="4"/>
      <c r="AQ21" s="4"/>
      <c r="AR21" s="4"/>
      <c r="AS21" s="4"/>
      <c r="AT21" s="4"/>
      <c r="AU21" s="4"/>
      <c r="AV21" s="4"/>
      <c r="AW21" s="4"/>
      <c r="AX21" s="4"/>
      <c r="AY21" s="4"/>
    </row>
    <row r="22" spans="1:51" ht="14.5" x14ac:dyDescent="0.35">
      <c r="A22" s="121">
        <f>YampaRiverInflow.TotalOutflow!A22</f>
        <v>46692</v>
      </c>
      <c r="B22" s="34">
        <v>0.72299999999999998</v>
      </c>
      <c r="C22" s="12">
        <v>0.72299999999999998</v>
      </c>
      <c r="D22" s="45">
        <v>0.72299999999999998</v>
      </c>
      <c r="E22" s="16">
        <v>10.960080000000001</v>
      </c>
      <c r="F22" s="16">
        <v>12.147136</v>
      </c>
      <c r="G22" s="16">
        <v>3.6625680000000003</v>
      </c>
      <c r="H22" s="16">
        <v>15.820898000000001</v>
      </c>
      <c r="I22" s="16">
        <v>14.533392000000001</v>
      </c>
      <c r="J22" s="16">
        <v>-12.37326</v>
      </c>
      <c r="K22" s="16">
        <v>14.93168</v>
      </c>
      <c r="L22" s="16">
        <v>-5.1652700000000005</v>
      </c>
      <c r="M22" s="16">
        <v>10.395850000000001</v>
      </c>
      <c r="N22" s="16">
        <v>4.0648400000000002</v>
      </c>
      <c r="O22" s="16">
        <v>3.5380700000000003</v>
      </c>
      <c r="P22" s="16">
        <v>7.5272700000000006</v>
      </c>
      <c r="Q22" s="16">
        <v>13.11669</v>
      </c>
      <c r="R22" s="16">
        <v>15.47784</v>
      </c>
      <c r="S22" s="16">
        <v>21.893450000000001</v>
      </c>
      <c r="T22" s="16">
        <v>12.1463</v>
      </c>
      <c r="U22" s="16">
        <v>8.651209999999999</v>
      </c>
      <c r="V22" s="16">
        <v>9.7618099999999988</v>
      </c>
      <c r="W22" s="16">
        <v>16.488720000000001</v>
      </c>
      <c r="X22" s="16">
        <v>4.6226700000000003</v>
      </c>
      <c r="Y22" s="16">
        <v>5.9689499999999995</v>
      </c>
      <c r="Z22" s="16">
        <v>-1.0023</v>
      </c>
      <c r="AA22" s="16">
        <v>2.8529</v>
      </c>
      <c r="AB22" s="16">
        <v>5.8924399999999997</v>
      </c>
      <c r="AC22" s="16">
        <v>3.9897065276040999</v>
      </c>
      <c r="AD22" s="16">
        <v>-11.4351155371894</v>
      </c>
      <c r="AE22" s="16">
        <v>6.3263246300834401</v>
      </c>
      <c r="AF22" s="16">
        <v>3.8446132224799099</v>
      </c>
      <c r="AG22" s="16">
        <v>10.148976943471901</v>
      </c>
      <c r="AH22" s="16">
        <v>8.991363999999999</v>
      </c>
      <c r="AI22" s="46"/>
      <c r="AJ22" s="46"/>
      <c r="AK22" s="46"/>
      <c r="AL22" s="46"/>
      <c r="AM22" s="46"/>
      <c r="AN22" s="4"/>
      <c r="AO22" s="4"/>
      <c r="AP22" s="4"/>
      <c r="AQ22" s="4"/>
      <c r="AR22" s="4"/>
      <c r="AS22" s="4"/>
      <c r="AT22" s="4"/>
      <c r="AU22" s="4"/>
      <c r="AV22" s="4"/>
      <c r="AW22" s="4"/>
      <c r="AX22" s="4"/>
      <c r="AY22" s="4"/>
    </row>
    <row r="23" spans="1:51" ht="14.5" x14ac:dyDescent="0.35">
      <c r="A23" s="121">
        <f>YampaRiverInflow.TotalOutflow!A23</f>
        <v>46722</v>
      </c>
      <c r="B23" s="34">
        <v>2.6349999999999998</v>
      </c>
      <c r="C23" s="12">
        <v>2.6349999999999998</v>
      </c>
      <c r="D23" s="45">
        <v>2.6349999999999998</v>
      </c>
      <c r="E23" s="16">
        <v>23.606604000000004</v>
      </c>
      <c r="F23" s="16">
        <v>11.927992</v>
      </c>
      <c r="G23" s="16">
        <v>18.697578</v>
      </c>
      <c r="H23" s="16">
        <v>16.272072000000001</v>
      </c>
      <c r="I23" s="16">
        <v>6.2282960000000003</v>
      </c>
      <c r="J23" s="16">
        <v>-16.238409999999998</v>
      </c>
      <c r="K23" s="16">
        <v>12.00187</v>
      </c>
      <c r="L23" s="16">
        <v>6.5915499999999998</v>
      </c>
      <c r="M23" s="16">
        <v>12.228569999999999</v>
      </c>
      <c r="N23" s="16">
        <v>1.01868</v>
      </c>
      <c r="O23" s="16">
        <v>6.6875100000000005</v>
      </c>
      <c r="P23" s="16">
        <v>11.483219999999999</v>
      </c>
      <c r="Q23" s="16">
        <v>-2.7016499999999999</v>
      </c>
      <c r="R23" s="16">
        <v>25.948370000000001</v>
      </c>
      <c r="S23" s="16">
        <v>22.778939999999999</v>
      </c>
      <c r="T23" s="16">
        <v>11.792920000000001</v>
      </c>
      <c r="U23" s="16">
        <v>17.610810000000001</v>
      </c>
      <c r="V23" s="16">
        <v>24.307770000000001</v>
      </c>
      <c r="W23" s="16">
        <v>18.407709999999998</v>
      </c>
      <c r="X23" s="16">
        <v>2.61571</v>
      </c>
      <c r="Y23" s="16">
        <v>-1.4079200000000001</v>
      </c>
      <c r="Z23" s="16">
        <v>-6.0315000000000003</v>
      </c>
      <c r="AA23" s="16">
        <v>15.691600000000001</v>
      </c>
      <c r="AB23" s="16">
        <v>6.0872700000000002</v>
      </c>
      <c r="AC23" s="16">
        <v>14.668721902282002</v>
      </c>
      <c r="AD23" s="16">
        <v>-6.0504652876024405</v>
      </c>
      <c r="AE23" s="16">
        <v>3.9440781003643801</v>
      </c>
      <c r="AF23" s="16">
        <v>5.96184380284366</v>
      </c>
      <c r="AG23" s="16">
        <v>-3.3022761146438002</v>
      </c>
      <c r="AH23" s="16">
        <v>16.566911999999999</v>
      </c>
      <c r="AI23" s="46"/>
      <c r="AJ23" s="46"/>
      <c r="AK23" s="46"/>
      <c r="AL23" s="46"/>
      <c r="AM23" s="46"/>
      <c r="AN23" s="4"/>
      <c r="AO23" s="4"/>
      <c r="AP23" s="4"/>
      <c r="AQ23" s="4"/>
      <c r="AR23" s="4"/>
      <c r="AS23" s="4"/>
      <c r="AT23" s="4"/>
      <c r="AU23" s="4"/>
      <c r="AV23" s="4"/>
      <c r="AW23" s="4"/>
      <c r="AX23" s="4"/>
      <c r="AY23" s="4"/>
    </row>
    <row r="24" spans="1:51" ht="14.5" x14ac:dyDescent="0.35">
      <c r="A24" s="121">
        <f>YampaRiverInflow.TotalOutflow!A24</f>
        <v>46753</v>
      </c>
      <c r="B24" s="34">
        <v>3.6709999999999998</v>
      </c>
      <c r="C24" s="12">
        <v>3.6709999999999998</v>
      </c>
      <c r="D24" s="45">
        <v>3.6709999999999998</v>
      </c>
      <c r="E24" s="16">
        <v>101.21908400000001</v>
      </c>
      <c r="F24" s="16">
        <v>14.084605999999999</v>
      </c>
      <c r="G24" s="16">
        <v>35.531559999999999</v>
      </c>
      <c r="H24" s="16">
        <v>11.366462</v>
      </c>
      <c r="I24" s="16">
        <v>12.906422000000001</v>
      </c>
      <c r="J24" s="16">
        <v>-12.26146</v>
      </c>
      <c r="K24" s="16">
        <v>9.9685600000000001</v>
      </c>
      <c r="L24" s="16">
        <v>3.9182399999999999</v>
      </c>
      <c r="M24" s="16">
        <v>5.2524799999999994</v>
      </c>
      <c r="N24" s="16">
        <v>0.65434000000000003</v>
      </c>
      <c r="O24" s="16">
        <v>10.38495</v>
      </c>
      <c r="P24" s="16">
        <v>14.23559</v>
      </c>
      <c r="Q24" s="16">
        <v>9.8203300000000002</v>
      </c>
      <c r="R24" s="16">
        <v>24.700430000000001</v>
      </c>
      <c r="S24" s="16">
        <v>22.069479999999999</v>
      </c>
      <c r="T24" s="16">
        <v>12.57952</v>
      </c>
      <c r="U24" s="16">
        <v>19.210369999999998</v>
      </c>
      <c r="V24" s="16">
        <v>24.414390000000001</v>
      </c>
      <c r="W24" s="16">
        <v>14.356399999999999</v>
      </c>
      <c r="X24" s="16">
        <v>-5.5168900000000001</v>
      </c>
      <c r="Y24" s="16">
        <v>8.7599999999999997E-2</v>
      </c>
      <c r="Z24" s="16">
        <v>10.52117</v>
      </c>
      <c r="AA24" s="16">
        <v>15.80128</v>
      </c>
      <c r="AB24" s="16">
        <v>7.4489752076703502</v>
      </c>
      <c r="AC24" s="16">
        <v>19.8163140489265</v>
      </c>
      <c r="AD24" s="16">
        <v>0.31217231431502396</v>
      </c>
      <c r="AE24" s="16">
        <v>11.158060331372901</v>
      </c>
      <c r="AF24" s="16">
        <v>7.7495685923312703</v>
      </c>
      <c r="AG24" s="16">
        <v>16.305914000000001</v>
      </c>
      <c r="AH24" s="16">
        <v>18.317238</v>
      </c>
      <c r="AI24" s="46"/>
      <c r="AJ24" s="46"/>
      <c r="AK24" s="46"/>
      <c r="AL24" s="46"/>
      <c r="AM24" s="46"/>
      <c r="AN24" s="4"/>
      <c r="AO24" s="4"/>
      <c r="AP24" s="4"/>
      <c r="AQ24" s="4"/>
      <c r="AR24" s="4"/>
      <c r="AS24" s="4"/>
      <c r="AT24" s="4"/>
      <c r="AU24" s="4"/>
      <c r="AV24" s="4"/>
      <c r="AW24" s="4"/>
      <c r="AX24" s="4"/>
      <c r="AY24" s="4"/>
    </row>
    <row r="25" spans="1:51" ht="14.5" x14ac:dyDescent="0.35">
      <c r="A25" s="121">
        <f>YampaRiverInflow.TotalOutflow!A25</f>
        <v>46784</v>
      </c>
      <c r="B25" s="34">
        <v>7.7359999999999998</v>
      </c>
      <c r="C25" s="12">
        <v>7.7359999999999998</v>
      </c>
      <c r="D25" s="45">
        <v>7.7359999999999998</v>
      </c>
      <c r="E25" s="16">
        <v>75.754664000000005</v>
      </c>
      <c r="F25" s="16">
        <v>14.718234000000001</v>
      </c>
      <c r="G25" s="16">
        <v>33.481140000000003</v>
      </c>
      <c r="H25" s="16">
        <v>10.668854</v>
      </c>
      <c r="I25" s="16">
        <v>-2.5262600000000002</v>
      </c>
      <c r="J25" s="16">
        <v>-10.192350000000001</v>
      </c>
      <c r="K25" s="16">
        <v>6.2821099999999994</v>
      </c>
      <c r="L25" s="16">
        <v>3.13246</v>
      </c>
      <c r="M25" s="16">
        <v>4.1601400000000002</v>
      </c>
      <c r="N25" s="16">
        <v>2.8380700000000001</v>
      </c>
      <c r="O25" s="16">
        <v>9.7490100000000002</v>
      </c>
      <c r="P25" s="16">
        <v>16.001570000000001</v>
      </c>
      <c r="Q25" s="16">
        <v>9.5720700000000001</v>
      </c>
      <c r="R25" s="16">
        <v>21.740169999999999</v>
      </c>
      <c r="S25" s="16">
        <v>14.98456</v>
      </c>
      <c r="T25" s="16">
        <v>10.01197</v>
      </c>
      <c r="U25" s="16">
        <v>10.48507</v>
      </c>
      <c r="V25" s="16">
        <v>13.671299999999999</v>
      </c>
      <c r="W25" s="16">
        <v>11.7835</v>
      </c>
      <c r="X25" s="16">
        <v>1.5763499999999999</v>
      </c>
      <c r="Y25" s="16">
        <v>-4.5615100000000002</v>
      </c>
      <c r="Z25" s="16">
        <v>4.3772399999999996</v>
      </c>
      <c r="AA25" s="16">
        <v>6.30464</v>
      </c>
      <c r="AB25" s="16">
        <v>4.0539722308107295</v>
      </c>
      <c r="AC25" s="16">
        <v>9.3226595036040596</v>
      </c>
      <c r="AD25" s="16">
        <v>19.796036777389201</v>
      </c>
      <c r="AE25" s="16">
        <v>11.065682646744701</v>
      </c>
      <c r="AF25" s="16">
        <v>11.6148235514056</v>
      </c>
      <c r="AG25" s="16">
        <v>19.425978000000001</v>
      </c>
      <c r="AH25" s="16">
        <v>27.521836</v>
      </c>
      <c r="AI25" s="46"/>
      <c r="AJ25" s="46"/>
      <c r="AK25" s="46"/>
      <c r="AL25" s="46"/>
      <c r="AM25" s="46"/>
      <c r="AN25" s="4"/>
      <c r="AO25" s="4"/>
      <c r="AP25" s="4"/>
      <c r="AQ25" s="4"/>
      <c r="AR25" s="4"/>
      <c r="AS25" s="4"/>
      <c r="AT25" s="4"/>
      <c r="AU25" s="4"/>
      <c r="AV25" s="4"/>
      <c r="AW25" s="4"/>
      <c r="AX25" s="4"/>
      <c r="AY25" s="4"/>
    </row>
    <row r="26" spans="1:51" ht="14.5" x14ac:dyDescent="0.35">
      <c r="A26" s="121">
        <f>YampaRiverInflow.TotalOutflow!A26</f>
        <v>46813</v>
      </c>
      <c r="B26" s="34">
        <v>7.1230000000000002</v>
      </c>
      <c r="C26" s="12">
        <v>7.1230000000000002</v>
      </c>
      <c r="D26" s="45">
        <v>7.1230000000000002</v>
      </c>
      <c r="E26" s="16">
        <v>66.375816</v>
      </c>
      <c r="F26" s="16">
        <v>17.63081</v>
      </c>
      <c r="G26" s="16">
        <v>62.605969999999999</v>
      </c>
      <c r="H26" s="16">
        <v>-10.494788</v>
      </c>
      <c r="I26" s="16">
        <v>-5.3588699999999996</v>
      </c>
      <c r="J26" s="16">
        <v>-15.49112</v>
      </c>
      <c r="K26" s="16">
        <v>36.322969999999998</v>
      </c>
      <c r="L26" s="16">
        <v>9.210090000000001</v>
      </c>
      <c r="M26" s="16">
        <v>5.7764899999999999</v>
      </c>
      <c r="N26" s="16">
        <v>9.2872199999999996</v>
      </c>
      <c r="O26" s="16">
        <v>8.1139899999999994</v>
      </c>
      <c r="P26" s="16">
        <v>9.8301200000000009</v>
      </c>
      <c r="Q26" s="16">
        <v>14.49926</v>
      </c>
      <c r="R26" s="16">
        <v>12.03308</v>
      </c>
      <c r="S26" s="16">
        <v>4.5342399999999996</v>
      </c>
      <c r="T26" s="16">
        <v>19.332849999999997</v>
      </c>
      <c r="U26" s="16">
        <v>6.37479</v>
      </c>
      <c r="V26" s="16">
        <v>9.2942099999999996</v>
      </c>
      <c r="W26" s="16">
        <v>12.6425</v>
      </c>
      <c r="X26" s="16">
        <v>6.9273500000000006</v>
      </c>
      <c r="Y26" s="16">
        <v>-7.20953</v>
      </c>
      <c r="Z26" s="16">
        <v>6.0791599999999999</v>
      </c>
      <c r="AA26" s="16">
        <v>6.5443199999999999</v>
      </c>
      <c r="AB26" s="16">
        <v>12.9016643799678</v>
      </c>
      <c r="AC26" s="16">
        <v>7.2940712366949301</v>
      </c>
      <c r="AD26" s="16">
        <v>35.068694212232302</v>
      </c>
      <c r="AE26" s="16">
        <v>6.2901128095215002</v>
      </c>
      <c r="AF26" s="16">
        <v>18.741606197686799</v>
      </c>
      <c r="AG26" s="16">
        <v>26.794340000000005</v>
      </c>
      <c r="AH26" s="16">
        <v>39.915998000000002</v>
      </c>
      <c r="AI26" s="46"/>
      <c r="AJ26" s="46"/>
      <c r="AK26" s="46"/>
      <c r="AL26" s="46"/>
      <c r="AM26" s="46"/>
      <c r="AN26" s="4"/>
      <c r="AO26" s="4"/>
      <c r="AP26" s="4"/>
      <c r="AQ26" s="4"/>
      <c r="AR26" s="4"/>
      <c r="AS26" s="4"/>
      <c r="AT26" s="4"/>
      <c r="AU26" s="4"/>
      <c r="AV26" s="4"/>
      <c r="AW26" s="4"/>
      <c r="AX26" s="4"/>
      <c r="AY26" s="4"/>
    </row>
    <row r="27" spans="1:51" ht="14.5" x14ac:dyDescent="0.35">
      <c r="A27" s="121">
        <f>YampaRiverInflow.TotalOutflow!A27</f>
        <v>46844</v>
      </c>
      <c r="B27" s="34">
        <v>9.7159999999999993</v>
      </c>
      <c r="C27" s="12">
        <v>9.7159999999999993</v>
      </c>
      <c r="D27" s="45">
        <v>9.7159999999999993</v>
      </c>
      <c r="E27" s="16">
        <v>41.261670000000002</v>
      </c>
      <c r="F27" s="16">
        <v>7.7661820000000006</v>
      </c>
      <c r="G27" s="16">
        <v>14.708754000000001</v>
      </c>
      <c r="H27" s="16">
        <v>23.635946000000001</v>
      </c>
      <c r="I27" s="16">
        <v>6.8406400000000005</v>
      </c>
      <c r="J27" s="16">
        <v>-2.2138499999999999</v>
      </c>
      <c r="K27" s="16">
        <v>19.547470000000001</v>
      </c>
      <c r="L27" s="16">
        <v>11.52768</v>
      </c>
      <c r="M27" s="16">
        <v>17.343669999999999</v>
      </c>
      <c r="N27" s="16">
        <v>13.49269</v>
      </c>
      <c r="O27" s="16">
        <v>4.6643299999999996</v>
      </c>
      <c r="P27" s="16">
        <v>2.3306399999999998</v>
      </c>
      <c r="Q27" s="16">
        <v>9.179590000000001</v>
      </c>
      <c r="R27" s="16">
        <v>14.534559999999999</v>
      </c>
      <c r="S27" s="16">
        <v>4.0880400000000003</v>
      </c>
      <c r="T27" s="16">
        <v>12.77216</v>
      </c>
      <c r="U27" s="16">
        <v>7.4774700000000003</v>
      </c>
      <c r="V27" s="16">
        <v>12.525</v>
      </c>
      <c r="W27" s="16">
        <v>22.5366</v>
      </c>
      <c r="X27" s="16">
        <v>5.4246600000000003</v>
      </c>
      <c r="Y27" s="16">
        <v>-1.42597</v>
      </c>
      <c r="Z27" s="16">
        <v>9.8915199999999999</v>
      </c>
      <c r="AA27" s="16">
        <v>9.72743</v>
      </c>
      <c r="AB27" s="16">
        <v>15.713943386447099</v>
      </c>
      <c r="AC27" s="16">
        <v>6.6015394221493597</v>
      </c>
      <c r="AD27" s="16">
        <v>32.830230167934701</v>
      </c>
      <c r="AE27" s="16">
        <v>14.096756611570999</v>
      </c>
      <c r="AF27" s="16">
        <v>21.908179504132999</v>
      </c>
      <c r="AG27" s="16">
        <v>18.399011999999999</v>
      </c>
      <c r="AH27" s="16">
        <v>29.763325999999999</v>
      </c>
      <c r="AI27" s="46"/>
      <c r="AJ27" s="46"/>
      <c r="AK27" s="46"/>
      <c r="AL27" s="46"/>
      <c r="AM27" s="46"/>
      <c r="AN27" s="4"/>
      <c r="AO27" s="4"/>
      <c r="AP27" s="4"/>
      <c r="AQ27" s="4"/>
      <c r="AR27" s="4"/>
      <c r="AS27" s="4"/>
      <c r="AT27" s="4"/>
      <c r="AU27" s="4"/>
      <c r="AV27" s="4"/>
      <c r="AW27" s="4"/>
      <c r="AX27" s="4"/>
      <c r="AY27" s="4"/>
    </row>
    <row r="28" spans="1:51" ht="14.5" x14ac:dyDescent="0.35">
      <c r="A28" s="121">
        <f>YampaRiverInflow.TotalOutflow!A28</f>
        <v>46874</v>
      </c>
      <c r="B28" s="34">
        <v>13.552</v>
      </c>
      <c r="C28" s="12">
        <v>13.552</v>
      </c>
      <c r="D28" s="45">
        <v>13.552</v>
      </c>
      <c r="E28" s="16">
        <v>30.256135999999998</v>
      </c>
      <c r="F28" s="16">
        <v>9.5716059999999992</v>
      </c>
      <c r="G28" s="16">
        <v>29.325434000000005</v>
      </c>
      <c r="H28" s="16">
        <v>5.5503300000000007</v>
      </c>
      <c r="I28" s="16">
        <v>8.0619300000000003</v>
      </c>
      <c r="J28" s="16">
        <v>-4.66012</v>
      </c>
      <c r="K28" s="16">
        <v>9.683209999999999</v>
      </c>
      <c r="L28" s="16">
        <v>23.337949999999999</v>
      </c>
      <c r="M28" s="16">
        <v>11.09249</v>
      </c>
      <c r="N28" s="16">
        <v>14.89179</v>
      </c>
      <c r="O28" s="16">
        <v>9.6852700000000009</v>
      </c>
      <c r="P28" s="16">
        <v>5.5847100000000003</v>
      </c>
      <c r="Q28" s="16">
        <v>4.1686000000000005</v>
      </c>
      <c r="R28" s="16">
        <v>14.016170000000001</v>
      </c>
      <c r="S28" s="16">
        <v>5.02379</v>
      </c>
      <c r="T28" s="16">
        <v>16.882990000000003</v>
      </c>
      <c r="U28" s="16">
        <v>3.9549799999999999</v>
      </c>
      <c r="V28" s="16">
        <v>10.53945</v>
      </c>
      <c r="W28" s="16">
        <v>19.5229</v>
      </c>
      <c r="X28" s="16">
        <v>4.9721899999999994</v>
      </c>
      <c r="Y28" s="16">
        <v>1.2309300000000001</v>
      </c>
      <c r="Z28" s="16">
        <v>4.9847600000000005</v>
      </c>
      <c r="AA28" s="16">
        <v>9.3964200000000009</v>
      </c>
      <c r="AB28" s="16">
        <v>9.2539210713396098</v>
      </c>
      <c r="AC28" s="16">
        <v>5.5819525592733701</v>
      </c>
      <c r="AD28" s="16">
        <v>25.107575702810699</v>
      </c>
      <c r="AE28" s="16">
        <v>32.171070661818902</v>
      </c>
      <c r="AF28" s="16">
        <v>22.140587519075002</v>
      </c>
      <c r="AG28" s="16">
        <v>9.3170699999999993</v>
      </c>
      <c r="AH28" s="16">
        <v>17.687328000000001</v>
      </c>
      <c r="AI28" s="46"/>
      <c r="AJ28" s="46"/>
      <c r="AK28" s="46"/>
      <c r="AL28" s="46"/>
      <c r="AM28" s="46"/>
      <c r="AN28" s="4"/>
      <c r="AO28" s="4"/>
      <c r="AP28" s="4"/>
      <c r="AQ28" s="4"/>
      <c r="AR28" s="4"/>
      <c r="AS28" s="4"/>
      <c r="AT28" s="4"/>
      <c r="AU28" s="4"/>
      <c r="AV28" s="4"/>
      <c r="AW28" s="4"/>
      <c r="AX28" s="4"/>
      <c r="AY28" s="4"/>
    </row>
    <row r="29" spans="1:51" ht="14.5" x14ac:dyDescent="0.35">
      <c r="A29" s="121">
        <f>YampaRiverInflow.TotalOutflow!A29</f>
        <v>46905</v>
      </c>
      <c r="B29" s="34">
        <v>9.6039999999999992</v>
      </c>
      <c r="C29" s="12">
        <v>9.6039999999999992</v>
      </c>
      <c r="D29" s="45">
        <v>9.6039999999999992</v>
      </c>
      <c r="E29" s="16">
        <v>4.9412060000000002</v>
      </c>
      <c r="F29" s="16">
        <v>-1.180104</v>
      </c>
      <c r="G29" s="16">
        <v>16.706314000000003</v>
      </c>
      <c r="H29" s="16">
        <v>1.3633040000000001</v>
      </c>
      <c r="I29" s="16">
        <v>-0.79383999999999999</v>
      </c>
      <c r="J29" s="16">
        <v>-23.251810000000003</v>
      </c>
      <c r="K29" s="16">
        <v>12.69872</v>
      </c>
      <c r="L29" s="16">
        <v>19.039000000000001</v>
      </c>
      <c r="M29" s="16">
        <v>6.8687700000000005</v>
      </c>
      <c r="N29" s="16">
        <v>14.246139999999999</v>
      </c>
      <c r="O29" s="16">
        <v>18.845080000000003</v>
      </c>
      <c r="P29" s="16">
        <v>7.4909099999999995</v>
      </c>
      <c r="Q29" s="16">
        <v>13.8124</v>
      </c>
      <c r="R29" s="16">
        <v>24.775919999999999</v>
      </c>
      <c r="S29" s="16">
        <v>9.7531100000000013</v>
      </c>
      <c r="T29" s="16">
        <v>18.740459999999999</v>
      </c>
      <c r="U29" s="16">
        <v>5.9942099999999998</v>
      </c>
      <c r="V29" s="16">
        <v>10.93661</v>
      </c>
      <c r="W29" s="16">
        <v>14.07673</v>
      </c>
      <c r="X29" s="16">
        <v>3.54962</v>
      </c>
      <c r="Y29" s="16">
        <v>6.4226899999999993</v>
      </c>
      <c r="Z29" s="16">
        <v>10.59356</v>
      </c>
      <c r="AA29" s="16">
        <v>1.32226</v>
      </c>
      <c r="AB29" s="16">
        <v>6.9610190102487604</v>
      </c>
      <c r="AC29" s="16">
        <v>13.6235045447941</v>
      </c>
      <c r="AD29" s="16">
        <v>21.1430438016537</v>
      </c>
      <c r="AE29" s="16">
        <v>42.150180575868696</v>
      </c>
      <c r="AF29" s="16">
        <v>13.4754590082651</v>
      </c>
      <c r="AG29" s="16">
        <v>19.542680000000001</v>
      </c>
      <c r="AH29" s="16">
        <v>1.2684000000000002</v>
      </c>
      <c r="AI29" s="46"/>
      <c r="AJ29" s="46"/>
      <c r="AK29" s="46"/>
      <c r="AL29" s="46"/>
      <c r="AM29" s="46"/>
      <c r="AN29" s="4"/>
      <c r="AO29" s="4"/>
      <c r="AP29" s="4"/>
      <c r="AQ29" s="4"/>
      <c r="AR29" s="4"/>
      <c r="AS29" s="4"/>
      <c r="AT29" s="4"/>
      <c r="AU29" s="4"/>
      <c r="AV29" s="4"/>
      <c r="AW29" s="4"/>
      <c r="AX29" s="4"/>
      <c r="AY29" s="4"/>
    </row>
    <row r="30" spans="1:51" ht="14.5" x14ac:dyDescent="0.35">
      <c r="A30" s="121">
        <f>YampaRiverInflow.TotalOutflow!A30</f>
        <v>46935</v>
      </c>
      <c r="B30" s="34">
        <v>2.758</v>
      </c>
      <c r="C30" s="12">
        <v>2.758</v>
      </c>
      <c r="D30" s="45">
        <v>2.758</v>
      </c>
      <c r="E30" s="16">
        <v>2.0310160000000002</v>
      </c>
      <c r="F30" s="16">
        <v>8.0089059999999996</v>
      </c>
      <c r="G30" s="16">
        <v>20.697440000000004</v>
      </c>
      <c r="H30" s="16">
        <v>17.755964000000002</v>
      </c>
      <c r="I30" s="16">
        <v>11.63293</v>
      </c>
      <c r="J30" s="16">
        <v>-12.476629999999998</v>
      </c>
      <c r="K30" s="16">
        <v>23.625509999999998</v>
      </c>
      <c r="L30" s="16">
        <v>20.54889</v>
      </c>
      <c r="M30" s="16">
        <v>8.319090000000001</v>
      </c>
      <c r="N30" s="16">
        <v>20.105460000000001</v>
      </c>
      <c r="O30" s="16">
        <v>19.50067</v>
      </c>
      <c r="P30" s="16">
        <v>8.3446700000000007</v>
      </c>
      <c r="Q30" s="16">
        <v>18.455950000000001</v>
      </c>
      <c r="R30" s="16">
        <v>31.79073</v>
      </c>
      <c r="S30" s="16">
        <v>14.55987</v>
      </c>
      <c r="T30" s="16">
        <v>21.886839999999999</v>
      </c>
      <c r="U30" s="16">
        <v>25.583909999999999</v>
      </c>
      <c r="V30" s="16">
        <v>21.074020000000001</v>
      </c>
      <c r="W30" s="16">
        <v>18.544400000000003</v>
      </c>
      <c r="X30" s="16">
        <v>6.5901300000000003</v>
      </c>
      <c r="Y30" s="16">
        <v>14.91146</v>
      </c>
      <c r="Z30" s="16">
        <v>14.38373</v>
      </c>
      <c r="AA30" s="16">
        <v>27.614090000000001</v>
      </c>
      <c r="AB30" s="16">
        <v>12.5574148766291</v>
      </c>
      <c r="AC30" s="16">
        <v>24.781192150480202</v>
      </c>
      <c r="AD30" s="16">
        <v>16.943357023537999</v>
      </c>
      <c r="AE30" s="16">
        <v>39.1588780983151</v>
      </c>
      <c r="AF30" s="16">
        <v>23.713968098447001</v>
      </c>
      <c r="AG30" s="16">
        <v>3.5028120000000005</v>
      </c>
      <c r="AH30" s="16">
        <v>15.702810000000001</v>
      </c>
      <c r="AI30" s="46"/>
      <c r="AJ30" s="46"/>
      <c r="AK30" s="46"/>
      <c r="AL30" s="46"/>
      <c r="AM30" s="46"/>
      <c r="AN30" s="4"/>
      <c r="AO30" s="4"/>
      <c r="AP30" s="4"/>
      <c r="AQ30" s="4"/>
      <c r="AR30" s="4"/>
      <c r="AS30" s="4"/>
      <c r="AT30" s="4"/>
      <c r="AU30" s="4"/>
      <c r="AV30" s="4"/>
      <c r="AW30" s="4"/>
      <c r="AX30" s="4"/>
      <c r="AY30" s="4"/>
    </row>
    <row r="31" spans="1:51" ht="14.5" x14ac:dyDescent="0.35">
      <c r="A31" s="121">
        <f>YampaRiverInflow.TotalOutflow!A31</f>
        <v>46966</v>
      </c>
      <c r="B31" s="34">
        <v>-1.341</v>
      </c>
      <c r="C31" s="12">
        <v>-1.341</v>
      </c>
      <c r="D31" s="45">
        <v>-1.341</v>
      </c>
      <c r="E31" s="16">
        <v>19.739957999999998</v>
      </c>
      <c r="F31" s="16">
        <v>11.451958000000001</v>
      </c>
      <c r="G31" s="16">
        <v>20.660824000000002</v>
      </c>
      <c r="H31" s="16">
        <v>13.796706</v>
      </c>
      <c r="I31" s="16">
        <v>9.7706299999999988</v>
      </c>
      <c r="J31" s="16">
        <v>7.4435000000000002</v>
      </c>
      <c r="K31" s="16">
        <v>20.504860000000001</v>
      </c>
      <c r="L31" s="16">
        <v>22.135639999999999</v>
      </c>
      <c r="M31" s="16">
        <v>5.2130799999999997</v>
      </c>
      <c r="N31" s="16">
        <v>14.802440000000001</v>
      </c>
      <c r="O31" s="16">
        <v>21.94164</v>
      </c>
      <c r="P31" s="16">
        <v>8.4181799999999996</v>
      </c>
      <c r="Q31" s="16">
        <v>21.659500000000001</v>
      </c>
      <c r="R31" s="16">
        <v>35.8294</v>
      </c>
      <c r="S31" s="16">
        <v>14.210139999999999</v>
      </c>
      <c r="T31" s="16">
        <v>24.195160000000001</v>
      </c>
      <c r="U31" s="16">
        <v>26.496269999999999</v>
      </c>
      <c r="V31" s="16">
        <v>24.024999999999999</v>
      </c>
      <c r="W31" s="16">
        <v>22.344560000000001</v>
      </c>
      <c r="X31" s="16">
        <v>9.8739599999999985</v>
      </c>
      <c r="Y31" s="16">
        <v>13.84548</v>
      </c>
      <c r="Z31" s="16">
        <v>16.93469</v>
      </c>
      <c r="AA31" s="16">
        <v>14.48996</v>
      </c>
      <c r="AB31" s="16">
        <v>14.623601239406</v>
      </c>
      <c r="AC31" s="16">
        <v>29.351938843042298</v>
      </c>
      <c r="AD31" s="16">
        <v>10.6373367791084</v>
      </c>
      <c r="AE31" s="16">
        <v>32.4739838860175</v>
      </c>
      <c r="AF31" s="16">
        <v>32.289258266844001</v>
      </c>
      <c r="AG31" s="16">
        <v>21.988620000000001</v>
      </c>
      <c r="AH31" s="16">
        <v>28.766426000000003</v>
      </c>
      <c r="AI31" s="46"/>
      <c r="AJ31" s="46"/>
      <c r="AK31" s="46"/>
      <c r="AL31" s="46"/>
      <c r="AM31" s="46"/>
      <c r="AN31" s="4"/>
      <c r="AO31" s="4"/>
      <c r="AP31" s="4"/>
      <c r="AQ31" s="4"/>
      <c r="AR31" s="4"/>
      <c r="AS31" s="4"/>
      <c r="AT31" s="4"/>
      <c r="AU31" s="4"/>
      <c r="AV31" s="4"/>
      <c r="AW31" s="4"/>
      <c r="AX31" s="4"/>
      <c r="AY31" s="4"/>
    </row>
    <row r="32" spans="1:51" ht="14.5" x14ac:dyDescent="0.35">
      <c r="A32" s="121">
        <f>YampaRiverInflow.TotalOutflow!A32</f>
        <v>46997</v>
      </c>
      <c r="B32" s="34">
        <v>5.1230000000000002</v>
      </c>
      <c r="C32" s="12">
        <v>5.1230000000000002</v>
      </c>
      <c r="D32" s="45">
        <v>5.1230000000000002</v>
      </c>
      <c r="E32" s="16">
        <v>15.737406</v>
      </c>
      <c r="F32" s="16">
        <v>14.914582000000003</v>
      </c>
      <c r="G32" s="16">
        <v>14.839589999999999</v>
      </c>
      <c r="H32" s="16">
        <v>10.647540000000001</v>
      </c>
      <c r="I32" s="16">
        <v>-6.0112700000000006</v>
      </c>
      <c r="J32" s="16">
        <v>19.914009999999998</v>
      </c>
      <c r="K32" s="16">
        <v>13.555149999999999</v>
      </c>
      <c r="L32" s="16">
        <v>15.397549999999999</v>
      </c>
      <c r="M32" s="16">
        <v>7.1036899999999994</v>
      </c>
      <c r="N32" s="16">
        <v>8.6973899999999986</v>
      </c>
      <c r="O32" s="16">
        <v>11.841569999999999</v>
      </c>
      <c r="P32" s="16">
        <v>3.6388400000000001</v>
      </c>
      <c r="Q32" s="16">
        <v>18.084299999999999</v>
      </c>
      <c r="R32" s="16">
        <v>24.926950000000001</v>
      </c>
      <c r="S32" s="16">
        <v>13.032249999999999</v>
      </c>
      <c r="T32" s="16">
        <v>14.707469999999999</v>
      </c>
      <c r="U32" s="16">
        <v>15.101129999999999</v>
      </c>
      <c r="V32" s="16">
        <v>9.3519199999999998</v>
      </c>
      <c r="W32" s="16">
        <v>35.037589999999994</v>
      </c>
      <c r="X32" s="16">
        <v>-2.8639899999999998</v>
      </c>
      <c r="Y32" s="16">
        <v>6.7481800000000005</v>
      </c>
      <c r="Z32" s="16">
        <v>15.02529</v>
      </c>
      <c r="AA32" s="16">
        <v>11.451879999999999</v>
      </c>
      <c r="AB32" s="16">
        <v>13.1848636376867</v>
      </c>
      <c r="AC32" s="16">
        <v>8.3238249586783297</v>
      </c>
      <c r="AD32" s="16">
        <v>19.8346958697528</v>
      </c>
      <c r="AE32" s="16">
        <v>16.409711323636998</v>
      </c>
      <c r="AF32" s="16">
        <v>25.7866844641329</v>
      </c>
      <c r="AG32" s="16">
        <v>21.500264000000001</v>
      </c>
      <c r="AH32" s="16">
        <v>26.366382000000002</v>
      </c>
      <c r="AI32" s="46"/>
      <c r="AJ32" s="46"/>
      <c r="AK32" s="46"/>
      <c r="AL32" s="46"/>
      <c r="AM32" s="46"/>
      <c r="AN32" s="4"/>
      <c r="AO32" s="4"/>
      <c r="AP32" s="4"/>
      <c r="AQ32" s="4"/>
      <c r="AR32" s="4"/>
      <c r="AS32" s="4"/>
      <c r="AT32" s="4"/>
      <c r="AU32" s="4"/>
      <c r="AV32" s="4"/>
      <c r="AW32" s="4"/>
      <c r="AX32" s="4"/>
      <c r="AY32" s="4"/>
    </row>
    <row r="33" spans="1:51" ht="14.5" x14ac:dyDescent="0.35">
      <c r="A33" s="121">
        <f>YampaRiverInflow.TotalOutflow!A33</f>
        <v>47027</v>
      </c>
      <c r="B33" s="34">
        <v>4.0090000000000003</v>
      </c>
      <c r="C33" s="12">
        <v>4.0090000000000003</v>
      </c>
      <c r="D33" s="45">
        <v>4.0090000000000003</v>
      </c>
      <c r="E33" s="16">
        <v>11.836898000000001</v>
      </c>
      <c r="F33" s="16">
        <v>11.503132000000001</v>
      </c>
      <c r="G33" s="16">
        <v>12.135444000000001</v>
      </c>
      <c r="H33" s="16">
        <v>6.3876860000000004</v>
      </c>
      <c r="I33" s="16">
        <v>-7.82599</v>
      </c>
      <c r="J33" s="16">
        <v>24.362849999999998</v>
      </c>
      <c r="K33" s="16">
        <v>10.95425</v>
      </c>
      <c r="L33" s="16">
        <v>11.723360000000001</v>
      </c>
      <c r="M33" s="16">
        <v>4.6145899999999997</v>
      </c>
      <c r="N33" s="16">
        <v>6.6953500000000004</v>
      </c>
      <c r="O33" s="16">
        <v>9.5123700000000007</v>
      </c>
      <c r="P33" s="16">
        <v>-0.49925999999999998</v>
      </c>
      <c r="Q33" s="16">
        <v>18.132660000000001</v>
      </c>
      <c r="R33" s="16">
        <v>19.22006</v>
      </c>
      <c r="S33" s="16">
        <v>10.97871</v>
      </c>
      <c r="T33" s="16">
        <v>13.21185</v>
      </c>
      <c r="U33" s="16">
        <v>14.04824</v>
      </c>
      <c r="V33" s="16">
        <v>6.9533999999999994</v>
      </c>
      <c r="W33" s="16">
        <v>23.35398</v>
      </c>
      <c r="X33" s="16">
        <v>-2.8656299999999999</v>
      </c>
      <c r="Y33" s="16">
        <v>2.3012199999999998</v>
      </c>
      <c r="Z33" s="16">
        <v>14.73507</v>
      </c>
      <c r="AA33" s="16">
        <v>8.505370000000001</v>
      </c>
      <c r="AB33" s="16">
        <v>9.0830627261494108</v>
      </c>
      <c r="AC33" s="16">
        <v>-6.2740460311398598</v>
      </c>
      <c r="AD33" s="16">
        <v>25.002335616926402</v>
      </c>
      <c r="AE33" s="16">
        <v>7.7553593381164196</v>
      </c>
      <c r="AF33" s="16">
        <v>26.857120247405899</v>
      </c>
      <c r="AG33" s="16">
        <v>8.6108960000000003</v>
      </c>
      <c r="AH33" s="16">
        <v>17.934583999999997</v>
      </c>
      <c r="AI33" s="46"/>
      <c r="AJ33" s="46"/>
      <c r="AK33" s="46"/>
      <c r="AL33" s="46"/>
      <c r="AM33" s="46"/>
      <c r="AN33" s="4"/>
      <c r="AO33" s="4"/>
      <c r="AP33" s="4"/>
      <c r="AQ33" s="4"/>
      <c r="AR33" s="4"/>
      <c r="AS33" s="4"/>
      <c r="AT33" s="4"/>
      <c r="AU33" s="4"/>
      <c r="AV33" s="4"/>
      <c r="AW33" s="4"/>
      <c r="AX33" s="4"/>
      <c r="AY33" s="4"/>
    </row>
    <row r="34" spans="1:51" ht="14.5" x14ac:dyDescent="0.35">
      <c r="A34" s="121">
        <f>YampaRiverInflow.TotalOutflow!A34</f>
        <v>47058</v>
      </c>
      <c r="B34" s="34">
        <v>0.72299999999999998</v>
      </c>
      <c r="C34" s="12">
        <v>0.72299999999999998</v>
      </c>
      <c r="D34" s="45">
        <v>0.72299999999999998</v>
      </c>
      <c r="E34" s="16">
        <v>12.147136</v>
      </c>
      <c r="F34" s="16">
        <v>3.6625680000000003</v>
      </c>
      <c r="G34" s="16">
        <v>15.820898000000001</v>
      </c>
      <c r="H34" s="16">
        <v>14.533392000000001</v>
      </c>
      <c r="I34" s="16">
        <v>-12.37326</v>
      </c>
      <c r="J34" s="16">
        <v>14.93168</v>
      </c>
      <c r="K34" s="16">
        <v>-5.1652700000000005</v>
      </c>
      <c r="L34" s="16">
        <v>10.395850000000001</v>
      </c>
      <c r="M34" s="16">
        <v>4.0648400000000002</v>
      </c>
      <c r="N34" s="16">
        <v>3.5380700000000003</v>
      </c>
      <c r="O34" s="16">
        <v>7.5272700000000006</v>
      </c>
      <c r="P34" s="16">
        <v>13.11669</v>
      </c>
      <c r="Q34" s="16">
        <v>15.47784</v>
      </c>
      <c r="R34" s="16">
        <v>21.893450000000001</v>
      </c>
      <c r="S34" s="16">
        <v>12.1463</v>
      </c>
      <c r="T34" s="16">
        <v>8.651209999999999</v>
      </c>
      <c r="U34" s="16">
        <v>9.7618099999999988</v>
      </c>
      <c r="V34" s="16">
        <v>16.488720000000001</v>
      </c>
      <c r="W34" s="16">
        <v>4.6226700000000003</v>
      </c>
      <c r="X34" s="16">
        <v>5.9689499999999995</v>
      </c>
      <c r="Y34" s="16">
        <v>-1.0023</v>
      </c>
      <c r="Z34" s="16">
        <v>2.8529</v>
      </c>
      <c r="AA34" s="16">
        <v>5.8924399999999997</v>
      </c>
      <c r="AB34" s="16">
        <v>3.9897065276040999</v>
      </c>
      <c r="AC34" s="16">
        <v>-11.4351155371894</v>
      </c>
      <c r="AD34" s="16">
        <v>6.3263246300834401</v>
      </c>
      <c r="AE34" s="16">
        <v>3.8446132224799099</v>
      </c>
      <c r="AF34" s="16">
        <v>10.148976943471901</v>
      </c>
      <c r="AG34" s="16">
        <v>8.991363999999999</v>
      </c>
      <c r="AH34" s="16">
        <v>10.960080000000001</v>
      </c>
      <c r="AI34" s="46"/>
      <c r="AJ34" s="46"/>
      <c r="AK34" s="46"/>
      <c r="AL34" s="46"/>
      <c r="AM34" s="46"/>
      <c r="AN34" s="4"/>
      <c r="AO34" s="4"/>
      <c r="AP34" s="4"/>
      <c r="AQ34" s="4"/>
      <c r="AR34" s="4"/>
      <c r="AS34" s="4"/>
      <c r="AT34" s="4"/>
      <c r="AU34" s="4"/>
      <c r="AV34" s="4"/>
      <c r="AW34" s="4"/>
      <c r="AX34" s="4"/>
      <c r="AY34" s="4"/>
    </row>
    <row r="35" spans="1:51" ht="14.5" x14ac:dyDescent="0.35">
      <c r="A35" s="121">
        <f>YampaRiverInflow.TotalOutflow!A35</f>
        <v>47088</v>
      </c>
      <c r="B35" s="34">
        <v>2.6349999999999998</v>
      </c>
      <c r="C35" s="12">
        <v>2.6349999999999998</v>
      </c>
      <c r="D35" s="45">
        <v>2.6349999999999998</v>
      </c>
      <c r="E35" s="16">
        <v>11.927992</v>
      </c>
      <c r="F35" s="16">
        <v>18.697578</v>
      </c>
      <c r="G35" s="16">
        <v>16.272072000000001</v>
      </c>
      <c r="H35" s="16">
        <v>6.2282960000000003</v>
      </c>
      <c r="I35" s="16">
        <v>-16.238409999999998</v>
      </c>
      <c r="J35" s="16">
        <v>12.00187</v>
      </c>
      <c r="K35" s="16">
        <v>6.5915499999999998</v>
      </c>
      <c r="L35" s="16">
        <v>12.228569999999999</v>
      </c>
      <c r="M35" s="16">
        <v>1.01868</v>
      </c>
      <c r="N35" s="16">
        <v>6.6875100000000005</v>
      </c>
      <c r="O35" s="16">
        <v>11.483219999999999</v>
      </c>
      <c r="P35" s="16">
        <v>-2.7016499999999999</v>
      </c>
      <c r="Q35" s="16">
        <v>25.948370000000001</v>
      </c>
      <c r="R35" s="16">
        <v>22.778939999999999</v>
      </c>
      <c r="S35" s="16">
        <v>11.792920000000001</v>
      </c>
      <c r="T35" s="16">
        <v>17.610810000000001</v>
      </c>
      <c r="U35" s="16">
        <v>24.307770000000001</v>
      </c>
      <c r="V35" s="16">
        <v>18.407709999999998</v>
      </c>
      <c r="W35" s="16">
        <v>2.61571</v>
      </c>
      <c r="X35" s="16">
        <v>-1.4079200000000001</v>
      </c>
      <c r="Y35" s="16">
        <v>-6.0315000000000003</v>
      </c>
      <c r="Z35" s="16">
        <v>15.691600000000001</v>
      </c>
      <c r="AA35" s="16">
        <v>6.0872700000000002</v>
      </c>
      <c r="AB35" s="16">
        <v>14.668721902282002</v>
      </c>
      <c r="AC35" s="16">
        <v>-6.0504652876024405</v>
      </c>
      <c r="AD35" s="16">
        <v>3.9440781003643801</v>
      </c>
      <c r="AE35" s="16">
        <v>5.96184380284366</v>
      </c>
      <c r="AF35" s="16">
        <v>-3.3022761146438002</v>
      </c>
      <c r="AG35" s="16">
        <v>16.566911999999999</v>
      </c>
      <c r="AH35" s="16">
        <v>23.606604000000004</v>
      </c>
      <c r="AI35" s="46"/>
      <c r="AJ35" s="46"/>
      <c r="AK35" s="46"/>
      <c r="AL35" s="46"/>
      <c r="AM35" s="46"/>
      <c r="AN35" s="4"/>
      <c r="AO35" s="4"/>
      <c r="AP35" s="4"/>
      <c r="AQ35" s="4"/>
      <c r="AR35" s="4"/>
      <c r="AS35" s="4"/>
      <c r="AT35" s="4"/>
      <c r="AU35" s="4"/>
      <c r="AV35" s="4"/>
      <c r="AW35" s="4"/>
      <c r="AX35" s="4"/>
      <c r="AY35" s="4"/>
    </row>
    <row r="36" spans="1:51" ht="14.5" x14ac:dyDescent="0.35">
      <c r="A36" s="121">
        <f>YampaRiverInflow.TotalOutflow!A36</f>
        <v>47119</v>
      </c>
      <c r="B36" s="34">
        <v>3.6709999999999998</v>
      </c>
      <c r="C36" s="12">
        <v>3.6709999999999998</v>
      </c>
      <c r="D36" s="45">
        <v>3.6709999999999998</v>
      </c>
      <c r="E36" s="16">
        <v>14.084605999999999</v>
      </c>
      <c r="F36" s="16">
        <v>35.531559999999999</v>
      </c>
      <c r="G36" s="16">
        <v>11.366462</v>
      </c>
      <c r="H36" s="16">
        <v>12.906422000000001</v>
      </c>
      <c r="I36" s="16">
        <v>-12.26146</v>
      </c>
      <c r="J36" s="16">
        <v>9.9685600000000001</v>
      </c>
      <c r="K36" s="16">
        <v>3.9182399999999999</v>
      </c>
      <c r="L36" s="16">
        <v>5.2524799999999994</v>
      </c>
      <c r="M36" s="16">
        <v>0.65434000000000003</v>
      </c>
      <c r="N36" s="16">
        <v>10.38495</v>
      </c>
      <c r="O36" s="16">
        <v>14.23559</v>
      </c>
      <c r="P36" s="16">
        <v>9.8203300000000002</v>
      </c>
      <c r="Q36" s="16">
        <v>24.700430000000001</v>
      </c>
      <c r="R36" s="16">
        <v>22.069479999999999</v>
      </c>
      <c r="S36" s="16">
        <v>12.57952</v>
      </c>
      <c r="T36" s="16">
        <v>19.210369999999998</v>
      </c>
      <c r="U36" s="16">
        <v>24.414390000000001</v>
      </c>
      <c r="V36" s="16">
        <v>14.356399999999999</v>
      </c>
      <c r="W36" s="16">
        <v>-5.5168900000000001</v>
      </c>
      <c r="X36" s="16">
        <v>8.7599999999999997E-2</v>
      </c>
      <c r="Y36" s="16">
        <v>10.52117</v>
      </c>
      <c r="Z36" s="16">
        <v>15.80128</v>
      </c>
      <c r="AA36" s="16">
        <v>7.4489752076703502</v>
      </c>
      <c r="AB36" s="16">
        <v>19.8163140489265</v>
      </c>
      <c r="AC36" s="16">
        <v>0.31217231431502396</v>
      </c>
      <c r="AD36" s="16">
        <v>11.158060331372901</v>
      </c>
      <c r="AE36" s="16">
        <v>7.7495685923312703</v>
      </c>
      <c r="AF36" s="16">
        <v>16.305914000000001</v>
      </c>
      <c r="AG36" s="16">
        <v>18.317238</v>
      </c>
      <c r="AH36" s="16">
        <v>101.21908400000001</v>
      </c>
      <c r="AI36" s="46"/>
      <c r="AJ36" s="46"/>
      <c r="AK36" s="46"/>
      <c r="AL36" s="46"/>
      <c r="AM36" s="46"/>
      <c r="AN36" s="4"/>
      <c r="AO36" s="4"/>
      <c r="AP36" s="4"/>
      <c r="AQ36" s="4"/>
      <c r="AR36" s="4"/>
      <c r="AS36" s="4"/>
      <c r="AT36" s="4"/>
      <c r="AU36" s="4"/>
      <c r="AV36" s="4"/>
      <c r="AW36" s="4"/>
      <c r="AX36" s="4"/>
      <c r="AY36" s="4"/>
    </row>
    <row r="37" spans="1:51" ht="14.5" x14ac:dyDescent="0.35">
      <c r="A37" s="121">
        <f>YampaRiverInflow.TotalOutflow!A37</f>
        <v>47150</v>
      </c>
      <c r="B37" s="34">
        <v>7.7359999999999998</v>
      </c>
      <c r="C37" s="12">
        <v>7.7359999999999998</v>
      </c>
      <c r="D37" s="45">
        <v>7.7359999999999998</v>
      </c>
      <c r="E37" s="16">
        <v>14.718234000000001</v>
      </c>
      <c r="F37" s="16">
        <v>33.481140000000003</v>
      </c>
      <c r="G37" s="16">
        <v>10.668854</v>
      </c>
      <c r="H37" s="16">
        <v>-2.5262600000000002</v>
      </c>
      <c r="I37" s="16">
        <v>-10.192350000000001</v>
      </c>
      <c r="J37" s="16">
        <v>6.2821099999999994</v>
      </c>
      <c r="K37" s="16">
        <v>3.13246</v>
      </c>
      <c r="L37" s="16">
        <v>4.1601400000000002</v>
      </c>
      <c r="M37" s="16">
        <v>2.8380700000000001</v>
      </c>
      <c r="N37" s="16">
        <v>9.7490100000000002</v>
      </c>
      <c r="O37" s="16">
        <v>16.001570000000001</v>
      </c>
      <c r="P37" s="16">
        <v>9.5720700000000001</v>
      </c>
      <c r="Q37" s="16">
        <v>21.740169999999999</v>
      </c>
      <c r="R37" s="16">
        <v>14.98456</v>
      </c>
      <c r="S37" s="16">
        <v>10.01197</v>
      </c>
      <c r="T37" s="16">
        <v>10.48507</v>
      </c>
      <c r="U37" s="16">
        <v>13.671299999999999</v>
      </c>
      <c r="V37" s="16">
        <v>11.7835</v>
      </c>
      <c r="W37" s="16">
        <v>1.5763499999999999</v>
      </c>
      <c r="X37" s="16">
        <v>-4.5615100000000002</v>
      </c>
      <c r="Y37" s="16">
        <v>4.3772399999999996</v>
      </c>
      <c r="Z37" s="16">
        <v>6.30464</v>
      </c>
      <c r="AA37" s="16">
        <v>4.0539722308107295</v>
      </c>
      <c r="AB37" s="16">
        <v>9.3226595036040596</v>
      </c>
      <c r="AC37" s="16">
        <v>19.796036777389201</v>
      </c>
      <c r="AD37" s="16">
        <v>11.065682646744701</v>
      </c>
      <c r="AE37" s="16">
        <v>11.6148235514056</v>
      </c>
      <c r="AF37" s="16">
        <v>19.425978000000001</v>
      </c>
      <c r="AG37" s="16">
        <v>27.521836</v>
      </c>
      <c r="AH37" s="16">
        <v>75.754664000000005</v>
      </c>
      <c r="AI37" s="46"/>
      <c r="AJ37" s="46"/>
      <c r="AK37" s="46"/>
      <c r="AL37" s="46"/>
      <c r="AM37" s="46"/>
      <c r="AN37" s="4"/>
      <c r="AO37" s="4"/>
      <c r="AP37" s="4"/>
      <c r="AQ37" s="4"/>
      <c r="AR37" s="4"/>
      <c r="AS37" s="4"/>
      <c r="AT37" s="4"/>
      <c r="AU37" s="4"/>
      <c r="AV37" s="4"/>
      <c r="AW37" s="4"/>
      <c r="AX37" s="4"/>
      <c r="AY37" s="4"/>
    </row>
    <row r="38" spans="1:51" ht="14.5" x14ac:dyDescent="0.35">
      <c r="A38" s="121">
        <f>YampaRiverInflow.TotalOutflow!A38</f>
        <v>47178</v>
      </c>
      <c r="B38" s="34">
        <v>7.1230000000000002</v>
      </c>
      <c r="C38" s="12">
        <v>7.1230000000000002</v>
      </c>
      <c r="D38" s="45">
        <v>7.1230000000000002</v>
      </c>
      <c r="E38" s="16">
        <v>17.63081</v>
      </c>
      <c r="F38" s="16">
        <v>62.605969999999999</v>
      </c>
      <c r="G38" s="16">
        <v>-10.494788</v>
      </c>
      <c r="H38" s="16">
        <v>-5.3588699999999996</v>
      </c>
      <c r="I38" s="16">
        <v>-15.49112</v>
      </c>
      <c r="J38" s="16">
        <v>36.322969999999998</v>
      </c>
      <c r="K38" s="16">
        <v>9.210090000000001</v>
      </c>
      <c r="L38" s="16">
        <v>5.7764899999999999</v>
      </c>
      <c r="M38" s="16">
        <v>9.2872199999999996</v>
      </c>
      <c r="N38" s="16">
        <v>8.1139899999999994</v>
      </c>
      <c r="O38" s="16">
        <v>9.8301200000000009</v>
      </c>
      <c r="P38" s="16">
        <v>14.49926</v>
      </c>
      <c r="Q38" s="16">
        <v>12.03308</v>
      </c>
      <c r="R38" s="16">
        <v>4.5342399999999996</v>
      </c>
      <c r="S38" s="16">
        <v>19.332849999999997</v>
      </c>
      <c r="T38" s="16">
        <v>6.37479</v>
      </c>
      <c r="U38" s="16">
        <v>9.2942099999999996</v>
      </c>
      <c r="V38" s="16">
        <v>12.6425</v>
      </c>
      <c r="W38" s="16">
        <v>6.9273500000000006</v>
      </c>
      <c r="X38" s="16">
        <v>-7.20953</v>
      </c>
      <c r="Y38" s="16">
        <v>6.0791599999999999</v>
      </c>
      <c r="Z38" s="16">
        <v>6.5443199999999999</v>
      </c>
      <c r="AA38" s="16">
        <v>12.9016643799678</v>
      </c>
      <c r="AB38" s="16">
        <v>7.2940712366949301</v>
      </c>
      <c r="AC38" s="16">
        <v>35.068694212232302</v>
      </c>
      <c r="AD38" s="16">
        <v>6.2901128095215002</v>
      </c>
      <c r="AE38" s="16">
        <v>18.741606197686799</v>
      </c>
      <c r="AF38" s="16">
        <v>26.794340000000005</v>
      </c>
      <c r="AG38" s="16">
        <v>39.915998000000002</v>
      </c>
      <c r="AH38" s="16">
        <v>66.375816</v>
      </c>
      <c r="AI38" s="46"/>
      <c r="AJ38" s="46"/>
      <c r="AK38" s="46"/>
      <c r="AL38" s="46"/>
      <c r="AM38" s="46"/>
      <c r="AN38" s="4"/>
      <c r="AO38" s="4"/>
      <c r="AP38" s="4"/>
      <c r="AQ38" s="4"/>
      <c r="AR38" s="4"/>
      <c r="AS38" s="4"/>
      <c r="AT38" s="4"/>
      <c r="AU38" s="4"/>
      <c r="AV38" s="4"/>
      <c r="AW38" s="4"/>
      <c r="AX38" s="4"/>
      <c r="AY38" s="4"/>
    </row>
    <row r="39" spans="1:51" ht="14.5" x14ac:dyDescent="0.35">
      <c r="A39" s="121">
        <f>YampaRiverInflow.TotalOutflow!A39</f>
        <v>47209</v>
      </c>
      <c r="B39" s="34">
        <v>9.7159999999999993</v>
      </c>
      <c r="C39" s="12">
        <v>9.7159999999999993</v>
      </c>
      <c r="D39" s="45">
        <v>9.7159999999999993</v>
      </c>
      <c r="E39" s="16">
        <v>7.7661820000000006</v>
      </c>
      <c r="F39" s="16">
        <v>14.708754000000001</v>
      </c>
      <c r="G39" s="16">
        <v>23.635946000000001</v>
      </c>
      <c r="H39" s="16">
        <v>6.8406400000000005</v>
      </c>
      <c r="I39" s="16">
        <v>-2.2138499999999999</v>
      </c>
      <c r="J39" s="16">
        <v>19.547470000000001</v>
      </c>
      <c r="K39" s="16">
        <v>11.52768</v>
      </c>
      <c r="L39" s="16">
        <v>17.343669999999999</v>
      </c>
      <c r="M39" s="16">
        <v>13.49269</v>
      </c>
      <c r="N39" s="16">
        <v>4.6643299999999996</v>
      </c>
      <c r="O39" s="16">
        <v>2.3306399999999998</v>
      </c>
      <c r="P39" s="16">
        <v>9.179590000000001</v>
      </c>
      <c r="Q39" s="16">
        <v>14.534559999999999</v>
      </c>
      <c r="R39" s="16">
        <v>4.0880400000000003</v>
      </c>
      <c r="S39" s="16">
        <v>12.77216</v>
      </c>
      <c r="T39" s="16">
        <v>7.4774700000000003</v>
      </c>
      <c r="U39" s="16">
        <v>12.525</v>
      </c>
      <c r="V39" s="16">
        <v>22.5366</v>
      </c>
      <c r="W39" s="16">
        <v>5.4246600000000003</v>
      </c>
      <c r="X39" s="16">
        <v>-1.42597</v>
      </c>
      <c r="Y39" s="16">
        <v>9.8915199999999999</v>
      </c>
      <c r="Z39" s="16">
        <v>9.72743</v>
      </c>
      <c r="AA39" s="16">
        <v>15.713943386447099</v>
      </c>
      <c r="AB39" s="16">
        <v>6.6015394221493597</v>
      </c>
      <c r="AC39" s="16">
        <v>32.830230167934701</v>
      </c>
      <c r="AD39" s="16">
        <v>14.096756611570999</v>
      </c>
      <c r="AE39" s="16">
        <v>21.908179504132999</v>
      </c>
      <c r="AF39" s="16">
        <v>18.399011999999999</v>
      </c>
      <c r="AG39" s="16">
        <v>29.763325999999999</v>
      </c>
      <c r="AH39" s="16">
        <v>41.261670000000002</v>
      </c>
      <c r="AI39" s="46"/>
      <c r="AJ39" s="46"/>
      <c r="AK39" s="46"/>
      <c r="AL39" s="46"/>
      <c r="AM39" s="46"/>
      <c r="AN39" s="4"/>
      <c r="AO39" s="4"/>
      <c r="AP39" s="4"/>
      <c r="AQ39" s="4"/>
      <c r="AR39" s="4"/>
      <c r="AS39" s="4"/>
      <c r="AT39" s="4"/>
      <c r="AU39" s="4"/>
      <c r="AV39" s="4"/>
      <c r="AW39" s="4"/>
      <c r="AX39" s="4"/>
      <c r="AY39" s="4"/>
    </row>
    <row r="40" spans="1:51" ht="14.5" x14ac:dyDescent="0.35">
      <c r="A40" s="121">
        <f>YampaRiverInflow.TotalOutflow!A40</f>
        <v>47239</v>
      </c>
      <c r="B40" s="34">
        <v>13.552</v>
      </c>
      <c r="C40" s="12">
        <v>13.552</v>
      </c>
      <c r="D40" s="45">
        <v>13.552</v>
      </c>
      <c r="E40" s="16">
        <v>9.5716059999999992</v>
      </c>
      <c r="F40" s="16">
        <v>29.325434000000005</v>
      </c>
      <c r="G40" s="16">
        <v>5.5503300000000007</v>
      </c>
      <c r="H40" s="16">
        <v>8.0619300000000003</v>
      </c>
      <c r="I40" s="16">
        <v>-4.66012</v>
      </c>
      <c r="J40" s="16">
        <v>9.683209999999999</v>
      </c>
      <c r="K40" s="16">
        <v>23.337949999999999</v>
      </c>
      <c r="L40" s="16">
        <v>11.09249</v>
      </c>
      <c r="M40" s="16">
        <v>14.89179</v>
      </c>
      <c r="N40" s="16">
        <v>9.6852700000000009</v>
      </c>
      <c r="O40" s="16">
        <v>5.5847100000000003</v>
      </c>
      <c r="P40" s="16">
        <v>4.1686000000000005</v>
      </c>
      <c r="Q40" s="16">
        <v>14.016170000000001</v>
      </c>
      <c r="R40" s="16">
        <v>5.02379</v>
      </c>
      <c r="S40" s="16">
        <v>16.882990000000003</v>
      </c>
      <c r="T40" s="16">
        <v>3.9549799999999999</v>
      </c>
      <c r="U40" s="16">
        <v>10.53945</v>
      </c>
      <c r="V40" s="16">
        <v>19.5229</v>
      </c>
      <c r="W40" s="16">
        <v>4.9721899999999994</v>
      </c>
      <c r="X40" s="16">
        <v>1.2309300000000001</v>
      </c>
      <c r="Y40" s="16">
        <v>4.9847600000000005</v>
      </c>
      <c r="Z40" s="16">
        <v>9.3964200000000009</v>
      </c>
      <c r="AA40" s="16">
        <v>9.2539210713396098</v>
      </c>
      <c r="AB40" s="16">
        <v>5.5819525592733701</v>
      </c>
      <c r="AC40" s="16">
        <v>25.107575702810699</v>
      </c>
      <c r="AD40" s="16">
        <v>32.171070661818902</v>
      </c>
      <c r="AE40" s="16">
        <v>22.140587519075002</v>
      </c>
      <c r="AF40" s="16">
        <v>9.3170699999999993</v>
      </c>
      <c r="AG40" s="16">
        <v>17.687328000000001</v>
      </c>
      <c r="AH40" s="16">
        <v>30.256135999999998</v>
      </c>
      <c r="AI40" s="46"/>
      <c r="AJ40" s="46"/>
      <c r="AK40" s="46"/>
      <c r="AL40" s="46"/>
      <c r="AM40" s="46"/>
      <c r="AN40" s="4"/>
      <c r="AO40" s="4"/>
      <c r="AP40" s="4"/>
      <c r="AQ40" s="4"/>
      <c r="AR40" s="4"/>
      <c r="AS40" s="4"/>
      <c r="AT40" s="4"/>
      <c r="AU40" s="4"/>
      <c r="AV40" s="4"/>
      <c r="AW40" s="4"/>
      <c r="AX40" s="4"/>
      <c r="AY40" s="4"/>
    </row>
    <row r="41" spans="1:51" ht="14.5" x14ac:dyDescent="0.35">
      <c r="A41" s="121">
        <f>YampaRiverInflow.TotalOutflow!A41</f>
        <v>47270</v>
      </c>
      <c r="B41" s="34">
        <v>9.6039999999999992</v>
      </c>
      <c r="C41" s="12">
        <v>9.6039999999999992</v>
      </c>
      <c r="D41" s="45">
        <v>9.6039999999999992</v>
      </c>
      <c r="E41" s="16">
        <v>-1.180104</v>
      </c>
      <c r="F41" s="16">
        <v>16.706314000000003</v>
      </c>
      <c r="G41" s="16">
        <v>1.3633040000000001</v>
      </c>
      <c r="H41" s="16">
        <v>-0.79383999999999999</v>
      </c>
      <c r="I41" s="16">
        <v>-23.251810000000003</v>
      </c>
      <c r="J41" s="16">
        <v>12.69872</v>
      </c>
      <c r="K41" s="16">
        <v>19.039000000000001</v>
      </c>
      <c r="L41" s="16">
        <v>6.8687700000000005</v>
      </c>
      <c r="M41" s="16">
        <v>14.246139999999999</v>
      </c>
      <c r="N41" s="16">
        <v>18.845080000000003</v>
      </c>
      <c r="O41" s="16">
        <v>7.4909099999999995</v>
      </c>
      <c r="P41" s="16">
        <v>13.8124</v>
      </c>
      <c r="Q41" s="16">
        <v>24.775919999999999</v>
      </c>
      <c r="R41" s="16">
        <v>9.7531100000000013</v>
      </c>
      <c r="S41" s="16">
        <v>18.740459999999999</v>
      </c>
      <c r="T41" s="16">
        <v>5.9942099999999998</v>
      </c>
      <c r="U41" s="16">
        <v>10.93661</v>
      </c>
      <c r="V41" s="16">
        <v>14.07673</v>
      </c>
      <c r="W41" s="16">
        <v>3.54962</v>
      </c>
      <c r="X41" s="16">
        <v>6.4226899999999993</v>
      </c>
      <c r="Y41" s="16">
        <v>10.59356</v>
      </c>
      <c r="Z41" s="16">
        <v>1.32226</v>
      </c>
      <c r="AA41" s="16">
        <v>6.9610190102487604</v>
      </c>
      <c r="AB41" s="16">
        <v>13.6235045447941</v>
      </c>
      <c r="AC41" s="16">
        <v>21.1430438016537</v>
      </c>
      <c r="AD41" s="16">
        <v>42.150180575868696</v>
      </c>
      <c r="AE41" s="16">
        <v>13.4754590082651</v>
      </c>
      <c r="AF41" s="16">
        <v>19.542680000000001</v>
      </c>
      <c r="AG41" s="16">
        <v>1.2684000000000002</v>
      </c>
      <c r="AH41" s="16">
        <v>4.9412060000000002</v>
      </c>
      <c r="AI41" s="46"/>
      <c r="AJ41" s="46"/>
      <c r="AK41" s="46"/>
      <c r="AL41" s="46"/>
      <c r="AM41" s="46"/>
      <c r="AN41" s="4"/>
      <c r="AO41" s="4"/>
      <c r="AP41" s="4"/>
      <c r="AQ41" s="4"/>
      <c r="AR41" s="4"/>
      <c r="AS41" s="4"/>
      <c r="AT41" s="4"/>
      <c r="AU41" s="4"/>
      <c r="AV41" s="4"/>
      <c r="AW41" s="4"/>
      <c r="AX41" s="4"/>
      <c r="AY41" s="4"/>
    </row>
    <row r="42" spans="1:51" ht="14.5" x14ac:dyDescent="0.35">
      <c r="A42" s="121">
        <f>YampaRiverInflow.TotalOutflow!A42</f>
        <v>47300</v>
      </c>
      <c r="B42" s="34">
        <v>2.758</v>
      </c>
      <c r="C42" s="12">
        <v>2.758</v>
      </c>
      <c r="D42" s="45">
        <v>2.758</v>
      </c>
      <c r="E42" s="16">
        <v>8.0089059999999996</v>
      </c>
      <c r="F42" s="16">
        <v>20.697440000000004</v>
      </c>
      <c r="G42" s="16">
        <v>17.755964000000002</v>
      </c>
      <c r="H42" s="16">
        <v>11.63293</v>
      </c>
      <c r="I42" s="16">
        <v>-12.476629999999998</v>
      </c>
      <c r="J42" s="16">
        <v>23.625509999999998</v>
      </c>
      <c r="K42" s="16">
        <v>20.54889</v>
      </c>
      <c r="L42" s="16">
        <v>8.319090000000001</v>
      </c>
      <c r="M42" s="16">
        <v>20.105460000000001</v>
      </c>
      <c r="N42" s="16">
        <v>19.50067</v>
      </c>
      <c r="O42" s="16">
        <v>8.3446700000000007</v>
      </c>
      <c r="P42" s="16">
        <v>18.455950000000001</v>
      </c>
      <c r="Q42" s="16">
        <v>31.79073</v>
      </c>
      <c r="R42" s="16">
        <v>14.55987</v>
      </c>
      <c r="S42" s="16">
        <v>21.886839999999999</v>
      </c>
      <c r="T42" s="16">
        <v>25.583909999999999</v>
      </c>
      <c r="U42" s="16">
        <v>21.074020000000001</v>
      </c>
      <c r="V42" s="16">
        <v>18.544400000000003</v>
      </c>
      <c r="W42" s="16">
        <v>6.5901300000000003</v>
      </c>
      <c r="X42" s="16">
        <v>14.91146</v>
      </c>
      <c r="Y42" s="16">
        <v>14.38373</v>
      </c>
      <c r="Z42" s="16">
        <v>27.614090000000001</v>
      </c>
      <c r="AA42" s="16">
        <v>12.5574148766291</v>
      </c>
      <c r="AB42" s="16">
        <v>24.781192150480202</v>
      </c>
      <c r="AC42" s="16">
        <v>16.943357023537999</v>
      </c>
      <c r="AD42" s="16">
        <v>39.1588780983151</v>
      </c>
      <c r="AE42" s="16">
        <v>23.713968098447001</v>
      </c>
      <c r="AF42" s="16">
        <v>3.5028120000000005</v>
      </c>
      <c r="AG42" s="16">
        <v>15.702810000000001</v>
      </c>
      <c r="AH42" s="16">
        <v>2.0310160000000002</v>
      </c>
      <c r="AI42" s="46"/>
      <c r="AJ42" s="46"/>
      <c r="AK42" s="46"/>
      <c r="AL42" s="46"/>
      <c r="AM42" s="46"/>
      <c r="AN42" s="4"/>
      <c r="AO42" s="4"/>
      <c r="AP42" s="4"/>
      <c r="AQ42" s="4"/>
      <c r="AR42" s="4"/>
      <c r="AS42" s="4"/>
      <c r="AT42" s="4"/>
      <c r="AU42" s="4"/>
      <c r="AV42" s="4"/>
      <c r="AW42" s="4"/>
      <c r="AX42" s="4"/>
      <c r="AY42" s="4"/>
    </row>
    <row r="43" spans="1:51" ht="14.5" x14ac:dyDescent="0.35">
      <c r="A43" s="121">
        <f>YampaRiverInflow.TotalOutflow!A43</f>
        <v>47331</v>
      </c>
      <c r="B43" s="34">
        <v>-1.341</v>
      </c>
      <c r="C43" s="12">
        <v>-1.341</v>
      </c>
      <c r="D43" s="45">
        <v>-1.341</v>
      </c>
      <c r="E43" s="16">
        <v>11.451958000000001</v>
      </c>
      <c r="F43" s="16">
        <v>20.660824000000002</v>
      </c>
      <c r="G43" s="16">
        <v>13.796706</v>
      </c>
      <c r="H43" s="16">
        <v>9.7706299999999988</v>
      </c>
      <c r="I43" s="16">
        <v>7.4435000000000002</v>
      </c>
      <c r="J43" s="16">
        <v>20.504860000000001</v>
      </c>
      <c r="K43" s="16">
        <v>22.135639999999999</v>
      </c>
      <c r="L43" s="16">
        <v>5.2130799999999997</v>
      </c>
      <c r="M43" s="16">
        <v>14.802440000000001</v>
      </c>
      <c r="N43" s="16">
        <v>21.94164</v>
      </c>
      <c r="O43" s="16">
        <v>8.4181799999999996</v>
      </c>
      <c r="P43" s="16">
        <v>21.659500000000001</v>
      </c>
      <c r="Q43" s="16">
        <v>35.8294</v>
      </c>
      <c r="R43" s="16">
        <v>14.210139999999999</v>
      </c>
      <c r="S43" s="16">
        <v>24.195160000000001</v>
      </c>
      <c r="T43" s="16">
        <v>26.496269999999999</v>
      </c>
      <c r="U43" s="16">
        <v>24.024999999999999</v>
      </c>
      <c r="V43" s="16">
        <v>22.344560000000001</v>
      </c>
      <c r="W43" s="16">
        <v>9.8739599999999985</v>
      </c>
      <c r="X43" s="16">
        <v>13.84548</v>
      </c>
      <c r="Y43" s="16">
        <v>16.93469</v>
      </c>
      <c r="Z43" s="16">
        <v>14.48996</v>
      </c>
      <c r="AA43" s="16">
        <v>14.623601239406</v>
      </c>
      <c r="AB43" s="16">
        <v>29.351938843042298</v>
      </c>
      <c r="AC43" s="16">
        <v>10.6373367791084</v>
      </c>
      <c r="AD43" s="16">
        <v>32.4739838860175</v>
      </c>
      <c r="AE43" s="16">
        <v>32.289258266844001</v>
      </c>
      <c r="AF43" s="16">
        <v>21.988620000000001</v>
      </c>
      <c r="AG43" s="16">
        <v>28.766426000000003</v>
      </c>
      <c r="AH43" s="16">
        <v>19.739957999999998</v>
      </c>
      <c r="AI43" s="46"/>
      <c r="AJ43" s="46"/>
      <c r="AK43" s="46"/>
      <c r="AL43" s="46"/>
      <c r="AM43" s="46"/>
      <c r="AN43" s="4"/>
      <c r="AO43" s="4"/>
      <c r="AP43" s="4"/>
      <c r="AQ43" s="4"/>
      <c r="AR43" s="4"/>
      <c r="AS43" s="4"/>
      <c r="AT43" s="4"/>
      <c r="AU43" s="4"/>
      <c r="AV43" s="4"/>
      <c r="AW43" s="4"/>
      <c r="AX43" s="4"/>
      <c r="AY43" s="4"/>
    </row>
    <row r="44" spans="1:51" ht="14.5" x14ac:dyDescent="0.35">
      <c r="A44" s="121">
        <f>YampaRiverInflow.TotalOutflow!A44</f>
        <v>47362</v>
      </c>
      <c r="B44" s="34">
        <v>5.1230000000000002</v>
      </c>
      <c r="C44" s="12">
        <v>5.1230000000000002</v>
      </c>
      <c r="D44" s="45">
        <v>5.1230000000000002</v>
      </c>
      <c r="E44" s="16">
        <v>14.914582000000003</v>
      </c>
      <c r="F44" s="16">
        <v>14.839589999999999</v>
      </c>
      <c r="G44" s="16">
        <v>10.647540000000001</v>
      </c>
      <c r="H44" s="16">
        <v>-6.0112700000000006</v>
      </c>
      <c r="I44" s="16">
        <v>19.914009999999998</v>
      </c>
      <c r="J44" s="16">
        <v>13.555149999999999</v>
      </c>
      <c r="K44" s="16">
        <v>15.397549999999999</v>
      </c>
      <c r="L44" s="16">
        <v>7.1036899999999994</v>
      </c>
      <c r="M44" s="16">
        <v>8.6973899999999986</v>
      </c>
      <c r="N44" s="16">
        <v>11.841569999999999</v>
      </c>
      <c r="O44" s="16">
        <v>3.6388400000000001</v>
      </c>
      <c r="P44" s="16">
        <v>18.084299999999999</v>
      </c>
      <c r="Q44" s="16">
        <v>24.926950000000001</v>
      </c>
      <c r="R44" s="16">
        <v>13.032249999999999</v>
      </c>
      <c r="S44" s="16">
        <v>14.707469999999999</v>
      </c>
      <c r="T44" s="16">
        <v>15.101129999999999</v>
      </c>
      <c r="U44" s="16">
        <v>9.3519199999999998</v>
      </c>
      <c r="V44" s="16">
        <v>35.037589999999994</v>
      </c>
      <c r="W44" s="16">
        <v>-2.8639899999999998</v>
      </c>
      <c r="X44" s="16">
        <v>6.7481800000000005</v>
      </c>
      <c r="Y44" s="16">
        <v>15.02529</v>
      </c>
      <c r="Z44" s="16">
        <v>11.451879999999999</v>
      </c>
      <c r="AA44" s="16">
        <v>13.1848636376867</v>
      </c>
      <c r="AB44" s="16">
        <v>8.3238249586783297</v>
      </c>
      <c r="AC44" s="16">
        <v>19.8346958697528</v>
      </c>
      <c r="AD44" s="16">
        <v>16.409711323636998</v>
      </c>
      <c r="AE44" s="16">
        <v>25.7866844641329</v>
      </c>
      <c r="AF44" s="16">
        <v>21.500264000000001</v>
      </c>
      <c r="AG44" s="16">
        <v>26.366382000000002</v>
      </c>
      <c r="AH44" s="16">
        <v>15.737406</v>
      </c>
      <c r="AI44" s="46"/>
      <c r="AJ44" s="46"/>
      <c r="AK44" s="46"/>
      <c r="AL44" s="46"/>
      <c r="AM44" s="46"/>
      <c r="AN44" s="4"/>
      <c r="AO44" s="4"/>
      <c r="AP44" s="4"/>
      <c r="AQ44" s="4"/>
      <c r="AR44" s="4"/>
      <c r="AS44" s="4"/>
      <c r="AT44" s="4"/>
      <c r="AU44" s="4"/>
      <c r="AV44" s="4"/>
      <c r="AW44" s="4"/>
      <c r="AX44" s="4"/>
      <c r="AY44" s="4"/>
    </row>
    <row r="45" spans="1:51" ht="14.5" x14ac:dyDescent="0.35">
      <c r="A45" s="121">
        <f>YampaRiverInflow.TotalOutflow!A45</f>
        <v>47392</v>
      </c>
      <c r="B45" s="34">
        <v>4.0090000000000003</v>
      </c>
      <c r="C45" s="12">
        <v>4.0090000000000003</v>
      </c>
      <c r="D45" s="45">
        <v>4.0090000000000003</v>
      </c>
      <c r="E45" s="16">
        <v>11.503132000000001</v>
      </c>
      <c r="F45" s="16">
        <v>12.135444000000001</v>
      </c>
      <c r="G45" s="16">
        <v>6.3876860000000004</v>
      </c>
      <c r="H45" s="16">
        <v>-7.82599</v>
      </c>
      <c r="I45" s="16">
        <v>24.362849999999998</v>
      </c>
      <c r="J45" s="16">
        <v>10.95425</v>
      </c>
      <c r="K45" s="16">
        <v>11.723360000000001</v>
      </c>
      <c r="L45" s="16">
        <v>4.6145899999999997</v>
      </c>
      <c r="M45" s="16">
        <v>6.6953500000000004</v>
      </c>
      <c r="N45" s="16">
        <v>9.5123700000000007</v>
      </c>
      <c r="O45" s="16">
        <v>-0.49925999999999998</v>
      </c>
      <c r="P45" s="16">
        <v>18.132660000000001</v>
      </c>
      <c r="Q45" s="16">
        <v>19.22006</v>
      </c>
      <c r="R45" s="16">
        <v>10.97871</v>
      </c>
      <c r="S45" s="16">
        <v>13.21185</v>
      </c>
      <c r="T45" s="16">
        <v>14.04824</v>
      </c>
      <c r="U45" s="16">
        <v>6.9533999999999994</v>
      </c>
      <c r="V45" s="16">
        <v>23.35398</v>
      </c>
      <c r="W45" s="16">
        <v>-2.8656299999999999</v>
      </c>
      <c r="X45" s="16">
        <v>2.3012199999999998</v>
      </c>
      <c r="Y45" s="16">
        <v>14.73507</v>
      </c>
      <c r="Z45" s="16">
        <v>8.505370000000001</v>
      </c>
      <c r="AA45" s="16">
        <v>9.0830627261494108</v>
      </c>
      <c r="AB45" s="16">
        <v>-6.2740460311398598</v>
      </c>
      <c r="AC45" s="16">
        <v>25.002335616926402</v>
      </c>
      <c r="AD45" s="16">
        <v>7.7553593381164196</v>
      </c>
      <c r="AE45" s="16">
        <v>26.857120247405899</v>
      </c>
      <c r="AF45" s="16">
        <v>8.6108960000000003</v>
      </c>
      <c r="AG45" s="16">
        <v>17.934583999999997</v>
      </c>
      <c r="AH45" s="16">
        <v>11.836898000000001</v>
      </c>
      <c r="AI45" s="46"/>
      <c r="AJ45" s="46"/>
      <c r="AK45" s="46"/>
      <c r="AL45" s="46"/>
      <c r="AM45" s="46"/>
      <c r="AN45" s="4"/>
      <c r="AO45" s="4"/>
      <c r="AP45" s="4"/>
      <c r="AQ45" s="4"/>
      <c r="AR45" s="4"/>
      <c r="AS45" s="4"/>
      <c r="AT45" s="4"/>
      <c r="AU45" s="4"/>
      <c r="AV45" s="4"/>
      <c r="AW45" s="4"/>
      <c r="AX45" s="4"/>
      <c r="AY45" s="4"/>
    </row>
    <row r="46" spans="1:51" ht="14.5" x14ac:dyDescent="0.35">
      <c r="A46" s="121">
        <f>YampaRiverInflow.TotalOutflow!A46</f>
        <v>47423</v>
      </c>
      <c r="B46" s="34">
        <v>0.72299999999999998</v>
      </c>
      <c r="C46" s="12">
        <v>0.72299999999999998</v>
      </c>
      <c r="D46" s="45">
        <v>0.72299999999999998</v>
      </c>
      <c r="E46" s="16">
        <v>3.6625680000000003</v>
      </c>
      <c r="F46" s="16">
        <v>15.820898000000001</v>
      </c>
      <c r="G46" s="16">
        <v>14.533392000000001</v>
      </c>
      <c r="H46" s="16">
        <v>-12.37326</v>
      </c>
      <c r="I46" s="16">
        <v>14.93168</v>
      </c>
      <c r="J46" s="16">
        <v>-5.1652700000000005</v>
      </c>
      <c r="K46" s="16">
        <v>10.395850000000001</v>
      </c>
      <c r="L46" s="16">
        <v>4.0648400000000002</v>
      </c>
      <c r="M46" s="16">
        <v>3.5380700000000003</v>
      </c>
      <c r="N46" s="16">
        <v>7.5272700000000006</v>
      </c>
      <c r="O46" s="16">
        <v>13.11669</v>
      </c>
      <c r="P46" s="16">
        <v>15.47784</v>
      </c>
      <c r="Q46" s="16">
        <v>21.893450000000001</v>
      </c>
      <c r="R46" s="16">
        <v>12.1463</v>
      </c>
      <c r="S46" s="16">
        <v>8.651209999999999</v>
      </c>
      <c r="T46" s="16">
        <v>9.7618099999999988</v>
      </c>
      <c r="U46" s="16">
        <v>16.488720000000001</v>
      </c>
      <c r="V46" s="16">
        <v>4.6226700000000003</v>
      </c>
      <c r="W46" s="16">
        <v>5.9689499999999995</v>
      </c>
      <c r="X46" s="16">
        <v>-1.0023</v>
      </c>
      <c r="Y46" s="16">
        <v>2.8529</v>
      </c>
      <c r="Z46" s="16">
        <v>5.8924399999999997</v>
      </c>
      <c r="AA46" s="16">
        <v>3.9897065276040999</v>
      </c>
      <c r="AB46" s="16">
        <v>-11.4351155371894</v>
      </c>
      <c r="AC46" s="16">
        <v>6.3263246300834401</v>
      </c>
      <c r="AD46" s="16">
        <v>3.8446132224799099</v>
      </c>
      <c r="AE46" s="16">
        <v>10.148976943471901</v>
      </c>
      <c r="AF46" s="16">
        <v>8.991363999999999</v>
      </c>
      <c r="AG46" s="16">
        <v>10.960080000000001</v>
      </c>
      <c r="AH46" s="16">
        <v>12.147136</v>
      </c>
      <c r="AI46" s="46"/>
      <c r="AJ46" s="46"/>
      <c r="AK46" s="46"/>
      <c r="AL46" s="46"/>
      <c r="AM46" s="46"/>
      <c r="AN46" s="4"/>
      <c r="AO46" s="4"/>
      <c r="AP46" s="4"/>
      <c r="AQ46" s="4"/>
      <c r="AR46" s="4"/>
      <c r="AS46" s="4"/>
      <c r="AT46" s="4"/>
      <c r="AU46" s="4"/>
      <c r="AV46" s="4"/>
      <c r="AW46" s="4"/>
      <c r="AX46" s="4"/>
      <c r="AY46" s="4"/>
    </row>
    <row r="47" spans="1:51" ht="14.5" x14ac:dyDescent="0.35">
      <c r="A47" s="121">
        <f>YampaRiverInflow.TotalOutflow!A47</f>
        <v>47453</v>
      </c>
      <c r="B47" s="34">
        <v>2.6349999999999998</v>
      </c>
      <c r="C47" s="12">
        <v>2.6349999999999998</v>
      </c>
      <c r="D47" s="45">
        <v>2.6349999999999998</v>
      </c>
      <c r="E47" s="16">
        <v>18.697578</v>
      </c>
      <c r="F47" s="16">
        <v>16.272072000000001</v>
      </c>
      <c r="G47" s="16">
        <v>6.2282960000000003</v>
      </c>
      <c r="H47" s="16">
        <v>-16.238409999999998</v>
      </c>
      <c r="I47" s="16">
        <v>12.00187</v>
      </c>
      <c r="J47" s="16">
        <v>6.5915499999999998</v>
      </c>
      <c r="K47" s="16">
        <v>12.228569999999999</v>
      </c>
      <c r="L47" s="16">
        <v>1.01868</v>
      </c>
      <c r="M47" s="16">
        <v>6.6875100000000005</v>
      </c>
      <c r="N47" s="16">
        <v>11.483219999999999</v>
      </c>
      <c r="O47" s="16">
        <v>-2.7016499999999999</v>
      </c>
      <c r="P47" s="16">
        <v>25.948370000000001</v>
      </c>
      <c r="Q47" s="16">
        <v>22.778939999999999</v>
      </c>
      <c r="R47" s="16">
        <v>11.792920000000001</v>
      </c>
      <c r="S47" s="16">
        <v>17.610810000000001</v>
      </c>
      <c r="T47" s="16">
        <v>24.307770000000001</v>
      </c>
      <c r="U47" s="16">
        <v>18.407709999999998</v>
      </c>
      <c r="V47" s="16">
        <v>2.61571</v>
      </c>
      <c r="W47" s="16">
        <v>-1.4079200000000001</v>
      </c>
      <c r="X47" s="16">
        <v>-6.0315000000000003</v>
      </c>
      <c r="Y47" s="16">
        <v>15.691600000000001</v>
      </c>
      <c r="Z47" s="16">
        <v>6.0872700000000002</v>
      </c>
      <c r="AA47" s="16">
        <v>14.668721902282002</v>
      </c>
      <c r="AB47" s="16">
        <v>-6.0504652876024405</v>
      </c>
      <c r="AC47" s="16">
        <v>3.9440781003643801</v>
      </c>
      <c r="AD47" s="16">
        <v>5.96184380284366</v>
      </c>
      <c r="AE47" s="16">
        <v>-3.3022761146438002</v>
      </c>
      <c r="AF47" s="16">
        <v>16.566911999999999</v>
      </c>
      <c r="AG47" s="16">
        <v>23.606604000000004</v>
      </c>
      <c r="AH47" s="16">
        <v>11.927992</v>
      </c>
      <c r="AI47" s="46"/>
      <c r="AJ47" s="46"/>
      <c r="AK47" s="46"/>
      <c r="AL47" s="46"/>
      <c r="AM47" s="46"/>
      <c r="AN47" s="4"/>
      <c r="AO47" s="4"/>
      <c r="AP47" s="4"/>
      <c r="AQ47" s="4"/>
      <c r="AR47" s="4"/>
      <c r="AS47" s="4"/>
      <c r="AT47" s="4"/>
      <c r="AU47" s="4"/>
      <c r="AV47" s="4"/>
      <c r="AW47" s="4"/>
      <c r="AX47" s="4"/>
      <c r="AY47" s="4"/>
    </row>
    <row r="48" spans="1:51" ht="14.5" x14ac:dyDescent="0.35">
      <c r="A48" s="121">
        <f>YampaRiverInflow.TotalOutflow!A48</f>
        <v>47484</v>
      </c>
      <c r="B48" s="34">
        <v>3.6709999999999998</v>
      </c>
      <c r="C48" s="12">
        <v>3.6709999999999998</v>
      </c>
      <c r="D48" s="45">
        <v>3.6709999999999998</v>
      </c>
      <c r="E48" s="16">
        <v>35.531559999999999</v>
      </c>
      <c r="F48" s="16">
        <v>11.366462</v>
      </c>
      <c r="G48" s="16">
        <v>12.906422000000001</v>
      </c>
      <c r="H48" s="16">
        <v>-12.26146</v>
      </c>
      <c r="I48" s="16">
        <v>9.9685600000000001</v>
      </c>
      <c r="J48" s="16">
        <v>3.9182399999999999</v>
      </c>
      <c r="K48" s="16">
        <v>5.2524799999999994</v>
      </c>
      <c r="L48" s="16">
        <v>0.65434000000000003</v>
      </c>
      <c r="M48" s="16">
        <v>10.38495</v>
      </c>
      <c r="N48" s="16">
        <v>14.23559</v>
      </c>
      <c r="O48" s="16">
        <v>9.8203300000000002</v>
      </c>
      <c r="P48" s="16">
        <v>24.700430000000001</v>
      </c>
      <c r="Q48" s="16">
        <v>22.069479999999999</v>
      </c>
      <c r="R48" s="16">
        <v>12.57952</v>
      </c>
      <c r="S48" s="16">
        <v>19.210369999999998</v>
      </c>
      <c r="T48" s="16">
        <v>24.414390000000001</v>
      </c>
      <c r="U48" s="16">
        <v>14.356399999999999</v>
      </c>
      <c r="V48" s="16">
        <v>-5.5168900000000001</v>
      </c>
      <c r="W48" s="16">
        <v>8.7599999999999997E-2</v>
      </c>
      <c r="X48" s="16">
        <v>10.52117</v>
      </c>
      <c r="Y48" s="16">
        <v>15.80128</v>
      </c>
      <c r="Z48" s="16">
        <v>7.4489752076703502</v>
      </c>
      <c r="AA48" s="16">
        <v>19.8163140489265</v>
      </c>
      <c r="AB48" s="16">
        <v>0.31217231431502396</v>
      </c>
      <c r="AC48" s="16">
        <v>11.158060331372901</v>
      </c>
      <c r="AD48" s="16">
        <v>7.7495685923312703</v>
      </c>
      <c r="AE48" s="16">
        <v>16.305914000000001</v>
      </c>
      <c r="AF48" s="16">
        <v>18.317238</v>
      </c>
      <c r="AG48" s="16">
        <v>101.21908400000001</v>
      </c>
      <c r="AH48" s="16">
        <v>14.084605999999999</v>
      </c>
      <c r="AI48" s="46"/>
      <c r="AJ48" s="46"/>
      <c r="AK48" s="46"/>
      <c r="AL48" s="46"/>
      <c r="AM48" s="46"/>
      <c r="AN48" s="4"/>
      <c r="AO48" s="4"/>
      <c r="AP48" s="4"/>
      <c r="AQ48" s="4"/>
      <c r="AR48" s="4"/>
      <c r="AS48" s="4"/>
      <c r="AT48" s="4"/>
      <c r="AU48" s="4"/>
      <c r="AV48" s="4"/>
      <c r="AW48" s="4"/>
      <c r="AX48" s="4"/>
      <c r="AY48" s="4"/>
    </row>
    <row r="49" spans="1:1005" ht="14.5" x14ac:dyDescent="0.35">
      <c r="A49" s="121">
        <f>YampaRiverInflow.TotalOutflow!A49</f>
        <v>47515</v>
      </c>
      <c r="B49" s="34">
        <v>7.7359999999999998</v>
      </c>
      <c r="C49" s="12">
        <v>7.7359999999999998</v>
      </c>
      <c r="D49" s="45">
        <v>7.7359999999999998</v>
      </c>
      <c r="E49" s="16">
        <v>33.481140000000003</v>
      </c>
      <c r="F49" s="16">
        <v>10.668854</v>
      </c>
      <c r="G49" s="16">
        <v>-2.5262600000000002</v>
      </c>
      <c r="H49" s="16">
        <v>-10.192350000000001</v>
      </c>
      <c r="I49" s="16">
        <v>6.2821099999999994</v>
      </c>
      <c r="J49" s="16">
        <v>3.13246</v>
      </c>
      <c r="K49" s="16">
        <v>4.1601400000000002</v>
      </c>
      <c r="L49" s="16">
        <v>2.8380700000000001</v>
      </c>
      <c r="M49" s="16">
        <v>9.7490100000000002</v>
      </c>
      <c r="N49" s="16">
        <v>16.001570000000001</v>
      </c>
      <c r="O49" s="16">
        <v>9.5720700000000001</v>
      </c>
      <c r="P49" s="16">
        <v>21.740169999999999</v>
      </c>
      <c r="Q49" s="16">
        <v>14.98456</v>
      </c>
      <c r="R49" s="16">
        <v>10.01197</v>
      </c>
      <c r="S49" s="16">
        <v>10.48507</v>
      </c>
      <c r="T49" s="16">
        <v>13.671299999999999</v>
      </c>
      <c r="U49" s="16">
        <v>11.7835</v>
      </c>
      <c r="V49" s="16">
        <v>1.5763499999999999</v>
      </c>
      <c r="W49" s="16">
        <v>-4.5615100000000002</v>
      </c>
      <c r="X49" s="16">
        <v>4.3772399999999996</v>
      </c>
      <c r="Y49" s="16">
        <v>6.30464</v>
      </c>
      <c r="Z49" s="16">
        <v>4.0539722308107295</v>
      </c>
      <c r="AA49" s="16">
        <v>9.3226595036040596</v>
      </c>
      <c r="AB49" s="16">
        <v>19.796036777389201</v>
      </c>
      <c r="AC49" s="16">
        <v>11.065682646744701</v>
      </c>
      <c r="AD49" s="16">
        <v>11.6148235514056</v>
      </c>
      <c r="AE49" s="16">
        <v>19.425978000000001</v>
      </c>
      <c r="AF49" s="16">
        <v>27.521836</v>
      </c>
      <c r="AG49" s="16">
        <v>75.754664000000005</v>
      </c>
      <c r="AH49" s="16">
        <v>14.718234000000001</v>
      </c>
      <c r="AI49" s="46"/>
      <c r="AJ49" s="46"/>
      <c r="AK49" s="46"/>
      <c r="AL49" s="46"/>
      <c r="AM49" s="46"/>
      <c r="AN49" s="4"/>
      <c r="AO49" s="4"/>
      <c r="AP49" s="4"/>
      <c r="AQ49" s="4"/>
      <c r="AR49" s="4"/>
      <c r="AS49" s="4"/>
      <c r="AT49" s="4"/>
      <c r="AU49" s="4"/>
      <c r="AV49" s="4"/>
      <c r="AW49" s="4"/>
      <c r="AX49" s="4"/>
      <c r="AY49" s="4"/>
    </row>
    <row r="50" spans="1:1005" ht="14.5" x14ac:dyDescent="0.35">
      <c r="A50" s="121">
        <f>YampaRiverInflow.TotalOutflow!A50</f>
        <v>47543</v>
      </c>
      <c r="B50" s="34">
        <v>7.1230000000000002</v>
      </c>
      <c r="C50" s="12">
        <v>7.1230000000000002</v>
      </c>
      <c r="D50" s="45">
        <v>7.1230000000000002</v>
      </c>
      <c r="E50" s="16">
        <v>62.605969999999999</v>
      </c>
      <c r="F50" s="16">
        <v>-10.494788</v>
      </c>
      <c r="G50" s="16">
        <v>-5.3588699999999996</v>
      </c>
      <c r="H50" s="16">
        <v>-15.49112</v>
      </c>
      <c r="I50" s="16">
        <v>36.322969999999998</v>
      </c>
      <c r="J50" s="16">
        <v>9.210090000000001</v>
      </c>
      <c r="K50" s="16">
        <v>5.7764899999999999</v>
      </c>
      <c r="L50" s="16">
        <v>9.2872199999999996</v>
      </c>
      <c r="M50" s="16">
        <v>8.1139899999999994</v>
      </c>
      <c r="N50" s="16">
        <v>9.8301200000000009</v>
      </c>
      <c r="O50" s="16">
        <v>14.49926</v>
      </c>
      <c r="P50" s="16">
        <v>12.03308</v>
      </c>
      <c r="Q50" s="16">
        <v>4.5342399999999996</v>
      </c>
      <c r="R50" s="16">
        <v>19.332849999999997</v>
      </c>
      <c r="S50" s="16">
        <v>6.37479</v>
      </c>
      <c r="T50" s="16">
        <v>9.2942099999999996</v>
      </c>
      <c r="U50" s="16">
        <v>12.6425</v>
      </c>
      <c r="V50" s="16">
        <v>6.9273500000000006</v>
      </c>
      <c r="W50" s="16">
        <v>-7.20953</v>
      </c>
      <c r="X50" s="16">
        <v>6.0791599999999999</v>
      </c>
      <c r="Y50" s="16">
        <v>6.5443199999999999</v>
      </c>
      <c r="Z50" s="16">
        <v>12.9016643799678</v>
      </c>
      <c r="AA50" s="16">
        <v>7.2940712366949301</v>
      </c>
      <c r="AB50" s="16">
        <v>35.068694212232302</v>
      </c>
      <c r="AC50" s="16">
        <v>6.2901128095215002</v>
      </c>
      <c r="AD50" s="16">
        <v>18.741606197686799</v>
      </c>
      <c r="AE50" s="16">
        <v>26.794340000000005</v>
      </c>
      <c r="AF50" s="16">
        <v>39.915998000000002</v>
      </c>
      <c r="AG50" s="16">
        <v>66.375816</v>
      </c>
      <c r="AH50" s="16">
        <v>17.63081</v>
      </c>
      <c r="AI50" s="46"/>
      <c r="AJ50" s="46"/>
      <c r="AK50" s="46"/>
      <c r="AL50" s="46"/>
      <c r="AM50" s="46"/>
      <c r="AN50" s="4"/>
      <c r="AO50" s="4"/>
      <c r="AP50" s="4"/>
      <c r="AQ50" s="4"/>
      <c r="AR50" s="4"/>
      <c r="AS50" s="4"/>
      <c r="AT50" s="4"/>
      <c r="AU50" s="4"/>
      <c r="AV50" s="4"/>
      <c r="AW50" s="4"/>
      <c r="AX50" s="4"/>
      <c r="AY50" s="4"/>
    </row>
    <row r="51" spans="1:1005" ht="14.5" x14ac:dyDescent="0.35">
      <c r="A51" s="121">
        <f>YampaRiverInflow.TotalOutflow!A51</f>
        <v>47574</v>
      </c>
      <c r="B51" s="34">
        <v>9.7159999999999993</v>
      </c>
      <c r="C51" s="12">
        <v>9.7159999999999993</v>
      </c>
      <c r="D51" s="45">
        <v>9.7159999999999993</v>
      </c>
      <c r="E51" s="16">
        <v>14.708754000000001</v>
      </c>
      <c r="F51" s="16">
        <v>23.635946000000001</v>
      </c>
      <c r="G51" s="16">
        <v>6.8406400000000005</v>
      </c>
      <c r="H51" s="16">
        <v>-2.2138499999999999</v>
      </c>
      <c r="I51" s="16">
        <v>19.547470000000001</v>
      </c>
      <c r="J51" s="16">
        <v>11.52768</v>
      </c>
      <c r="K51" s="16">
        <v>17.343669999999999</v>
      </c>
      <c r="L51" s="16">
        <v>13.49269</v>
      </c>
      <c r="M51" s="16">
        <v>4.6643299999999996</v>
      </c>
      <c r="N51" s="16">
        <v>2.3306399999999998</v>
      </c>
      <c r="O51" s="16">
        <v>9.179590000000001</v>
      </c>
      <c r="P51" s="16">
        <v>14.534559999999999</v>
      </c>
      <c r="Q51" s="16">
        <v>4.0880400000000003</v>
      </c>
      <c r="R51" s="16">
        <v>12.77216</v>
      </c>
      <c r="S51" s="16">
        <v>7.4774700000000003</v>
      </c>
      <c r="T51" s="16">
        <v>12.525</v>
      </c>
      <c r="U51" s="16">
        <v>22.5366</v>
      </c>
      <c r="V51" s="16">
        <v>5.4246600000000003</v>
      </c>
      <c r="W51" s="16">
        <v>-1.42597</v>
      </c>
      <c r="X51" s="16">
        <v>9.8915199999999999</v>
      </c>
      <c r="Y51" s="16">
        <v>9.72743</v>
      </c>
      <c r="Z51" s="16">
        <v>15.713943386447099</v>
      </c>
      <c r="AA51" s="16">
        <v>6.6015394221493597</v>
      </c>
      <c r="AB51" s="16">
        <v>32.830230167934701</v>
      </c>
      <c r="AC51" s="16">
        <v>14.096756611570999</v>
      </c>
      <c r="AD51" s="16">
        <v>21.908179504132999</v>
      </c>
      <c r="AE51" s="16">
        <v>18.399011999999999</v>
      </c>
      <c r="AF51" s="16">
        <v>29.763325999999999</v>
      </c>
      <c r="AG51" s="16">
        <v>41.261670000000002</v>
      </c>
      <c r="AH51" s="16">
        <v>7.7661820000000006</v>
      </c>
      <c r="AI51" s="46"/>
      <c r="AJ51" s="46"/>
      <c r="AK51" s="46"/>
      <c r="AL51" s="46"/>
      <c r="AM51" s="46"/>
      <c r="AN51" s="4"/>
      <c r="AO51" s="4"/>
      <c r="AP51" s="4"/>
      <c r="AQ51" s="4"/>
      <c r="AR51" s="4"/>
      <c r="AS51" s="4"/>
      <c r="AT51" s="4"/>
      <c r="AU51" s="4"/>
      <c r="AV51" s="4"/>
      <c r="AW51" s="4"/>
      <c r="AX51" s="4"/>
      <c r="AY51" s="4"/>
    </row>
    <row r="52" spans="1:1005" ht="14.5" x14ac:dyDescent="0.35">
      <c r="A52" s="121">
        <f>YampaRiverInflow.TotalOutflow!A52</f>
        <v>47604</v>
      </c>
      <c r="B52" s="34">
        <v>13.552</v>
      </c>
      <c r="C52" s="12">
        <v>13.552</v>
      </c>
      <c r="D52" s="45">
        <v>13.552</v>
      </c>
      <c r="E52" s="16">
        <v>29.325434000000005</v>
      </c>
      <c r="F52" s="16">
        <v>5.5503300000000007</v>
      </c>
      <c r="G52" s="16">
        <v>8.0619300000000003</v>
      </c>
      <c r="H52" s="16">
        <v>-4.66012</v>
      </c>
      <c r="I52" s="16">
        <v>9.683209999999999</v>
      </c>
      <c r="J52" s="16">
        <v>23.337949999999999</v>
      </c>
      <c r="K52" s="16">
        <v>11.09249</v>
      </c>
      <c r="L52" s="16">
        <v>14.89179</v>
      </c>
      <c r="M52" s="16">
        <v>9.6852700000000009</v>
      </c>
      <c r="N52" s="16">
        <v>5.5847100000000003</v>
      </c>
      <c r="O52" s="16">
        <v>4.1686000000000005</v>
      </c>
      <c r="P52" s="16">
        <v>14.016170000000001</v>
      </c>
      <c r="Q52" s="16">
        <v>5.02379</v>
      </c>
      <c r="R52" s="16">
        <v>16.882990000000003</v>
      </c>
      <c r="S52" s="16">
        <v>3.9549799999999999</v>
      </c>
      <c r="T52" s="16">
        <v>10.53945</v>
      </c>
      <c r="U52" s="16">
        <v>19.5229</v>
      </c>
      <c r="V52" s="16">
        <v>4.9721899999999994</v>
      </c>
      <c r="W52" s="16">
        <v>1.2309300000000001</v>
      </c>
      <c r="X52" s="16">
        <v>4.9847600000000005</v>
      </c>
      <c r="Y52" s="16">
        <v>9.3964200000000009</v>
      </c>
      <c r="Z52" s="16">
        <v>9.2539210713396098</v>
      </c>
      <c r="AA52" s="16">
        <v>5.5819525592733701</v>
      </c>
      <c r="AB52" s="16">
        <v>25.107575702810699</v>
      </c>
      <c r="AC52" s="16">
        <v>32.171070661818902</v>
      </c>
      <c r="AD52" s="16">
        <v>22.140587519075002</v>
      </c>
      <c r="AE52" s="16">
        <v>9.3170699999999993</v>
      </c>
      <c r="AF52" s="16">
        <v>17.687328000000001</v>
      </c>
      <c r="AG52" s="16">
        <v>30.256135999999998</v>
      </c>
      <c r="AH52" s="16">
        <v>9.5716059999999992</v>
      </c>
      <c r="AI52" s="46"/>
      <c r="AJ52" s="46"/>
      <c r="AK52" s="46"/>
      <c r="AL52" s="46"/>
      <c r="AM52" s="46"/>
      <c r="AN52" s="4"/>
      <c r="AO52" s="4"/>
      <c r="AP52" s="4"/>
      <c r="AQ52" s="4"/>
      <c r="AR52" s="4"/>
      <c r="AS52" s="4"/>
      <c r="AT52" s="4"/>
      <c r="AU52" s="4"/>
      <c r="AV52" s="4"/>
      <c r="AW52" s="4"/>
      <c r="AX52" s="4"/>
      <c r="AY52" s="4"/>
    </row>
    <row r="53" spans="1:1005" ht="14.5" x14ac:dyDescent="0.35">
      <c r="A53" s="121">
        <f>YampaRiverInflow.TotalOutflow!A53</f>
        <v>47635</v>
      </c>
      <c r="B53" s="34">
        <v>9.6039999999999992</v>
      </c>
      <c r="C53" s="12">
        <v>9.6039999999999992</v>
      </c>
      <c r="D53" s="45">
        <v>9.6039999999999992</v>
      </c>
      <c r="E53" s="16">
        <v>16.706314000000003</v>
      </c>
      <c r="F53" s="16">
        <v>1.3633040000000001</v>
      </c>
      <c r="G53" s="16">
        <v>-0.79383999999999999</v>
      </c>
      <c r="H53" s="16">
        <v>-23.251810000000003</v>
      </c>
      <c r="I53" s="16">
        <v>12.69872</v>
      </c>
      <c r="J53" s="16">
        <v>19.039000000000001</v>
      </c>
      <c r="K53" s="16">
        <v>6.8687700000000005</v>
      </c>
      <c r="L53" s="16">
        <v>14.246139999999999</v>
      </c>
      <c r="M53" s="16">
        <v>18.845080000000003</v>
      </c>
      <c r="N53" s="16">
        <v>7.4909099999999995</v>
      </c>
      <c r="O53" s="16">
        <v>13.8124</v>
      </c>
      <c r="P53" s="16">
        <v>24.775919999999999</v>
      </c>
      <c r="Q53" s="16">
        <v>9.7531100000000013</v>
      </c>
      <c r="R53" s="16">
        <v>18.740459999999999</v>
      </c>
      <c r="S53" s="16">
        <v>5.9942099999999998</v>
      </c>
      <c r="T53" s="16">
        <v>10.93661</v>
      </c>
      <c r="U53" s="16">
        <v>14.07673</v>
      </c>
      <c r="V53" s="16">
        <v>3.54962</v>
      </c>
      <c r="W53" s="16">
        <v>6.4226899999999993</v>
      </c>
      <c r="X53" s="16">
        <v>10.59356</v>
      </c>
      <c r="Y53" s="16">
        <v>1.32226</v>
      </c>
      <c r="Z53" s="16">
        <v>6.9610190102487604</v>
      </c>
      <c r="AA53" s="16">
        <v>13.6235045447941</v>
      </c>
      <c r="AB53" s="16">
        <v>21.1430438016537</v>
      </c>
      <c r="AC53" s="16">
        <v>42.150180575868696</v>
      </c>
      <c r="AD53" s="16">
        <v>13.4754590082651</v>
      </c>
      <c r="AE53" s="16">
        <v>19.542680000000001</v>
      </c>
      <c r="AF53" s="16">
        <v>1.2684000000000002</v>
      </c>
      <c r="AG53" s="16">
        <v>4.9412060000000002</v>
      </c>
      <c r="AH53" s="16">
        <v>-1.180104</v>
      </c>
      <c r="AI53" s="46"/>
      <c r="AJ53" s="46"/>
      <c r="AK53" s="46"/>
      <c r="AL53" s="46"/>
      <c r="AM53" s="46"/>
      <c r="AN53" s="4"/>
      <c r="AO53" s="4"/>
      <c r="AP53" s="4"/>
      <c r="AQ53" s="4"/>
      <c r="AR53" s="4"/>
      <c r="AS53" s="4"/>
      <c r="AT53" s="4"/>
      <c r="AU53" s="4"/>
      <c r="AV53" s="4"/>
      <c r="AW53" s="4"/>
      <c r="AX53" s="4"/>
      <c r="AY53" s="4"/>
    </row>
    <row r="54" spans="1:1005" ht="14.5" x14ac:dyDescent="0.35">
      <c r="A54" s="121">
        <f>YampaRiverInflow.TotalOutflow!A54</f>
        <v>47665</v>
      </c>
      <c r="B54" s="34">
        <v>2.758</v>
      </c>
      <c r="C54" s="12">
        <v>2.758</v>
      </c>
      <c r="D54" s="45">
        <v>2.758</v>
      </c>
      <c r="E54" s="16">
        <v>20.697440000000004</v>
      </c>
      <c r="F54" s="16">
        <v>17.755964000000002</v>
      </c>
      <c r="G54" s="16">
        <v>11.63293</v>
      </c>
      <c r="H54" s="16">
        <v>-12.476629999999998</v>
      </c>
      <c r="I54" s="16">
        <v>23.625509999999998</v>
      </c>
      <c r="J54" s="16">
        <v>20.54889</v>
      </c>
      <c r="K54" s="16">
        <v>8.319090000000001</v>
      </c>
      <c r="L54" s="16">
        <v>20.105460000000001</v>
      </c>
      <c r="M54" s="16">
        <v>19.50067</v>
      </c>
      <c r="N54" s="16">
        <v>8.3446700000000007</v>
      </c>
      <c r="O54" s="16">
        <v>18.455950000000001</v>
      </c>
      <c r="P54" s="16">
        <v>31.79073</v>
      </c>
      <c r="Q54" s="16">
        <v>14.55987</v>
      </c>
      <c r="R54" s="16">
        <v>21.886839999999999</v>
      </c>
      <c r="S54" s="16">
        <v>25.583909999999999</v>
      </c>
      <c r="T54" s="16">
        <v>21.074020000000001</v>
      </c>
      <c r="U54" s="16">
        <v>18.544400000000003</v>
      </c>
      <c r="V54" s="16">
        <v>6.5901300000000003</v>
      </c>
      <c r="W54" s="16">
        <v>14.91146</v>
      </c>
      <c r="X54" s="16">
        <v>14.38373</v>
      </c>
      <c r="Y54" s="16">
        <v>27.614090000000001</v>
      </c>
      <c r="Z54" s="16">
        <v>12.5574148766291</v>
      </c>
      <c r="AA54" s="16">
        <v>24.781192150480202</v>
      </c>
      <c r="AB54" s="16">
        <v>16.943357023537999</v>
      </c>
      <c r="AC54" s="16">
        <v>39.1588780983151</v>
      </c>
      <c r="AD54" s="16">
        <v>23.713968098447001</v>
      </c>
      <c r="AE54" s="16">
        <v>3.5028120000000005</v>
      </c>
      <c r="AF54" s="16">
        <v>15.702810000000001</v>
      </c>
      <c r="AG54" s="16">
        <v>2.0310160000000002</v>
      </c>
      <c r="AH54" s="16">
        <v>8.0089059999999996</v>
      </c>
      <c r="AI54" s="46"/>
      <c r="AJ54" s="46"/>
      <c r="AK54" s="46"/>
      <c r="AL54" s="46"/>
      <c r="AM54" s="46"/>
      <c r="AN54" s="4"/>
      <c r="AO54" s="4"/>
      <c r="AP54" s="4"/>
      <c r="AQ54" s="4"/>
      <c r="AR54" s="4"/>
      <c r="AS54" s="4"/>
      <c r="AT54" s="4"/>
      <c r="AU54" s="4"/>
      <c r="AV54" s="4"/>
      <c r="AW54" s="4"/>
      <c r="AX54" s="4"/>
      <c r="AY54" s="4"/>
    </row>
    <row r="55" spans="1:1005" ht="14.5" x14ac:dyDescent="0.35">
      <c r="A55" s="121">
        <f>YampaRiverInflow.TotalOutflow!A55</f>
        <v>47696</v>
      </c>
      <c r="B55" s="34">
        <v>-1.341</v>
      </c>
      <c r="C55" s="12">
        <v>-1.341</v>
      </c>
      <c r="D55" s="45">
        <v>-1.341</v>
      </c>
      <c r="E55" s="16">
        <v>20.660824000000002</v>
      </c>
      <c r="F55" s="16">
        <v>13.796706</v>
      </c>
      <c r="G55" s="16">
        <v>9.7706299999999988</v>
      </c>
      <c r="H55" s="16">
        <v>7.4435000000000002</v>
      </c>
      <c r="I55" s="16">
        <v>20.504860000000001</v>
      </c>
      <c r="J55" s="16">
        <v>22.135639999999999</v>
      </c>
      <c r="K55" s="16">
        <v>5.2130799999999997</v>
      </c>
      <c r="L55" s="16">
        <v>14.802440000000001</v>
      </c>
      <c r="M55" s="16">
        <v>21.94164</v>
      </c>
      <c r="N55" s="16">
        <v>8.4181799999999996</v>
      </c>
      <c r="O55" s="16">
        <v>21.659500000000001</v>
      </c>
      <c r="P55" s="16">
        <v>35.8294</v>
      </c>
      <c r="Q55" s="16">
        <v>14.210139999999999</v>
      </c>
      <c r="R55" s="16">
        <v>24.195160000000001</v>
      </c>
      <c r="S55" s="16">
        <v>26.496269999999999</v>
      </c>
      <c r="T55" s="16">
        <v>24.024999999999999</v>
      </c>
      <c r="U55" s="16">
        <v>22.344560000000001</v>
      </c>
      <c r="V55" s="16">
        <v>9.8739599999999985</v>
      </c>
      <c r="W55" s="16">
        <v>13.84548</v>
      </c>
      <c r="X55" s="16">
        <v>16.93469</v>
      </c>
      <c r="Y55" s="16">
        <v>14.48996</v>
      </c>
      <c r="Z55" s="16">
        <v>14.623601239406</v>
      </c>
      <c r="AA55" s="16">
        <v>29.351938843042298</v>
      </c>
      <c r="AB55" s="16">
        <v>10.6373367791084</v>
      </c>
      <c r="AC55" s="16">
        <v>32.4739838860175</v>
      </c>
      <c r="AD55" s="16">
        <v>32.289258266844001</v>
      </c>
      <c r="AE55" s="16">
        <v>21.988620000000001</v>
      </c>
      <c r="AF55" s="16">
        <v>28.766426000000003</v>
      </c>
      <c r="AG55" s="16">
        <v>19.739957999999998</v>
      </c>
      <c r="AH55" s="16">
        <v>11.451958000000001</v>
      </c>
      <c r="AI55" s="46"/>
      <c r="AJ55" s="46"/>
      <c r="AK55" s="46"/>
      <c r="AL55" s="46"/>
      <c r="AM55" s="46"/>
      <c r="AN55" s="4"/>
      <c r="AO55" s="4"/>
      <c r="AP55" s="4"/>
      <c r="AQ55" s="4"/>
      <c r="AR55" s="4"/>
      <c r="AS55" s="4"/>
      <c r="AT55" s="4"/>
      <c r="AU55" s="4"/>
      <c r="AV55" s="4"/>
      <c r="AW55" s="4"/>
      <c r="AX55" s="4"/>
      <c r="AY55" s="4"/>
    </row>
    <row r="56" spans="1:1005" ht="14.5" x14ac:dyDescent="0.35">
      <c r="A56" s="121">
        <f>YampaRiverInflow.TotalOutflow!A56</f>
        <v>47727</v>
      </c>
      <c r="B56" s="34">
        <v>5.1230000000000002</v>
      </c>
      <c r="C56" s="12">
        <v>5.1230000000000002</v>
      </c>
      <c r="D56" s="45">
        <v>5.1230000000000002</v>
      </c>
      <c r="E56" s="16">
        <v>14.839589999999999</v>
      </c>
      <c r="F56" s="16">
        <v>10.647540000000001</v>
      </c>
      <c r="G56" s="16">
        <v>-6.0112700000000006</v>
      </c>
      <c r="H56" s="16">
        <v>19.914009999999998</v>
      </c>
      <c r="I56" s="16">
        <v>13.555149999999999</v>
      </c>
      <c r="J56" s="16">
        <v>15.397549999999999</v>
      </c>
      <c r="K56" s="16">
        <v>7.1036899999999994</v>
      </c>
      <c r="L56" s="16">
        <v>8.6973899999999986</v>
      </c>
      <c r="M56" s="16">
        <v>11.841569999999999</v>
      </c>
      <c r="N56" s="16">
        <v>3.6388400000000001</v>
      </c>
      <c r="O56" s="16">
        <v>18.084299999999999</v>
      </c>
      <c r="P56" s="16">
        <v>24.926950000000001</v>
      </c>
      <c r="Q56" s="16">
        <v>13.032249999999999</v>
      </c>
      <c r="R56" s="16">
        <v>14.707469999999999</v>
      </c>
      <c r="S56" s="16">
        <v>15.101129999999999</v>
      </c>
      <c r="T56" s="16">
        <v>9.3519199999999998</v>
      </c>
      <c r="U56" s="16">
        <v>35.037589999999994</v>
      </c>
      <c r="V56" s="16">
        <v>-2.8639899999999998</v>
      </c>
      <c r="W56" s="16">
        <v>6.7481800000000005</v>
      </c>
      <c r="X56" s="16">
        <v>15.02529</v>
      </c>
      <c r="Y56" s="16">
        <v>11.451879999999999</v>
      </c>
      <c r="Z56" s="16">
        <v>13.1848636376867</v>
      </c>
      <c r="AA56" s="16">
        <v>8.3238249586783297</v>
      </c>
      <c r="AB56" s="16">
        <v>19.8346958697528</v>
      </c>
      <c r="AC56" s="16">
        <v>16.409711323636998</v>
      </c>
      <c r="AD56" s="16">
        <v>25.7866844641329</v>
      </c>
      <c r="AE56" s="16">
        <v>21.500264000000001</v>
      </c>
      <c r="AF56" s="16">
        <v>26.366382000000002</v>
      </c>
      <c r="AG56" s="16">
        <v>15.737406</v>
      </c>
      <c r="AH56" s="16">
        <v>14.914582000000003</v>
      </c>
      <c r="AI56" s="46"/>
      <c r="AJ56" s="46"/>
      <c r="AK56" s="46"/>
      <c r="AL56" s="46"/>
      <c r="AM56" s="46"/>
      <c r="AN56" s="4"/>
      <c r="AO56" s="4"/>
      <c r="AP56" s="4"/>
      <c r="AQ56" s="4"/>
      <c r="AR56" s="4"/>
      <c r="AS56" s="4"/>
      <c r="AT56" s="4"/>
      <c r="AU56" s="4"/>
      <c r="AV56" s="4"/>
      <c r="AW56" s="4"/>
      <c r="AX56" s="4"/>
      <c r="AY56" s="4"/>
    </row>
    <row r="57" spans="1:1005" ht="14.5" x14ac:dyDescent="0.35">
      <c r="A57" s="121">
        <f>YampaRiverInflow.TotalOutflow!A57</f>
        <v>47757</v>
      </c>
      <c r="B57" s="34">
        <v>4.0090000000000003</v>
      </c>
      <c r="C57" s="12">
        <v>4.0090000000000003</v>
      </c>
      <c r="D57" s="45">
        <v>4.0090000000000003</v>
      </c>
      <c r="E57" s="16">
        <v>12.135444000000001</v>
      </c>
      <c r="F57" s="16">
        <v>6.3876860000000004</v>
      </c>
      <c r="G57" s="16">
        <v>-7.82599</v>
      </c>
      <c r="H57" s="16">
        <v>24.362849999999998</v>
      </c>
      <c r="I57" s="16">
        <v>10.95425</v>
      </c>
      <c r="J57" s="16">
        <v>11.723360000000001</v>
      </c>
      <c r="K57" s="16">
        <v>4.6145899999999997</v>
      </c>
      <c r="L57" s="16">
        <v>6.6953500000000004</v>
      </c>
      <c r="M57" s="16">
        <v>9.5123700000000007</v>
      </c>
      <c r="N57" s="16">
        <v>-0.49925999999999998</v>
      </c>
      <c r="O57" s="16">
        <v>18.132660000000001</v>
      </c>
      <c r="P57" s="16">
        <v>19.22006</v>
      </c>
      <c r="Q57" s="16">
        <v>10.97871</v>
      </c>
      <c r="R57" s="16">
        <v>13.21185</v>
      </c>
      <c r="S57" s="16">
        <v>14.04824</v>
      </c>
      <c r="T57" s="16">
        <v>6.9533999999999994</v>
      </c>
      <c r="U57" s="16">
        <v>23.35398</v>
      </c>
      <c r="V57" s="16">
        <v>-2.8656299999999999</v>
      </c>
      <c r="W57" s="16">
        <v>2.3012199999999998</v>
      </c>
      <c r="X57" s="16">
        <v>14.73507</v>
      </c>
      <c r="Y57" s="16">
        <v>8.505370000000001</v>
      </c>
      <c r="Z57" s="16">
        <v>9.0830627261494108</v>
      </c>
      <c r="AA57" s="16">
        <v>-6.2740460311398598</v>
      </c>
      <c r="AB57" s="16">
        <v>25.002335616926402</v>
      </c>
      <c r="AC57" s="16">
        <v>7.7553593381164196</v>
      </c>
      <c r="AD57" s="16">
        <v>26.857120247405899</v>
      </c>
      <c r="AE57" s="16">
        <v>8.6108960000000003</v>
      </c>
      <c r="AF57" s="16">
        <v>17.934583999999997</v>
      </c>
      <c r="AG57" s="16">
        <v>11.836898000000001</v>
      </c>
      <c r="AH57" s="16">
        <v>11.503132000000001</v>
      </c>
      <c r="AI57" s="46"/>
      <c r="AJ57" s="46"/>
      <c r="AK57" s="46"/>
      <c r="AL57" s="46"/>
      <c r="AM57" s="46"/>
      <c r="AN57" s="4"/>
      <c r="AO57" s="4"/>
      <c r="AP57" s="4"/>
      <c r="AQ57" s="4"/>
      <c r="AR57" s="4"/>
      <c r="AS57" s="4"/>
      <c r="AT57" s="4"/>
      <c r="AU57" s="4"/>
      <c r="AV57" s="4"/>
      <c r="AW57" s="4"/>
      <c r="AX57" s="4"/>
      <c r="AY57" s="4"/>
    </row>
    <row r="58" spans="1:1005" ht="14.5" x14ac:dyDescent="0.35">
      <c r="A58" s="121">
        <f>YampaRiverInflow.TotalOutflow!A58</f>
        <v>47788</v>
      </c>
      <c r="B58" s="34">
        <v>0.72299999999999998</v>
      </c>
      <c r="C58" s="12">
        <v>0.72299999999999998</v>
      </c>
      <c r="D58" s="45">
        <v>0.72299999999999998</v>
      </c>
      <c r="E58" s="16">
        <v>15.820898000000001</v>
      </c>
      <c r="F58" s="16">
        <v>14.533392000000001</v>
      </c>
      <c r="G58" s="16">
        <v>-12.37326</v>
      </c>
      <c r="H58" s="16">
        <v>14.93168</v>
      </c>
      <c r="I58" s="16">
        <v>-5.1652700000000005</v>
      </c>
      <c r="J58" s="16">
        <v>10.395850000000001</v>
      </c>
      <c r="K58" s="16">
        <v>4.0648400000000002</v>
      </c>
      <c r="L58" s="16">
        <v>3.5380700000000003</v>
      </c>
      <c r="M58" s="16">
        <v>7.5272700000000006</v>
      </c>
      <c r="N58" s="16">
        <v>13.11669</v>
      </c>
      <c r="O58" s="16">
        <v>15.47784</v>
      </c>
      <c r="P58" s="16">
        <v>21.893450000000001</v>
      </c>
      <c r="Q58" s="16">
        <v>12.1463</v>
      </c>
      <c r="R58" s="16">
        <v>8.651209999999999</v>
      </c>
      <c r="S58" s="16">
        <v>9.7618099999999988</v>
      </c>
      <c r="T58" s="16">
        <v>16.488720000000001</v>
      </c>
      <c r="U58" s="16">
        <v>4.6226700000000003</v>
      </c>
      <c r="V58" s="16">
        <v>5.9689499999999995</v>
      </c>
      <c r="W58" s="16">
        <v>-1.0023</v>
      </c>
      <c r="X58" s="16">
        <v>2.8529</v>
      </c>
      <c r="Y58" s="16">
        <v>5.8924399999999997</v>
      </c>
      <c r="Z58" s="16">
        <v>3.9897065276040999</v>
      </c>
      <c r="AA58" s="16">
        <v>-11.4351155371894</v>
      </c>
      <c r="AB58" s="16">
        <v>6.3263246300834401</v>
      </c>
      <c r="AC58" s="16">
        <v>3.8446132224799099</v>
      </c>
      <c r="AD58" s="16">
        <v>10.148976943471901</v>
      </c>
      <c r="AE58" s="16">
        <v>8.991363999999999</v>
      </c>
      <c r="AF58" s="16">
        <v>10.960080000000001</v>
      </c>
      <c r="AG58" s="16">
        <v>12.147136</v>
      </c>
      <c r="AH58" s="16">
        <v>3.6625680000000003</v>
      </c>
      <c r="AI58" s="46"/>
      <c r="AJ58" s="46"/>
      <c r="AK58" s="46"/>
      <c r="AL58" s="46"/>
      <c r="AM58" s="46"/>
      <c r="AN58" s="4"/>
      <c r="AO58" s="4"/>
      <c r="AP58" s="4"/>
      <c r="AQ58" s="4"/>
      <c r="AR58" s="4"/>
      <c r="AS58" s="4"/>
      <c r="AT58" s="4"/>
      <c r="AU58" s="4"/>
      <c r="AV58" s="4"/>
      <c r="AW58" s="4"/>
      <c r="AX58" s="4"/>
      <c r="AY58" s="4"/>
    </row>
    <row r="59" spans="1:1005" ht="14.5" x14ac:dyDescent="0.35">
      <c r="A59" s="121">
        <f>YampaRiverInflow.TotalOutflow!A59</f>
        <v>47818</v>
      </c>
      <c r="B59" s="34">
        <v>2.6349999999999998</v>
      </c>
      <c r="C59" s="12">
        <v>2.6349999999999998</v>
      </c>
      <c r="D59" s="45">
        <v>2.6349999999999998</v>
      </c>
      <c r="E59" s="16">
        <v>16.272072000000001</v>
      </c>
      <c r="F59" s="16">
        <v>6.2282960000000003</v>
      </c>
      <c r="G59" s="16">
        <v>-16.238409999999998</v>
      </c>
      <c r="H59" s="16">
        <v>12.00187</v>
      </c>
      <c r="I59" s="16">
        <v>6.5915499999999998</v>
      </c>
      <c r="J59" s="16">
        <v>12.228569999999999</v>
      </c>
      <c r="K59" s="16">
        <v>1.01868</v>
      </c>
      <c r="L59" s="16">
        <v>6.6875100000000005</v>
      </c>
      <c r="M59" s="16">
        <v>11.483219999999999</v>
      </c>
      <c r="N59" s="16">
        <v>-2.7016499999999999</v>
      </c>
      <c r="O59" s="16">
        <v>25.948370000000001</v>
      </c>
      <c r="P59" s="16">
        <v>22.778939999999999</v>
      </c>
      <c r="Q59" s="16">
        <v>11.792920000000001</v>
      </c>
      <c r="R59" s="16">
        <v>17.610810000000001</v>
      </c>
      <c r="S59" s="16">
        <v>24.307770000000001</v>
      </c>
      <c r="T59" s="16">
        <v>18.407709999999998</v>
      </c>
      <c r="U59" s="16">
        <v>2.61571</v>
      </c>
      <c r="V59" s="16">
        <v>-1.4079200000000001</v>
      </c>
      <c r="W59" s="16">
        <v>-6.0315000000000003</v>
      </c>
      <c r="X59" s="16">
        <v>15.691600000000001</v>
      </c>
      <c r="Y59" s="16">
        <v>6.0872700000000002</v>
      </c>
      <c r="Z59" s="16">
        <v>14.668721902282002</v>
      </c>
      <c r="AA59" s="16">
        <v>-6.0504652876024405</v>
      </c>
      <c r="AB59" s="16">
        <v>3.9440781003643801</v>
      </c>
      <c r="AC59" s="16">
        <v>5.96184380284366</v>
      </c>
      <c r="AD59" s="16">
        <v>-3.3022761146438002</v>
      </c>
      <c r="AE59" s="16">
        <v>16.566911999999999</v>
      </c>
      <c r="AF59" s="16">
        <v>23.606604000000004</v>
      </c>
      <c r="AG59" s="16">
        <v>11.927992</v>
      </c>
      <c r="AH59" s="16">
        <v>18.697578</v>
      </c>
      <c r="AI59" s="46"/>
      <c r="AJ59" s="46"/>
      <c r="AK59" s="46"/>
      <c r="AL59" s="46"/>
      <c r="AM59" s="46"/>
      <c r="AN59" s="4"/>
      <c r="AO59" s="4"/>
      <c r="AP59" s="4"/>
      <c r="AQ59" s="4"/>
      <c r="AR59" s="4"/>
      <c r="AS59" s="4"/>
      <c r="AT59" s="4"/>
      <c r="AU59" s="4"/>
      <c r="AV59" s="4"/>
      <c r="AW59" s="4"/>
      <c r="AX59" s="4"/>
      <c r="AY59" s="4"/>
    </row>
    <row r="60" spans="1:1005" ht="14.5" x14ac:dyDescent="0.35">
      <c r="A60" s="121">
        <f>YampaRiverInflow.TotalOutflow!A60</f>
        <v>47849</v>
      </c>
      <c r="B60" s="34">
        <v>3.6709999999999998</v>
      </c>
      <c r="C60" s="12">
        <v>3.6709999999999998</v>
      </c>
      <c r="D60" s="45">
        <v>3.6709999999999998</v>
      </c>
      <c r="E60" s="16">
        <v>11.366462</v>
      </c>
      <c r="F60" s="16">
        <v>12.906422000000001</v>
      </c>
      <c r="G60" s="16">
        <v>-12.26146</v>
      </c>
      <c r="H60" s="16">
        <v>9.9685600000000001</v>
      </c>
      <c r="I60" s="16">
        <v>3.9182399999999999</v>
      </c>
      <c r="J60" s="16">
        <v>5.2524799999999994</v>
      </c>
      <c r="K60" s="16">
        <v>0.65434000000000003</v>
      </c>
      <c r="L60" s="16">
        <v>10.38495</v>
      </c>
      <c r="M60" s="16">
        <v>14.23559</v>
      </c>
      <c r="N60" s="16">
        <v>9.8203300000000002</v>
      </c>
      <c r="O60" s="16">
        <v>24.700430000000001</v>
      </c>
      <c r="P60" s="16">
        <v>22.069479999999999</v>
      </c>
      <c r="Q60" s="16">
        <v>12.57952</v>
      </c>
      <c r="R60" s="16">
        <v>19.210369999999998</v>
      </c>
      <c r="S60" s="16">
        <v>24.414390000000001</v>
      </c>
      <c r="T60" s="16">
        <v>14.356399999999999</v>
      </c>
      <c r="U60" s="16">
        <v>-5.5168900000000001</v>
      </c>
      <c r="V60" s="16">
        <v>8.7599999999999997E-2</v>
      </c>
      <c r="W60" s="16">
        <v>10.52117</v>
      </c>
      <c r="X60" s="16">
        <v>15.80128</v>
      </c>
      <c r="Y60" s="16">
        <v>7.4489752076703502</v>
      </c>
      <c r="Z60" s="16">
        <v>19.8163140489265</v>
      </c>
      <c r="AA60" s="16">
        <v>0.31217231431502396</v>
      </c>
      <c r="AB60" s="16">
        <v>11.158060331372901</v>
      </c>
      <c r="AC60" s="16">
        <v>7.7495685923312703</v>
      </c>
      <c r="AD60" s="16">
        <v>16.305914000000001</v>
      </c>
      <c r="AE60" s="16">
        <v>18.317238</v>
      </c>
      <c r="AF60" s="16">
        <v>101.21908400000001</v>
      </c>
      <c r="AG60" s="16">
        <v>14.084605999999999</v>
      </c>
      <c r="AH60" s="16">
        <v>35.531559999999999</v>
      </c>
      <c r="AI60" s="46"/>
      <c r="AJ60" s="46"/>
      <c r="AK60" s="46"/>
      <c r="AL60" s="46"/>
      <c r="AM60" s="46"/>
      <c r="AN60" s="4"/>
      <c r="AO60" s="4"/>
      <c r="AP60" s="4"/>
      <c r="AQ60" s="4"/>
      <c r="AR60" s="4"/>
      <c r="AS60" s="4"/>
      <c r="AT60" s="4"/>
      <c r="AU60" s="4"/>
      <c r="AV60" s="4"/>
      <c r="AW60" s="4"/>
      <c r="AX60" s="4"/>
      <c r="AY60" s="4"/>
    </row>
    <row r="61" spans="1:1005" ht="14.5" x14ac:dyDescent="0.35">
      <c r="A61" s="121">
        <f>YampaRiverInflow.TotalOutflow!A61</f>
        <v>47880</v>
      </c>
      <c r="B61" s="34">
        <v>7.7359999999999998</v>
      </c>
      <c r="C61" s="12">
        <v>7.7359999999999998</v>
      </c>
      <c r="D61" s="45">
        <v>7.7359999999999998</v>
      </c>
      <c r="E61" s="16">
        <v>10.668854</v>
      </c>
      <c r="F61" s="16">
        <v>-2.5262600000000002</v>
      </c>
      <c r="G61" s="16">
        <v>-10.192350000000001</v>
      </c>
      <c r="H61" s="16">
        <v>6.2821099999999994</v>
      </c>
      <c r="I61" s="16">
        <v>3.13246</v>
      </c>
      <c r="J61" s="16">
        <v>4.1601400000000002</v>
      </c>
      <c r="K61" s="16">
        <v>2.8380700000000001</v>
      </c>
      <c r="L61" s="16">
        <v>9.7490100000000002</v>
      </c>
      <c r="M61" s="16">
        <v>16.001570000000001</v>
      </c>
      <c r="N61" s="16">
        <v>9.5720700000000001</v>
      </c>
      <c r="O61" s="16">
        <v>21.740169999999999</v>
      </c>
      <c r="P61" s="16">
        <v>14.98456</v>
      </c>
      <c r="Q61" s="16">
        <v>10.01197</v>
      </c>
      <c r="R61" s="16">
        <v>10.48507</v>
      </c>
      <c r="S61" s="16">
        <v>13.671299999999999</v>
      </c>
      <c r="T61" s="16">
        <v>11.7835</v>
      </c>
      <c r="U61" s="16">
        <v>1.5763499999999999</v>
      </c>
      <c r="V61" s="16">
        <v>-4.5615100000000002</v>
      </c>
      <c r="W61" s="16">
        <v>4.3772399999999996</v>
      </c>
      <c r="X61" s="16">
        <v>6.30464</v>
      </c>
      <c r="Y61" s="16">
        <v>4.0539722308107295</v>
      </c>
      <c r="Z61" s="16">
        <v>9.3226595036040596</v>
      </c>
      <c r="AA61" s="16">
        <v>19.796036777389201</v>
      </c>
      <c r="AB61" s="16">
        <v>11.065682646744701</v>
      </c>
      <c r="AC61" s="16">
        <v>11.6148235514056</v>
      </c>
      <c r="AD61" s="16">
        <v>19.425978000000001</v>
      </c>
      <c r="AE61" s="16">
        <v>27.521836</v>
      </c>
      <c r="AF61" s="16">
        <v>75.754664000000005</v>
      </c>
      <c r="AG61" s="16">
        <v>14.718234000000001</v>
      </c>
      <c r="AH61" s="16">
        <v>33.481140000000003</v>
      </c>
      <c r="AI61" s="46"/>
      <c r="AJ61" s="46"/>
      <c r="AK61" s="46"/>
      <c r="AL61" s="46"/>
      <c r="AM61" s="46"/>
      <c r="AN61" s="4"/>
      <c r="AO61" s="4"/>
      <c r="AP61" s="4"/>
      <c r="AQ61" s="4"/>
      <c r="AR61" s="4"/>
      <c r="AS61" s="4"/>
      <c r="AT61" s="4"/>
      <c r="AU61" s="4"/>
      <c r="AV61" s="4"/>
      <c r="AW61" s="4"/>
      <c r="AX61" s="4"/>
      <c r="AY61" s="4"/>
    </row>
    <row r="62" spans="1:1005" ht="14.5" x14ac:dyDescent="0.35">
      <c r="A62" s="121">
        <f>YampaRiverInflow.TotalOutflow!A62</f>
        <v>47908</v>
      </c>
      <c r="B62" s="34">
        <v>7.1230000000000002</v>
      </c>
      <c r="C62" s="12">
        <v>7.1230000000000002</v>
      </c>
      <c r="D62" s="45">
        <v>7.1230000000000002</v>
      </c>
      <c r="E62" s="16">
        <v>-10.494788</v>
      </c>
      <c r="F62" s="16">
        <v>-5.3588699999999996</v>
      </c>
      <c r="G62" s="16">
        <v>-15.49112</v>
      </c>
      <c r="H62" s="16">
        <v>36.322969999999998</v>
      </c>
      <c r="I62" s="16">
        <v>9.210090000000001</v>
      </c>
      <c r="J62" s="16">
        <v>5.7764899999999999</v>
      </c>
      <c r="K62" s="16">
        <v>9.2872199999999996</v>
      </c>
      <c r="L62" s="16">
        <v>8.1139899999999994</v>
      </c>
      <c r="M62" s="16">
        <v>9.8301200000000009</v>
      </c>
      <c r="N62" s="16">
        <v>14.49926</v>
      </c>
      <c r="O62" s="16">
        <v>12.03308</v>
      </c>
      <c r="P62" s="16">
        <v>4.5342399999999996</v>
      </c>
      <c r="Q62" s="16">
        <v>19.332849999999997</v>
      </c>
      <c r="R62" s="16">
        <v>6.37479</v>
      </c>
      <c r="S62" s="16">
        <v>9.2942099999999996</v>
      </c>
      <c r="T62" s="16">
        <v>12.6425</v>
      </c>
      <c r="U62" s="16">
        <v>6.9273500000000006</v>
      </c>
      <c r="V62" s="16">
        <v>-7.20953</v>
      </c>
      <c r="W62" s="16">
        <v>6.0791599999999999</v>
      </c>
      <c r="X62" s="16">
        <v>6.5443199999999999</v>
      </c>
      <c r="Y62" s="16">
        <v>12.9016643799678</v>
      </c>
      <c r="Z62" s="16">
        <v>7.2940712366949301</v>
      </c>
      <c r="AA62" s="16">
        <v>35.068694212232302</v>
      </c>
      <c r="AB62" s="16">
        <v>6.2901128095215002</v>
      </c>
      <c r="AC62" s="16">
        <v>18.741606197686799</v>
      </c>
      <c r="AD62" s="16">
        <v>26.794340000000005</v>
      </c>
      <c r="AE62" s="16">
        <v>39.915998000000002</v>
      </c>
      <c r="AF62" s="16">
        <v>66.375816</v>
      </c>
      <c r="AG62" s="16">
        <v>17.63081</v>
      </c>
      <c r="AH62" s="16">
        <v>62.605969999999999</v>
      </c>
      <c r="AI62" s="46"/>
      <c r="AJ62" s="46"/>
      <c r="AK62" s="46"/>
      <c r="AL62" s="46"/>
      <c r="AM62" s="46"/>
      <c r="AN62" s="4"/>
      <c r="AO62" s="4"/>
      <c r="AP62" s="4"/>
      <c r="AQ62" s="4"/>
      <c r="AR62" s="4"/>
      <c r="AS62" s="4"/>
      <c r="AT62" s="4"/>
      <c r="AU62" s="4"/>
      <c r="AV62" s="4"/>
      <c r="AW62" s="4"/>
      <c r="AX62" s="4"/>
      <c r="AY62" s="4"/>
    </row>
    <row r="63" spans="1:1005" ht="14.5" x14ac:dyDescent="0.35">
      <c r="A63" s="121">
        <f>YampaRiverInflow.TotalOutflow!A63</f>
        <v>47939</v>
      </c>
      <c r="B63" s="34">
        <v>9.7159999999999993</v>
      </c>
      <c r="C63" s="12">
        <v>9.7159999999999993</v>
      </c>
      <c r="D63" s="45">
        <v>9.7159999999999993</v>
      </c>
      <c r="E63" s="16">
        <v>23.635946000000001</v>
      </c>
      <c r="F63" s="16">
        <v>6.8406400000000005</v>
      </c>
      <c r="G63" s="16">
        <v>-2.2138499999999999</v>
      </c>
      <c r="H63" s="16">
        <v>19.547470000000001</v>
      </c>
      <c r="I63" s="16">
        <v>11.52768</v>
      </c>
      <c r="J63" s="16">
        <v>17.343669999999999</v>
      </c>
      <c r="K63" s="16">
        <v>13.49269</v>
      </c>
      <c r="L63" s="16">
        <v>4.6643299999999996</v>
      </c>
      <c r="M63" s="16">
        <v>2.3306399999999998</v>
      </c>
      <c r="N63" s="16">
        <v>9.179590000000001</v>
      </c>
      <c r="O63" s="16">
        <v>14.534559999999999</v>
      </c>
      <c r="P63" s="16">
        <v>4.0880400000000003</v>
      </c>
      <c r="Q63" s="16">
        <v>12.77216</v>
      </c>
      <c r="R63" s="16">
        <v>7.4774700000000003</v>
      </c>
      <c r="S63" s="16">
        <v>12.525</v>
      </c>
      <c r="T63" s="16">
        <v>22.5366</v>
      </c>
      <c r="U63" s="16">
        <v>5.4246600000000003</v>
      </c>
      <c r="V63" s="16">
        <v>-1.42597</v>
      </c>
      <c r="W63" s="16">
        <v>9.8915199999999999</v>
      </c>
      <c r="X63" s="16">
        <v>9.72743</v>
      </c>
      <c r="Y63" s="16">
        <v>15.713943386447099</v>
      </c>
      <c r="Z63" s="16">
        <v>6.6015394221493597</v>
      </c>
      <c r="AA63" s="16">
        <v>32.830230167934701</v>
      </c>
      <c r="AB63" s="16">
        <v>14.096756611570999</v>
      </c>
      <c r="AC63" s="16">
        <v>21.908179504132999</v>
      </c>
      <c r="AD63" s="16">
        <v>18.399011999999999</v>
      </c>
      <c r="AE63" s="16">
        <v>29.763325999999999</v>
      </c>
      <c r="AF63" s="16">
        <v>41.261670000000002</v>
      </c>
      <c r="AG63" s="16">
        <v>7.7661820000000006</v>
      </c>
      <c r="AH63" s="16">
        <v>14.708754000000001</v>
      </c>
      <c r="AI63" s="46"/>
      <c r="AJ63" s="46"/>
      <c r="AK63" s="46"/>
      <c r="AL63" s="46"/>
      <c r="AM63" s="46"/>
      <c r="AN63" s="4"/>
      <c r="AO63" s="4"/>
      <c r="AP63" s="4"/>
      <c r="AQ63" s="4"/>
      <c r="AR63" s="4"/>
      <c r="AS63" s="4"/>
      <c r="AT63" s="4"/>
      <c r="AU63" s="4"/>
      <c r="AV63" s="4"/>
      <c r="AW63" s="4"/>
      <c r="AX63" s="4"/>
      <c r="AY63" s="4"/>
    </row>
    <row r="64" spans="1:1005" ht="14.5" x14ac:dyDescent="0.35">
      <c r="A64" s="121">
        <f>YampaRiverInflow.TotalOutflow!A64</f>
        <v>47969</v>
      </c>
      <c r="B64" s="34">
        <v>13.552</v>
      </c>
      <c r="C64" s="12">
        <v>13.552</v>
      </c>
      <c r="D64" s="45">
        <v>13.552</v>
      </c>
      <c r="E64" s="16">
        <v>5.5503300000000007</v>
      </c>
      <c r="F64" s="16">
        <v>8.0619300000000003</v>
      </c>
      <c r="G64" s="16">
        <v>-4.66012</v>
      </c>
      <c r="H64" s="16">
        <v>9.683209999999999</v>
      </c>
      <c r="I64" s="16">
        <v>23.337949999999999</v>
      </c>
      <c r="J64" s="16">
        <v>11.09249</v>
      </c>
      <c r="K64" s="16">
        <v>14.89179</v>
      </c>
      <c r="L64" s="16">
        <v>9.6852700000000009</v>
      </c>
      <c r="M64" s="16">
        <v>5.5847100000000003</v>
      </c>
      <c r="N64" s="16">
        <v>4.1686000000000005</v>
      </c>
      <c r="O64" s="16">
        <v>14.016170000000001</v>
      </c>
      <c r="P64" s="16">
        <v>5.02379</v>
      </c>
      <c r="Q64" s="16">
        <v>16.882990000000003</v>
      </c>
      <c r="R64" s="16">
        <v>3.9549799999999999</v>
      </c>
      <c r="S64" s="16">
        <v>10.53945</v>
      </c>
      <c r="T64" s="16">
        <v>19.5229</v>
      </c>
      <c r="U64" s="16">
        <v>4.9721899999999994</v>
      </c>
      <c r="V64" s="16">
        <v>1.2309300000000001</v>
      </c>
      <c r="W64" s="16">
        <v>4.9847600000000005</v>
      </c>
      <c r="X64" s="16">
        <v>9.3964200000000009</v>
      </c>
      <c r="Y64" s="16">
        <v>9.2539210713396098</v>
      </c>
      <c r="Z64" s="16">
        <v>5.5819525592733701</v>
      </c>
      <c r="AA64" s="16">
        <v>25.107575702810699</v>
      </c>
      <c r="AB64" s="16">
        <v>32.171070661818902</v>
      </c>
      <c r="AC64" s="16">
        <v>22.140587519075002</v>
      </c>
      <c r="AD64" s="16">
        <v>9.3170699999999993</v>
      </c>
      <c r="AE64" s="16">
        <v>17.687328000000001</v>
      </c>
      <c r="AF64" s="16">
        <v>30.256135999999998</v>
      </c>
      <c r="AG64" s="16">
        <v>9.5716059999999992</v>
      </c>
      <c r="AH64" s="16">
        <v>29.325434000000005</v>
      </c>
      <c r="AI64" s="46"/>
      <c r="AJ64" s="46"/>
      <c r="AK64" s="46"/>
      <c r="AL64" s="46"/>
      <c r="AM64" s="46"/>
      <c r="AN64" s="4"/>
      <c r="AO64" s="4"/>
      <c r="AP64" s="4"/>
      <c r="AQ64" s="4"/>
      <c r="AR64" s="4"/>
      <c r="AS64" s="4"/>
      <c r="AT64" s="4"/>
      <c r="AU64" s="4"/>
      <c r="AV64" s="4"/>
      <c r="AW64" s="4"/>
      <c r="AX64" s="4"/>
      <c r="AY64" s="4"/>
      <c r="ALQ64" t="e">
        <v>#N/A</v>
      </c>
    </row>
    <row r="65" spans="1:1005" ht="14.5" x14ac:dyDescent="0.35">
      <c r="A65" s="121">
        <f>YampaRiverInflow.TotalOutflow!A65</f>
        <v>48000</v>
      </c>
      <c r="B65" s="34">
        <v>9.6039999999999992</v>
      </c>
      <c r="C65" s="12">
        <v>9.6039999999999992</v>
      </c>
      <c r="D65" s="45">
        <v>9.6039999999999992</v>
      </c>
      <c r="E65" s="16">
        <v>1.3633040000000001</v>
      </c>
      <c r="F65" s="16">
        <v>-0.79383999999999999</v>
      </c>
      <c r="G65" s="16">
        <v>-23.251810000000003</v>
      </c>
      <c r="H65" s="16">
        <v>12.69872</v>
      </c>
      <c r="I65" s="16">
        <v>19.039000000000001</v>
      </c>
      <c r="J65" s="16">
        <v>6.8687700000000005</v>
      </c>
      <c r="K65" s="16">
        <v>14.246139999999999</v>
      </c>
      <c r="L65" s="16">
        <v>18.845080000000003</v>
      </c>
      <c r="M65" s="16">
        <v>7.4909099999999995</v>
      </c>
      <c r="N65" s="16">
        <v>13.8124</v>
      </c>
      <c r="O65" s="16">
        <v>24.775919999999999</v>
      </c>
      <c r="P65" s="16">
        <v>9.7531100000000013</v>
      </c>
      <c r="Q65" s="16">
        <v>18.740459999999999</v>
      </c>
      <c r="R65" s="16">
        <v>5.9942099999999998</v>
      </c>
      <c r="S65" s="16">
        <v>10.93661</v>
      </c>
      <c r="T65" s="16">
        <v>14.07673</v>
      </c>
      <c r="U65" s="16">
        <v>3.54962</v>
      </c>
      <c r="V65" s="16">
        <v>6.4226899999999993</v>
      </c>
      <c r="W65" s="16">
        <v>10.59356</v>
      </c>
      <c r="X65" s="16">
        <v>1.32226</v>
      </c>
      <c r="Y65" s="16">
        <v>6.9610190102487604</v>
      </c>
      <c r="Z65" s="16">
        <v>13.6235045447941</v>
      </c>
      <c r="AA65" s="16">
        <v>21.1430438016537</v>
      </c>
      <c r="AB65" s="16">
        <v>42.150180575868696</v>
      </c>
      <c r="AC65" s="16">
        <v>13.4754590082651</v>
      </c>
      <c r="AD65" s="16">
        <v>19.542680000000001</v>
      </c>
      <c r="AE65" s="16">
        <v>1.2684000000000002</v>
      </c>
      <c r="AF65" s="16">
        <v>4.9412060000000002</v>
      </c>
      <c r="AG65" s="16">
        <v>-1.180104</v>
      </c>
      <c r="AH65" s="16">
        <v>16.706314000000003</v>
      </c>
      <c r="AI65" s="46"/>
      <c r="AJ65" s="46"/>
      <c r="AK65" s="46"/>
      <c r="AL65" s="46"/>
      <c r="AM65" s="46"/>
      <c r="AN65" s="4"/>
      <c r="AO65" s="4"/>
      <c r="AP65" s="4"/>
      <c r="AQ65" s="4"/>
      <c r="AR65" s="4"/>
      <c r="AS65" s="4"/>
      <c r="AT65" s="4"/>
      <c r="AU65" s="4"/>
      <c r="AV65" s="4"/>
      <c r="AW65" s="4"/>
      <c r="AX65" s="4"/>
      <c r="AY65" s="4"/>
      <c r="ALQ65" t="e">
        <v>#N/A</v>
      </c>
    </row>
    <row r="66" spans="1:1005" ht="14.5" x14ac:dyDescent="0.35">
      <c r="A66" s="121">
        <f>YampaRiverInflow.TotalOutflow!A66</f>
        <v>48030</v>
      </c>
      <c r="B66" s="34">
        <v>2.758</v>
      </c>
      <c r="C66" s="12">
        <v>2.758</v>
      </c>
      <c r="D66" s="45">
        <v>2.758</v>
      </c>
      <c r="E66" s="16">
        <v>17.755964000000002</v>
      </c>
      <c r="F66" s="16">
        <v>11.63293</v>
      </c>
      <c r="G66" s="16">
        <v>-12.476629999999998</v>
      </c>
      <c r="H66" s="16">
        <v>23.625509999999998</v>
      </c>
      <c r="I66" s="16">
        <v>20.54889</v>
      </c>
      <c r="J66" s="16">
        <v>8.319090000000001</v>
      </c>
      <c r="K66" s="16">
        <v>20.105460000000001</v>
      </c>
      <c r="L66" s="16">
        <v>19.50067</v>
      </c>
      <c r="M66" s="16">
        <v>8.3446700000000007</v>
      </c>
      <c r="N66" s="16">
        <v>18.455950000000001</v>
      </c>
      <c r="O66" s="16">
        <v>31.79073</v>
      </c>
      <c r="P66" s="16">
        <v>14.55987</v>
      </c>
      <c r="Q66" s="16">
        <v>21.886839999999999</v>
      </c>
      <c r="R66" s="16">
        <v>25.583909999999999</v>
      </c>
      <c r="S66" s="16">
        <v>21.074020000000001</v>
      </c>
      <c r="T66" s="16">
        <v>18.544400000000003</v>
      </c>
      <c r="U66" s="16">
        <v>6.5901300000000003</v>
      </c>
      <c r="V66" s="16">
        <v>14.91146</v>
      </c>
      <c r="W66" s="16">
        <v>14.38373</v>
      </c>
      <c r="X66" s="16">
        <v>27.614090000000001</v>
      </c>
      <c r="Y66" s="16">
        <v>12.5574148766291</v>
      </c>
      <c r="Z66" s="16">
        <v>24.781192150480202</v>
      </c>
      <c r="AA66" s="16">
        <v>16.943357023537999</v>
      </c>
      <c r="AB66" s="16">
        <v>39.1588780983151</v>
      </c>
      <c r="AC66" s="16">
        <v>23.713968098447001</v>
      </c>
      <c r="AD66" s="16">
        <v>3.5028120000000005</v>
      </c>
      <c r="AE66" s="16">
        <v>15.702810000000001</v>
      </c>
      <c r="AF66" s="16">
        <v>2.0310160000000002</v>
      </c>
      <c r="AG66" s="16">
        <v>8.0089059999999996</v>
      </c>
      <c r="AH66" s="16">
        <v>20.697440000000004</v>
      </c>
      <c r="AI66" s="46"/>
      <c r="AJ66" s="46"/>
      <c r="AK66" s="46"/>
      <c r="AL66" s="46"/>
      <c r="AM66" s="46"/>
      <c r="AN66" s="4"/>
      <c r="AO66" s="4"/>
      <c r="AP66" s="4"/>
      <c r="AQ66" s="4"/>
      <c r="AR66" s="4"/>
      <c r="AS66" s="4"/>
      <c r="AT66" s="4"/>
      <c r="AU66" s="4"/>
      <c r="AV66" s="4"/>
      <c r="AW66" s="4"/>
      <c r="AX66" s="4"/>
      <c r="AY66" s="4"/>
      <c r="ALQ66" t="e">
        <v>#N/A</v>
      </c>
    </row>
    <row r="67" spans="1:1005" ht="14.5" x14ac:dyDescent="0.35">
      <c r="A67" s="121">
        <f>YampaRiverInflow.TotalOutflow!A67</f>
        <v>48061</v>
      </c>
      <c r="B67" s="34">
        <v>-1.341</v>
      </c>
      <c r="C67" s="12">
        <v>-1.341</v>
      </c>
      <c r="D67" s="45">
        <v>-1.341</v>
      </c>
      <c r="E67" s="16">
        <v>13.796706</v>
      </c>
      <c r="F67" s="16">
        <v>9.7706299999999988</v>
      </c>
      <c r="G67" s="16">
        <v>7.4435000000000002</v>
      </c>
      <c r="H67" s="16">
        <v>20.504860000000001</v>
      </c>
      <c r="I67" s="16">
        <v>22.135639999999999</v>
      </c>
      <c r="J67" s="16">
        <v>5.2130799999999997</v>
      </c>
      <c r="K67" s="16">
        <v>14.802440000000001</v>
      </c>
      <c r="L67" s="16">
        <v>21.94164</v>
      </c>
      <c r="M67" s="16">
        <v>8.4181799999999996</v>
      </c>
      <c r="N67" s="16">
        <v>21.659500000000001</v>
      </c>
      <c r="O67" s="16">
        <v>35.8294</v>
      </c>
      <c r="P67" s="16">
        <v>14.210139999999999</v>
      </c>
      <c r="Q67" s="16">
        <v>24.195160000000001</v>
      </c>
      <c r="R67" s="16">
        <v>26.496269999999999</v>
      </c>
      <c r="S67" s="16">
        <v>24.024999999999999</v>
      </c>
      <c r="T67" s="16">
        <v>22.344560000000001</v>
      </c>
      <c r="U67" s="16">
        <v>9.8739599999999985</v>
      </c>
      <c r="V67" s="16">
        <v>13.84548</v>
      </c>
      <c r="W67" s="16">
        <v>16.93469</v>
      </c>
      <c r="X67" s="16">
        <v>14.48996</v>
      </c>
      <c r="Y67" s="16">
        <v>14.623601239406</v>
      </c>
      <c r="Z67" s="16">
        <v>29.351938843042298</v>
      </c>
      <c r="AA67" s="16">
        <v>10.6373367791084</v>
      </c>
      <c r="AB67" s="16">
        <v>32.4739838860175</v>
      </c>
      <c r="AC67" s="16">
        <v>32.289258266844001</v>
      </c>
      <c r="AD67" s="16">
        <v>21.988620000000001</v>
      </c>
      <c r="AE67" s="16">
        <v>28.766426000000003</v>
      </c>
      <c r="AF67" s="16">
        <v>19.739957999999998</v>
      </c>
      <c r="AG67" s="16">
        <v>11.451958000000001</v>
      </c>
      <c r="AH67" s="16">
        <v>20.660824000000002</v>
      </c>
      <c r="AI67" s="46"/>
      <c r="AJ67" s="46"/>
      <c r="AK67" s="46"/>
      <c r="AL67" s="46"/>
      <c r="AM67" s="46"/>
      <c r="AN67" s="4"/>
      <c r="AO67" s="4"/>
      <c r="AP67" s="4"/>
      <c r="AQ67" s="4"/>
      <c r="AR67" s="4"/>
      <c r="AS67" s="4"/>
      <c r="AT67" s="4"/>
      <c r="AU67" s="4"/>
      <c r="AV67" s="4"/>
      <c r="AW67" s="4"/>
      <c r="AX67" s="4"/>
      <c r="AY67" s="4"/>
      <c r="ALQ67" t="e">
        <v>#N/A</v>
      </c>
    </row>
    <row r="68" spans="1:1005" ht="14.5" x14ac:dyDescent="0.35">
      <c r="A68" s="121">
        <f>YampaRiverInflow.TotalOutflow!A68</f>
        <v>48092</v>
      </c>
      <c r="B68" s="34">
        <v>5.1230000000000002</v>
      </c>
      <c r="C68" s="12">
        <v>5.1230000000000002</v>
      </c>
      <c r="D68" s="45">
        <v>5.1230000000000002</v>
      </c>
      <c r="E68" s="16">
        <v>10.647540000000001</v>
      </c>
      <c r="F68" s="16">
        <v>-6.0112700000000006</v>
      </c>
      <c r="G68" s="16">
        <v>19.914009999999998</v>
      </c>
      <c r="H68" s="16">
        <v>13.555149999999999</v>
      </c>
      <c r="I68" s="16">
        <v>15.397549999999999</v>
      </c>
      <c r="J68" s="16">
        <v>7.1036899999999994</v>
      </c>
      <c r="K68" s="16">
        <v>8.6973899999999986</v>
      </c>
      <c r="L68" s="16">
        <v>11.841569999999999</v>
      </c>
      <c r="M68" s="16">
        <v>3.6388400000000001</v>
      </c>
      <c r="N68" s="16">
        <v>18.084299999999999</v>
      </c>
      <c r="O68" s="16">
        <v>24.926950000000001</v>
      </c>
      <c r="P68" s="16">
        <v>13.032249999999999</v>
      </c>
      <c r="Q68" s="16">
        <v>14.707469999999999</v>
      </c>
      <c r="R68" s="16">
        <v>15.101129999999999</v>
      </c>
      <c r="S68" s="16">
        <v>9.3519199999999998</v>
      </c>
      <c r="T68" s="16">
        <v>35.037589999999994</v>
      </c>
      <c r="U68" s="16">
        <v>-2.8639899999999998</v>
      </c>
      <c r="V68" s="16">
        <v>6.7481800000000005</v>
      </c>
      <c r="W68" s="16">
        <v>15.02529</v>
      </c>
      <c r="X68" s="16">
        <v>11.451879999999999</v>
      </c>
      <c r="Y68" s="16">
        <v>13.1848636376867</v>
      </c>
      <c r="Z68" s="16">
        <v>8.3238249586783297</v>
      </c>
      <c r="AA68" s="16">
        <v>19.8346958697528</v>
      </c>
      <c r="AB68" s="16">
        <v>16.409711323636998</v>
      </c>
      <c r="AC68" s="16">
        <v>25.7866844641329</v>
      </c>
      <c r="AD68" s="16">
        <v>21.500264000000001</v>
      </c>
      <c r="AE68" s="16">
        <v>26.366382000000002</v>
      </c>
      <c r="AF68" s="16">
        <v>15.737406</v>
      </c>
      <c r="AG68" s="16">
        <v>14.914582000000003</v>
      </c>
      <c r="AH68" s="16">
        <v>14.839589999999999</v>
      </c>
      <c r="AI68" s="46"/>
      <c r="AJ68" s="46"/>
      <c r="AK68" s="46"/>
      <c r="AL68" s="46"/>
      <c r="AM68" s="46"/>
      <c r="AN68" s="4"/>
      <c r="AO68" s="4"/>
      <c r="AP68" s="4"/>
      <c r="AQ68" s="4"/>
      <c r="AR68" s="4"/>
      <c r="AS68" s="4"/>
      <c r="AT68" s="4"/>
      <c r="AU68" s="4"/>
      <c r="AV68" s="4"/>
      <c r="AW68" s="4"/>
      <c r="AX68" s="4"/>
      <c r="AY68" s="4"/>
      <c r="ALQ68" t="e">
        <v>#N/A</v>
      </c>
    </row>
    <row r="69" spans="1:1005" ht="14.5" x14ac:dyDescent="0.35">
      <c r="A69" s="121"/>
      <c r="B69" s="34"/>
      <c r="C69" s="12"/>
      <c r="D69" s="45"/>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46"/>
      <c r="AJ69" s="46"/>
      <c r="AK69" s="46"/>
      <c r="AL69" s="46"/>
      <c r="AM69" s="46"/>
      <c r="AN69" s="4"/>
      <c r="AO69" s="4"/>
      <c r="AP69" s="4"/>
      <c r="AQ69" s="4"/>
      <c r="AR69" s="4"/>
      <c r="AS69" s="4"/>
      <c r="AT69" s="4"/>
      <c r="AU69" s="4"/>
      <c r="AV69" s="4"/>
      <c r="AW69" s="4"/>
      <c r="AX69" s="4"/>
      <c r="AY69" s="4"/>
      <c r="ALQ69" t="e">
        <v>#N/A</v>
      </c>
    </row>
    <row r="70" spans="1:1005" ht="14.5" x14ac:dyDescent="0.35">
      <c r="A70" s="121"/>
      <c r="B70" s="34"/>
      <c r="C70" s="12"/>
      <c r="D70" s="45"/>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46"/>
      <c r="AJ70" s="46"/>
      <c r="AK70" s="46"/>
      <c r="AL70" s="46"/>
      <c r="AM70" s="46"/>
      <c r="AN70" s="4"/>
      <c r="AO70" s="4"/>
      <c r="AP70" s="4"/>
      <c r="AQ70" s="4"/>
      <c r="AR70" s="4"/>
      <c r="AS70" s="4"/>
      <c r="AT70" s="4"/>
      <c r="AU70" s="4"/>
      <c r="AV70" s="4"/>
      <c r="AW70" s="4"/>
      <c r="AX70" s="4"/>
      <c r="AY70" s="4"/>
      <c r="ALQ70" t="e">
        <v>#N/A</v>
      </c>
    </row>
    <row r="71" spans="1:1005" ht="14.5" x14ac:dyDescent="0.35">
      <c r="A71" s="121"/>
      <c r="B71" s="34"/>
      <c r="C71" s="12"/>
      <c r="D71" s="45"/>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46"/>
      <c r="AJ71" s="46"/>
      <c r="AK71" s="46"/>
      <c r="AL71" s="46"/>
      <c r="AM71" s="46"/>
      <c r="AN71" s="4"/>
      <c r="AO71" s="4"/>
      <c r="AP71" s="4"/>
      <c r="AQ71" s="4"/>
      <c r="AR71" s="4"/>
      <c r="AS71" s="4"/>
      <c r="AT71" s="4"/>
      <c r="AU71" s="4"/>
      <c r="AV71" s="4"/>
      <c r="AW71" s="4"/>
      <c r="AX71" s="4"/>
      <c r="AY71" s="4"/>
      <c r="ALQ71" t="e">
        <v>#N/A</v>
      </c>
    </row>
    <row r="72" spans="1:1005" ht="12.75" customHeight="1" x14ac:dyDescent="0.35">
      <c r="A72" s="121"/>
      <c r="B72" s="33"/>
      <c r="C72" s="8"/>
      <c r="D72" s="11"/>
      <c r="ALQ72" t="e">
        <v>#N/A</v>
      </c>
    </row>
    <row r="73" spans="1:1005" ht="12.75" customHeight="1" x14ac:dyDescent="0.35">
      <c r="A73" s="121"/>
      <c r="B73" s="33"/>
      <c r="C73" s="8"/>
      <c r="D73" s="11"/>
    </row>
    <row r="74" spans="1:1005" ht="12.75" customHeight="1" x14ac:dyDescent="0.35">
      <c r="A74" s="121"/>
      <c r="B74" s="33"/>
      <c r="C74" s="8"/>
      <c r="D74" s="11"/>
    </row>
    <row r="75" spans="1:1005" ht="12.75" customHeight="1" x14ac:dyDescent="0.35">
      <c r="A75" s="121"/>
      <c r="B75" s="33"/>
      <c r="C75" s="8"/>
      <c r="D75" s="11"/>
    </row>
    <row r="76" spans="1:1005" ht="12.75" customHeight="1" x14ac:dyDescent="0.35">
      <c r="A76" s="121"/>
      <c r="B76" s="33"/>
      <c r="C76" s="8"/>
      <c r="D76" s="11"/>
    </row>
    <row r="77" spans="1:1005" ht="12.75" customHeight="1" x14ac:dyDescent="0.35">
      <c r="A77" s="121"/>
      <c r="B77" s="33"/>
      <c r="C77" s="8"/>
      <c r="D77" s="11"/>
    </row>
    <row r="78" spans="1:1005" ht="12.75" customHeight="1" x14ac:dyDescent="0.35">
      <c r="A78" s="121"/>
      <c r="B78" s="33"/>
      <c r="C78" s="8"/>
      <c r="D78" s="11"/>
    </row>
    <row r="79" spans="1:1005" ht="12.75" customHeight="1" x14ac:dyDescent="0.35">
      <c r="A79" s="121"/>
      <c r="B79" s="33"/>
      <c r="C79" s="8"/>
      <c r="D79" s="11"/>
    </row>
    <row r="80" spans="1:1005" ht="12.75" customHeight="1" x14ac:dyDescent="0.35">
      <c r="A80" s="121"/>
      <c r="B80" s="33"/>
      <c r="C80" s="8"/>
      <c r="D80" s="11"/>
    </row>
    <row r="81" spans="1:4" ht="12.75" customHeight="1" x14ac:dyDescent="0.35">
      <c r="A81" s="121"/>
      <c r="B81" s="33"/>
      <c r="C81" s="8"/>
      <c r="D81" s="11"/>
    </row>
    <row r="82" spans="1:4" ht="12.75" customHeight="1" x14ac:dyDescent="0.35">
      <c r="A82" s="121"/>
      <c r="B82" s="33"/>
      <c r="C82" s="8"/>
      <c r="D82" s="11"/>
    </row>
    <row r="83" spans="1:4" ht="12.75" customHeight="1" x14ac:dyDescent="0.35">
      <c r="A83" s="121"/>
      <c r="B83" s="33"/>
      <c r="C83" s="8"/>
      <c r="D83" s="11"/>
    </row>
    <row r="84" spans="1:4" ht="12.75" customHeight="1" x14ac:dyDescent="0.35">
      <c r="A84" s="121"/>
      <c r="B84" s="33"/>
      <c r="C84" s="8"/>
      <c r="D84" s="11"/>
    </row>
  </sheetData>
  <mergeCells count="1">
    <mergeCell ref="B1:AH1"/>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72DC-C64F-4A02-8756-FACD2BCDAC89}">
  <sheetPr codeName="Sheet24">
    <tabColor rgb="FFFF0000"/>
  </sheetPr>
  <dimension ref="A1:ALQ84"/>
  <sheetViews>
    <sheetView workbookViewId="0">
      <selection activeCell="B4" sqref="B4:AZ100"/>
    </sheetView>
  </sheetViews>
  <sheetFormatPr defaultColWidth="18.6328125" defaultRowHeight="12.75" customHeight="1" x14ac:dyDescent="0.35"/>
  <cols>
    <col min="1" max="1" width="14.36328125" customWidth="1"/>
    <col min="2" max="2" width="9.36328125" customWidth="1"/>
    <col min="3" max="3" width="9.6328125" bestFit="1" customWidth="1"/>
    <col min="4" max="54" width="9.36328125" customWidth="1"/>
  </cols>
  <sheetData>
    <row r="1" spans="1:51" ht="14.5" x14ac:dyDescent="0.35">
      <c r="A1" s="130"/>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3"/>
      <c r="AJ1" s="3"/>
      <c r="AK1" s="3"/>
      <c r="AL1" s="3"/>
      <c r="AM1" s="3"/>
    </row>
    <row r="2" spans="1:51" ht="14.5" x14ac:dyDescent="0.35">
      <c r="A2" s="130" t="s">
        <v>38</v>
      </c>
      <c r="B2" s="132" t="s">
        <v>0</v>
      </c>
      <c r="C2" s="132" t="s">
        <v>1</v>
      </c>
      <c r="D2" s="132" t="s">
        <v>2</v>
      </c>
      <c r="E2" s="132">
        <v>1991</v>
      </c>
      <c r="F2" s="132">
        <v>1992</v>
      </c>
      <c r="G2" s="132">
        <v>1993</v>
      </c>
      <c r="H2" s="132">
        <v>1994</v>
      </c>
      <c r="I2" s="132">
        <v>1995</v>
      </c>
      <c r="J2" s="132">
        <v>1996</v>
      </c>
      <c r="K2" s="132">
        <v>1997</v>
      </c>
      <c r="L2" s="132">
        <v>1998</v>
      </c>
      <c r="M2" s="132">
        <v>1999</v>
      </c>
      <c r="N2" s="132">
        <v>2000</v>
      </c>
      <c r="O2" s="132">
        <v>2001</v>
      </c>
      <c r="P2" s="132">
        <v>2002</v>
      </c>
      <c r="Q2" s="132">
        <v>2003</v>
      </c>
      <c r="R2" s="132">
        <v>2004</v>
      </c>
      <c r="S2" s="132">
        <v>2005</v>
      </c>
      <c r="T2" s="132">
        <v>2006</v>
      </c>
      <c r="U2" s="132">
        <v>2007</v>
      </c>
      <c r="V2" s="132">
        <v>2008</v>
      </c>
      <c r="W2" s="132">
        <v>2009</v>
      </c>
      <c r="X2" s="132">
        <v>2010</v>
      </c>
      <c r="Y2" s="132">
        <v>2011</v>
      </c>
      <c r="Z2" s="132">
        <v>2012</v>
      </c>
      <c r="AA2" s="132">
        <v>2013</v>
      </c>
      <c r="AB2" s="132">
        <v>2014</v>
      </c>
      <c r="AC2" s="132">
        <v>2015</v>
      </c>
      <c r="AD2" s="132">
        <v>2016</v>
      </c>
      <c r="AE2" s="133">
        <v>2017</v>
      </c>
      <c r="AF2" s="132">
        <v>2018</v>
      </c>
      <c r="AG2" s="132">
        <v>2019</v>
      </c>
      <c r="AH2" s="132">
        <v>2020</v>
      </c>
      <c r="AI2" s="3"/>
      <c r="AJ2" s="3"/>
      <c r="AK2" s="3"/>
      <c r="AL2" s="3"/>
      <c r="AM2" s="3"/>
      <c r="AN2" s="3"/>
      <c r="AO2" s="3"/>
      <c r="AP2" s="3"/>
      <c r="AQ2" s="3"/>
      <c r="AR2" s="3"/>
      <c r="AS2" s="3"/>
    </row>
    <row r="3" spans="1:51" ht="14.5" x14ac:dyDescent="0.35">
      <c r="A3" s="134" t="str">
        <f>A2&amp;"_"&amp;"Time"</f>
        <v>ImpToMex_In_Time</v>
      </c>
      <c r="B3" s="135" t="s">
        <v>3</v>
      </c>
      <c r="C3" s="135" t="s">
        <v>4</v>
      </c>
      <c r="D3" s="135" t="s">
        <v>5</v>
      </c>
      <c r="E3" s="135" t="s">
        <v>6</v>
      </c>
      <c r="F3" s="135" t="s">
        <v>7</v>
      </c>
      <c r="G3" s="135" t="s">
        <v>8</v>
      </c>
      <c r="H3" s="135" t="s">
        <v>9</v>
      </c>
      <c r="I3" s="135" t="s">
        <v>10</v>
      </c>
      <c r="J3" s="135" t="s">
        <v>11</v>
      </c>
      <c r="K3" s="135" t="s">
        <v>12</v>
      </c>
      <c r="L3" s="135" t="s">
        <v>13</v>
      </c>
      <c r="M3" s="135" t="s">
        <v>14</v>
      </c>
      <c r="N3" s="135" t="s">
        <v>15</v>
      </c>
      <c r="O3" s="135" t="s">
        <v>16</v>
      </c>
      <c r="P3" s="135" t="s">
        <v>17</v>
      </c>
      <c r="Q3" s="135" t="s">
        <v>18</v>
      </c>
      <c r="R3" s="135" t="s">
        <v>19</v>
      </c>
      <c r="S3" s="135" t="s">
        <v>20</v>
      </c>
      <c r="T3" s="135" t="s">
        <v>21</v>
      </c>
      <c r="U3" s="135" t="s">
        <v>22</v>
      </c>
      <c r="V3" s="135" t="s">
        <v>23</v>
      </c>
      <c r="W3" s="135" t="s">
        <v>24</v>
      </c>
      <c r="X3" s="135" t="s">
        <v>25</v>
      </c>
      <c r="Y3" s="135" t="s">
        <v>26</v>
      </c>
      <c r="Z3" s="135" t="s">
        <v>27</v>
      </c>
      <c r="AA3" s="135" t="s">
        <v>28</v>
      </c>
      <c r="AB3" s="135" t="s">
        <v>29</v>
      </c>
      <c r="AC3" s="135" t="s">
        <v>30</v>
      </c>
      <c r="AD3" s="135" t="s">
        <v>31</v>
      </c>
      <c r="AE3" s="135" t="s">
        <v>32</v>
      </c>
      <c r="AF3" s="135" t="s">
        <v>33</v>
      </c>
      <c r="AG3" s="135" t="s">
        <v>34</v>
      </c>
      <c r="AH3" s="135" t="s">
        <v>35</v>
      </c>
      <c r="AI3" s="3"/>
      <c r="AJ3" s="3"/>
      <c r="AK3" s="3"/>
      <c r="AL3" s="3"/>
      <c r="AM3" s="3"/>
      <c r="AN3" s="3"/>
      <c r="AO3" s="3"/>
      <c r="AP3" s="3"/>
      <c r="AQ3" s="3"/>
      <c r="AR3" s="3"/>
      <c r="AS3" s="3"/>
    </row>
    <row r="4" spans="1:51" ht="14.5" x14ac:dyDescent="0.35">
      <c r="A4" s="136">
        <f>YampaRiverInflow.TotalOutflow!A4</f>
        <v>46143</v>
      </c>
      <c r="B4" s="81">
        <v>-6.407</v>
      </c>
      <c r="C4" s="82">
        <v>-6.407</v>
      </c>
      <c r="D4" s="129">
        <v>-6.407</v>
      </c>
      <c r="E4" s="16">
        <v>7.5992100000000002</v>
      </c>
      <c r="F4" s="16">
        <v>4.7034399999999996</v>
      </c>
      <c r="G4" s="16">
        <v>-61.748899999999999</v>
      </c>
      <c r="H4" s="16">
        <v>-4.7955200000000007</v>
      </c>
      <c r="I4" s="16">
        <v>-13.974399999999999</v>
      </c>
      <c r="J4" s="16">
        <v>-8.2093600000000002</v>
      </c>
      <c r="K4" s="16">
        <v>11.730090000000001</v>
      </c>
      <c r="L4" s="16">
        <v>21.999099999999999</v>
      </c>
      <c r="M4" s="16">
        <v>0.11092</v>
      </c>
      <c r="N4" s="16">
        <v>-14.867799999999999</v>
      </c>
      <c r="O4" s="16">
        <v>-7.1809500000000002</v>
      </c>
      <c r="P4" s="16">
        <v>-5.66974</v>
      </c>
      <c r="Q4" s="16">
        <v>-33.700400000000002</v>
      </c>
      <c r="R4" s="16">
        <v>-4.7220800000000001</v>
      </c>
      <c r="S4" s="16">
        <v>-17.381799999999998</v>
      </c>
      <c r="T4" s="16">
        <v>-33.279300000000006</v>
      </c>
      <c r="U4" s="16">
        <v>-5.4207200000000002</v>
      </c>
      <c r="V4" s="16">
        <v>-5.2464300000000001</v>
      </c>
      <c r="W4" s="16">
        <v>3.1493000000000002</v>
      </c>
      <c r="X4" s="16">
        <v>-9.5569299999999995</v>
      </c>
      <c r="Y4" s="16">
        <v>4.5381899999999993</v>
      </c>
      <c r="Z4" s="16">
        <v>2.7454499999999999</v>
      </c>
      <c r="AA4" s="16">
        <v>4.5651899999999994</v>
      </c>
      <c r="AB4" s="16">
        <v>0.1095455</v>
      </c>
      <c r="AC4" s="16">
        <v>7.3637499999999996</v>
      </c>
      <c r="AD4" s="16">
        <v>8.667313</v>
      </c>
      <c r="AE4" s="16">
        <v>9.6379000000000001</v>
      </c>
      <c r="AF4" s="16">
        <v>-0.59501400000000004</v>
      </c>
      <c r="AG4" s="16">
        <v>-7.1286899999999997</v>
      </c>
      <c r="AH4" s="16">
        <v>13.089129999999999</v>
      </c>
      <c r="AI4" s="16"/>
      <c r="AJ4" s="16"/>
      <c r="AK4" s="16"/>
      <c r="AL4" s="16"/>
      <c r="AM4" s="16"/>
      <c r="AN4" s="4"/>
      <c r="AO4" s="4"/>
      <c r="AP4" s="4"/>
      <c r="AQ4" s="4"/>
      <c r="AR4" s="4"/>
      <c r="AS4" s="4"/>
      <c r="AT4" s="4"/>
      <c r="AU4" s="4"/>
      <c r="AV4" s="4"/>
      <c r="AW4" s="4"/>
      <c r="AX4" s="4"/>
      <c r="AY4" s="4"/>
    </row>
    <row r="5" spans="1:51" ht="14.5" x14ac:dyDescent="0.35">
      <c r="A5" s="136">
        <f>YampaRiverInflow.TotalOutflow!A5</f>
        <v>46174</v>
      </c>
      <c r="B5" s="34">
        <v>0.91400000000000003</v>
      </c>
      <c r="C5" s="12">
        <v>0.91400000000000003</v>
      </c>
      <c r="D5" s="45">
        <v>0.91400000000000003</v>
      </c>
      <c r="E5" s="16">
        <v>4.59762</v>
      </c>
      <c r="F5" s="16">
        <v>13.497540000000001</v>
      </c>
      <c r="G5" s="16">
        <v>-26.186700000000002</v>
      </c>
      <c r="H5" s="16">
        <v>-3.3491300000000002</v>
      </c>
      <c r="I5" s="16">
        <v>4.0840300000000003</v>
      </c>
      <c r="J5" s="16">
        <v>-11.6759</v>
      </c>
      <c r="K5" s="16">
        <v>-4.1159999999999995E-2</v>
      </c>
      <c r="L5" s="16">
        <v>5.6090299999999997</v>
      </c>
      <c r="M5" s="16">
        <v>-3.69754</v>
      </c>
      <c r="N5" s="16">
        <v>-11.8339</v>
      </c>
      <c r="O5" s="16">
        <v>-9.2286099999999998</v>
      </c>
      <c r="P5" s="16">
        <v>-8.5176200000000009</v>
      </c>
      <c r="Q5" s="16">
        <v>-26.906099999999999</v>
      </c>
      <c r="R5" s="16">
        <v>-30.0809</v>
      </c>
      <c r="S5" s="16">
        <v>1.8562000000000001</v>
      </c>
      <c r="T5" s="16">
        <v>-14.7171</v>
      </c>
      <c r="U5" s="16">
        <v>-14.012499999999999</v>
      </c>
      <c r="V5" s="16">
        <v>-1.51996</v>
      </c>
      <c r="W5" s="16">
        <v>-16.566500000000001</v>
      </c>
      <c r="X5" s="16">
        <v>-17.7789</v>
      </c>
      <c r="Y5" s="16">
        <v>-8.3348700000000004</v>
      </c>
      <c r="Z5" s="16">
        <v>-5.4185299999999996</v>
      </c>
      <c r="AA5" s="16">
        <v>-7.2006999999999994</v>
      </c>
      <c r="AB5" s="16">
        <v>-0.73851199999999995</v>
      </c>
      <c r="AC5" s="16">
        <v>2.2777600000000002</v>
      </c>
      <c r="AD5" s="16">
        <v>-1.24882</v>
      </c>
      <c r="AE5" s="16">
        <v>-2.2548400000000002</v>
      </c>
      <c r="AF5" s="16">
        <v>-7.8657200000000005</v>
      </c>
      <c r="AG5" s="16">
        <v>-7.5185699999999995</v>
      </c>
      <c r="AH5" s="16">
        <v>-7.5434399999999995</v>
      </c>
      <c r="AI5" s="46"/>
      <c r="AJ5" s="46"/>
      <c r="AK5" s="46"/>
      <c r="AL5" s="46"/>
      <c r="AM5" s="46"/>
      <c r="AN5" s="4"/>
      <c r="AO5" s="4"/>
      <c r="AP5" s="4"/>
      <c r="AQ5" s="4"/>
      <c r="AR5" s="4"/>
      <c r="AS5" s="4"/>
      <c r="AT5" s="4"/>
      <c r="AU5" s="4"/>
      <c r="AV5" s="4"/>
      <c r="AW5" s="4"/>
      <c r="AX5" s="4"/>
      <c r="AY5" s="4"/>
    </row>
    <row r="6" spans="1:51" ht="14.5" x14ac:dyDescent="0.35">
      <c r="A6" s="136">
        <f>YampaRiverInflow.TotalOutflow!A6</f>
        <v>46204</v>
      </c>
      <c r="B6" s="34">
        <v>-9.2409999999999997</v>
      </c>
      <c r="C6" s="12">
        <v>-9.2409999999999997</v>
      </c>
      <c r="D6" s="45">
        <v>-9.2409999999999997</v>
      </c>
      <c r="E6" s="16">
        <v>1.85019</v>
      </c>
      <c r="F6" s="16">
        <v>3.09552</v>
      </c>
      <c r="G6" s="16">
        <v>-10.6083</v>
      </c>
      <c r="H6" s="16">
        <v>-7.64445</v>
      </c>
      <c r="I6" s="16">
        <v>8.1272700000000011</v>
      </c>
      <c r="J6" s="16">
        <v>-11.493399999999999</v>
      </c>
      <c r="K6" s="16">
        <v>10.728009999999999</v>
      </c>
      <c r="L6" s="16">
        <v>8.7200199999999999</v>
      </c>
      <c r="M6" s="16">
        <v>-1.2666099999999998</v>
      </c>
      <c r="N6" s="16">
        <v>-11.347200000000001</v>
      </c>
      <c r="O6" s="16">
        <v>-18.336200000000002</v>
      </c>
      <c r="P6" s="16">
        <v>-2.94312</v>
      </c>
      <c r="Q6" s="16">
        <v>-31.489599999999999</v>
      </c>
      <c r="R6" s="16">
        <v>-20.471400000000003</v>
      </c>
      <c r="S6" s="16">
        <v>-11.8964</v>
      </c>
      <c r="T6" s="16">
        <v>-5.89581</v>
      </c>
      <c r="U6" s="16">
        <v>-9.4188299999999998</v>
      </c>
      <c r="V6" s="16">
        <v>-9.6500499999999985</v>
      </c>
      <c r="W6" s="16">
        <v>-13.497399999999999</v>
      </c>
      <c r="X6" s="16">
        <v>-20.7821</v>
      </c>
      <c r="Y6" s="16">
        <v>-5.3935699999999995</v>
      </c>
      <c r="Z6" s="16">
        <v>-16.034399999999998</v>
      </c>
      <c r="AA6" s="16">
        <v>-7.2505600000000001</v>
      </c>
      <c r="AB6" s="16">
        <v>-12.2248</v>
      </c>
      <c r="AC6" s="16">
        <v>-2.5033499999999997</v>
      </c>
      <c r="AD6" s="16">
        <v>-0.440502</v>
      </c>
      <c r="AE6" s="16">
        <v>11.24718</v>
      </c>
      <c r="AF6" s="16">
        <v>-1.8387200000000001</v>
      </c>
      <c r="AG6" s="16">
        <v>-11.0794</v>
      </c>
      <c r="AH6" s="16">
        <v>-4.7515900000000002</v>
      </c>
      <c r="AI6" s="46"/>
      <c r="AJ6" s="46"/>
      <c r="AK6" s="46"/>
      <c r="AL6" s="46"/>
      <c r="AM6" s="46"/>
      <c r="AN6" s="4"/>
      <c r="AO6" s="4"/>
      <c r="AP6" s="4"/>
      <c r="AQ6" s="4"/>
      <c r="AR6" s="4"/>
      <c r="AS6" s="4"/>
      <c r="AT6" s="4"/>
      <c r="AU6" s="4"/>
      <c r="AV6" s="4"/>
      <c r="AW6" s="4"/>
      <c r="AX6" s="4"/>
      <c r="AY6" s="4"/>
    </row>
    <row r="7" spans="1:51" ht="14.5" x14ac:dyDescent="0.35">
      <c r="A7" s="136">
        <f>YampaRiverInflow.TotalOutflow!A7</f>
        <v>46235</v>
      </c>
      <c r="B7" s="34">
        <v>-6.3780000000000001</v>
      </c>
      <c r="C7" s="12">
        <v>-6.3780000000000001</v>
      </c>
      <c r="D7" s="45">
        <v>-6.3780000000000001</v>
      </c>
      <c r="E7" s="16">
        <v>4.3259999999999996</v>
      </c>
      <c r="F7" s="16">
        <v>3.7869800000000002</v>
      </c>
      <c r="G7" s="16">
        <v>-3.9497499999999999</v>
      </c>
      <c r="H7" s="16">
        <v>-0.94598000000000004</v>
      </c>
      <c r="I7" s="16">
        <v>2.1968100000000002</v>
      </c>
      <c r="J7" s="16">
        <v>-4.3264100000000001</v>
      </c>
      <c r="K7" s="16">
        <v>-10.6752</v>
      </c>
      <c r="L7" s="16">
        <v>1.8042</v>
      </c>
      <c r="M7" s="16">
        <v>4.2788000000000004</v>
      </c>
      <c r="N7" s="16">
        <v>-12.226000000000001</v>
      </c>
      <c r="O7" s="16">
        <v>-3.8130300000000004</v>
      </c>
      <c r="P7" s="16">
        <v>-0.78469000000000011</v>
      </c>
      <c r="Q7" s="16">
        <v>-7.6042100000000001</v>
      </c>
      <c r="R7" s="16">
        <v>-5.4120699999999999</v>
      </c>
      <c r="S7" s="16">
        <v>-13.8598</v>
      </c>
      <c r="T7" s="16">
        <v>-14.737</v>
      </c>
      <c r="U7" s="16">
        <v>-6.2569600000000003</v>
      </c>
      <c r="V7" s="16">
        <v>-22.553799999999999</v>
      </c>
      <c r="W7" s="16">
        <v>-2.4493899999999997</v>
      </c>
      <c r="X7" s="16">
        <v>-15.1355</v>
      </c>
      <c r="Y7" s="16">
        <v>2.9768400000000002</v>
      </c>
      <c r="Z7" s="16">
        <v>5.9177799999999996</v>
      </c>
      <c r="AA7" s="16">
        <v>3.3304999999999998</v>
      </c>
      <c r="AB7" s="16">
        <v>10.576969999999999</v>
      </c>
      <c r="AC7" s="16">
        <v>-7.4222299999999999</v>
      </c>
      <c r="AD7" s="16">
        <v>-2.7236199999999999</v>
      </c>
      <c r="AE7" s="16">
        <v>11.2767</v>
      </c>
      <c r="AF7" s="16">
        <v>-2.6559499999999998</v>
      </c>
      <c r="AG7" s="16">
        <v>3.1679930000000001</v>
      </c>
      <c r="AH7" s="16">
        <v>-8.08446</v>
      </c>
      <c r="AI7" s="46"/>
      <c r="AJ7" s="46"/>
      <c r="AK7" s="46"/>
      <c r="AL7" s="46"/>
      <c r="AM7" s="46"/>
      <c r="AN7" s="4"/>
      <c r="AO7" s="4"/>
      <c r="AP7" s="4"/>
      <c r="AQ7" s="4"/>
      <c r="AR7" s="4"/>
      <c r="AS7" s="4"/>
      <c r="AT7" s="4"/>
      <c r="AU7" s="4"/>
      <c r="AV7" s="4"/>
      <c r="AW7" s="4"/>
      <c r="AX7" s="4"/>
      <c r="AY7" s="4"/>
    </row>
    <row r="8" spans="1:51" ht="14.5" x14ac:dyDescent="0.35">
      <c r="A8" s="136">
        <f>YampaRiverInflow.TotalOutflow!A8</f>
        <v>46266</v>
      </c>
      <c r="B8" s="34">
        <v>0.28000000000000003</v>
      </c>
      <c r="C8" s="12">
        <v>0.28000000000000003</v>
      </c>
      <c r="D8" s="45">
        <v>0.28000000000000003</v>
      </c>
      <c r="E8" s="16">
        <v>2.4840100000000001</v>
      </c>
      <c r="F8" s="16">
        <v>5.2410399999999999</v>
      </c>
      <c r="G8" s="16">
        <v>-12.903600000000001</v>
      </c>
      <c r="H8" s="16">
        <v>8.5776000000000003</v>
      </c>
      <c r="I8" s="16">
        <v>15.860709999999999</v>
      </c>
      <c r="J8" s="16">
        <v>4.2184399999999993</v>
      </c>
      <c r="K8" s="16">
        <v>2.1504499999999998</v>
      </c>
      <c r="L8" s="16">
        <v>-6.8963000000000001</v>
      </c>
      <c r="M8" s="16">
        <v>-12.975100000000001</v>
      </c>
      <c r="N8" s="16">
        <v>-7.1190200000000008</v>
      </c>
      <c r="O8" s="16">
        <v>-2.2877899999999998</v>
      </c>
      <c r="P8" s="16">
        <v>-15.519200000000001</v>
      </c>
      <c r="Q8" s="16">
        <v>-21.1785</v>
      </c>
      <c r="R8" s="16">
        <v>-6.0739200000000002</v>
      </c>
      <c r="S8" s="16">
        <v>-3.6959299999999997</v>
      </c>
      <c r="T8" s="16">
        <v>0.22959000000000002</v>
      </c>
      <c r="U8" s="16">
        <v>-2.0469200000000001</v>
      </c>
      <c r="V8" s="16">
        <v>-1.55017</v>
      </c>
      <c r="W8" s="16">
        <v>8.7733099999999986</v>
      </c>
      <c r="X8" s="16">
        <v>-8.4957199999999986</v>
      </c>
      <c r="Y8" s="16">
        <v>10.460270000000001</v>
      </c>
      <c r="Z8" s="16">
        <v>-5.7617600000000007</v>
      </c>
      <c r="AA8" s="16">
        <v>-2.9507099999999999</v>
      </c>
      <c r="AB8" s="16">
        <v>5.573264</v>
      </c>
      <c r="AC8" s="16">
        <v>6.7049099999999999</v>
      </c>
      <c r="AD8" s="16">
        <v>-0.37902999999999998</v>
      </c>
      <c r="AE8" s="16">
        <v>1.002618</v>
      </c>
      <c r="AF8" s="16">
        <v>4.0797420000000004</v>
      </c>
      <c r="AG8" s="16">
        <v>-5.3277200000000002</v>
      </c>
      <c r="AH8" s="16">
        <v>-6.2411499999999993</v>
      </c>
      <c r="AI8" s="46"/>
      <c r="AJ8" s="46"/>
      <c r="AK8" s="46"/>
      <c r="AL8" s="46"/>
      <c r="AM8" s="46"/>
      <c r="AN8" s="4"/>
      <c r="AO8" s="4"/>
      <c r="AP8" s="4"/>
      <c r="AQ8" s="4"/>
      <c r="AR8" s="4"/>
      <c r="AS8" s="4"/>
      <c r="AT8" s="4"/>
      <c r="AU8" s="4"/>
      <c r="AV8" s="4"/>
      <c r="AW8" s="4"/>
      <c r="AX8" s="4"/>
      <c r="AY8" s="4"/>
    </row>
    <row r="9" spans="1:51" ht="14.5" x14ac:dyDescent="0.35">
      <c r="A9" s="136">
        <f>YampaRiverInflow.TotalOutflow!A9</f>
        <v>46296</v>
      </c>
      <c r="B9" s="34">
        <v>0.73499999999999999</v>
      </c>
      <c r="C9" s="12">
        <v>0.73499999999999999</v>
      </c>
      <c r="D9" s="45">
        <v>0.73499999999999999</v>
      </c>
      <c r="E9" s="16">
        <v>4.5726499999999994</v>
      </c>
      <c r="F9" s="16">
        <v>16.06822</v>
      </c>
      <c r="G9" s="16">
        <v>-0.16736000000000001</v>
      </c>
      <c r="H9" s="16">
        <v>3.9343000000000004</v>
      </c>
      <c r="I9" s="16">
        <v>-8.1954599999999989</v>
      </c>
      <c r="J9" s="16">
        <v>1.15303</v>
      </c>
      <c r="K9" s="16">
        <v>4.8546899999999997</v>
      </c>
      <c r="L9" s="16">
        <v>-2.7721900000000002</v>
      </c>
      <c r="M9" s="16">
        <v>10.111030000000001</v>
      </c>
      <c r="N9" s="16">
        <v>-7.8798000000000004</v>
      </c>
      <c r="O9" s="16">
        <v>4.2608300000000003</v>
      </c>
      <c r="P9" s="16">
        <v>-9.0296399999999988</v>
      </c>
      <c r="Q9" s="16">
        <v>-19.219099999999997</v>
      </c>
      <c r="R9" s="16">
        <v>-22.1523</v>
      </c>
      <c r="S9" s="16">
        <v>1.00861</v>
      </c>
      <c r="T9" s="16">
        <v>-7.54697</v>
      </c>
      <c r="U9" s="16">
        <v>3.05389</v>
      </c>
      <c r="V9" s="16">
        <v>-0.55309000000000008</v>
      </c>
      <c r="W9" s="16">
        <v>-10.613</v>
      </c>
      <c r="X9" s="16">
        <v>-11.085899999999999</v>
      </c>
      <c r="Y9" s="16">
        <v>5.77902</v>
      </c>
      <c r="Z9" s="16">
        <v>-2.5799099999999999</v>
      </c>
      <c r="AA9" s="16">
        <v>11.36007</v>
      </c>
      <c r="AB9" s="16">
        <v>13.28439</v>
      </c>
      <c r="AC9" s="16">
        <v>-1.07623</v>
      </c>
      <c r="AD9" s="16">
        <v>6.7392950000000003</v>
      </c>
      <c r="AE9" s="16">
        <v>9.3276970000000006</v>
      </c>
      <c r="AF9" s="16">
        <v>9.8532309999999992</v>
      </c>
      <c r="AG9" s="16">
        <v>2.3867620000000001</v>
      </c>
      <c r="AH9" s="16">
        <v>-14.003299999999999</v>
      </c>
      <c r="AI9" s="46"/>
      <c r="AJ9" s="46"/>
      <c r="AK9" s="46"/>
      <c r="AL9" s="46"/>
      <c r="AM9" s="46"/>
      <c r="AN9" s="4"/>
      <c r="AO9" s="4"/>
      <c r="AP9" s="4"/>
      <c r="AQ9" s="4"/>
      <c r="AR9" s="4"/>
      <c r="AS9" s="4"/>
      <c r="AT9" s="4"/>
      <c r="AU9" s="4"/>
      <c r="AV9" s="4"/>
      <c r="AW9" s="4"/>
      <c r="AX9" s="4"/>
      <c r="AY9" s="4"/>
    </row>
    <row r="10" spans="1:51" ht="14.5" x14ac:dyDescent="0.35">
      <c r="A10" s="136">
        <f>YampaRiverInflow.TotalOutflow!A10</f>
        <v>46327</v>
      </c>
      <c r="B10" s="34">
        <v>-5.5279999999999996</v>
      </c>
      <c r="C10" s="12">
        <v>-5.5279999999999996</v>
      </c>
      <c r="D10" s="45">
        <v>-5.5279999999999996</v>
      </c>
      <c r="E10" s="16">
        <v>6.7825500000000005</v>
      </c>
      <c r="F10" s="16">
        <v>12.2211</v>
      </c>
      <c r="G10" s="16">
        <v>-13.3376</v>
      </c>
      <c r="H10" s="16">
        <v>4.8029599999999997</v>
      </c>
      <c r="I10" s="16">
        <v>7.5139499999999995</v>
      </c>
      <c r="J10" s="16">
        <v>2.73468</v>
      </c>
      <c r="K10" s="16">
        <v>6.6013000000000002</v>
      </c>
      <c r="L10" s="16">
        <v>0.97684000000000004</v>
      </c>
      <c r="M10" s="16">
        <v>8.3629300000000004</v>
      </c>
      <c r="N10" s="16">
        <v>1.9108499999999999</v>
      </c>
      <c r="O10" s="16">
        <v>-3.2407300000000001</v>
      </c>
      <c r="P10" s="16">
        <v>2.9348700000000001</v>
      </c>
      <c r="Q10" s="16">
        <v>-7.6372900000000001</v>
      </c>
      <c r="R10" s="16">
        <v>3.4327800000000002</v>
      </c>
      <c r="S10" s="16">
        <v>5.0682</v>
      </c>
      <c r="T10" s="16">
        <v>-2.44712</v>
      </c>
      <c r="U10" s="16">
        <v>9.4311000000000007</v>
      </c>
      <c r="V10" s="16">
        <v>-7.2890100000000002</v>
      </c>
      <c r="W10" s="16">
        <v>-3.6388499999999997</v>
      </c>
      <c r="X10" s="16">
        <v>0.89403999999999995</v>
      </c>
      <c r="Y10" s="16">
        <v>10.06827</v>
      </c>
      <c r="Z10" s="16">
        <v>6.3182299999999998</v>
      </c>
      <c r="AA10" s="16">
        <v>14.429110000000001</v>
      </c>
      <c r="AB10" s="16">
        <v>13.14282</v>
      </c>
      <c r="AC10" s="16">
        <v>0.30604999999999999</v>
      </c>
      <c r="AD10" s="16">
        <v>3.2879200000000002</v>
      </c>
      <c r="AE10" s="16">
        <v>9.6716720000000009</v>
      </c>
      <c r="AF10" s="16">
        <v>20.124560000000002</v>
      </c>
      <c r="AG10" s="16">
        <v>-11.070600000000001</v>
      </c>
      <c r="AH10" s="16">
        <v>-13.8909</v>
      </c>
      <c r="AI10" s="46"/>
      <c r="AJ10" s="46"/>
      <c r="AK10" s="46"/>
      <c r="AL10" s="46"/>
      <c r="AM10" s="46"/>
      <c r="AN10" s="4"/>
      <c r="AO10" s="4"/>
      <c r="AP10" s="4"/>
      <c r="AQ10" s="4"/>
      <c r="AR10" s="4"/>
      <c r="AS10" s="4"/>
      <c r="AT10" s="4"/>
      <c r="AU10" s="4"/>
      <c r="AV10" s="4"/>
      <c r="AW10" s="4"/>
      <c r="AX10" s="4"/>
      <c r="AY10" s="4"/>
    </row>
    <row r="11" spans="1:51" ht="14.5" x14ac:dyDescent="0.35">
      <c r="A11" s="136">
        <f>YampaRiverInflow.TotalOutflow!A11</f>
        <v>46357</v>
      </c>
      <c r="B11" s="34">
        <v>-4.2699999999999996</v>
      </c>
      <c r="C11" s="12">
        <v>-4.2699999999999996</v>
      </c>
      <c r="D11" s="45">
        <v>-4.2699999999999996</v>
      </c>
      <c r="E11" s="16">
        <v>8.3700100000000006</v>
      </c>
      <c r="F11" s="16">
        <v>26.24044</v>
      </c>
      <c r="G11" s="16">
        <v>9.7062999999999988</v>
      </c>
      <c r="H11" s="16">
        <v>15.84782</v>
      </c>
      <c r="I11" s="16">
        <v>94.941029999999998</v>
      </c>
      <c r="J11" s="16">
        <v>-1.6679900000000001</v>
      </c>
      <c r="K11" s="16">
        <v>27.110379999999999</v>
      </c>
      <c r="L11" s="16">
        <v>15.47331</v>
      </c>
      <c r="M11" s="16">
        <v>23.397189999999998</v>
      </c>
      <c r="N11" s="16">
        <v>-21.467200000000002</v>
      </c>
      <c r="O11" s="16">
        <v>-1.96912</v>
      </c>
      <c r="P11" s="16">
        <v>6.1689999999999996</v>
      </c>
      <c r="Q11" s="16">
        <v>-8.7340999999999998</v>
      </c>
      <c r="R11" s="16">
        <v>2.1890200000000002</v>
      </c>
      <c r="S11" s="16">
        <v>6.2199300000000006</v>
      </c>
      <c r="T11" s="16">
        <v>-1.9193900000000002</v>
      </c>
      <c r="U11" s="16">
        <v>-0.40073999999999999</v>
      </c>
      <c r="V11" s="16">
        <v>-10.7593</v>
      </c>
      <c r="W11" s="16">
        <v>-7.3306499999999994</v>
      </c>
      <c r="X11" s="16">
        <v>7.5781999999999998</v>
      </c>
      <c r="Y11" s="16">
        <v>10.29767</v>
      </c>
      <c r="Z11" s="16">
        <v>-5.8699700000000004</v>
      </c>
      <c r="AA11" s="16">
        <v>24.633080000000003</v>
      </c>
      <c r="AB11" s="16">
        <v>23.363189999999999</v>
      </c>
      <c r="AC11" s="16">
        <v>-1.2471300000000001</v>
      </c>
      <c r="AD11" s="16">
        <v>-6.3736999999999995</v>
      </c>
      <c r="AE11" s="16">
        <v>5.9137360000000001</v>
      </c>
      <c r="AF11" s="16">
        <v>15.60941</v>
      </c>
      <c r="AG11" s="16">
        <v>24.042540000000002</v>
      </c>
      <c r="AH11" s="16">
        <v>-3.4043299999999999</v>
      </c>
      <c r="AI11" s="46"/>
      <c r="AJ11" s="46"/>
      <c r="AK11" s="46"/>
      <c r="AL11" s="46"/>
      <c r="AM11" s="46"/>
      <c r="AN11" s="4"/>
      <c r="AO11" s="4"/>
      <c r="AP11" s="4"/>
      <c r="AQ11" s="4"/>
      <c r="AR11" s="4"/>
      <c r="AS11" s="4"/>
      <c r="AT11" s="4"/>
      <c r="AU11" s="4"/>
      <c r="AV11" s="4"/>
      <c r="AW11" s="4"/>
      <c r="AX11" s="4"/>
      <c r="AY11" s="4"/>
    </row>
    <row r="12" spans="1:51" ht="14.5" x14ac:dyDescent="0.35">
      <c r="A12" s="136">
        <f>YampaRiverInflow.TotalOutflow!A12</f>
        <v>46388</v>
      </c>
      <c r="B12" s="34">
        <v>1.958</v>
      </c>
      <c r="C12" s="12">
        <v>1.958</v>
      </c>
      <c r="D12" s="45">
        <v>1.958</v>
      </c>
      <c r="E12" s="16">
        <v>6.9913500000000006</v>
      </c>
      <c r="F12" s="16">
        <v>-30.0366</v>
      </c>
      <c r="G12" s="16">
        <v>0.34805000000000003</v>
      </c>
      <c r="H12" s="16">
        <v>8.1073400000000007</v>
      </c>
      <c r="I12" s="16">
        <v>-4.0167999999999999</v>
      </c>
      <c r="J12" s="16">
        <v>-0.42529</v>
      </c>
      <c r="K12" s="16">
        <v>-9.22471</v>
      </c>
      <c r="L12" s="16">
        <v>16.908450000000002</v>
      </c>
      <c r="M12" s="16">
        <v>1.48193</v>
      </c>
      <c r="N12" s="16">
        <v>-11.1562</v>
      </c>
      <c r="O12" s="16">
        <v>-10.2127</v>
      </c>
      <c r="P12" s="16">
        <v>-20.743200000000002</v>
      </c>
      <c r="Q12" s="16">
        <v>-9.2751999999999999</v>
      </c>
      <c r="R12" s="16">
        <v>-13.9984</v>
      </c>
      <c r="S12" s="16">
        <v>-0.47846</v>
      </c>
      <c r="T12" s="16">
        <v>-2.4032600000000004</v>
      </c>
      <c r="U12" s="16">
        <v>3.4120999999999997</v>
      </c>
      <c r="V12" s="16">
        <v>-10.2646</v>
      </c>
      <c r="W12" s="16">
        <v>17.93282</v>
      </c>
      <c r="X12" s="16">
        <v>-2.55436</v>
      </c>
      <c r="Y12" s="16">
        <v>-2.7433800000000002</v>
      </c>
      <c r="Z12" s="16">
        <v>-21.323400000000003</v>
      </c>
      <c r="AA12" s="16">
        <v>2.622719</v>
      </c>
      <c r="AB12" s="16">
        <v>3.4634200000000002</v>
      </c>
      <c r="AC12" s="16">
        <v>7.8842790000000003</v>
      </c>
      <c r="AD12" s="16">
        <v>16.61054</v>
      </c>
      <c r="AE12" s="16">
        <v>8.8169590000000007</v>
      </c>
      <c r="AF12" s="16">
        <v>17.907229999999998</v>
      </c>
      <c r="AG12" s="16">
        <v>12.460120000000002</v>
      </c>
      <c r="AH12" s="16">
        <v>7.4652799999999999</v>
      </c>
      <c r="AI12" s="46"/>
      <c r="AJ12" s="46"/>
      <c r="AK12" s="46"/>
      <c r="AL12" s="46"/>
      <c r="AM12" s="46"/>
      <c r="AN12" s="4"/>
      <c r="AO12" s="4"/>
      <c r="AP12" s="4"/>
      <c r="AQ12" s="4"/>
      <c r="AR12" s="4"/>
      <c r="AS12" s="4"/>
      <c r="AT12" s="4"/>
      <c r="AU12" s="4"/>
      <c r="AV12" s="4"/>
      <c r="AW12" s="4"/>
      <c r="AX12" s="4"/>
      <c r="AY12" s="4"/>
    </row>
    <row r="13" spans="1:51" ht="14.5" x14ac:dyDescent="0.35">
      <c r="A13" s="136">
        <f>YampaRiverInflow.TotalOutflow!A13</f>
        <v>46419</v>
      </c>
      <c r="B13" s="34">
        <v>0.82399999999999995</v>
      </c>
      <c r="C13" s="12">
        <v>0.82399999999999995</v>
      </c>
      <c r="D13" s="45">
        <v>0.82399999999999995</v>
      </c>
      <c r="E13" s="16">
        <v>4.1059299999999999</v>
      </c>
      <c r="F13" s="16">
        <v>-45.490699999999997</v>
      </c>
      <c r="G13" s="16">
        <v>-8.9389900000000004</v>
      </c>
      <c r="H13" s="16">
        <v>14.93486</v>
      </c>
      <c r="I13" s="16">
        <v>-2.7169299999999996</v>
      </c>
      <c r="J13" s="16">
        <v>1.1206400000000001</v>
      </c>
      <c r="K13" s="16">
        <v>-12.965299999999999</v>
      </c>
      <c r="L13" s="16">
        <v>0.91830999999999996</v>
      </c>
      <c r="M13" s="16">
        <v>1.91351</v>
      </c>
      <c r="N13" s="16">
        <v>-9.2040600000000001</v>
      </c>
      <c r="O13" s="16">
        <v>-8.6602700000000006</v>
      </c>
      <c r="P13" s="16">
        <v>-7.7134099999999997</v>
      </c>
      <c r="Q13" s="16">
        <v>-7.8451700000000004</v>
      </c>
      <c r="R13" s="16">
        <v>-18.252200000000002</v>
      </c>
      <c r="S13" s="16">
        <v>-3.1171700000000002</v>
      </c>
      <c r="T13" s="16">
        <v>-7.3280799999999999</v>
      </c>
      <c r="U13" s="16">
        <v>1.02014</v>
      </c>
      <c r="V13" s="16">
        <v>-14.3032</v>
      </c>
      <c r="W13" s="16">
        <v>-13.955</v>
      </c>
      <c r="X13" s="16">
        <v>-11.963200000000001</v>
      </c>
      <c r="Y13" s="16">
        <v>-5.2006099999999993</v>
      </c>
      <c r="Z13" s="16">
        <v>-1.8404100000000001</v>
      </c>
      <c r="AA13" s="16">
        <v>4.1879590000000002</v>
      </c>
      <c r="AB13" s="16">
        <v>8.0341699999999996</v>
      </c>
      <c r="AC13" s="16">
        <v>-3.2283200000000001</v>
      </c>
      <c r="AD13" s="16">
        <v>-5.3345600000000006</v>
      </c>
      <c r="AE13" s="16">
        <v>-3.9803500000000001</v>
      </c>
      <c r="AF13" s="16">
        <v>3.725031</v>
      </c>
      <c r="AG13" s="16">
        <v>11.38289</v>
      </c>
      <c r="AH13" s="16">
        <v>9.9543199999999992</v>
      </c>
      <c r="AI13" s="46"/>
      <c r="AJ13" s="46"/>
      <c r="AK13" s="46"/>
      <c r="AL13" s="46"/>
      <c r="AM13" s="46"/>
      <c r="AN13" s="4"/>
      <c r="AO13" s="4"/>
      <c r="AP13" s="4"/>
      <c r="AQ13" s="4"/>
      <c r="AR13" s="4"/>
      <c r="AS13" s="4"/>
      <c r="AT13" s="4"/>
      <c r="AU13" s="4"/>
      <c r="AV13" s="4"/>
      <c r="AW13" s="4"/>
      <c r="AX13" s="4"/>
      <c r="AY13" s="4"/>
    </row>
    <row r="14" spans="1:51" ht="14.5" x14ac:dyDescent="0.35">
      <c r="A14" s="136">
        <f>YampaRiverInflow.TotalOutflow!A14</f>
        <v>46447</v>
      </c>
      <c r="B14" s="34">
        <v>-0.621</v>
      </c>
      <c r="C14" s="12">
        <v>-0.621</v>
      </c>
      <c r="D14" s="45">
        <v>-0.621</v>
      </c>
      <c r="E14" s="16">
        <v>-1.48194</v>
      </c>
      <c r="F14" s="16">
        <v>-85.616900000000001</v>
      </c>
      <c r="G14" s="16">
        <v>-18.977</v>
      </c>
      <c r="H14" s="16">
        <v>-3.0748000000000002</v>
      </c>
      <c r="I14" s="16">
        <v>33.225720000000003</v>
      </c>
      <c r="J14" s="16">
        <v>11.037510000000001</v>
      </c>
      <c r="K14" s="16">
        <v>4.6733700000000002</v>
      </c>
      <c r="L14" s="16">
        <v>4.0890000000000003E-2</v>
      </c>
      <c r="M14" s="16">
        <v>8.1969799999999999</v>
      </c>
      <c r="N14" s="16">
        <v>5.5769299999999999</v>
      </c>
      <c r="O14" s="16">
        <v>-5.0199499999999997</v>
      </c>
      <c r="P14" s="16">
        <v>-3.68032</v>
      </c>
      <c r="Q14" s="16">
        <v>-25.690300000000001</v>
      </c>
      <c r="R14" s="16">
        <v>16.045670000000001</v>
      </c>
      <c r="S14" s="16">
        <v>-10.3043</v>
      </c>
      <c r="T14" s="16">
        <v>-11.892200000000001</v>
      </c>
      <c r="U14" s="16">
        <v>0.31795999999999996</v>
      </c>
      <c r="V14" s="16">
        <v>-9.7432599999999994</v>
      </c>
      <c r="W14" s="16">
        <v>-12.145200000000001</v>
      </c>
      <c r="X14" s="16">
        <v>-6.3741000000000003</v>
      </c>
      <c r="Y14" s="16">
        <v>-11.247</v>
      </c>
      <c r="Z14" s="16">
        <v>-5.8244099999999994</v>
      </c>
      <c r="AA14" s="16">
        <v>-14.067500000000001</v>
      </c>
      <c r="AB14" s="16">
        <v>-1.27335</v>
      </c>
      <c r="AC14" s="16">
        <v>-1.8987400000000001</v>
      </c>
      <c r="AD14" s="16">
        <v>-12.0581</v>
      </c>
      <c r="AE14" s="16">
        <v>-1.39941</v>
      </c>
      <c r="AF14" s="16">
        <v>3.0619520000000002</v>
      </c>
      <c r="AG14" s="16">
        <v>0.5556236</v>
      </c>
      <c r="AH14" s="16">
        <v>2.51511</v>
      </c>
      <c r="AI14" s="46"/>
      <c r="AJ14" s="46"/>
      <c r="AK14" s="46"/>
      <c r="AL14" s="46"/>
      <c r="AM14" s="46"/>
      <c r="AN14" s="4"/>
      <c r="AO14" s="4"/>
      <c r="AP14" s="4"/>
      <c r="AQ14" s="4"/>
      <c r="AR14" s="4"/>
      <c r="AS14" s="4"/>
      <c r="AT14" s="4"/>
      <c r="AU14" s="4"/>
      <c r="AV14" s="4"/>
      <c r="AW14" s="4"/>
      <c r="AX14" s="4"/>
      <c r="AY14" s="4"/>
    </row>
    <row r="15" spans="1:51" ht="14.5" x14ac:dyDescent="0.35">
      <c r="A15" s="136">
        <f>YampaRiverInflow.TotalOutflow!A15</f>
        <v>46478</v>
      </c>
      <c r="B15" s="34">
        <v>-2.9449999999999998</v>
      </c>
      <c r="C15" s="12">
        <v>-2.9449999999999998</v>
      </c>
      <c r="D15" s="45">
        <v>-2.9449999999999998</v>
      </c>
      <c r="E15" s="16">
        <v>12.84352</v>
      </c>
      <c r="F15" s="16">
        <v>-51.0623</v>
      </c>
      <c r="G15" s="16">
        <v>-15.1135</v>
      </c>
      <c r="H15" s="16">
        <v>-4.2431000000000001</v>
      </c>
      <c r="I15" s="16">
        <v>-7.57599</v>
      </c>
      <c r="J15" s="16">
        <v>15.395820000000001</v>
      </c>
      <c r="K15" s="16">
        <v>39.174210000000002</v>
      </c>
      <c r="L15" s="16">
        <v>-0.41738999999999998</v>
      </c>
      <c r="M15" s="16">
        <v>-3.9382700000000002</v>
      </c>
      <c r="N15" s="16">
        <v>0.93055999999999994</v>
      </c>
      <c r="O15" s="16">
        <v>-11.8729</v>
      </c>
      <c r="P15" s="16">
        <v>-13.3843</v>
      </c>
      <c r="Q15" s="16">
        <v>-6.9093299999999997</v>
      </c>
      <c r="R15" s="16">
        <v>4.2983100000000007</v>
      </c>
      <c r="S15" s="16">
        <v>-1.6048699999999998</v>
      </c>
      <c r="T15" s="16">
        <v>-3.3881199999999998</v>
      </c>
      <c r="U15" s="16">
        <v>-8.2623700000000007</v>
      </c>
      <c r="V15" s="16">
        <v>-14.0764</v>
      </c>
      <c r="W15" s="16">
        <v>-15.644399999999999</v>
      </c>
      <c r="X15" s="16">
        <v>-20.3934</v>
      </c>
      <c r="Y15" s="16">
        <v>-12.2591</v>
      </c>
      <c r="Z15" s="16">
        <v>-6.0398699999999996</v>
      </c>
      <c r="AA15" s="16">
        <v>14.186459999999999</v>
      </c>
      <c r="AB15" s="16">
        <v>-9.3056399999999986</v>
      </c>
      <c r="AC15" s="16">
        <v>-4.80497</v>
      </c>
      <c r="AD15" s="16">
        <v>-4.7238199999999999</v>
      </c>
      <c r="AE15" s="16">
        <v>-4.9565900000000003</v>
      </c>
      <c r="AF15" s="16">
        <v>-3.62934</v>
      </c>
      <c r="AG15" s="16">
        <v>-36.724299999999999</v>
      </c>
      <c r="AH15" s="16">
        <v>5.76356</v>
      </c>
      <c r="AI15" s="46"/>
      <c r="AJ15" s="46"/>
      <c r="AK15" s="46"/>
      <c r="AL15" s="46"/>
      <c r="AM15" s="46"/>
      <c r="AN15" s="4"/>
      <c r="AO15" s="4"/>
      <c r="AP15" s="4"/>
      <c r="AQ15" s="4"/>
      <c r="AR15" s="4"/>
      <c r="AS15" s="4"/>
      <c r="AT15" s="4"/>
      <c r="AU15" s="4"/>
      <c r="AV15" s="4"/>
      <c r="AW15" s="4"/>
      <c r="AX15" s="4"/>
      <c r="AY15" s="4"/>
    </row>
    <row r="16" spans="1:51" ht="14.5" x14ac:dyDescent="0.35">
      <c r="A16" s="136">
        <f>YampaRiverInflow.TotalOutflow!A16</f>
        <v>46508</v>
      </c>
      <c r="B16" s="34">
        <v>-6.407</v>
      </c>
      <c r="C16" s="12">
        <v>-6.407</v>
      </c>
      <c r="D16" s="45">
        <v>-6.407</v>
      </c>
      <c r="E16" s="16">
        <v>4.7034399999999996</v>
      </c>
      <c r="F16" s="16">
        <v>-61.748899999999999</v>
      </c>
      <c r="G16" s="16">
        <v>-4.7955200000000007</v>
      </c>
      <c r="H16" s="16">
        <v>-13.974399999999999</v>
      </c>
      <c r="I16" s="16">
        <v>-8.2093600000000002</v>
      </c>
      <c r="J16" s="16">
        <v>11.730090000000001</v>
      </c>
      <c r="K16" s="16">
        <v>21.999099999999999</v>
      </c>
      <c r="L16" s="16">
        <v>0.11092</v>
      </c>
      <c r="M16" s="16">
        <v>-14.867799999999999</v>
      </c>
      <c r="N16" s="16">
        <v>-7.1809500000000002</v>
      </c>
      <c r="O16" s="16">
        <v>-5.66974</v>
      </c>
      <c r="P16" s="16">
        <v>-33.700400000000002</v>
      </c>
      <c r="Q16" s="16">
        <v>-4.7220800000000001</v>
      </c>
      <c r="R16" s="16">
        <v>-17.381799999999998</v>
      </c>
      <c r="S16" s="16">
        <v>-33.279300000000006</v>
      </c>
      <c r="T16" s="16">
        <v>-5.4207200000000002</v>
      </c>
      <c r="U16" s="16">
        <v>-5.2464300000000001</v>
      </c>
      <c r="V16" s="16">
        <v>3.1493000000000002</v>
      </c>
      <c r="W16" s="16">
        <v>-9.5569299999999995</v>
      </c>
      <c r="X16" s="16">
        <v>4.5381899999999993</v>
      </c>
      <c r="Y16" s="16">
        <v>2.7454499999999999</v>
      </c>
      <c r="Z16" s="16">
        <v>4.5651899999999994</v>
      </c>
      <c r="AA16" s="16">
        <v>0.1095455</v>
      </c>
      <c r="AB16" s="16">
        <v>7.3637499999999996</v>
      </c>
      <c r="AC16" s="16">
        <v>8.667313</v>
      </c>
      <c r="AD16" s="16">
        <v>9.6379000000000001</v>
      </c>
      <c r="AE16" s="16">
        <v>-0.59501400000000004</v>
      </c>
      <c r="AF16" s="16">
        <v>-7.1286899999999997</v>
      </c>
      <c r="AG16" s="16">
        <v>13.089129999999999</v>
      </c>
      <c r="AH16" s="16">
        <v>7.5992100000000002</v>
      </c>
      <c r="AI16" s="46"/>
      <c r="AJ16" s="46"/>
      <c r="AK16" s="46"/>
      <c r="AL16" s="46"/>
      <c r="AM16" s="46"/>
      <c r="AN16" s="4"/>
      <c r="AO16" s="4"/>
      <c r="AP16" s="4"/>
      <c r="AQ16" s="4"/>
      <c r="AR16" s="4"/>
      <c r="AS16" s="4"/>
      <c r="AT16" s="4"/>
      <c r="AU16" s="4"/>
      <c r="AV16" s="4"/>
      <c r="AW16" s="4"/>
      <c r="AX16" s="4"/>
      <c r="AY16" s="4"/>
    </row>
    <row r="17" spans="1:51" ht="14.5" x14ac:dyDescent="0.35">
      <c r="A17" s="136">
        <f>YampaRiverInflow.TotalOutflow!A17</f>
        <v>46539</v>
      </c>
      <c r="B17" s="34">
        <v>0.91400000000000003</v>
      </c>
      <c r="C17" s="12">
        <v>0.91400000000000003</v>
      </c>
      <c r="D17" s="45">
        <v>0.91400000000000003</v>
      </c>
      <c r="E17" s="16">
        <v>13.497540000000001</v>
      </c>
      <c r="F17" s="16">
        <v>-26.186700000000002</v>
      </c>
      <c r="G17" s="16">
        <v>-3.3491300000000002</v>
      </c>
      <c r="H17" s="16">
        <v>4.0840300000000003</v>
      </c>
      <c r="I17" s="16">
        <v>-11.6759</v>
      </c>
      <c r="J17" s="16">
        <v>-4.1159999999999995E-2</v>
      </c>
      <c r="K17" s="16">
        <v>5.6090299999999997</v>
      </c>
      <c r="L17" s="16">
        <v>-3.69754</v>
      </c>
      <c r="M17" s="16">
        <v>-11.8339</v>
      </c>
      <c r="N17" s="16">
        <v>-9.2286099999999998</v>
      </c>
      <c r="O17" s="16">
        <v>-8.5176200000000009</v>
      </c>
      <c r="P17" s="16">
        <v>-26.906099999999999</v>
      </c>
      <c r="Q17" s="16">
        <v>-30.0809</v>
      </c>
      <c r="R17" s="16">
        <v>1.8562000000000001</v>
      </c>
      <c r="S17" s="16">
        <v>-14.7171</v>
      </c>
      <c r="T17" s="16">
        <v>-14.012499999999999</v>
      </c>
      <c r="U17" s="16">
        <v>-1.51996</v>
      </c>
      <c r="V17" s="16">
        <v>-16.566500000000001</v>
      </c>
      <c r="W17" s="16">
        <v>-17.7789</v>
      </c>
      <c r="X17" s="16">
        <v>-8.3348700000000004</v>
      </c>
      <c r="Y17" s="16">
        <v>-5.4185299999999996</v>
      </c>
      <c r="Z17" s="16">
        <v>-7.2006999999999994</v>
      </c>
      <c r="AA17" s="16">
        <v>-0.73851199999999995</v>
      </c>
      <c r="AB17" s="16">
        <v>2.2777600000000002</v>
      </c>
      <c r="AC17" s="16">
        <v>-1.24882</v>
      </c>
      <c r="AD17" s="16">
        <v>-2.2548400000000002</v>
      </c>
      <c r="AE17" s="16">
        <v>-7.8657200000000005</v>
      </c>
      <c r="AF17" s="16">
        <v>-7.5185699999999995</v>
      </c>
      <c r="AG17" s="16">
        <v>-7.5434399999999995</v>
      </c>
      <c r="AH17" s="16">
        <v>4.59762</v>
      </c>
      <c r="AI17" s="46"/>
      <c r="AJ17" s="46"/>
      <c r="AK17" s="46"/>
      <c r="AL17" s="46"/>
      <c r="AM17" s="46"/>
      <c r="AN17" s="4"/>
      <c r="AO17" s="4"/>
      <c r="AP17" s="4"/>
      <c r="AQ17" s="4"/>
      <c r="AR17" s="4"/>
      <c r="AS17" s="4"/>
      <c r="AT17" s="4"/>
      <c r="AU17" s="4"/>
      <c r="AV17" s="4"/>
      <c r="AW17" s="4"/>
      <c r="AX17" s="4"/>
      <c r="AY17" s="4"/>
    </row>
    <row r="18" spans="1:51" ht="14.5" x14ac:dyDescent="0.35">
      <c r="A18" s="136">
        <f>YampaRiverInflow.TotalOutflow!A18</f>
        <v>46569</v>
      </c>
      <c r="B18" s="34">
        <v>-9.2409999999999997</v>
      </c>
      <c r="C18" s="12">
        <v>-9.2409999999999997</v>
      </c>
      <c r="D18" s="45">
        <v>-9.2409999999999997</v>
      </c>
      <c r="E18" s="16">
        <v>3.09552</v>
      </c>
      <c r="F18" s="16">
        <v>-10.6083</v>
      </c>
      <c r="G18" s="16">
        <v>-7.64445</v>
      </c>
      <c r="H18" s="16">
        <v>8.1272700000000011</v>
      </c>
      <c r="I18" s="16">
        <v>-11.493399999999999</v>
      </c>
      <c r="J18" s="16">
        <v>10.728009999999999</v>
      </c>
      <c r="K18" s="16">
        <v>8.7200199999999999</v>
      </c>
      <c r="L18" s="16">
        <v>-1.2666099999999998</v>
      </c>
      <c r="M18" s="16">
        <v>-11.347200000000001</v>
      </c>
      <c r="N18" s="16">
        <v>-18.336200000000002</v>
      </c>
      <c r="O18" s="16">
        <v>-2.94312</v>
      </c>
      <c r="P18" s="16">
        <v>-31.489599999999999</v>
      </c>
      <c r="Q18" s="16">
        <v>-20.471400000000003</v>
      </c>
      <c r="R18" s="16">
        <v>-11.8964</v>
      </c>
      <c r="S18" s="16">
        <v>-5.89581</v>
      </c>
      <c r="T18" s="16">
        <v>-9.4188299999999998</v>
      </c>
      <c r="U18" s="16">
        <v>-9.6500499999999985</v>
      </c>
      <c r="V18" s="16">
        <v>-13.497399999999999</v>
      </c>
      <c r="W18" s="16">
        <v>-20.7821</v>
      </c>
      <c r="X18" s="16">
        <v>-5.3935699999999995</v>
      </c>
      <c r="Y18" s="16">
        <v>-16.034399999999998</v>
      </c>
      <c r="Z18" s="16">
        <v>-7.2505600000000001</v>
      </c>
      <c r="AA18" s="16">
        <v>-12.2248</v>
      </c>
      <c r="AB18" s="16">
        <v>-2.5033499999999997</v>
      </c>
      <c r="AC18" s="16">
        <v>-0.440502</v>
      </c>
      <c r="AD18" s="16">
        <v>11.24718</v>
      </c>
      <c r="AE18" s="16">
        <v>-1.8387200000000001</v>
      </c>
      <c r="AF18" s="16">
        <v>-11.0794</v>
      </c>
      <c r="AG18" s="16">
        <v>-4.7515900000000002</v>
      </c>
      <c r="AH18" s="16">
        <v>1.85019</v>
      </c>
      <c r="AI18" s="46"/>
      <c r="AJ18" s="46"/>
      <c r="AK18" s="46"/>
      <c r="AL18" s="46"/>
      <c r="AM18" s="46"/>
      <c r="AN18" s="4"/>
      <c r="AO18" s="4"/>
      <c r="AP18" s="4"/>
      <c r="AQ18" s="4"/>
      <c r="AR18" s="4"/>
      <c r="AS18" s="4"/>
      <c r="AT18" s="4"/>
      <c r="AU18" s="4"/>
      <c r="AV18" s="4"/>
      <c r="AW18" s="4"/>
      <c r="AX18" s="4"/>
      <c r="AY18" s="4"/>
    </row>
    <row r="19" spans="1:51" ht="14.5" x14ac:dyDescent="0.35">
      <c r="A19" s="136">
        <f>YampaRiverInflow.TotalOutflow!A19</f>
        <v>46600</v>
      </c>
      <c r="B19" s="34">
        <v>-6.3780000000000001</v>
      </c>
      <c r="C19" s="12">
        <v>-6.3780000000000001</v>
      </c>
      <c r="D19" s="45">
        <v>-6.3780000000000001</v>
      </c>
      <c r="E19" s="16">
        <v>3.7869800000000002</v>
      </c>
      <c r="F19" s="16">
        <v>-3.9497499999999999</v>
      </c>
      <c r="G19" s="16">
        <v>-0.94598000000000004</v>
      </c>
      <c r="H19" s="16">
        <v>2.1968100000000002</v>
      </c>
      <c r="I19" s="16">
        <v>-4.3264100000000001</v>
      </c>
      <c r="J19" s="16">
        <v>-10.6752</v>
      </c>
      <c r="K19" s="16">
        <v>1.8042</v>
      </c>
      <c r="L19" s="16">
        <v>4.2788000000000004</v>
      </c>
      <c r="M19" s="16">
        <v>-12.226000000000001</v>
      </c>
      <c r="N19" s="16">
        <v>-3.8130300000000004</v>
      </c>
      <c r="O19" s="16">
        <v>-0.78469000000000011</v>
      </c>
      <c r="P19" s="16">
        <v>-7.6042100000000001</v>
      </c>
      <c r="Q19" s="16">
        <v>-5.4120699999999999</v>
      </c>
      <c r="R19" s="16">
        <v>-13.8598</v>
      </c>
      <c r="S19" s="16">
        <v>-14.737</v>
      </c>
      <c r="T19" s="16">
        <v>-6.2569600000000003</v>
      </c>
      <c r="U19" s="16">
        <v>-22.553799999999999</v>
      </c>
      <c r="V19" s="16">
        <v>-2.4493899999999997</v>
      </c>
      <c r="W19" s="16">
        <v>-15.1355</v>
      </c>
      <c r="X19" s="16">
        <v>2.9768400000000002</v>
      </c>
      <c r="Y19" s="16">
        <v>5.9177799999999996</v>
      </c>
      <c r="Z19" s="16">
        <v>3.3304999999999998</v>
      </c>
      <c r="AA19" s="16">
        <v>10.576969999999999</v>
      </c>
      <c r="AB19" s="16">
        <v>-7.4222299999999999</v>
      </c>
      <c r="AC19" s="16">
        <v>-2.7236199999999999</v>
      </c>
      <c r="AD19" s="16">
        <v>11.2767</v>
      </c>
      <c r="AE19" s="16">
        <v>-2.6559499999999998</v>
      </c>
      <c r="AF19" s="16">
        <v>3.1679930000000001</v>
      </c>
      <c r="AG19" s="16">
        <v>-8.08446</v>
      </c>
      <c r="AH19" s="16">
        <v>4.3259999999999996</v>
      </c>
      <c r="AI19" s="46"/>
      <c r="AJ19" s="46"/>
      <c r="AK19" s="46"/>
      <c r="AL19" s="46"/>
      <c r="AM19" s="46"/>
      <c r="AN19" s="4"/>
      <c r="AO19" s="4"/>
      <c r="AP19" s="4"/>
      <c r="AQ19" s="4"/>
      <c r="AR19" s="4"/>
      <c r="AS19" s="4"/>
      <c r="AT19" s="4"/>
      <c r="AU19" s="4"/>
      <c r="AV19" s="4"/>
      <c r="AW19" s="4"/>
      <c r="AX19" s="4"/>
      <c r="AY19" s="4"/>
    </row>
    <row r="20" spans="1:51" ht="14.5" x14ac:dyDescent="0.35">
      <c r="A20" s="136">
        <f>YampaRiverInflow.TotalOutflow!A20</f>
        <v>46631</v>
      </c>
      <c r="B20" s="34">
        <v>0.28000000000000003</v>
      </c>
      <c r="C20" s="12">
        <v>0.28000000000000003</v>
      </c>
      <c r="D20" s="45">
        <v>0.28000000000000003</v>
      </c>
      <c r="E20" s="16">
        <v>5.2410399999999999</v>
      </c>
      <c r="F20" s="16">
        <v>-12.903600000000001</v>
      </c>
      <c r="G20" s="16">
        <v>8.5776000000000003</v>
      </c>
      <c r="H20" s="16">
        <v>15.860709999999999</v>
      </c>
      <c r="I20" s="16">
        <v>4.2184399999999993</v>
      </c>
      <c r="J20" s="16">
        <v>2.1504499999999998</v>
      </c>
      <c r="K20" s="16">
        <v>-6.8963000000000001</v>
      </c>
      <c r="L20" s="16">
        <v>-12.975100000000001</v>
      </c>
      <c r="M20" s="16">
        <v>-7.1190200000000008</v>
      </c>
      <c r="N20" s="16">
        <v>-2.2877899999999998</v>
      </c>
      <c r="O20" s="16">
        <v>-15.519200000000001</v>
      </c>
      <c r="P20" s="16">
        <v>-21.1785</v>
      </c>
      <c r="Q20" s="16">
        <v>-6.0739200000000002</v>
      </c>
      <c r="R20" s="16">
        <v>-3.6959299999999997</v>
      </c>
      <c r="S20" s="16">
        <v>0.22959000000000002</v>
      </c>
      <c r="T20" s="16">
        <v>-2.0469200000000001</v>
      </c>
      <c r="U20" s="16">
        <v>-1.55017</v>
      </c>
      <c r="V20" s="16">
        <v>8.7733099999999986</v>
      </c>
      <c r="W20" s="16">
        <v>-8.4957199999999986</v>
      </c>
      <c r="X20" s="16">
        <v>10.460270000000001</v>
      </c>
      <c r="Y20" s="16">
        <v>-5.7617600000000007</v>
      </c>
      <c r="Z20" s="16">
        <v>-2.9507099999999999</v>
      </c>
      <c r="AA20" s="16">
        <v>5.573264</v>
      </c>
      <c r="AB20" s="16">
        <v>6.7049099999999999</v>
      </c>
      <c r="AC20" s="16">
        <v>-0.37902999999999998</v>
      </c>
      <c r="AD20" s="16">
        <v>1.002618</v>
      </c>
      <c r="AE20" s="16">
        <v>4.0797420000000004</v>
      </c>
      <c r="AF20" s="16">
        <v>-5.3277200000000002</v>
      </c>
      <c r="AG20" s="16">
        <v>-6.2411499999999993</v>
      </c>
      <c r="AH20" s="16">
        <v>2.4840100000000001</v>
      </c>
      <c r="AI20" s="46"/>
      <c r="AJ20" s="46"/>
      <c r="AK20" s="46"/>
      <c r="AL20" s="46"/>
      <c r="AM20" s="46"/>
      <c r="AN20" s="4"/>
      <c r="AO20" s="4"/>
      <c r="AP20" s="4"/>
      <c r="AQ20" s="4"/>
      <c r="AR20" s="4"/>
      <c r="AS20" s="4"/>
      <c r="AT20" s="4"/>
      <c r="AU20" s="4"/>
      <c r="AV20" s="4"/>
      <c r="AW20" s="4"/>
      <c r="AX20" s="4"/>
      <c r="AY20" s="4"/>
    </row>
    <row r="21" spans="1:51" ht="14.5" x14ac:dyDescent="0.35">
      <c r="A21" s="136">
        <f>YampaRiverInflow.TotalOutflow!A21</f>
        <v>46661</v>
      </c>
      <c r="B21" s="34">
        <v>0.73499999999999999</v>
      </c>
      <c r="C21" s="12">
        <v>0.73499999999999999</v>
      </c>
      <c r="D21" s="45">
        <v>0.73499999999999999</v>
      </c>
      <c r="E21" s="16">
        <v>16.06822</v>
      </c>
      <c r="F21" s="16">
        <v>-0.16736000000000001</v>
      </c>
      <c r="G21" s="16">
        <v>3.9343000000000004</v>
      </c>
      <c r="H21" s="16">
        <v>-8.1954599999999989</v>
      </c>
      <c r="I21" s="16">
        <v>1.15303</v>
      </c>
      <c r="J21" s="16">
        <v>4.8546899999999997</v>
      </c>
      <c r="K21" s="16">
        <v>-2.7721900000000002</v>
      </c>
      <c r="L21" s="16">
        <v>10.111030000000001</v>
      </c>
      <c r="M21" s="16">
        <v>-7.8798000000000004</v>
      </c>
      <c r="N21" s="16">
        <v>4.2608300000000003</v>
      </c>
      <c r="O21" s="16">
        <v>-9.0296399999999988</v>
      </c>
      <c r="P21" s="16">
        <v>-19.219099999999997</v>
      </c>
      <c r="Q21" s="16">
        <v>-22.1523</v>
      </c>
      <c r="R21" s="16">
        <v>1.00861</v>
      </c>
      <c r="S21" s="16">
        <v>-7.54697</v>
      </c>
      <c r="T21" s="16">
        <v>3.05389</v>
      </c>
      <c r="U21" s="16">
        <v>-0.55309000000000008</v>
      </c>
      <c r="V21" s="16">
        <v>-10.613</v>
      </c>
      <c r="W21" s="16">
        <v>-11.085899999999999</v>
      </c>
      <c r="X21" s="16">
        <v>5.77902</v>
      </c>
      <c r="Y21" s="16">
        <v>-2.5799099999999999</v>
      </c>
      <c r="Z21" s="16">
        <v>11.36007</v>
      </c>
      <c r="AA21" s="16">
        <v>13.28439</v>
      </c>
      <c r="AB21" s="16">
        <v>-1.07623</v>
      </c>
      <c r="AC21" s="16">
        <v>6.7392950000000003</v>
      </c>
      <c r="AD21" s="16">
        <v>9.3276970000000006</v>
      </c>
      <c r="AE21" s="16">
        <v>9.8532309999999992</v>
      </c>
      <c r="AF21" s="16">
        <v>2.3867620000000001</v>
      </c>
      <c r="AG21" s="16">
        <v>-14.003299999999999</v>
      </c>
      <c r="AH21" s="16">
        <v>4.5726499999999994</v>
      </c>
      <c r="AI21" s="46"/>
      <c r="AJ21" s="46"/>
      <c r="AK21" s="46"/>
      <c r="AL21" s="46"/>
      <c r="AM21" s="46"/>
      <c r="AN21" s="4"/>
      <c r="AO21" s="4"/>
      <c r="AP21" s="4"/>
      <c r="AQ21" s="4"/>
      <c r="AR21" s="4"/>
      <c r="AS21" s="4"/>
      <c r="AT21" s="4"/>
      <c r="AU21" s="4"/>
      <c r="AV21" s="4"/>
      <c r="AW21" s="4"/>
      <c r="AX21" s="4"/>
      <c r="AY21" s="4"/>
    </row>
    <row r="22" spans="1:51" ht="14.5" x14ac:dyDescent="0.35">
      <c r="A22" s="136">
        <f>YampaRiverInflow.TotalOutflow!A22</f>
        <v>46692</v>
      </c>
      <c r="B22" s="34">
        <v>-5.5279999999999996</v>
      </c>
      <c r="C22" s="12">
        <v>-5.5279999999999996</v>
      </c>
      <c r="D22" s="45">
        <v>-5.5279999999999996</v>
      </c>
      <c r="E22" s="16">
        <v>12.2211</v>
      </c>
      <c r="F22" s="16">
        <v>-13.3376</v>
      </c>
      <c r="G22" s="16">
        <v>4.8029599999999997</v>
      </c>
      <c r="H22" s="16">
        <v>7.5139499999999995</v>
      </c>
      <c r="I22" s="16">
        <v>2.73468</v>
      </c>
      <c r="J22" s="16">
        <v>6.6013000000000002</v>
      </c>
      <c r="K22" s="16">
        <v>0.97684000000000004</v>
      </c>
      <c r="L22" s="16">
        <v>8.3629300000000004</v>
      </c>
      <c r="M22" s="16">
        <v>1.9108499999999999</v>
      </c>
      <c r="N22" s="16">
        <v>-3.2407300000000001</v>
      </c>
      <c r="O22" s="16">
        <v>2.9348700000000001</v>
      </c>
      <c r="P22" s="16">
        <v>-7.6372900000000001</v>
      </c>
      <c r="Q22" s="16">
        <v>3.4327800000000002</v>
      </c>
      <c r="R22" s="16">
        <v>5.0682</v>
      </c>
      <c r="S22" s="16">
        <v>-2.44712</v>
      </c>
      <c r="T22" s="16">
        <v>9.4311000000000007</v>
      </c>
      <c r="U22" s="16">
        <v>-7.2890100000000002</v>
      </c>
      <c r="V22" s="16">
        <v>-3.6388499999999997</v>
      </c>
      <c r="W22" s="16">
        <v>0.89403999999999995</v>
      </c>
      <c r="X22" s="16">
        <v>10.06827</v>
      </c>
      <c r="Y22" s="16">
        <v>6.3182299999999998</v>
      </c>
      <c r="Z22" s="16">
        <v>14.429110000000001</v>
      </c>
      <c r="AA22" s="16">
        <v>13.14282</v>
      </c>
      <c r="AB22" s="16">
        <v>0.30604999999999999</v>
      </c>
      <c r="AC22" s="16">
        <v>3.2879200000000002</v>
      </c>
      <c r="AD22" s="16">
        <v>9.6716720000000009</v>
      </c>
      <c r="AE22" s="16">
        <v>20.124560000000002</v>
      </c>
      <c r="AF22" s="16">
        <v>-11.070600000000001</v>
      </c>
      <c r="AG22" s="16">
        <v>-13.8909</v>
      </c>
      <c r="AH22" s="16">
        <v>6.7825500000000005</v>
      </c>
      <c r="AI22" s="46"/>
      <c r="AJ22" s="46"/>
      <c r="AK22" s="46"/>
      <c r="AL22" s="46"/>
      <c r="AM22" s="46"/>
      <c r="AN22" s="4"/>
      <c r="AO22" s="4"/>
      <c r="AP22" s="4"/>
      <c r="AQ22" s="4"/>
      <c r="AR22" s="4"/>
      <c r="AS22" s="4"/>
      <c r="AT22" s="4"/>
      <c r="AU22" s="4"/>
      <c r="AV22" s="4"/>
      <c r="AW22" s="4"/>
      <c r="AX22" s="4"/>
      <c r="AY22" s="4"/>
    </row>
    <row r="23" spans="1:51" ht="14.5" x14ac:dyDescent="0.35">
      <c r="A23" s="136">
        <f>YampaRiverInflow.TotalOutflow!A23</f>
        <v>46722</v>
      </c>
      <c r="B23" s="34">
        <v>-4.2699999999999996</v>
      </c>
      <c r="C23" s="12">
        <v>-4.2699999999999996</v>
      </c>
      <c r="D23" s="45">
        <v>-4.2699999999999996</v>
      </c>
      <c r="E23" s="16">
        <v>26.24044</v>
      </c>
      <c r="F23" s="16">
        <v>9.7062999999999988</v>
      </c>
      <c r="G23" s="16">
        <v>15.84782</v>
      </c>
      <c r="H23" s="16">
        <v>94.941029999999998</v>
      </c>
      <c r="I23" s="16">
        <v>-1.6679900000000001</v>
      </c>
      <c r="J23" s="16">
        <v>27.110379999999999</v>
      </c>
      <c r="K23" s="16">
        <v>15.47331</v>
      </c>
      <c r="L23" s="16">
        <v>23.397189999999998</v>
      </c>
      <c r="M23" s="16">
        <v>-21.467200000000002</v>
      </c>
      <c r="N23" s="16">
        <v>-1.96912</v>
      </c>
      <c r="O23" s="16">
        <v>6.1689999999999996</v>
      </c>
      <c r="P23" s="16">
        <v>-8.7340999999999998</v>
      </c>
      <c r="Q23" s="16">
        <v>2.1890200000000002</v>
      </c>
      <c r="R23" s="16">
        <v>6.2199300000000006</v>
      </c>
      <c r="S23" s="16">
        <v>-1.9193900000000002</v>
      </c>
      <c r="T23" s="16">
        <v>-0.40073999999999999</v>
      </c>
      <c r="U23" s="16">
        <v>-10.7593</v>
      </c>
      <c r="V23" s="16">
        <v>-7.3306499999999994</v>
      </c>
      <c r="W23" s="16">
        <v>7.5781999999999998</v>
      </c>
      <c r="X23" s="16">
        <v>10.29767</v>
      </c>
      <c r="Y23" s="16">
        <v>-5.8699700000000004</v>
      </c>
      <c r="Z23" s="16">
        <v>24.633080000000003</v>
      </c>
      <c r="AA23" s="16">
        <v>23.363189999999999</v>
      </c>
      <c r="AB23" s="16">
        <v>-1.2471300000000001</v>
      </c>
      <c r="AC23" s="16">
        <v>-6.3736999999999995</v>
      </c>
      <c r="AD23" s="16">
        <v>5.9137360000000001</v>
      </c>
      <c r="AE23" s="16">
        <v>15.60941</v>
      </c>
      <c r="AF23" s="16">
        <v>24.042540000000002</v>
      </c>
      <c r="AG23" s="16">
        <v>-3.4043299999999999</v>
      </c>
      <c r="AH23" s="16">
        <v>8.3700100000000006</v>
      </c>
      <c r="AI23" s="46"/>
      <c r="AJ23" s="46"/>
      <c r="AK23" s="46"/>
      <c r="AL23" s="46"/>
      <c r="AM23" s="46"/>
      <c r="AN23" s="4"/>
      <c r="AO23" s="4"/>
      <c r="AP23" s="4"/>
      <c r="AQ23" s="4"/>
      <c r="AR23" s="4"/>
      <c r="AS23" s="4"/>
      <c r="AT23" s="4"/>
      <c r="AU23" s="4"/>
      <c r="AV23" s="4"/>
      <c r="AW23" s="4"/>
      <c r="AX23" s="4"/>
      <c r="AY23" s="4"/>
    </row>
    <row r="24" spans="1:51" ht="14.5" x14ac:dyDescent="0.35">
      <c r="A24" s="136">
        <f>YampaRiverInflow.TotalOutflow!A24</f>
        <v>46753</v>
      </c>
      <c r="B24" s="34">
        <v>1.958</v>
      </c>
      <c r="C24" s="12">
        <v>1.958</v>
      </c>
      <c r="D24" s="45">
        <v>1.958</v>
      </c>
      <c r="E24" s="16">
        <v>-30.0366</v>
      </c>
      <c r="F24" s="16">
        <v>0.34805000000000003</v>
      </c>
      <c r="G24" s="16">
        <v>8.1073400000000007</v>
      </c>
      <c r="H24" s="16">
        <v>-4.0167999999999999</v>
      </c>
      <c r="I24" s="16">
        <v>-0.42529</v>
      </c>
      <c r="J24" s="16">
        <v>-9.22471</v>
      </c>
      <c r="K24" s="16">
        <v>16.908450000000002</v>
      </c>
      <c r="L24" s="16">
        <v>1.48193</v>
      </c>
      <c r="M24" s="16">
        <v>-11.1562</v>
      </c>
      <c r="N24" s="16">
        <v>-10.2127</v>
      </c>
      <c r="O24" s="16">
        <v>-20.743200000000002</v>
      </c>
      <c r="P24" s="16">
        <v>-9.2751999999999999</v>
      </c>
      <c r="Q24" s="16">
        <v>-13.9984</v>
      </c>
      <c r="R24" s="16">
        <v>-0.47846</v>
      </c>
      <c r="S24" s="16">
        <v>-2.4032600000000004</v>
      </c>
      <c r="T24" s="16">
        <v>3.4120999999999997</v>
      </c>
      <c r="U24" s="16">
        <v>-10.2646</v>
      </c>
      <c r="V24" s="16">
        <v>17.93282</v>
      </c>
      <c r="W24" s="16">
        <v>-2.55436</v>
      </c>
      <c r="X24" s="16">
        <v>-2.7433800000000002</v>
      </c>
      <c r="Y24" s="16">
        <v>-21.323400000000003</v>
      </c>
      <c r="Z24" s="16">
        <v>2.622719</v>
      </c>
      <c r="AA24" s="16">
        <v>3.4634200000000002</v>
      </c>
      <c r="AB24" s="16">
        <v>7.8842790000000003</v>
      </c>
      <c r="AC24" s="16">
        <v>16.61054</v>
      </c>
      <c r="AD24" s="16">
        <v>8.8169590000000007</v>
      </c>
      <c r="AE24" s="16">
        <v>17.907229999999998</v>
      </c>
      <c r="AF24" s="16">
        <v>12.460120000000002</v>
      </c>
      <c r="AG24" s="16">
        <v>7.4652799999999999</v>
      </c>
      <c r="AH24" s="16">
        <v>6.9913500000000006</v>
      </c>
      <c r="AI24" s="46"/>
      <c r="AJ24" s="46"/>
      <c r="AK24" s="46"/>
      <c r="AL24" s="46"/>
      <c r="AM24" s="46"/>
      <c r="AN24" s="4"/>
      <c r="AO24" s="4"/>
      <c r="AP24" s="4"/>
      <c r="AQ24" s="4"/>
      <c r="AR24" s="4"/>
      <c r="AS24" s="4"/>
      <c r="AT24" s="4"/>
      <c r="AU24" s="4"/>
      <c r="AV24" s="4"/>
      <c r="AW24" s="4"/>
      <c r="AX24" s="4"/>
      <c r="AY24" s="4"/>
    </row>
    <row r="25" spans="1:51" ht="14.5" x14ac:dyDescent="0.35">
      <c r="A25" s="136">
        <f>YampaRiverInflow.TotalOutflow!A25</f>
        <v>46784</v>
      </c>
      <c r="B25" s="34">
        <v>0.82399999999999995</v>
      </c>
      <c r="C25" s="12">
        <v>0.82399999999999995</v>
      </c>
      <c r="D25" s="45">
        <v>0.82399999999999995</v>
      </c>
      <c r="E25" s="16">
        <v>-45.490699999999997</v>
      </c>
      <c r="F25" s="16">
        <v>-8.9389900000000004</v>
      </c>
      <c r="G25" s="16">
        <v>14.93486</v>
      </c>
      <c r="H25" s="16">
        <v>-2.7169299999999996</v>
      </c>
      <c r="I25" s="16">
        <v>1.1206400000000001</v>
      </c>
      <c r="J25" s="16">
        <v>-12.965299999999999</v>
      </c>
      <c r="K25" s="16">
        <v>0.91830999999999996</v>
      </c>
      <c r="L25" s="16">
        <v>1.91351</v>
      </c>
      <c r="M25" s="16">
        <v>-9.2040600000000001</v>
      </c>
      <c r="N25" s="16">
        <v>-8.6602700000000006</v>
      </c>
      <c r="O25" s="16">
        <v>-7.7134099999999997</v>
      </c>
      <c r="P25" s="16">
        <v>-7.8451700000000004</v>
      </c>
      <c r="Q25" s="16">
        <v>-18.252200000000002</v>
      </c>
      <c r="R25" s="16">
        <v>-3.1171700000000002</v>
      </c>
      <c r="S25" s="16">
        <v>-7.3280799999999999</v>
      </c>
      <c r="T25" s="16">
        <v>1.02014</v>
      </c>
      <c r="U25" s="16">
        <v>-14.3032</v>
      </c>
      <c r="V25" s="16">
        <v>-13.955</v>
      </c>
      <c r="W25" s="16">
        <v>-11.963200000000001</v>
      </c>
      <c r="X25" s="16">
        <v>-5.2006099999999993</v>
      </c>
      <c r="Y25" s="16">
        <v>-1.8404100000000001</v>
      </c>
      <c r="Z25" s="16">
        <v>4.1879590000000002</v>
      </c>
      <c r="AA25" s="16">
        <v>8.0341699999999996</v>
      </c>
      <c r="AB25" s="16">
        <v>-3.2283200000000001</v>
      </c>
      <c r="AC25" s="16">
        <v>-5.3345600000000006</v>
      </c>
      <c r="AD25" s="16">
        <v>-3.9803500000000001</v>
      </c>
      <c r="AE25" s="16">
        <v>3.725031</v>
      </c>
      <c r="AF25" s="16">
        <v>11.38289</v>
      </c>
      <c r="AG25" s="16">
        <v>9.9543199999999992</v>
      </c>
      <c r="AH25" s="16">
        <v>4.1059299999999999</v>
      </c>
      <c r="AI25" s="46"/>
      <c r="AJ25" s="46"/>
      <c r="AK25" s="46"/>
      <c r="AL25" s="46"/>
      <c r="AM25" s="46"/>
      <c r="AN25" s="4"/>
      <c r="AO25" s="4"/>
      <c r="AP25" s="4"/>
      <c r="AQ25" s="4"/>
      <c r="AR25" s="4"/>
      <c r="AS25" s="4"/>
      <c r="AT25" s="4"/>
      <c r="AU25" s="4"/>
      <c r="AV25" s="4"/>
      <c r="AW25" s="4"/>
      <c r="AX25" s="4"/>
      <c r="AY25" s="4"/>
    </row>
    <row r="26" spans="1:51" ht="14.5" x14ac:dyDescent="0.35">
      <c r="A26" s="136">
        <f>YampaRiverInflow.TotalOutflow!A26</f>
        <v>46813</v>
      </c>
      <c r="B26" s="34">
        <v>-0.621</v>
      </c>
      <c r="C26" s="12">
        <v>-0.621</v>
      </c>
      <c r="D26" s="45">
        <v>-0.621</v>
      </c>
      <c r="E26" s="16">
        <v>-85.616900000000001</v>
      </c>
      <c r="F26" s="16">
        <v>-18.977</v>
      </c>
      <c r="G26" s="16">
        <v>-3.0748000000000002</v>
      </c>
      <c r="H26" s="16">
        <v>33.225720000000003</v>
      </c>
      <c r="I26" s="16">
        <v>11.037510000000001</v>
      </c>
      <c r="J26" s="16">
        <v>4.6733700000000002</v>
      </c>
      <c r="K26" s="16">
        <v>4.0890000000000003E-2</v>
      </c>
      <c r="L26" s="16">
        <v>8.1969799999999999</v>
      </c>
      <c r="M26" s="16">
        <v>5.5769299999999999</v>
      </c>
      <c r="N26" s="16">
        <v>-5.0199499999999997</v>
      </c>
      <c r="O26" s="16">
        <v>-3.68032</v>
      </c>
      <c r="P26" s="16">
        <v>-25.690300000000001</v>
      </c>
      <c r="Q26" s="16">
        <v>16.045670000000001</v>
      </c>
      <c r="R26" s="16">
        <v>-10.3043</v>
      </c>
      <c r="S26" s="16">
        <v>-11.892200000000001</v>
      </c>
      <c r="T26" s="16">
        <v>0.31795999999999996</v>
      </c>
      <c r="U26" s="16">
        <v>-9.7432599999999994</v>
      </c>
      <c r="V26" s="16">
        <v>-12.145200000000001</v>
      </c>
      <c r="W26" s="16">
        <v>-6.3741000000000003</v>
      </c>
      <c r="X26" s="16">
        <v>-11.247</v>
      </c>
      <c r="Y26" s="16">
        <v>-5.8244099999999994</v>
      </c>
      <c r="Z26" s="16">
        <v>-14.067500000000001</v>
      </c>
      <c r="AA26" s="16">
        <v>-1.27335</v>
      </c>
      <c r="AB26" s="16">
        <v>-1.8987400000000001</v>
      </c>
      <c r="AC26" s="16">
        <v>-12.0581</v>
      </c>
      <c r="AD26" s="16">
        <v>-1.39941</v>
      </c>
      <c r="AE26" s="16">
        <v>3.0619520000000002</v>
      </c>
      <c r="AF26" s="16">
        <v>0.5556236</v>
      </c>
      <c r="AG26" s="16">
        <v>2.51511</v>
      </c>
      <c r="AH26" s="16">
        <v>-1.48194</v>
      </c>
      <c r="AI26" s="46"/>
      <c r="AJ26" s="46"/>
      <c r="AK26" s="46"/>
      <c r="AL26" s="46"/>
      <c r="AM26" s="46"/>
      <c r="AN26" s="4"/>
      <c r="AO26" s="4"/>
      <c r="AP26" s="4"/>
      <c r="AQ26" s="4"/>
      <c r="AR26" s="4"/>
      <c r="AS26" s="4"/>
      <c r="AT26" s="4"/>
      <c r="AU26" s="4"/>
      <c r="AV26" s="4"/>
      <c r="AW26" s="4"/>
      <c r="AX26" s="4"/>
      <c r="AY26" s="4"/>
    </row>
    <row r="27" spans="1:51" ht="14.5" x14ac:dyDescent="0.35">
      <c r="A27" s="136">
        <f>YampaRiverInflow.TotalOutflow!A27</f>
        <v>46844</v>
      </c>
      <c r="B27" s="34">
        <v>-2.9449999999999998</v>
      </c>
      <c r="C27" s="12">
        <v>-2.9449999999999998</v>
      </c>
      <c r="D27" s="45">
        <v>-2.9449999999999998</v>
      </c>
      <c r="E27" s="16">
        <v>-51.0623</v>
      </c>
      <c r="F27" s="16">
        <v>-15.1135</v>
      </c>
      <c r="G27" s="16">
        <v>-4.2431000000000001</v>
      </c>
      <c r="H27" s="16">
        <v>-7.57599</v>
      </c>
      <c r="I27" s="16">
        <v>15.395820000000001</v>
      </c>
      <c r="J27" s="16">
        <v>39.174210000000002</v>
      </c>
      <c r="K27" s="16">
        <v>-0.41738999999999998</v>
      </c>
      <c r="L27" s="16">
        <v>-3.9382700000000002</v>
      </c>
      <c r="M27" s="16">
        <v>0.93055999999999994</v>
      </c>
      <c r="N27" s="16">
        <v>-11.8729</v>
      </c>
      <c r="O27" s="16">
        <v>-13.3843</v>
      </c>
      <c r="P27" s="16">
        <v>-6.9093299999999997</v>
      </c>
      <c r="Q27" s="16">
        <v>4.2983100000000007</v>
      </c>
      <c r="R27" s="16">
        <v>-1.6048699999999998</v>
      </c>
      <c r="S27" s="16">
        <v>-3.3881199999999998</v>
      </c>
      <c r="T27" s="16">
        <v>-8.2623700000000007</v>
      </c>
      <c r="U27" s="16">
        <v>-14.0764</v>
      </c>
      <c r="V27" s="16">
        <v>-15.644399999999999</v>
      </c>
      <c r="W27" s="16">
        <v>-20.3934</v>
      </c>
      <c r="X27" s="16">
        <v>-12.2591</v>
      </c>
      <c r="Y27" s="16">
        <v>-6.0398699999999996</v>
      </c>
      <c r="Z27" s="16">
        <v>14.186459999999999</v>
      </c>
      <c r="AA27" s="16">
        <v>-9.3056399999999986</v>
      </c>
      <c r="AB27" s="16">
        <v>-4.80497</v>
      </c>
      <c r="AC27" s="16">
        <v>-4.7238199999999999</v>
      </c>
      <c r="AD27" s="16">
        <v>-4.9565900000000003</v>
      </c>
      <c r="AE27" s="16">
        <v>-3.62934</v>
      </c>
      <c r="AF27" s="16">
        <v>-36.724299999999999</v>
      </c>
      <c r="AG27" s="16">
        <v>5.76356</v>
      </c>
      <c r="AH27" s="16">
        <v>12.84352</v>
      </c>
      <c r="AI27" s="46"/>
      <c r="AJ27" s="46"/>
      <c r="AK27" s="46"/>
      <c r="AL27" s="46"/>
      <c r="AM27" s="46"/>
      <c r="AN27" s="4"/>
      <c r="AO27" s="4"/>
      <c r="AP27" s="4"/>
      <c r="AQ27" s="4"/>
      <c r="AR27" s="4"/>
      <c r="AS27" s="4"/>
      <c r="AT27" s="4"/>
      <c r="AU27" s="4"/>
      <c r="AV27" s="4"/>
      <c r="AW27" s="4"/>
      <c r="AX27" s="4"/>
      <c r="AY27" s="4"/>
    </row>
    <row r="28" spans="1:51" ht="14.5" x14ac:dyDescent="0.35">
      <c r="A28" s="136">
        <f>YampaRiverInflow.TotalOutflow!A28</f>
        <v>46874</v>
      </c>
      <c r="B28" s="34">
        <v>-6.407</v>
      </c>
      <c r="C28" s="12">
        <v>-6.407</v>
      </c>
      <c r="D28" s="45">
        <v>-6.407</v>
      </c>
      <c r="E28" s="16">
        <v>-61.748899999999999</v>
      </c>
      <c r="F28" s="16">
        <v>-4.7955200000000007</v>
      </c>
      <c r="G28" s="16">
        <v>-13.974399999999999</v>
      </c>
      <c r="H28" s="16">
        <v>-8.2093600000000002</v>
      </c>
      <c r="I28" s="16">
        <v>11.730090000000001</v>
      </c>
      <c r="J28" s="16">
        <v>21.999099999999999</v>
      </c>
      <c r="K28" s="16">
        <v>0.11092</v>
      </c>
      <c r="L28" s="16">
        <v>-14.867799999999999</v>
      </c>
      <c r="M28" s="16">
        <v>-7.1809500000000002</v>
      </c>
      <c r="N28" s="16">
        <v>-5.66974</v>
      </c>
      <c r="O28" s="16">
        <v>-33.700400000000002</v>
      </c>
      <c r="P28" s="16">
        <v>-4.7220800000000001</v>
      </c>
      <c r="Q28" s="16">
        <v>-17.381799999999998</v>
      </c>
      <c r="R28" s="16">
        <v>-33.279300000000006</v>
      </c>
      <c r="S28" s="16">
        <v>-5.4207200000000002</v>
      </c>
      <c r="T28" s="16">
        <v>-5.2464300000000001</v>
      </c>
      <c r="U28" s="16">
        <v>3.1493000000000002</v>
      </c>
      <c r="V28" s="16">
        <v>-9.5569299999999995</v>
      </c>
      <c r="W28" s="16">
        <v>4.5381899999999993</v>
      </c>
      <c r="X28" s="16">
        <v>2.7454499999999999</v>
      </c>
      <c r="Y28" s="16">
        <v>4.5651899999999994</v>
      </c>
      <c r="Z28" s="16">
        <v>0.1095455</v>
      </c>
      <c r="AA28" s="16">
        <v>7.3637499999999996</v>
      </c>
      <c r="AB28" s="16">
        <v>8.667313</v>
      </c>
      <c r="AC28" s="16">
        <v>9.6379000000000001</v>
      </c>
      <c r="AD28" s="16">
        <v>-0.59501400000000004</v>
      </c>
      <c r="AE28" s="16">
        <v>-7.1286899999999997</v>
      </c>
      <c r="AF28" s="16">
        <v>13.089129999999999</v>
      </c>
      <c r="AG28" s="16">
        <v>7.5992100000000002</v>
      </c>
      <c r="AH28" s="16">
        <v>4.7034399999999996</v>
      </c>
      <c r="AI28" s="46"/>
      <c r="AJ28" s="46"/>
      <c r="AK28" s="46"/>
      <c r="AL28" s="46"/>
      <c r="AM28" s="46"/>
      <c r="AN28" s="4"/>
      <c r="AO28" s="4"/>
      <c r="AP28" s="4"/>
      <c r="AQ28" s="4"/>
      <c r="AR28" s="4"/>
      <c r="AS28" s="4"/>
      <c r="AT28" s="4"/>
      <c r="AU28" s="4"/>
      <c r="AV28" s="4"/>
      <c r="AW28" s="4"/>
      <c r="AX28" s="4"/>
      <c r="AY28" s="4"/>
    </row>
    <row r="29" spans="1:51" ht="14.5" x14ac:dyDescent="0.35">
      <c r="A29" s="136">
        <f>YampaRiverInflow.TotalOutflow!A29</f>
        <v>46905</v>
      </c>
      <c r="B29" s="34">
        <v>0.91400000000000003</v>
      </c>
      <c r="C29" s="12">
        <v>0.91400000000000003</v>
      </c>
      <c r="D29" s="45">
        <v>0.91400000000000003</v>
      </c>
      <c r="E29" s="16">
        <v>-26.186700000000002</v>
      </c>
      <c r="F29" s="16">
        <v>-3.3491300000000002</v>
      </c>
      <c r="G29" s="16">
        <v>4.0840300000000003</v>
      </c>
      <c r="H29" s="16">
        <v>-11.6759</v>
      </c>
      <c r="I29" s="16">
        <v>-4.1159999999999995E-2</v>
      </c>
      <c r="J29" s="16">
        <v>5.6090299999999997</v>
      </c>
      <c r="K29" s="16">
        <v>-3.69754</v>
      </c>
      <c r="L29" s="16">
        <v>-11.8339</v>
      </c>
      <c r="M29" s="16">
        <v>-9.2286099999999998</v>
      </c>
      <c r="N29" s="16">
        <v>-8.5176200000000009</v>
      </c>
      <c r="O29" s="16">
        <v>-26.906099999999999</v>
      </c>
      <c r="P29" s="16">
        <v>-30.0809</v>
      </c>
      <c r="Q29" s="16">
        <v>1.8562000000000001</v>
      </c>
      <c r="R29" s="16">
        <v>-14.7171</v>
      </c>
      <c r="S29" s="16">
        <v>-14.012499999999999</v>
      </c>
      <c r="T29" s="16">
        <v>-1.51996</v>
      </c>
      <c r="U29" s="16">
        <v>-16.566500000000001</v>
      </c>
      <c r="V29" s="16">
        <v>-17.7789</v>
      </c>
      <c r="W29" s="16">
        <v>-8.3348700000000004</v>
      </c>
      <c r="X29" s="16">
        <v>-5.4185299999999996</v>
      </c>
      <c r="Y29" s="16">
        <v>-7.2006999999999994</v>
      </c>
      <c r="Z29" s="16">
        <v>-0.73851199999999995</v>
      </c>
      <c r="AA29" s="16">
        <v>2.2777600000000002</v>
      </c>
      <c r="AB29" s="16">
        <v>-1.24882</v>
      </c>
      <c r="AC29" s="16">
        <v>-2.2548400000000002</v>
      </c>
      <c r="AD29" s="16">
        <v>-7.8657200000000005</v>
      </c>
      <c r="AE29" s="16">
        <v>-7.5185699999999995</v>
      </c>
      <c r="AF29" s="16">
        <v>-7.5434399999999995</v>
      </c>
      <c r="AG29" s="16">
        <v>4.59762</v>
      </c>
      <c r="AH29" s="16">
        <v>13.497540000000001</v>
      </c>
      <c r="AI29" s="46"/>
      <c r="AJ29" s="46"/>
      <c r="AK29" s="46"/>
      <c r="AL29" s="46"/>
      <c r="AM29" s="46"/>
      <c r="AN29" s="4"/>
      <c r="AO29" s="4"/>
      <c r="AP29" s="4"/>
      <c r="AQ29" s="4"/>
      <c r="AR29" s="4"/>
      <c r="AS29" s="4"/>
      <c r="AT29" s="4"/>
      <c r="AU29" s="4"/>
      <c r="AV29" s="4"/>
      <c r="AW29" s="4"/>
      <c r="AX29" s="4"/>
      <c r="AY29" s="4"/>
    </row>
    <row r="30" spans="1:51" ht="14.5" x14ac:dyDescent="0.35">
      <c r="A30" s="136">
        <f>YampaRiverInflow.TotalOutflow!A30</f>
        <v>46935</v>
      </c>
      <c r="B30" s="34">
        <v>-9.2409999999999997</v>
      </c>
      <c r="C30" s="12">
        <v>-9.2409999999999997</v>
      </c>
      <c r="D30" s="45">
        <v>-9.2409999999999997</v>
      </c>
      <c r="E30" s="16">
        <v>-10.6083</v>
      </c>
      <c r="F30" s="16">
        <v>-7.64445</v>
      </c>
      <c r="G30" s="16">
        <v>8.1272700000000011</v>
      </c>
      <c r="H30" s="16">
        <v>-11.493399999999999</v>
      </c>
      <c r="I30" s="16">
        <v>10.728009999999999</v>
      </c>
      <c r="J30" s="16">
        <v>8.7200199999999999</v>
      </c>
      <c r="K30" s="16">
        <v>-1.2666099999999998</v>
      </c>
      <c r="L30" s="16">
        <v>-11.347200000000001</v>
      </c>
      <c r="M30" s="16">
        <v>-18.336200000000002</v>
      </c>
      <c r="N30" s="16">
        <v>-2.94312</v>
      </c>
      <c r="O30" s="16">
        <v>-31.489599999999999</v>
      </c>
      <c r="P30" s="16">
        <v>-20.471400000000003</v>
      </c>
      <c r="Q30" s="16">
        <v>-11.8964</v>
      </c>
      <c r="R30" s="16">
        <v>-5.89581</v>
      </c>
      <c r="S30" s="16">
        <v>-9.4188299999999998</v>
      </c>
      <c r="T30" s="16">
        <v>-9.6500499999999985</v>
      </c>
      <c r="U30" s="16">
        <v>-13.497399999999999</v>
      </c>
      <c r="V30" s="16">
        <v>-20.7821</v>
      </c>
      <c r="W30" s="16">
        <v>-5.3935699999999995</v>
      </c>
      <c r="X30" s="16">
        <v>-16.034399999999998</v>
      </c>
      <c r="Y30" s="16">
        <v>-7.2505600000000001</v>
      </c>
      <c r="Z30" s="16">
        <v>-12.2248</v>
      </c>
      <c r="AA30" s="16">
        <v>-2.5033499999999997</v>
      </c>
      <c r="AB30" s="16">
        <v>-0.440502</v>
      </c>
      <c r="AC30" s="16">
        <v>11.24718</v>
      </c>
      <c r="AD30" s="16">
        <v>-1.8387200000000001</v>
      </c>
      <c r="AE30" s="16">
        <v>-11.0794</v>
      </c>
      <c r="AF30" s="16">
        <v>-4.7515900000000002</v>
      </c>
      <c r="AG30" s="16">
        <v>1.85019</v>
      </c>
      <c r="AH30" s="16">
        <v>3.09552</v>
      </c>
      <c r="AI30" s="46"/>
      <c r="AJ30" s="46"/>
      <c r="AK30" s="46"/>
      <c r="AL30" s="46"/>
      <c r="AM30" s="46"/>
      <c r="AN30" s="4"/>
      <c r="AO30" s="4"/>
      <c r="AP30" s="4"/>
      <c r="AQ30" s="4"/>
      <c r="AR30" s="4"/>
      <c r="AS30" s="4"/>
      <c r="AT30" s="4"/>
      <c r="AU30" s="4"/>
      <c r="AV30" s="4"/>
      <c r="AW30" s="4"/>
      <c r="AX30" s="4"/>
      <c r="AY30" s="4"/>
    </row>
    <row r="31" spans="1:51" ht="14.5" x14ac:dyDescent="0.35">
      <c r="A31" s="136">
        <f>YampaRiverInflow.TotalOutflow!A31</f>
        <v>46966</v>
      </c>
      <c r="B31" s="34">
        <v>-6.3780000000000001</v>
      </c>
      <c r="C31" s="12">
        <v>-6.3780000000000001</v>
      </c>
      <c r="D31" s="45">
        <v>-6.3780000000000001</v>
      </c>
      <c r="E31" s="16">
        <v>-3.9497499999999999</v>
      </c>
      <c r="F31" s="16">
        <v>-0.94598000000000004</v>
      </c>
      <c r="G31" s="16">
        <v>2.1968100000000002</v>
      </c>
      <c r="H31" s="16">
        <v>-4.3264100000000001</v>
      </c>
      <c r="I31" s="16">
        <v>-10.6752</v>
      </c>
      <c r="J31" s="16">
        <v>1.8042</v>
      </c>
      <c r="K31" s="16">
        <v>4.2788000000000004</v>
      </c>
      <c r="L31" s="16">
        <v>-12.226000000000001</v>
      </c>
      <c r="M31" s="16">
        <v>-3.8130300000000004</v>
      </c>
      <c r="N31" s="16">
        <v>-0.78469000000000011</v>
      </c>
      <c r="O31" s="16">
        <v>-7.6042100000000001</v>
      </c>
      <c r="P31" s="16">
        <v>-5.4120699999999999</v>
      </c>
      <c r="Q31" s="16">
        <v>-13.8598</v>
      </c>
      <c r="R31" s="16">
        <v>-14.737</v>
      </c>
      <c r="S31" s="16">
        <v>-6.2569600000000003</v>
      </c>
      <c r="T31" s="16">
        <v>-22.553799999999999</v>
      </c>
      <c r="U31" s="16">
        <v>-2.4493899999999997</v>
      </c>
      <c r="V31" s="16">
        <v>-15.1355</v>
      </c>
      <c r="W31" s="16">
        <v>2.9768400000000002</v>
      </c>
      <c r="X31" s="16">
        <v>5.9177799999999996</v>
      </c>
      <c r="Y31" s="16">
        <v>3.3304999999999998</v>
      </c>
      <c r="Z31" s="16">
        <v>10.576969999999999</v>
      </c>
      <c r="AA31" s="16">
        <v>-7.4222299999999999</v>
      </c>
      <c r="AB31" s="16">
        <v>-2.7236199999999999</v>
      </c>
      <c r="AC31" s="16">
        <v>11.2767</v>
      </c>
      <c r="AD31" s="16">
        <v>-2.6559499999999998</v>
      </c>
      <c r="AE31" s="16">
        <v>3.1679930000000001</v>
      </c>
      <c r="AF31" s="16">
        <v>-8.08446</v>
      </c>
      <c r="AG31" s="16">
        <v>4.3259999999999996</v>
      </c>
      <c r="AH31" s="16">
        <v>3.7869800000000002</v>
      </c>
      <c r="AI31" s="46"/>
      <c r="AJ31" s="46"/>
      <c r="AK31" s="46"/>
      <c r="AL31" s="46"/>
      <c r="AM31" s="46"/>
      <c r="AN31" s="4"/>
      <c r="AO31" s="4"/>
      <c r="AP31" s="4"/>
      <c r="AQ31" s="4"/>
      <c r="AR31" s="4"/>
      <c r="AS31" s="4"/>
      <c r="AT31" s="4"/>
      <c r="AU31" s="4"/>
      <c r="AV31" s="4"/>
      <c r="AW31" s="4"/>
      <c r="AX31" s="4"/>
      <c r="AY31" s="4"/>
    </row>
    <row r="32" spans="1:51" ht="14.5" x14ac:dyDescent="0.35">
      <c r="A32" s="136">
        <f>YampaRiverInflow.TotalOutflow!A32</f>
        <v>46997</v>
      </c>
      <c r="B32" s="34">
        <v>0.28000000000000003</v>
      </c>
      <c r="C32" s="12">
        <v>0.28000000000000003</v>
      </c>
      <c r="D32" s="45">
        <v>0.28000000000000003</v>
      </c>
      <c r="E32" s="16">
        <v>-12.903600000000001</v>
      </c>
      <c r="F32" s="16">
        <v>8.5776000000000003</v>
      </c>
      <c r="G32" s="16">
        <v>15.860709999999999</v>
      </c>
      <c r="H32" s="16">
        <v>4.2184399999999993</v>
      </c>
      <c r="I32" s="16">
        <v>2.1504499999999998</v>
      </c>
      <c r="J32" s="16">
        <v>-6.8963000000000001</v>
      </c>
      <c r="K32" s="16">
        <v>-12.975100000000001</v>
      </c>
      <c r="L32" s="16">
        <v>-7.1190200000000008</v>
      </c>
      <c r="M32" s="16">
        <v>-2.2877899999999998</v>
      </c>
      <c r="N32" s="16">
        <v>-15.519200000000001</v>
      </c>
      <c r="O32" s="16">
        <v>-21.1785</v>
      </c>
      <c r="P32" s="16">
        <v>-6.0739200000000002</v>
      </c>
      <c r="Q32" s="16">
        <v>-3.6959299999999997</v>
      </c>
      <c r="R32" s="16">
        <v>0.22959000000000002</v>
      </c>
      <c r="S32" s="16">
        <v>-2.0469200000000001</v>
      </c>
      <c r="T32" s="16">
        <v>-1.55017</v>
      </c>
      <c r="U32" s="16">
        <v>8.7733099999999986</v>
      </c>
      <c r="V32" s="16">
        <v>-8.4957199999999986</v>
      </c>
      <c r="W32" s="16">
        <v>10.460270000000001</v>
      </c>
      <c r="X32" s="16">
        <v>-5.7617600000000007</v>
      </c>
      <c r="Y32" s="16">
        <v>-2.9507099999999999</v>
      </c>
      <c r="Z32" s="16">
        <v>5.573264</v>
      </c>
      <c r="AA32" s="16">
        <v>6.7049099999999999</v>
      </c>
      <c r="AB32" s="16">
        <v>-0.37902999999999998</v>
      </c>
      <c r="AC32" s="16">
        <v>1.002618</v>
      </c>
      <c r="AD32" s="16">
        <v>4.0797420000000004</v>
      </c>
      <c r="AE32" s="16">
        <v>-5.3277200000000002</v>
      </c>
      <c r="AF32" s="16">
        <v>-6.2411499999999993</v>
      </c>
      <c r="AG32" s="16">
        <v>2.4840100000000001</v>
      </c>
      <c r="AH32" s="16">
        <v>5.2410399999999999</v>
      </c>
      <c r="AI32" s="46"/>
      <c r="AJ32" s="46"/>
      <c r="AK32" s="46"/>
      <c r="AL32" s="46"/>
      <c r="AM32" s="46"/>
      <c r="AN32" s="4"/>
      <c r="AO32" s="4"/>
      <c r="AP32" s="4"/>
      <c r="AQ32" s="4"/>
      <c r="AR32" s="4"/>
      <c r="AS32" s="4"/>
      <c r="AT32" s="4"/>
      <c r="AU32" s="4"/>
      <c r="AV32" s="4"/>
      <c r="AW32" s="4"/>
      <c r="AX32" s="4"/>
      <c r="AY32" s="4"/>
    </row>
    <row r="33" spans="1:51" ht="14.5" x14ac:dyDescent="0.35">
      <c r="A33" s="136">
        <f>YampaRiverInflow.TotalOutflow!A33</f>
        <v>47027</v>
      </c>
      <c r="B33" s="34">
        <v>0.73499999999999999</v>
      </c>
      <c r="C33" s="12">
        <v>0.73499999999999999</v>
      </c>
      <c r="D33" s="45">
        <v>0.73499999999999999</v>
      </c>
      <c r="E33" s="16">
        <v>-0.16736000000000001</v>
      </c>
      <c r="F33" s="16">
        <v>3.9343000000000004</v>
      </c>
      <c r="G33" s="16">
        <v>-8.1954599999999989</v>
      </c>
      <c r="H33" s="16">
        <v>1.15303</v>
      </c>
      <c r="I33" s="16">
        <v>4.8546899999999997</v>
      </c>
      <c r="J33" s="16">
        <v>-2.7721900000000002</v>
      </c>
      <c r="K33" s="16">
        <v>10.111030000000001</v>
      </c>
      <c r="L33" s="16">
        <v>-7.8798000000000004</v>
      </c>
      <c r="M33" s="16">
        <v>4.2608300000000003</v>
      </c>
      <c r="N33" s="16">
        <v>-9.0296399999999988</v>
      </c>
      <c r="O33" s="16">
        <v>-19.219099999999997</v>
      </c>
      <c r="P33" s="16">
        <v>-22.1523</v>
      </c>
      <c r="Q33" s="16">
        <v>1.00861</v>
      </c>
      <c r="R33" s="16">
        <v>-7.54697</v>
      </c>
      <c r="S33" s="16">
        <v>3.05389</v>
      </c>
      <c r="T33" s="16">
        <v>-0.55309000000000008</v>
      </c>
      <c r="U33" s="16">
        <v>-10.613</v>
      </c>
      <c r="V33" s="16">
        <v>-11.085899999999999</v>
      </c>
      <c r="W33" s="16">
        <v>5.77902</v>
      </c>
      <c r="X33" s="16">
        <v>-2.5799099999999999</v>
      </c>
      <c r="Y33" s="16">
        <v>11.36007</v>
      </c>
      <c r="Z33" s="16">
        <v>13.28439</v>
      </c>
      <c r="AA33" s="16">
        <v>-1.07623</v>
      </c>
      <c r="AB33" s="16">
        <v>6.7392950000000003</v>
      </c>
      <c r="AC33" s="16">
        <v>9.3276970000000006</v>
      </c>
      <c r="AD33" s="16">
        <v>9.8532309999999992</v>
      </c>
      <c r="AE33" s="16">
        <v>2.3867620000000001</v>
      </c>
      <c r="AF33" s="16">
        <v>-14.003299999999999</v>
      </c>
      <c r="AG33" s="16">
        <v>4.5726499999999994</v>
      </c>
      <c r="AH33" s="16">
        <v>16.06822</v>
      </c>
      <c r="AI33" s="46"/>
      <c r="AJ33" s="46"/>
      <c r="AK33" s="46"/>
      <c r="AL33" s="46"/>
      <c r="AM33" s="46"/>
      <c r="AN33" s="4"/>
      <c r="AO33" s="4"/>
      <c r="AP33" s="4"/>
      <c r="AQ33" s="4"/>
      <c r="AR33" s="4"/>
      <c r="AS33" s="4"/>
      <c r="AT33" s="4"/>
      <c r="AU33" s="4"/>
      <c r="AV33" s="4"/>
      <c r="AW33" s="4"/>
      <c r="AX33" s="4"/>
      <c r="AY33" s="4"/>
    </row>
    <row r="34" spans="1:51" ht="14.5" x14ac:dyDescent="0.35">
      <c r="A34" s="136">
        <f>YampaRiverInflow.TotalOutflow!A34</f>
        <v>47058</v>
      </c>
      <c r="B34" s="34">
        <v>-5.5279999999999996</v>
      </c>
      <c r="C34" s="12">
        <v>-5.5279999999999996</v>
      </c>
      <c r="D34" s="45">
        <v>-5.5279999999999996</v>
      </c>
      <c r="E34" s="16">
        <v>-13.3376</v>
      </c>
      <c r="F34" s="16">
        <v>4.8029599999999997</v>
      </c>
      <c r="G34" s="16">
        <v>7.5139499999999995</v>
      </c>
      <c r="H34" s="16">
        <v>2.73468</v>
      </c>
      <c r="I34" s="16">
        <v>6.6013000000000002</v>
      </c>
      <c r="J34" s="16">
        <v>0.97684000000000004</v>
      </c>
      <c r="K34" s="16">
        <v>8.3629300000000004</v>
      </c>
      <c r="L34" s="16">
        <v>1.9108499999999999</v>
      </c>
      <c r="M34" s="16">
        <v>-3.2407300000000001</v>
      </c>
      <c r="N34" s="16">
        <v>2.9348700000000001</v>
      </c>
      <c r="O34" s="16">
        <v>-7.6372900000000001</v>
      </c>
      <c r="P34" s="16">
        <v>3.4327800000000002</v>
      </c>
      <c r="Q34" s="16">
        <v>5.0682</v>
      </c>
      <c r="R34" s="16">
        <v>-2.44712</v>
      </c>
      <c r="S34" s="16">
        <v>9.4311000000000007</v>
      </c>
      <c r="T34" s="16">
        <v>-7.2890100000000002</v>
      </c>
      <c r="U34" s="16">
        <v>-3.6388499999999997</v>
      </c>
      <c r="V34" s="16">
        <v>0.89403999999999995</v>
      </c>
      <c r="W34" s="16">
        <v>10.06827</v>
      </c>
      <c r="X34" s="16">
        <v>6.3182299999999998</v>
      </c>
      <c r="Y34" s="16">
        <v>14.429110000000001</v>
      </c>
      <c r="Z34" s="16">
        <v>13.14282</v>
      </c>
      <c r="AA34" s="16">
        <v>0.30604999999999999</v>
      </c>
      <c r="AB34" s="16">
        <v>3.2879200000000002</v>
      </c>
      <c r="AC34" s="16">
        <v>9.6716720000000009</v>
      </c>
      <c r="AD34" s="16">
        <v>20.124560000000002</v>
      </c>
      <c r="AE34" s="16">
        <v>-11.070600000000001</v>
      </c>
      <c r="AF34" s="16">
        <v>-13.8909</v>
      </c>
      <c r="AG34" s="16">
        <v>6.7825500000000005</v>
      </c>
      <c r="AH34" s="16">
        <v>12.2211</v>
      </c>
      <c r="AI34" s="46"/>
      <c r="AJ34" s="46"/>
      <c r="AK34" s="46"/>
      <c r="AL34" s="46"/>
      <c r="AM34" s="46"/>
      <c r="AN34" s="4"/>
      <c r="AO34" s="4"/>
      <c r="AP34" s="4"/>
      <c r="AQ34" s="4"/>
      <c r="AR34" s="4"/>
      <c r="AS34" s="4"/>
      <c r="AT34" s="4"/>
      <c r="AU34" s="4"/>
      <c r="AV34" s="4"/>
      <c r="AW34" s="4"/>
      <c r="AX34" s="4"/>
      <c r="AY34" s="4"/>
    </row>
    <row r="35" spans="1:51" ht="14.5" x14ac:dyDescent="0.35">
      <c r="A35" s="136">
        <f>YampaRiverInflow.TotalOutflow!A35</f>
        <v>47088</v>
      </c>
      <c r="B35" s="34">
        <v>-4.2699999999999996</v>
      </c>
      <c r="C35" s="12">
        <v>-4.2699999999999996</v>
      </c>
      <c r="D35" s="45">
        <v>-4.2699999999999996</v>
      </c>
      <c r="E35" s="16">
        <v>9.7062999999999988</v>
      </c>
      <c r="F35" s="16">
        <v>15.84782</v>
      </c>
      <c r="G35" s="16">
        <v>94.941029999999998</v>
      </c>
      <c r="H35" s="16">
        <v>-1.6679900000000001</v>
      </c>
      <c r="I35" s="16">
        <v>27.110379999999999</v>
      </c>
      <c r="J35" s="16">
        <v>15.47331</v>
      </c>
      <c r="K35" s="16">
        <v>23.397189999999998</v>
      </c>
      <c r="L35" s="16">
        <v>-21.467200000000002</v>
      </c>
      <c r="M35" s="16">
        <v>-1.96912</v>
      </c>
      <c r="N35" s="16">
        <v>6.1689999999999996</v>
      </c>
      <c r="O35" s="16">
        <v>-8.7340999999999998</v>
      </c>
      <c r="P35" s="16">
        <v>2.1890200000000002</v>
      </c>
      <c r="Q35" s="16">
        <v>6.2199300000000006</v>
      </c>
      <c r="R35" s="16">
        <v>-1.9193900000000002</v>
      </c>
      <c r="S35" s="16">
        <v>-0.40073999999999999</v>
      </c>
      <c r="T35" s="16">
        <v>-10.7593</v>
      </c>
      <c r="U35" s="16">
        <v>-7.3306499999999994</v>
      </c>
      <c r="V35" s="16">
        <v>7.5781999999999998</v>
      </c>
      <c r="W35" s="16">
        <v>10.29767</v>
      </c>
      <c r="X35" s="16">
        <v>-5.8699700000000004</v>
      </c>
      <c r="Y35" s="16">
        <v>24.633080000000003</v>
      </c>
      <c r="Z35" s="16">
        <v>23.363189999999999</v>
      </c>
      <c r="AA35" s="16">
        <v>-1.2471300000000001</v>
      </c>
      <c r="AB35" s="16">
        <v>-6.3736999999999995</v>
      </c>
      <c r="AC35" s="16">
        <v>5.9137360000000001</v>
      </c>
      <c r="AD35" s="16">
        <v>15.60941</v>
      </c>
      <c r="AE35" s="16">
        <v>24.042540000000002</v>
      </c>
      <c r="AF35" s="16">
        <v>-3.4043299999999999</v>
      </c>
      <c r="AG35" s="16">
        <v>8.3700100000000006</v>
      </c>
      <c r="AH35" s="16">
        <v>26.24044</v>
      </c>
      <c r="AI35" s="46"/>
      <c r="AJ35" s="46"/>
      <c r="AK35" s="46"/>
      <c r="AL35" s="46"/>
      <c r="AM35" s="46"/>
      <c r="AN35" s="4"/>
      <c r="AO35" s="4"/>
      <c r="AP35" s="4"/>
      <c r="AQ35" s="4"/>
      <c r="AR35" s="4"/>
      <c r="AS35" s="4"/>
      <c r="AT35" s="4"/>
      <c r="AU35" s="4"/>
      <c r="AV35" s="4"/>
      <c r="AW35" s="4"/>
      <c r="AX35" s="4"/>
      <c r="AY35" s="4"/>
    </row>
    <row r="36" spans="1:51" ht="14.5" x14ac:dyDescent="0.35">
      <c r="A36" s="136">
        <f>YampaRiverInflow.TotalOutflow!A36</f>
        <v>47119</v>
      </c>
      <c r="B36" s="34">
        <v>1.958</v>
      </c>
      <c r="C36" s="12">
        <v>1.958</v>
      </c>
      <c r="D36" s="45">
        <v>1.958</v>
      </c>
      <c r="E36" s="16">
        <v>0.34805000000000003</v>
      </c>
      <c r="F36" s="16">
        <v>8.1073400000000007</v>
      </c>
      <c r="G36" s="16">
        <v>-4.0167999999999999</v>
      </c>
      <c r="H36" s="16">
        <v>-0.42529</v>
      </c>
      <c r="I36" s="16">
        <v>-9.22471</v>
      </c>
      <c r="J36" s="16">
        <v>16.908450000000002</v>
      </c>
      <c r="K36" s="16">
        <v>1.48193</v>
      </c>
      <c r="L36" s="16">
        <v>-11.1562</v>
      </c>
      <c r="M36" s="16">
        <v>-10.2127</v>
      </c>
      <c r="N36" s="16">
        <v>-20.743200000000002</v>
      </c>
      <c r="O36" s="16">
        <v>-9.2751999999999999</v>
      </c>
      <c r="P36" s="16">
        <v>-13.9984</v>
      </c>
      <c r="Q36" s="16">
        <v>-0.47846</v>
      </c>
      <c r="R36" s="16">
        <v>-2.4032600000000004</v>
      </c>
      <c r="S36" s="16">
        <v>3.4120999999999997</v>
      </c>
      <c r="T36" s="16">
        <v>-10.2646</v>
      </c>
      <c r="U36" s="16">
        <v>17.93282</v>
      </c>
      <c r="V36" s="16">
        <v>-2.55436</v>
      </c>
      <c r="W36" s="16">
        <v>-2.7433800000000002</v>
      </c>
      <c r="X36" s="16">
        <v>-21.323400000000003</v>
      </c>
      <c r="Y36" s="16">
        <v>2.622719</v>
      </c>
      <c r="Z36" s="16">
        <v>3.4634200000000002</v>
      </c>
      <c r="AA36" s="16">
        <v>7.8842790000000003</v>
      </c>
      <c r="AB36" s="16">
        <v>16.61054</v>
      </c>
      <c r="AC36" s="16">
        <v>8.8169590000000007</v>
      </c>
      <c r="AD36" s="16">
        <v>17.907229999999998</v>
      </c>
      <c r="AE36" s="16">
        <v>12.460120000000002</v>
      </c>
      <c r="AF36" s="16">
        <v>7.4652799999999999</v>
      </c>
      <c r="AG36" s="16">
        <v>6.9913500000000006</v>
      </c>
      <c r="AH36" s="16">
        <v>-30.0366</v>
      </c>
      <c r="AI36" s="46"/>
      <c r="AJ36" s="46"/>
      <c r="AK36" s="46"/>
      <c r="AL36" s="46"/>
      <c r="AM36" s="46"/>
      <c r="AN36" s="4"/>
      <c r="AO36" s="4"/>
      <c r="AP36" s="4"/>
      <c r="AQ36" s="4"/>
      <c r="AR36" s="4"/>
      <c r="AS36" s="4"/>
      <c r="AT36" s="4"/>
      <c r="AU36" s="4"/>
      <c r="AV36" s="4"/>
      <c r="AW36" s="4"/>
      <c r="AX36" s="4"/>
      <c r="AY36" s="4"/>
    </row>
    <row r="37" spans="1:51" ht="14.5" x14ac:dyDescent="0.35">
      <c r="A37" s="136">
        <f>YampaRiverInflow.TotalOutflow!A37</f>
        <v>47150</v>
      </c>
      <c r="B37" s="34">
        <v>0.82399999999999995</v>
      </c>
      <c r="C37" s="12">
        <v>0.82399999999999995</v>
      </c>
      <c r="D37" s="45">
        <v>0.82399999999999995</v>
      </c>
      <c r="E37" s="16">
        <v>-8.9389900000000004</v>
      </c>
      <c r="F37" s="16">
        <v>14.93486</v>
      </c>
      <c r="G37" s="16">
        <v>-2.7169299999999996</v>
      </c>
      <c r="H37" s="16">
        <v>1.1206400000000001</v>
      </c>
      <c r="I37" s="16">
        <v>-12.965299999999999</v>
      </c>
      <c r="J37" s="16">
        <v>0.91830999999999996</v>
      </c>
      <c r="K37" s="16">
        <v>1.91351</v>
      </c>
      <c r="L37" s="16">
        <v>-9.2040600000000001</v>
      </c>
      <c r="M37" s="16">
        <v>-8.6602700000000006</v>
      </c>
      <c r="N37" s="16">
        <v>-7.7134099999999997</v>
      </c>
      <c r="O37" s="16">
        <v>-7.8451700000000004</v>
      </c>
      <c r="P37" s="16">
        <v>-18.252200000000002</v>
      </c>
      <c r="Q37" s="16">
        <v>-3.1171700000000002</v>
      </c>
      <c r="R37" s="16">
        <v>-7.3280799999999999</v>
      </c>
      <c r="S37" s="16">
        <v>1.02014</v>
      </c>
      <c r="T37" s="16">
        <v>-14.3032</v>
      </c>
      <c r="U37" s="16">
        <v>-13.955</v>
      </c>
      <c r="V37" s="16">
        <v>-11.963200000000001</v>
      </c>
      <c r="W37" s="16">
        <v>-5.2006099999999993</v>
      </c>
      <c r="X37" s="16">
        <v>-1.8404100000000001</v>
      </c>
      <c r="Y37" s="16">
        <v>4.1879590000000002</v>
      </c>
      <c r="Z37" s="16">
        <v>8.0341699999999996</v>
      </c>
      <c r="AA37" s="16">
        <v>-3.2283200000000001</v>
      </c>
      <c r="AB37" s="16">
        <v>-5.3345600000000006</v>
      </c>
      <c r="AC37" s="16">
        <v>-3.9803500000000001</v>
      </c>
      <c r="AD37" s="16">
        <v>3.725031</v>
      </c>
      <c r="AE37" s="16">
        <v>11.38289</v>
      </c>
      <c r="AF37" s="16">
        <v>9.9543199999999992</v>
      </c>
      <c r="AG37" s="16">
        <v>4.1059299999999999</v>
      </c>
      <c r="AH37" s="16">
        <v>-45.490699999999997</v>
      </c>
      <c r="AI37" s="46"/>
      <c r="AJ37" s="46"/>
      <c r="AK37" s="46"/>
      <c r="AL37" s="46"/>
      <c r="AM37" s="46"/>
      <c r="AN37" s="4"/>
      <c r="AO37" s="4"/>
      <c r="AP37" s="4"/>
      <c r="AQ37" s="4"/>
      <c r="AR37" s="4"/>
      <c r="AS37" s="4"/>
      <c r="AT37" s="4"/>
      <c r="AU37" s="4"/>
      <c r="AV37" s="4"/>
      <c r="AW37" s="4"/>
      <c r="AX37" s="4"/>
      <c r="AY37" s="4"/>
    </row>
    <row r="38" spans="1:51" ht="14.5" x14ac:dyDescent="0.35">
      <c r="A38" s="136">
        <f>YampaRiverInflow.TotalOutflow!A38</f>
        <v>47178</v>
      </c>
      <c r="B38" s="34">
        <v>-0.621</v>
      </c>
      <c r="C38" s="12">
        <v>-0.621</v>
      </c>
      <c r="D38" s="45">
        <v>-0.621</v>
      </c>
      <c r="E38" s="16">
        <v>-18.977</v>
      </c>
      <c r="F38" s="16">
        <v>-3.0748000000000002</v>
      </c>
      <c r="G38" s="16">
        <v>33.225720000000003</v>
      </c>
      <c r="H38" s="16">
        <v>11.037510000000001</v>
      </c>
      <c r="I38" s="16">
        <v>4.6733700000000002</v>
      </c>
      <c r="J38" s="16">
        <v>4.0890000000000003E-2</v>
      </c>
      <c r="K38" s="16">
        <v>8.1969799999999999</v>
      </c>
      <c r="L38" s="16">
        <v>5.5769299999999999</v>
      </c>
      <c r="M38" s="16">
        <v>-5.0199499999999997</v>
      </c>
      <c r="N38" s="16">
        <v>-3.68032</v>
      </c>
      <c r="O38" s="16">
        <v>-25.690300000000001</v>
      </c>
      <c r="P38" s="16">
        <v>16.045670000000001</v>
      </c>
      <c r="Q38" s="16">
        <v>-10.3043</v>
      </c>
      <c r="R38" s="16">
        <v>-11.892200000000001</v>
      </c>
      <c r="S38" s="16">
        <v>0.31795999999999996</v>
      </c>
      <c r="T38" s="16">
        <v>-9.7432599999999994</v>
      </c>
      <c r="U38" s="16">
        <v>-12.145200000000001</v>
      </c>
      <c r="V38" s="16">
        <v>-6.3741000000000003</v>
      </c>
      <c r="W38" s="16">
        <v>-11.247</v>
      </c>
      <c r="X38" s="16">
        <v>-5.8244099999999994</v>
      </c>
      <c r="Y38" s="16">
        <v>-14.067500000000001</v>
      </c>
      <c r="Z38" s="16">
        <v>-1.27335</v>
      </c>
      <c r="AA38" s="16">
        <v>-1.8987400000000001</v>
      </c>
      <c r="AB38" s="16">
        <v>-12.0581</v>
      </c>
      <c r="AC38" s="16">
        <v>-1.39941</v>
      </c>
      <c r="AD38" s="16">
        <v>3.0619520000000002</v>
      </c>
      <c r="AE38" s="16">
        <v>0.5556236</v>
      </c>
      <c r="AF38" s="16">
        <v>2.51511</v>
      </c>
      <c r="AG38" s="16">
        <v>-1.48194</v>
      </c>
      <c r="AH38" s="16">
        <v>-85.616900000000001</v>
      </c>
      <c r="AI38" s="46"/>
      <c r="AJ38" s="46"/>
      <c r="AK38" s="46"/>
      <c r="AL38" s="46"/>
      <c r="AM38" s="46"/>
      <c r="AN38" s="4"/>
      <c r="AO38" s="4"/>
      <c r="AP38" s="4"/>
      <c r="AQ38" s="4"/>
      <c r="AR38" s="4"/>
      <c r="AS38" s="4"/>
      <c r="AT38" s="4"/>
      <c r="AU38" s="4"/>
      <c r="AV38" s="4"/>
      <c r="AW38" s="4"/>
      <c r="AX38" s="4"/>
      <c r="AY38" s="4"/>
    </row>
    <row r="39" spans="1:51" ht="14.5" x14ac:dyDescent="0.35">
      <c r="A39" s="136">
        <f>YampaRiverInflow.TotalOutflow!A39</f>
        <v>47209</v>
      </c>
      <c r="B39" s="34">
        <v>-2.9449999999999998</v>
      </c>
      <c r="C39" s="12">
        <v>-2.9449999999999998</v>
      </c>
      <c r="D39" s="45">
        <v>-2.9449999999999998</v>
      </c>
      <c r="E39" s="16">
        <v>-15.1135</v>
      </c>
      <c r="F39" s="16">
        <v>-4.2431000000000001</v>
      </c>
      <c r="G39" s="16">
        <v>-7.57599</v>
      </c>
      <c r="H39" s="16">
        <v>15.395820000000001</v>
      </c>
      <c r="I39" s="16">
        <v>39.174210000000002</v>
      </c>
      <c r="J39" s="16">
        <v>-0.41738999999999998</v>
      </c>
      <c r="K39" s="16">
        <v>-3.9382700000000002</v>
      </c>
      <c r="L39" s="16">
        <v>0.93055999999999994</v>
      </c>
      <c r="M39" s="16">
        <v>-11.8729</v>
      </c>
      <c r="N39" s="16">
        <v>-13.3843</v>
      </c>
      <c r="O39" s="16">
        <v>-6.9093299999999997</v>
      </c>
      <c r="P39" s="16">
        <v>4.2983100000000007</v>
      </c>
      <c r="Q39" s="16">
        <v>-1.6048699999999998</v>
      </c>
      <c r="R39" s="16">
        <v>-3.3881199999999998</v>
      </c>
      <c r="S39" s="16">
        <v>-8.2623700000000007</v>
      </c>
      <c r="T39" s="16">
        <v>-14.0764</v>
      </c>
      <c r="U39" s="16">
        <v>-15.644399999999999</v>
      </c>
      <c r="V39" s="16">
        <v>-20.3934</v>
      </c>
      <c r="W39" s="16">
        <v>-12.2591</v>
      </c>
      <c r="X39" s="16">
        <v>-6.0398699999999996</v>
      </c>
      <c r="Y39" s="16">
        <v>14.186459999999999</v>
      </c>
      <c r="Z39" s="16">
        <v>-9.3056399999999986</v>
      </c>
      <c r="AA39" s="16">
        <v>-4.80497</v>
      </c>
      <c r="AB39" s="16">
        <v>-4.7238199999999999</v>
      </c>
      <c r="AC39" s="16">
        <v>-4.9565900000000003</v>
      </c>
      <c r="AD39" s="16">
        <v>-3.62934</v>
      </c>
      <c r="AE39" s="16">
        <v>-36.724299999999999</v>
      </c>
      <c r="AF39" s="16">
        <v>5.76356</v>
      </c>
      <c r="AG39" s="16">
        <v>12.84352</v>
      </c>
      <c r="AH39" s="16">
        <v>-51.0623</v>
      </c>
      <c r="AI39" s="46"/>
      <c r="AJ39" s="46"/>
      <c r="AK39" s="46"/>
      <c r="AL39" s="46"/>
      <c r="AM39" s="46"/>
      <c r="AN39" s="4"/>
      <c r="AO39" s="4"/>
      <c r="AP39" s="4"/>
      <c r="AQ39" s="4"/>
      <c r="AR39" s="4"/>
      <c r="AS39" s="4"/>
      <c r="AT39" s="4"/>
      <c r="AU39" s="4"/>
      <c r="AV39" s="4"/>
      <c r="AW39" s="4"/>
      <c r="AX39" s="4"/>
      <c r="AY39" s="4"/>
    </row>
    <row r="40" spans="1:51" ht="14.5" x14ac:dyDescent="0.35">
      <c r="A40" s="136">
        <f>YampaRiverInflow.TotalOutflow!A40</f>
        <v>47239</v>
      </c>
      <c r="B40" s="34">
        <v>-6.407</v>
      </c>
      <c r="C40" s="12">
        <v>-6.407</v>
      </c>
      <c r="D40" s="45">
        <v>-6.407</v>
      </c>
      <c r="E40" s="16">
        <v>-4.7955200000000007</v>
      </c>
      <c r="F40" s="16">
        <v>-13.974399999999999</v>
      </c>
      <c r="G40" s="16">
        <v>-8.2093600000000002</v>
      </c>
      <c r="H40" s="16">
        <v>11.730090000000001</v>
      </c>
      <c r="I40" s="16">
        <v>21.999099999999999</v>
      </c>
      <c r="J40" s="16">
        <v>0.11092</v>
      </c>
      <c r="K40" s="16">
        <v>-14.867799999999999</v>
      </c>
      <c r="L40" s="16">
        <v>-7.1809500000000002</v>
      </c>
      <c r="M40" s="16">
        <v>-5.66974</v>
      </c>
      <c r="N40" s="16">
        <v>-33.700400000000002</v>
      </c>
      <c r="O40" s="16">
        <v>-4.7220800000000001</v>
      </c>
      <c r="P40" s="16">
        <v>-17.381799999999998</v>
      </c>
      <c r="Q40" s="16">
        <v>-33.279300000000006</v>
      </c>
      <c r="R40" s="16">
        <v>-5.4207200000000002</v>
      </c>
      <c r="S40" s="16">
        <v>-5.2464300000000001</v>
      </c>
      <c r="T40" s="16">
        <v>3.1493000000000002</v>
      </c>
      <c r="U40" s="16">
        <v>-9.5569299999999995</v>
      </c>
      <c r="V40" s="16">
        <v>4.5381899999999993</v>
      </c>
      <c r="W40" s="16">
        <v>2.7454499999999999</v>
      </c>
      <c r="X40" s="16">
        <v>4.5651899999999994</v>
      </c>
      <c r="Y40" s="16">
        <v>0.1095455</v>
      </c>
      <c r="Z40" s="16">
        <v>7.3637499999999996</v>
      </c>
      <c r="AA40" s="16">
        <v>8.667313</v>
      </c>
      <c r="AB40" s="16">
        <v>9.6379000000000001</v>
      </c>
      <c r="AC40" s="16">
        <v>-0.59501400000000004</v>
      </c>
      <c r="AD40" s="16">
        <v>-7.1286899999999997</v>
      </c>
      <c r="AE40" s="16">
        <v>13.089129999999999</v>
      </c>
      <c r="AF40" s="16">
        <v>7.5992100000000002</v>
      </c>
      <c r="AG40" s="16">
        <v>4.7034399999999996</v>
      </c>
      <c r="AH40" s="16">
        <v>-61.748899999999999</v>
      </c>
      <c r="AI40" s="46"/>
      <c r="AJ40" s="46"/>
      <c r="AK40" s="46"/>
      <c r="AL40" s="46"/>
      <c r="AM40" s="46"/>
      <c r="AN40" s="4"/>
      <c r="AO40" s="4"/>
      <c r="AP40" s="4"/>
      <c r="AQ40" s="4"/>
      <c r="AR40" s="4"/>
      <c r="AS40" s="4"/>
      <c r="AT40" s="4"/>
      <c r="AU40" s="4"/>
      <c r="AV40" s="4"/>
      <c r="AW40" s="4"/>
      <c r="AX40" s="4"/>
      <c r="AY40" s="4"/>
    </row>
    <row r="41" spans="1:51" ht="14.5" x14ac:dyDescent="0.35">
      <c r="A41" s="136">
        <f>YampaRiverInflow.TotalOutflow!A41</f>
        <v>47270</v>
      </c>
      <c r="B41" s="34">
        <v>0.91400000000000003</v>
      </c>
      <c r="C41" s="12">
        <v>0.91400000000000003</v>
      </c>
      <c r="D41" s="45">
        <v>0.91400000000000003</v>
      </c>
      <c r="E41" s="16">
        <v>-3.3491300000000002</v>
      </c>
      <c r="F41" s="16">
        <v>4.0840300000000003</v>
      </c>
      <c r="G41" s="16">
        <v>-11.6759</v>
      </c>
      <c r="H41" s="16">
        <v>-4.1159999999999995E-2</v>
      </c>
      <c r="I41" s="16">
        <v>5.6090299999999997</v>
      </c>
      <c r="J41" s="16">
        <v>-3.69754</v>
      </c>
      <c r="K41" s="16">
        <v>-11.8339</v>
      </c>
      <c r="L41" s="16">
        <v>-9.2286099999999998</v>
      </c>
      <c r="M41" s="16">
        <v>-8.5176200000000009</v>
      </c>
      <c r="N41" s="16">
        <v>-26.906099999999999</v>
      </c>
      <c r="O41" s="16">
        <v>-30.0809</v>
      </c>
      <c r="P41" s="16">
        <v>1.8562000000000001</v>
      </c>
      <c r="Q41" s="16">
        <v>-14.7171</v>
      </c>
      <c r="R41" s="16">
        <v>-14.012499999999999</v>
      </c>
      <c r="S41" s="16">
        <v>-1.51996</v>
      </c>
      <c r="T41" s="16">
        <v>-16.566500000000001</v>
      </c>
      <c r="U41" s="16">
        <v>-17.7789</v>
      </c>
      <c r="V41" s="16">
        <v>-8.3348700000000004</v>
      </c>
      <c r="W41" s="16">
        <v>-5.4185299999999996</v>
      </c>
      <c r="X41" s="16">
        <v>-7.2006999999999994</v>
      </c>
      <c r="Y41" s="16">
        <v>-0.73851199999999995</v>
      </c>
      <c r="Z41" s="16">
        <v>2.2777600000000002</v>
      </c>
      <c r="AA41" s="16">
        <v>-1.24882</v>
      </c>
      <c r="AB41" s="16">
        <v>-2.2548400000000002</v>
      </c>
      <c r="AC41" s="16">
        <v>-7.8657200000000005</v>
      </c>
      <c r="AD41" s="16">
        <v>-7.5185699999999995</v>
      </c>
      <c r="AE41" s="16">
        <v>-7.5434399999999995</v>
      </c>
      <c r="AF41" s="16">
        <v>4.59762</v>
      </c>
      <c r="AG41" s="16">
        <v>13.497540000000001</v>
      </c>
      <c r="AH41" s="16">
        <v>-26.186700000000002</v>
      </c>
      <c r="AI41" s="46"/>
      <c r="AJ41" s="46"/>
      <c r="AK41" s="46"/>
      <c r="AL41" s="46"/>
      <c r="AM41" s="46"/>
      <c r="AN41" s="4"/>
      <c r="AO41" s="4"/>
      <c r="AP41" s="4"/>
      <c r="AQ41" s="4"/>
      <c r="AR41" s="4"/>
      <c r="AS41" s="4"/>
      <c r="AT41" s="4"/>
      <c r="AU41" s="4"/>
      <c r="AV41" s="4"/>
      <c r="AW41" s="4"/>
      <c r="AX41" s="4"/>
      <c r="AY41" s="4"/>
    </row>
    <row r="42" spans="1:51" ht="14.5" x14ac:dyDescent="0.35">
      <c r="A42" s="136">
        <f>YampaRiverInflow.TotalOutflow!A42</f>
        <v>47300</v>
      </c>
      <c r="B42" s="34">
        <v>-9.2409999999999997</v>
      </c>
      <c r="C42" s="12">
        <v>-9.2409999999999997</v>
      </c>
      <c r="D42" s="45">
        <v>-9.2409999999999997</v>
      </c>
      <c r="E42" s="16">
        <v>-7.64445</v>
      </c>
      <c r="F42" s="16">
        <v>8.1272700000000011</v>
      </c>
      <c r="G42" s="16">
        <v>-11.493399999999999</v>
      </c>
      <c r="H42" s="16">
        <v>10.728009999999999</v>
      </c>
      <c r="I42" s="16">
        <v>8.7200199999999999</v>
      </c>
      <c r="J42" s="16">
        <v>-1.2666099999999998</v>
      </c>
      <c r="K42" s="16">
        <v>-11.347200000000001</v>
      </c>
      <c r="L42" s="16">
        <v>-18.336200000000002</v>
      </c>
      <c r="M42" s="16">
        <v>-2.94312</v>
      </c>
      <c r="N42" s="16">
        <v>-31.489599999999999</v>
      </c>
      <c r="O42" s="16">
        <v>-20.471400000000003</v>
      </c>
      <c r="P42" s="16">
        <v>-11.8964</v>
      </c>
      <c r="Q42" s="16">
        <v>-5.89581</v>
      </c>
      <c r="R42" s="16">
        <v>-9.4188299999999998</v>
      </c>
      <c r="S42" s="16">
        <v>-9.6500499999999985</v>
      </c>
      <c r="T42" s="16">
        <v>-13.497399999999999</v>
      </c>
      <c r="U42" s="16">
        <v>-20.7821</v>
      </c>
      <c r="V42" s="16">
        <v>-5.3935699999999995</v>
      </c>
      <c r="W42" s="16">
        <v>-16.034399999999998</v>
      </c>
      <c r="X42" s="16">
        <v>-7.2505600000000001</v>
      </c>
      <c r="Y42" s="16">
        <v>-12.2248</v>
      </c>
      <c r="Z42" s="16">
        <v>-2.5033499999999997</v>
      </c>
      <c r="AA42" s="16">
        <v>-0.440502</v>
      </c>
      <c r="AB42" s="16">
        <v>11.24718</v>
      </c>
      <c r="AC42" s="16">
        <v>-1.8387200000000001</v>
      </c>
      <c r="AD42" s="16">
        <v>-11.0794</v>
      </c>
      <c r="AE42" s="16">
        <v>-4.7515900000000002</v>
      </c>
      <c r="AF42" s="16">
        <v>1.85019</v>
      </c>
      <c r="AG42" s="16">
        <v>3.09552</v>
      </c>
      <c r="AH42" s="16">
        <v>-10.6083</v>
      </c>
      <c r="AI42" s="46"/>
      <c r="AJ42" s="46"/>
      <c r="AK42" s="46"/>
      <c r="AL42" s="46"/>
      <c r="AM42" s="46"/>
      <c r="AN42" s="4"/>
      <c r="AO42" s="4"/>
      <c r="AP42" s="4"/>
      <c r="AQ42" s="4"/>
      <c r="AR42" s="4"/>
      <c r="AS42" s="4"/>
      <c r="AT42" s="4"/>
      <c r="AU42" s="4"/>
      <c r="AV42" s="4"/>
      <c r="AW42" s="4"/>
      <c r="AX42" s="4"/>
      <c r="AY42" s="4"/>
    </row>
    <row r="43" spans="1:51" ht="14.5" x14ac:dyDescent="0.35">
      <c r="A43" s="136">
        <f>YampaRiverInflow.TotalOutflow!A43</f>
        <v>47331</v>
      </c>
      <c r="B43" s="34">
        <v>-6.3780000000000001</v>
      </c>
      <c r="C43" s="12">
        <v>-6.3780000000000001</v>
      </c>
      <c r="D43" s="45">
        <v>-6.3780000000000001</v>
      </c>
      <c r="E43" s="16">
        <v>-0.94598000000000004</v>
      </c>
      <c r="F43" s="16">
        <v>2.1968100000000002</v>
      </c>
      <c r="G43" s="16">
        <v>-4.3264100000000001</v>
      </c>
      <c r="H43" s="16">
        <v>-10.6752</v>
      </c>
      <c r="I43" s="16">
        <v>1.8042</v>
      </c>
      <c r="J43" s="16">
        <v>4.2788000000000004</v>
      </c>
      <c r="K43" s="16">
        <v>-12.226000000000001</v>
      </c>
      <c r="L43" s="16">
        <v>-3.8130300000000004</v>
      </c>
      <c r="M43" s="16">
        <v>-0.78469000000000011</v>
      </c>
      <c r="N43" s="16">
        <v>-7.6042100000000001</v>
      </c>
      <c r="O43" s="16">
        <v>-5.4120699999999999</v>
      </c>
      <c r="P43" s="16">
        <v>-13.8598</v>
      </c>
      <c r="Q43" s="16">
        <v>-14.737</v>
      </c>
      <c r="R43" s="16">
        <v>-6.2569600000000003</v>
      </c>
      <c r="S43" s="16">
        <v>-22.553799999999999</v>
      </c>
      <c r="T43" s="16">
        <v>-2.4493899999999997</v>
      </c>
      <c r="U43" s="16">
        <v>-15.1355</v>
      </c>
      <c r="V43" s="16">
        <v>2.9768400000000002</v>
      </c>
      <c r="W43" s="16">
        <v>5.9177799999999996</v>
      </c>
      <c r="X43" s="16">
        <v>3.3304999999999998</v>
      </c>
      <c r="Y43" s="16">
        <v>10.576969999999999</v>
      </c>
      <c r="Z43" s="16">
        <v>-7.4222299999999999</v>
      </c>
      <c r="AA43" s="16">
        <v>-2.7236199999999999</v>
      </c>
      <c r="AB43" s="16">
        <v>11.2767</v>
      </c>
      <c r="AC43" s="16">
        <v>-2.6559499999999998</v>
      </c>
      <c r="AD43" s="16">
        <v>3.1679930000000001</v>
      </c>
      <c r="AE43" s="16">
        <v>-8.08446</v>
      </c>
      <c r="AF43" s="16">
        <v>4.3259999999999996</v>
      </c>
      <c r="AG43" s="16">
        <v>3.7869800000000002</v>
      </c>
      <c r="AH43" s="16">
        <v>-3.9497499999999999</v>
      </c>
      <c r="AI43" s="46"/>
      <c r="AJ43" s="46"/>
      <c r="AK43" s="46"/>
      <c r="AL43" s="46"/>
      <c r="AM43" s="46"/>
      <c r="AN43" s="4"/>
      <c r="AO43" s="4"/>
      <c r="AP43" s="4"/>
      <c r="AQ43" s="4"/>
      <c r="AR43" s="4"/>
      <c r="AS43" s="4"/>
      <c r="AT43" s="4"/>
      <c r="AU43" s="4"/>
      <c r="AV43" s="4"/>
      <c r="AW43" s="4"/>
      <c r="AX43" s="4"/>
      <c r="AY43" s="4"/>
    </row>
    <row r="44" spans="1:51" ht="14.5" x14ac:dyDescent="0.35">
      <c r="A44" s="136">
        <f>YampaRiverInflow.TotalOutflow!A44</f>
        <v>47362</v>
      </c>
      <c r="B44" s="34">
        <v>0.28000000000000003</v>
      </c>
      <c r="C44" s="12">
        <v>0.28000000000000003</v>
      </c>
      <c r="D44" s="45">
        <v>0.28000000000000003</v>
      </c>
      <c r="E44" s="16">
        <v>8.5776000000000003</v>
      </c>
      <c r="F44" s="16">
        <v>15.860709999999999</v>
      </c>
      <c r="G44" s="16">
        <v>4.2184399999999993</v>
      </c>
      <c r="H44" s="16">
        <v>2.1504499999999998</v>
      </c>
      <c r="I44" s="16">
        <v>-6.8963000000000001</v>
      </c>
      <c r="J44" s="16">
        <v>-12.975100000000001</v>
      </c>
      <c r="K44" s="16">
        <v>-7.1190200000000008</v>
      </c>
      <c r="L44" s="16">
        <v>-2.2877899999999998</v>
      </c>
      <c r="M44" s="16">
        <v>-15.519200000000001</v>
      </c>
      <c r="N44" s="16">
        <v>-21.1785</v>
      </c>
      <c r="O44" s="16">
        <v>-6.0739200000000002</v>
      </c>
      <c r="P44" s="16">
        <v>-3.6959299999999997</v>
      </c>
      <c r="Q44" s="16">
        <v>0.22959000000000002</v>
      </c>
      <c r="R44" s="16">
        <v>-2.0469200000000001</v>
      </c>
      <c r="S44" s="16">
        <v>-1.55017</v>
      </c>
      <c r="T44" s="16">
        <v>8.7733099999999986</v>
      </c>
      <c r="U44" s="16">
        <v>-8.4957199999999986</v>
      </c>
      <c r="V44" s="16">
        <v>10.460270000000001</v>
      </c>
      <c r="W44" s="16">
        <v>-5.7617600000000007</v>
      </c>
      <c r="X44" s="16">
        <v>-2.9507099999999999</v>
      </c>
      <c r="Y44" s="16">
        <v>5.573264</v>
      </c>
      <c r="Z44" s="16">
        <v>6.7049099999999999</v>
      </c>
      <c r="AA44" s="16">
        <v>-0.37902999999999998</v>
      </c>
      <c r="AB44" s="16">
        <v>1.002618</v>
      </c>
      <c r="AC44" s="16">
        <v>4.0797420000000004</v>
      </c>
      <c r="AD44" s="16">
        <v>-5.3277200000000002</v>
      </c>
      <c r="AE44" s="16">
        <v>-6.2411499999999993</v>
      </c>
      <c r="AF44" s="16">
        <v>2.4840100000000001</v>
      </c>
      <c r="AG44" s="16">
        <v>5.2410399999999999</v>
      </c>
      <c r="AH44" s="16">
        <v>-12.903600000000001</v>
      </c>
      <c r="AI44" s="46"/>
      <c r="AJ44" s="46"/>
      <c r="AK44" s="46"/>
      <c r="AL44" s="46"/>
      <c r="AM44" s="46"/>
      <c r="AN44" s="4"/>
      <c r="AO44" s="4"/>
      <c r="AP44" s="4"/>
      <c r="AQ44" s="4"/>
      <c r="AR44" s="4"/>
      <c r="AS44" s="4"/>
      <c r="AT44" s="4"/>
      <c r="AU44" s="4"/>
      <c r="AV44" s="4"/>
      <c r="AW44" s="4"/>
      <c r="AX44" s="4"/>
      <c r="AY44" s="4"/>
    </row>
    <row r="45" spans="1:51" ht="14.5" x14ac:dyDescent="0.35">
      <c r="A45" s="136">
        <f>YampaRiverInflow.TotalOutflow!A45</f>
        <v>47392</v>
      </c>
      <c r="B45" s="34">
        <v>0.73499999999999999</v>
      </c>
      <c r="C45" s="12">
        <v>0.73499999999999999</v>
      </c>
      <c r="D45" s="45">
        <v>0.73499999999999999</v>
      </c>
      <c r="E45" s="16">
        <v>3.9343000000000004</v>
      </c>
      <c r="F45" s="16">
        <v>-8.1954599999999989</v>
      </c>
      <c r="G45" s="16">
        <v>1.15303</v>
      </c>
      <c r="H45" s="16">
        <v>4.8546899999999997</v>
      </c>
      <c r="I45" s="16">
        <v>-2.7721900000000002</v>
      </c>
      <c r="J45" s="16">
        <v>10.111030000000001</v>
      </c>
      <c r="K45" s="16">
        <v>-7.8798000000000004</v>
      </c>
      <c r="L45" s="16">
        <v>4.2608300000000003</v>
      </c>
      <c r="M45" s="16">
        <v>-9.0296399999999988</v>
      </c>
      <c r="N45" s="16">
        <v>-19.219099999999997</v>
      </c>
      <c r="O45" s="16">
        <v>-22.1523</v>
      </c>
      <c r="P45" s="16">
        <v>1.00861</v>
      </c>
      <c r="Q45" s="16">
        <v>-7.54697</v>
      </c>
      <c r="R45" s="16">
        <v>3.05389</v>
      </c>
      <c r="S45" s="16">
        <v>-0.55309000000000008</v>
      </c>
      <c r="T45" s="16">
        <v>-10.613</v>
      </c>
      <c r="U45" s="16">
        <v>-11.085899999999999</v>
      </c>
      <c r="V45" s="16">
        <v>5.77902</v>
      </c>
      <c r="W45" s="16">
        <v>-2.5799099999999999</v>
      </c>
      <c r="X45" s="16">
        <v>11.36007</v>
      </c>
      <c r="Y45" s="16">
        <v>13.28439</v>
      </c>
      <c r="Z45" s="16">
        <v>-1.07623</v>
      </c>
      <c r="AA45" s="16">
        <v>6.7392950000000003</v>
      </c>
      <c r="AB45" s="16">
        <v>9.3276970000000006</v>
      </c>
      <c r="AC45" s="16">
        <v>9.8532309999999992</v>
      </c>
      <c r="AD45" s="16">
        <v>2.3867620000000001</v>
      </c>
      <c r="AE45" s="16">
        <v>-14.003299999999999</v>
      </c>
      <c r="AF45" s="16">
        <v>4.5726499999999994</v>
      </c>
      <c r="AG45" s="16">
        <v>16.06822</v>
      </c>
      <c r="AH45" s="16">
        <v>-0.16736000000000001</v>
      </c>
      <c r="AI45" s="46"/>
      <c r="AJ45" s="46"/>
      <c r="AK45" s="46"/>
      <c r="AL45" s="46"/>
      <c r="AM45" s="46"/>
      <c r="AN45" s="4"/>
      <c r="AO45" s="4"/>
      <c r="AP45" s="4"/>
      <c r="AQ45" s="4"/>
      <c r="AR45" s="4"/>
      <c r="AS45" s="4"/>
      <c r="AT45" s="4"/>
      <c r="AU45" s="4"/>
      <c r="AV45" s="4"/>
      <c r="AW45" s="4"/>
      <c r="AX45" s="4"/>
      <c r="AY45" s="4"/>
    </row>
    <row r="46" spans="1:51" ht="14.5" x14ac:dyDescent="0.35">
      <c r="A46" s="136">
        <f>YampaRiverInflow.TotalOutflow!A46</f>
        <v>47423</v>
      </c>
      <c r="B46" s="34">
        <v>-5.5279999999999996</v>
      </c>
      <c r="C46" s="12">
        <v>-5.5279999999999996</v>
      </c>
      <c r="D46" s="45">
        <v>-5.5279999999999996</v>
      </c>
      <c r="E46" s="16">
        <v>4.8029599999999997</v>
      </c>
      <c r="F46" s="16">
        <v>7.5139499999999995</v>
      </c>
      <c r="G46" s="16">
        <v>2.73468</v>
      </c>
      <c r="H46" s="16">
        <v>6.6013000000000002</v>
      </c>
      <c r="I46" s="16">
        <v>0.97684000000000004</v>
      </c>
      <c r="J46" s="16">
        <v>8.3629300000000004</v>
      </c>
      <c r="K46" s="16">
        <v>1.9108499999999999</v>
      </c>
      <c r="L46" s="16">
        <v>-3.2407300000000001</v>
      </c>
      <c r="M46" s="16">
        <v>2.9348700000000001</v>
      </c>
      <c r="N46" s="16">
        <v>-7.6372900000000001</v>
      </c>
      <c r="O46" s="16">
        <v>3.4327800000000002</v>
      </c>
      <c r="P46" s="16">
        <v>5.0682</v>
      </c>
      <c r="Q46" s="16">
        <v>-2.44712</v>
      </c>
      <c r="R46" s="16">
        <v>9.4311000000000007</v>
      </c>
      <c r="S46" s="16">
        <v>-7.2890100000000002</v>
      </c>
      <c r="T46" s="16">
        <v>-3.6388499999999997</v>
      </c>
      <c r="U46" s="16">
        <v>0.89403999999999995</v>
      </c>
      <c r="V46" s="16">
        <v>10.06827</v>
      </c>
      <c r="W46" s="16">
        <v>6.3182299999999998</v>
      </c>
      <c r="X46" s="16">
        <v>14.429110000000001</v>
      </c>
      <c r="Y46" s="16">
        <v>13.14282</v>
      </c>
      <c r="Z46" s="16">
        <v>0.30604999999999999</v>
      </c>
      <c r="AA46" s="16">
        <v>3.2879200000000002</v>
      </c>
      <c r="AB46" s="16">
        <v>9.6716720000000009</v>
      </c>
      <c r="AC46" s="16">
        <v>20.124560000000002</v>
      </c>
      <c r="AD46" s="16">
        <v>-11.070600000000001</v>
      </c>
      <c r="AE46" s="16">
        <v>-13.8909</v>
      </c>
      <c r="AF46" s="16">
        <v>6.7825500000000005</v>
      </c>
      <c r="AG46" s="16">
        <v>12.2211</v>
      </c>
      <c r="AH46" s="16">
        <v>-13.3376</v>
      </c>
      <c r="AI46" s="46"/>
      <c r="AJ46" s="46"/>
      <c r="AK46" s="46"/>
      <c r="AL46" s="46"/>
      <c r="AM46" s="46"/>
      <c r="AN46" s="4"/>
      <c r="AO46" s="4"/>
      <c r="AP46" s="4"/>
      <c r="AQ46" s="4"/>
      <c r="AR46" s="4"/>
      <c r="AS46" s="4"/>
      <c r="AT46" s="4"/>
      <c r="AU46" s="4"/>
      <c r="AV46" s="4"/>
      <c r="AW46" s="4"/>
      <c r="AX46" s="4"/>
      <c r="AY46" s="4"/>
    </row>
    <row r="47" spans="1:51" ht="14.5" x14ac:dyDescent="0.35">
      <c r="A47" s="136">
        <f>YampaRiverInflow.TotalOutflow!A47</f>
        <v>47453</v>
      </c>
      <c r="B47" s="34">
        <v>-4.2699999999999996</v>
      </c>
      <c r="C47" s="12">
        <v>-4.2699999999999996</v>
      </c>
      <c r="D47" s="45">
        <v>-4.2699999999999996</v>
      </c>
      <c r="E47" s="16">
        <v>15.84782</v>
      </c>
      <c r="F47" s="16">
        <v>94.941029999999998</v>
      </c>
      <c r="G47" s="16">
        <v>-1.6679900000000001</v>
      </c>
      <c r="H47" s="16">
        <v>27.110379999999999</v>
      </c>
      <c r="I47" s="16">
        <v>15.47331</v>
      </c>
      <c r="J47" s="16">
        <v>23.397189999999998</v>
      </c>
      <c r="K47" s="16">
        <v>-21.467200000000002</v>
      </c>
      <c r="L47" s="16">
        <v>-1.96912</v>
      </c>
      <c r="M47" s="16">
        <v>6.1689999999999996</v>
      </c>
      <c r="N47" s="16">
        <v>-8.7340999999999998</v>
      </c>
      <c r="O47" s="16">
        <v>2.1890200000000002</v>
      </c>
      <c r="P47" s="16">
        <v>6.2199300000000006</v>
      </c>
      <c r="Q47" s="16">
        <v>-1.9193900000000002</v>
      </c>
      <c r="R47" s="16">
        <v>-0.40073999999999999</v>
      </c>
      <c r="S47" s="16">
        <v>-10.7593</v>
      </c>
      <c r="T47" s="16">
        <v>-7.3306499999999994</v>
      </c>
      <c r="U47" s="16">
        <v>7.5781999999999998</v>
      </c>
      <c r="V47" s="16">
        <v>10.29767</v>
      </c>
      <c r="W47" s="16">
        <v>-5.8699700000000004</v>
      </c>
      <c r="X47" s="16">
        <v>24.633080000000003</v>
      </c>
      <c r="Y47" s="16">
        <v>23.363189999999999</v>
      </c>
      <c r="Z47" s="16">
        <v>-1.2471300000000001</v>
      </c>
      <c r="AA47" s="16">
        <v>-6.3736999999999995</v>
      </c>
      <c r="AB47" s="16">
        <v>5.9137360000000001</v>
      </c>
      <c r="AC47" s="16">
        <v>15.60941</v>
      </c>
      <c r="AD47" s="16">
        <v>24.042540000000002</v>
      </c>
      <c r="AE47" s="16">
        <v>-3.4043299999999999</v>
      </c>
      <c r="AF47" s="16">
        <v>8.3700100000000006</v>
      </c>
      <c r="AG47" s="16">
        <v>26.24044</v>
      </c>
      <c r="AH47" s="16">
        <v>9.7062999999999988</v>
      </c>
      <c r="AI47" s="46"/>
      <c r="AJ47" s="46"/>
      <c r="AK47" s="46"/>
      <c r="AL47" s="46"/>
      <c r="AM47" s="46"/>
      <c r="AN47" s="4"/>
      <c r="AO47" s="4"/>
      <c r="AP47" s="4"/>
      <c r="AQ47" s="4"/>
      <c r="AR47" s="4"/>
      <c r="AS47" s="4"/>
      <c r="AT47" s="4"/>
      <c r="AU47" s="4"/>
      <c r="AV47" s="4"/>
      <c r="AW47" s="4"/>
      <c r="AX47" s="4"/>
      <c r="AY47" s="4"/>
    </row>
    <row r="48" spans="1:51" ht="14.5" x14ac:dyDescent="0.35">
      <c r="A48" s="136">
        <f>YampaRiverInflow.TotalOutflow!A48</f>
        <v>47484</v>
      </c>
      <c r="B48" s="34">
        <v>1.958</v>
      </c>
      <c r="C48" s="12">
        <v>1.958</v>
      </c>
      <c r="D48" s="45">
        <v>1.958</v>
      </c>
      <c r="E48" s="16">
        <v>8.1073400000000007</v>
      </c>
      <c r="F48" s="16">
        <v>-4.0167999999999999</v>
      </c>
      <c r="G48" s="16">
        <v>-0.42529</v>
      </c>
      <c r="H48" s="16">
        <v>-9.22471</v>
      </c>
      <c r="I48" s="16">
        <v>16.908450000000002</v>
      </c>
      <c r="J48" s="16">
        <v>1.48193</v>
      </c>
      <c r="K48" s="16">
        <v>-11.1562</v>
      </c>
      <c r="L48" s="16">
        <v>-10.2127</v>
      </c>
      <c r="M48" s="16">
        <v>-20.743200000000002</v>
      </c>
      <c r="N48" s="16">
        <v>-9.2751999999999999</v>
      </c>
      <c r="O48" s="16">
        <v>-13.9984</v>
      </c>
      <c r="P48" s="16">
        <v>-0.47846</v>
      </c>
      <c r="Q48" s="16">
        <v>-2.4032600000000004</v>
      </c>
      <c r="R48" s="16">
        <v>3.4120999999999997</v>
      </c>
      <c r="S48" s="16">
        <v>-10.2646</v>
      </c>
      <c r="T48" s="16">
        <v>17.93282</v>
      </c>
      <c r="U48" s="16">
        <v>-2.55436</v>
      </c>
      <c r="V48" s="16">
        <v>-2.7433800000000002</v>
      </c>
      <c r="W48" s="16">
        <v>-21.323400000000003</v>
      </c>
      <c r="X48" s="16">
        <v>2.622719</v>
      </c>
      <c r="Y48" s="16">
        <v>3.4634200000000002</v>
      </c>
      <c r="Z48" s="16">
        <v>7.8842790000000003</v>
      </c>
      <c r="AA48" s="16">
        <v>16.61054</v>
      </c>
      <c r="AB48" s="16">
        <v>8.8169590000000007</v>
      </c>
      <c r="AC48" s="16">
        <v>17.907229999999998</v>
      </c>
      <c r="AD48" s="16">
        <v>12.460120000000002</v>
      </c>
      <c r="AE48" s="16">
        <v>7.4652799999999999</v>
      </c>
      <c r="AF48" s="16">
        <v>6.9913500000000006</v>
      </c>
      <c r="AG48" s="16">
        <v>-30.0366</v>
      </c>
      <c r="AH48" s="16">
        <v>0.34805000000000003</v>
      </c>
      <c r="AI48" s="46"/>
      <c r="AJ48" s="46"/>
      <c r="AK48" s="46"/>
      <c r="AL48" s="46"/>
      <c r="AM48" s="46"/>
      <c r="AN48" s="4"/>
      <c r="AO48" s="4"/>
      <c r="AP48" s="4"/>
      <c r="AQ48" s="4"/>
      <c r="AR48" s="4"/>
      <c r="AS48" s="4"/>
      <c r="AT48" s="4"/>
      <c r="AU48" s="4"/>
      <c r="AV48" s="4"/>
      <c r="AW48" s="4"/>
      <c r="AX48" s="4"/>
      <c r="AY48" s="4"/>
    </row>
    <row r="49" spans="1:1005" ht="14.5" x14ac:dyDescent="0.35">
      <c r="A49" s="136">
        <f>YampaRiverInflow.TotalOutflow!A49</f>
        <v>47515</v>
      </c>
      <c r="B49" s="34">
        <v>0.82399999999999995</v>
      </c>
      <c r="C49" s="12">
        <v>0.82399999999999995</v>
      </c>
      <c r="D49" s="45">
        <v>0.82399999999999995</v>
      </c>
      <c r="E49" s="16">
        <v>14.93486</v>
      </c>
      <c r="F49" s="16">
        <v>-2.7169299999999996</v>
      </c>
      <c r="G49" s="16">
        <v>1.1206400000000001</v>
      </c>
      <c r="H49" s="16">
        <v>-12.965299999999999</v>
      </c>
      <c r="I49" s="16">
        <v>0.91830999999999996</v>
      </c>
      <c r="J49" s="16">
        <v>1.91351</v>
      </c>
      <c r="K49" s="16">
        <v>-9.2040600000000001</v>
      </c>
      <c r="L49" s="16">
        <v>-8.6602700000000006</v>
      </c>
      <c r="M49" s="16">
        <v>-7.7134099999999997</v>
      </c>
      <c r="N49" s="16">
        <v>-7.8451700000000004</v>
      </c>
      <c r="O49" s="16">
        <v>-18.252200000000002</v>
      </c>
      <c r="P49" s="16">
        <v>-3.1171700000000002</v>
      </c>
      <c r="Q49" s="16">
        <v>-7.3280799999999999</v>
      </c>
      <c r="R49" s="16">
        <v>1.02014</v>
      </c>
      <c r="S49" s="16">
        <v>-14.3032</v>
      </c>
      <c r="T49" s="16">
        <v>-13.955</v>
      </c>
      <c r="U49" s="16">
        <v>-11.963200000000001</v>
      </c>
      <c r="V49" s="16">
        <v>-5.2006099999999993</v>
      </c>
      <c r="W49" s="16">
        <v>-1.8404100000000001</v>
      </c>
      <c r="X49" s="16">
        <v>4.1879590000000002</v>
      </c>
      <c r="Y49" s="16">
        <v>8.0341699999999996</v>
      </c>
      <c r="Z49" s="16">
        <v>-3.2283200000000001</v>
      </c>
      <c r="AA49" s="16">
        <v>-5.3345600000000006</v>
      </c>
      <c r="AB49" s="16">
        <v>-3.9803500000000001</v>
      </c>
      <c r="AC49" s="16">
        <v>3.725031</v>
      </c>
      <c r="AD49" s="16">
        <v>11.38289</v>
      </c>
      <c r="AE49" s="16">
        <v>9.9543199999999992</v>
      </c>
      <c r="AF49" s="16">
        <v>4.1059299999999999</v>
      </c>
      <c r="AG49" s="16">
        <v>-45.490699999999997</v>
      </c>
      <c r="AH49" s="16">
        <v>-8.9389900000000004</v>
      </c>
      <c r="AI49" s="46"/>
      <c r="AJ49" s="46"/>
      <c r="AK49" s="46"/>
      <c r="AL49" s="46"/>
      <c r="AM49" s="46"/>
      <c r="AN49" s="4"/>
      <c r="AO49" s="4"/>
      <c r="AP49" s="4"/>
      <c r="AQ49" s="4"/>
      <c r="AR49" s="4"/>
      <c r="AS49" s="4"/>
      <c r="AT49" s="4"/>
      <c r="AU49" s="4"/>
      <c r="AV49" s="4"/>
      <c r="AW49" s="4"/>
      <c r="AX49" s="4"/>
      <c r="AY49" s="4"/>
    </row>
    <row r="50" spans="1:1005" ht="14.5" x14ac:dyDescent="0.35">
      <c r="A50" s="136">
        <f>YampaRiverInflow.TotalOutflow!A50</f>
        <v>47543</v>
      </c>
      <c r="B50" s="34">
        <v>-0.621</v>
      </c>
      <c r="C50" s="12">
        <v>-0.621</v>
      </c>
      <c r="D50" s="45">
        <v>-0.621</v>
      </c>
      <c r="E50" s="16">
        <v>-3.0748000000000002</v>
      </c>
      <c r="F50" s="16">
        <v>33.225720000000003</v>
      </c>
      <c r="G50" s="16">
        <v>11.037510000000001</v>
      </c>
      <c r="H50" s="16">
        <v>4.6733700000000002</v>
      </c>
      <c r="I50" s="16">
        <v>4.0890000000000003E-2</v>
      </c>
      <c r="J50" s="16">
        <v>8.1969799999999999</v>
      </c>
      <c r="K50" s="16">
        <v>5.5769299999999999</v>
      </c>
      <c r="L50" s="16">
        <v>-5.0199499999999997</v>
      </c>
      <c r="M50" s="16">
        <v>-3.68032</v>
      </c>
      <c r="N50" s="16">
        <v>-25.690300000000001</v>
      </c>
      <c r="O50" s="16">
        <v>16.045670000000001</v>
      </c>
      <c r="P50" s="16">
        <v>-10.3043</v>
      </c>
      <c r="Q50" s="16">
        <v>-11.892200000000001</v>
      </c>
      <c r="R50" s="16">
        <v>0.31795999999999996</v>
      </c>
      <c r="S50" s="16">
        <v>-9.7432599999999994</v>
      </c>
      <c r="T50" s="16">
        <v>-12.145200000000001</v>
      </c>
      <c r="U50" s="16">
        <v>-6.3741000000000003</v>
      </c>
      <c r="V50" s="16">
        <v>-11.247</v>
      </c>
      <c r="W50" s="16">
        <v>-5.8244099999999994</v>
      </c>
      <c r="X50" s="16">
        <v>-14.067500000000001</v>
      </c>
      <c r="Y50" s="16">
        <v>-1.27335</v>
      </c>
      <c r="Z50" s="16">
        <v>-1.8987400000000001</v>
      </c>
      <c r="AA50" s="16">
        <v>-12.0581</v>
      </c>
      <c r="AB50" s="16">
        <v>-1.39941</v>
      </c>
      <c r="AC50" s="16">
        <v>3.0619520000000002</v>
      </c>
      <c r="AD50" s="16">
        <v>0.5556236</v>
      </c>
      <c r="AE50" s="16">
        <v>2.51511</v>
      </c>
      <c r="AF50" s="16">
        <v>-1.48194</v>
      </c>
      <c r="AG50" s="16">
        <v>-85.616900000000001</v>
      </c>
      <c r="AH50" s="16">
        <v>-18.977</v>
      </c>
      <c r="AI50" s="46"/>
      <c r="AJ50" s="46"/>
      <c r="AK50" s="46"/>
      <c r="AL50" s="46"/>
      <c r="AM50" s="46"/>
      <c r="AN50" s="4"/>
      <c r="AO50" s="4"/>
      <c r="AP50" s="4"/>
      <c r="AQ50" s="4"/>
      <c r="AR50" s="4"/>
      <c r="AS50" s="4"/>
      <c r="AT50" s="4"/>
      <c r="AU50" s="4"/>
      <c r="AV50" s="4"/>
      <c r="AW50" s="4"/>
      <c r="AX50" s="4"/>
      <c r="AY50" s="4"/>
    </row>
    <row r="51" spans="1:1005" ht="14.5" x14ac:dyDescent="0.35">
      <c r="A51" s="136">
        <f>YampaRiverInflow.TotalOutflow!A51</f>
        <v>47574</v>
      </c>
      <c r="B51" s="34">
        <v>-2.9449999999999998</v>
      </c>
      <c r="C51" s="12">
        <v>-2.9449999999999998</v>
      </c>
      <c r="D51" s="45">
        <v>-2.9449999999999998</v>
      </c>
      <c r="E51" s="16">
        <v>-4.2431000000000001</v>
      </c>
      <c r="F51" s="16">
        <v>-7.57599</v>
      </c>
      <c r="G51" s="16">
        <v>15.395820000000001</v>
      </c>
      <c r="H51" s="16">
        <v>39.174210000000002</v>
      </c>
      <c r="I51" s="16">
        <v>-0.41738999999999998</v>
      </c>
      <c r="J51" s="16">
        <v>-3.9382700000000002</v>
      </c>
      <c r="K51" s="16">
        <v>0.93055999999999994</v>
      </c>
      <c r="L51" s="16">
        <v>-11.8729</v>
      </c>
      <c r="M51" s="16">
        <v>-13.3843</v>
      </c>
      <c r="N51" s="16">
        <v>-6.9093299999999997</v>
      </c>
      <c r="O51" s="16">
        <v>4.2983100000000007</v>
      </c>
      <c r="P51" s="16">
        <v>-1.6048699999999998</v>
      </c>
      <c r="Q51" s="16">
        <v>-3.3881199999999998</v>
      </c>
      <c r="R51" s="16">
        <v>-8.2623700000000007</v>
      </c>
      <c r="S51" s="16">
        <v>-14.0764</v>
      </c>
      <c r="T51" s="16">
        <v>-15.644399999999999</v>
      </c>
      <c r="U51" s="16">
        <v>-20.3934</v>
      </c>
      <c r="V51" s="16">
        <v>-12.2591</v>
      </c>
      <c r="W51" s="16">
        <v>-6.0398699999999996</v>
      </c>
      <c r="X51" s="16">
        <v>14.186459999999999</v>
      </c>
      <c r="Y51" s="16">
        <v>-9.3056399999999986</v>
      </c>
      <c r="Z51" s="16">
        <v>-4.80497</v>
      </c>
      <c r="AA51" s="16">
        <v>-4.7238199999999999</v>
      </c>
      <c r="AB51" s="16">
        <v>-4.9565900000000003</v>
      </c>
      <c r="AC51" s="16">
        <v>-3.62934</v>
      </c>
      <c r="AD51" s="16">
        <v>-36.724299999999999</v>
      </c>
      <c r="AE51" s="16">
        <v>5.76356</v>
      </c>
      <c r="AF51" s="16">
        <v>12.84352</v>
      </c>
      <c r="AG51" s="16">
        <v>-51.0623</v>
      </c>
      <c r="AH51" s="16">
        <v>-15.1135</v>
      </c>
      <c r="AI51" s="46"/>
      <c r="AJ51" s="46"/>
      <c r="AK51" s="46"/>
      <c r="AL51" s="46"/>
      <c r="AM51" s="46"/>
      <c r="AN51" s="4"/>
      <c r="AO51" s="4"/>
      <c r="AP51" s="4"/>
      <c r="AQ51" s="4"/>
      <c r="AR51" s="4"/>
      <c r="AS51" s="4"/>
      <c r="AT51" s="4"/>
      <c r="AU51" s="4"/>
      <c r="AV51" s="4"/>
      <c r="AW51" s="4"/>
      <c r="AX51" s="4"/>
      <c r="AY51" s="4"/>
    </row>
    <row r="52" spans="1:1005" ht="14.5" x14ac:dyDescent="0.35">
      <c r="A52" s="136">
        <f>YampaRiverInflow.TotalOutflow!A52</f>
        <v>47604</v>
      </c>
      <c r="B52" s="34">
        <v>-6.407</v>
      </c>
      <c r="C52" s="12">
        <v>-6.407</v>
      </c>
      <c r="D52" s="45">
        <v>-6.407</v>
      </c>
      <c r="E52" s="16">
        <v>-13.974399999999999</v>
      </c>
      <c r="F52" s="16">
        <v>-8.2093600000000002</v>
      </c>
      <c r="G52" s="16">
        <v>11.730090000000001</v>
      </c>
      <c r="H52" s="16">
        <v>21.999099999999999</v>
      </c>
      <c r="I52" s="16">
        <v>0.11092</v>
      </c>
      <c r="J52" s="16">
        <v>-14.867799999999999</v>
      </c>
      <c r="K52" s="16">
        <v>-7.1809500000000002</v>
      </c>
      <c r="L52" s="16">
        <v>-5.66974</v>
      </c>
      <c r="M52" s="16">
        <v>-33.700400000000002</v>
      </c>
      <c r="N52" s="16">
        <v>-4.7220800000000001</v>
      </c>
      <c r="O52" s="16">
        <v>-17.381799999999998</v>
      </c>
      <c r="P52" s="16">
        <v>-33.279300000000006</v>
      </c>
      <c r="Q52" s="16">
        <v>-5.4207200000000002</v>
      </c>
      <c r="R52" s="16">
        <v>-5.2464300000000001</v>
      </c>
      <c r="S52" s="16">
        <v>3.1493000000000002</v>
      </c>
      <c r="T52" s="16">
        <v>-9.5569299999999995</v>
      </c>
      <c r="U52" s="16">
        <v>4.5381899999999993</v>
      </c>
      <c r="V52" s="16">
        <v>2.7454499999999999</v>
      </c>
      <c r="W52" s="16">
        <v>4.5651899999999994</v>
      </c>
      <c r="X52" s="16">
        <v>0.1095455</v>
      </c>
      <c r="Y52" s="16">
        <v>7.3637499999999996</v>
      </c>
      <c r="Z52" s="16">
        <v>8.667313</v>
      </c>
      <c r="AA52" s="16">
        <v>9.6379000000000001</v>
      </c>
      <c r="AB52" s="16">
        <v>-0.59501400000000004</v>
      </c>
      <c r="AC52" s="16">
        <v>-7.1286899999999997</v>
      </c>
      <c r="AD52" s="16">
        <v>13.089129999999999</v>
      </c>
      <c r="AE52" s="16">
        <v>7.5992100000000002</v>
      </c>
      <c r="AF52" s="16">
        <v>4.7034399999999996</v>
      </c>
      <c r="AG52" s="16">
        <v>-61.748899999999999</v>
      </c>
      <c r="AH52" s="16">
        <v>-4.7955200000000007</v>
      </c>
      <c r="AI52" s="46"/>
      <c r="AJ52" s="46"/>
      <c r="AK52" s="46"/>
      <c r="AL52" s="46"/>
      <c r="AM52" s="46"/>
      <c r="AN52" s="4"/>
      <c r="AO52" s="4"/>
      <c r="AP52" s="4"/>
      <c r="AQ52" s="4"/>
      <c r="AR52" s="4"/>
      <c r="AS52" s="4"/>
      <c r="AT52" s="4"/>
      <c r="AU52" s="4"/>
      <c r="AV52" s="4"/>
      <c r="AW52" s="4"/>
      <c r="AX52" s="4"/>
      <c r="AY52" s="4"/>
    </row>
    <row r="53" spans="1:1005" ht="14.5" x14ac:dyDescent="0.35">
      <c r="A53" s="136">
        <f>YampaRiverInflow.TotalOutflow!A53</f>
        <v>47635</v>
      </c>
      <c r="B53" s="34">
        <v>0.91400000000000003</v>
      </c>
      <c r="C53" s="12">
        <v>0.91400000000000003</v>
      </c>
      <c r="D53" s="45">
        <v>0.91400000000000003</v>
      </c>
      <c r="E53" s="16">
        <v>4.0840300000000003</v>
      </c>
      <c r="F53" s="16">
        <v>-11.6759</v>
      </c>
      <c r="G53" s="16">
        <v>-4.1159999999999995E-2</v>
      </c>
      <c r="H53" s="16">
        <v>5.6090299999999997</v>
      </c>
      <c r="I53" s="16">
        <v>-3.69754</v>
      </c>
      <c r="J53" s="16">
        <v>-11.8339</v>
      </c>
      <c r="K53" s="16">
        <v>-9.2286099999999998</v>
      </c>
      <c r="L53" s="16">
        <v>-8.5176200000000009</v>
      </c>
      <c r="M53" s="16">
        <v>-26.906099999999999</v>
      </c>
      <c r="N53" s="16">
        <v>-30.0809</v>
      </c>
      <c r="O53" s="16">
        <v>1.8562000000000001</v>
      </c>
      <c r="P53" s="16">
        <v>-14.7171</v>
      </c>
      <c r="Q53" s="16">
        <v>-14.012499999999999</v>
      </c>
      <c r="R53" s="16">
        <v>-1.51996</v>
      </c>
      <c r="S53" s="16">
        <v>-16.566500000000001</v>
      </c>
      <c r="T53" s="16">
        <v>-17.7789</v>
      </c>
      <c r="U53" s="16">
        <v>-8.3348700000000004</v>
      </c>
      <c r="V53" s="16">
        <v>-5.4185299999999996</v>
      </c>
      <c r="W53" s="16">
        <v>-7.2006999999999994</v>
      </c>
      <c r="X53" s="16">
        <v>-0.73851199999999995</v>
      </c>
      <c r="Y53" s="16">
        <v>2.2777600000000002</v>
      </c>
      <c r="Z53" s="16">
        <v>-1.24882</v>
      </c>
      <c r="AA53" s="16">
        <v>-2.2548400000000002</v>
      </c>
      <c r="AB53" s="16">
        <v>-7.8657200000000005</v>
      </c>
      <c r="AC53" s="16">
        <v>-7.5185699999999995</v>
      </c>
      <c r="AD53" s="16">
        <v>-7.5434399999999995</v>
      </c>
      <c r="AE53" s="16">
        <v>4.59762</v>
      </c>
      <c r="AF53" s="16">
        <v>13.497540000000001</v>
      </c>
      <c r="AG53" s="16">
        <v>-26.186700000000002</v>
      </c>
      <c r="AH53" s="16">
        <v>-3.3491300000000002</v>
      </c>
      <c r="AI53" s="46"/>
      <c r="AJ53" s="46"/>
      <c r="AK53" s="46"/>
      <c r="AL53" s="46"/>
      <c r="AM53" s="46"/>
      <c r="AN53" s="4"/>
      <c r="AO53" s="4"/>
      <c r="AP53" s="4"/>
      <c r="AQ53" s="4"/>
      <c r="AR53" s="4"/>
      <c r="AS53" s="4"/>
      <c r="AT53" s="4"/>
      <c r="AU53" s="4"/>
      <c r="AV53" s="4"/>
      <c r="AW53" s="4"/>
      <c r="AX53" s="4"/>
      <c r="AY53" s="4"/>
    </row>
    <row r="54" spans="1:1005" ht="14.5" x14ac:dyDescent="0.35">
      <c r="A54" s="136">
        <f>YampaRiverInflow.TotalOutflow!A54</f>
        <v>47665</v>
      </c>
      <c r="B54" s="34">
        <v>-9.2409999999999997</v>
      </c>
      <c r="C54" s="12">
        <v>-9.2409999999999997</v>
      </c>
      <c r="D54" s="45">
        <v>-9.2409999999999997</v>
      </c>
      <c r="E54" s="16">
        <v>8.1272700000000011</v>
      </c>
      <c r="F54" s="16">
        <v>-11.493399999999999</v>
      </c>
      <c r="G54" s="16">
        <v>10.728009999999999</v>
      </c>
      <c r="H54" s="16">
        <v>8.7200199999999999</v>
      </c>
      <c r="I54" s="16">
        <v>-1.2666099999999998</v>
      </c>
      <c r="J54" s="16">
        <v>-11.347200000000001</v>
      </c>
      <c r="K54" s="16">
        <v>-18.336200000000002</v>
      </c>
      <c r="L54" s="16">
        <v>-2.94312</v>
      </c>
      <c r="M54" s="16">
        <v>-31.489599999999999</v>
      </c>
      <c r="N54" s="16">
        <v>-20.471400000000003</v>
      </c>
      <c r="O54" s="16">
        <v>-11.8964</v>
      </c>
      <c r="P54" s="16">
        <v>-5.89581</v>
      </c>
      <c r="Q54" s="16">
        <v>-9.4188299999999998</v>
      </c>
      <c r="R54" s="16">
        <v>-9.6500499999999985</v>
      </c>
      <c r="S54" s="16">
        <v>-13.497399999999999</v>
      </c>
      <c r="T54" s="16">
        <v>-20.7821</v>
      </c>
      <c r="U54" s="16">
        <v>-5.3935699999999995</v>
      </c>
      <c r="V54" s="16">
        <v>-16.034399999999998</v>
      </c>
      <c r="W54" s="16">
        <v>-7.2505600000000001</v>
      </c>
      <c r="X54" s="16">
        <v>-12.2248</v>
      </c>
      <c r="Y54" s="16">
        <v>-2.5033499999999997</v>
      </c>
      <c r="Z54" s="16">
        <v>-0.440502</v>
      </c>
      <c r="AA54" s="16">
        <v>11.24718</v>
      </c>
      <c r="AB54" s="16">
        <v>-1.8387200000000001</v>
      </c>
      <c r="AC54" s="16">
        <v>-11.0794</v>
      </c>
      <c r="AD54" s="16">
        <v>-4.7515900000000002</v>
      </c>
      <c r="AE54" s="16">
        <v>1.85019</v>
      </c>
      <c r="AF54" s="16">
        <v>3.09552</v>
      </c>
      <c r="AG54" s="16">
        <v>-10.6083</v>
      </c>
      <c r="AH54" s="16">
        <v>-7.64445</v>
      </c>
      <c r="AI54" s="46"/>
      <c r="AJ54" s="46"/>
      <c r="AK54" s="46"/>
      <c r="AL54" s="46"/>
      <c r="AM54" s="46"/>
      <c r="AN54" s="4"/>
      <c r="AO54" s="4"/>
      <c r="AP54" s="4"/>
      <c r="AQ54" s="4"/>
      <c r="AR54" s="4"/>
      <c r="AS54" s="4"/>
      <c r="AT54" s="4"/>
      <c r="AU54" s="4"/>
      <c r="AV54" s="4"/>
      <c r="AW54" s="4"/>
      <c r="AX54" s="4"/>
      <c r="AY54" s="4"/>
    </row>
    <row r="55" spans="1:1005" ht="14.5" x14ac:dyDescent="0.35">
      <c r="A55" s="136">
        <f>YampaRiverInflow.TotalOutflow!A55</f>
        <v>47696</v>
      </c>
      <c r="B55" s="34">
        <v>-6.3780000000000001</v>
      </c>
      <c r="C55" s="12">
        <v>-6.3780000000000001</v>
      </c>
      <c r="D55" s="45">
        <v>-6.3780000000000001</v>
      </c>
      <c r="E55" s="16">
        <v>2.1968100000000002</v>
      </c>
      <c r="F55" s="16">
        <v>-4.3264100000000001</v>
      </c>
      <c r="G55" s="16">
        <v>-10.6752</v>
      </c>
      <c r="H55" s="16">
        <v>1.8042</v>
      </c>
      <c r="I55" s="16">
        <v>4.2788000000000004</v>
      </c>
      <c r="J55" s="16">
        <v>-12.226000000000001</v>
      </c>
      <c r="K55" s="16">
        <v>-3.8130300000000004</v>
      </c>
      <c r="L55" s="16">
        <v>-0.78469000000000011</v>
      </c>
      <c r="M55" s="16">
        <v>-7.6042100000000001</v>
      </c>
      <c r="N55" s="16">
        <v>-5.4120699999999999</v>
      </c>
      <c r="O55" s="16">
        <v>-13.8598</v>
      </c>
      <c r="P55" s="16">
        <v>-14.737</v>
      </c>
      <c r="Q55" s="16">
        <v>-6.2569600000000003</v>
      </c>
      <c r="R55" s="16">
        <v>-22.553799999999999</v>
      </c>
      <c r="S55" s="16">
        <v>-2.4493899999999997</v>
      </c>
      <c r="T55" s="16">
        <v>-15.1355</v>
      </c>
      <c r="U55" s="16">
        <v>2.9768400000000002</v>
      </c>
      <c r="V55" s="16">
        <v>5.9177799999999996</v>
      </c>
      <c r="W55" s="16">
        <v>3.3304999999999998</v>
      </c>
      <c r="X55" s="16">
        <v>10.576969999999999</v>
      </c>
      <c r="Y55" s="16">
        <v>-7.4222299999999999</v>
      </c>
      <c r="Z55" s="16">
        <v>-2.7236199999999999</v>
      </c>
      <c r="AA55" s="16">
        <v>11.2767</v>
      </c>
      <c r="AB55" s="16">
        <v>-2.6559499999999998</v>
      </c>
      <c r="AC55" s="16">
        <v>3.1679930000000001</v>
      </c>
      <c r="AD55" s="16">
        <v>-8.08446</v>
      </c>
      <c r="AE55" s="16">
        <v>4.3259999999999996</v>
      </c>
      <c r="AF55" s="16">
        <v>3.7869800000000002</v>
      </c>
      <c r="AG55" s="16">
        <v>-3.9497499999999999</v>
      </c>
      <c r="AH55" s="16">
        <v>-0.94598000000000004</v>
      </c>
      <c r="AI55" s="46"/>
      <c r="AJ55" s="46"/>
      <c r="AK55" s="46"/>
      <c r="AL55" s="46"/>
      <c r="AM55" s="46"/>
      <c r="AN55" s="4"/>
      <c r="AO55" s="4"/>
      <c r="AP55" s="4"/>
      <c r="AQ55" s="4"/>
      <c r="AR55" s="4"/>
      <c r="AS55" s="4"/>
      <c r="AT55" s="4"/>
      <c r="AU55" s="4"/>
      <c r="AV55" s="4"/>
      <c r="AW55" s="4"/>
      <c r="AX55" s="4"/>
      <c r="AY55" s="4"/>
    </row>
    <row r="56" spans="1:1005" ht="14.5" x14ac:dyDescent="0.35">
      <c r="A56" s="136">
        <f>YampaRiverInflow.TotalOutflow!A56</f>
        <v>47727</v>
      </c>
      <c r="B56" s="34">
        <v>0.28000000000000003</v>
      </c>
      <c r="C56" s="12">
        <v>0.28000000000000003</v>
      </c>
      <c r="D56" s="45">
        <v>0.28000000000000003</v>
      </c>
      <c r="E56" s="16">
        <v>15.860709999999999</v>
      </c>
      <c r="F56" s="16">
        <v>4.2184399999999993</v>
      </c>
      <c r="G56" s="16">
        <v>2.1504499999999998</v>
      </c>
      <c r="H56" s="16">
        <v>-6.8963000000000001</v>
      </c>
      <c r="I56" s="16">
        <v>-12.975100000000001</v>
      </c>
      <c r="J56" s="16">
        <v>-7.1190200000000008</v>
      </c>
      <c r="K56" s="16">
        <v>-2.2877899999999998</v>
      </c>
      <c r="L56" s="16">
        <v>-15.519200000000001</v>
      </c>
      <c r="M56" s="16">
        <v>-21.1785</v>
      </c>
      <c r="N56" s="16">
        <v>-6.0739200000000002</v>
      </c>
      <c r="O56" s="16">
        <v>-3.6959299999999997</v>
      </c>
      <c r="P56" s="16">
        <v>0.22959000000000002</v>
      </c>
      <c r="Q56" s="16">
        <v>-2.0469200000000001</v>
      </c>
      <c r="R56" s="16">
        <v>-1.55017</v>
      </c>
      <c r="S56" s="16">
        <v>8.7733099999999986</v>
      </c>
      <c r="T56" s="16">
        <v>-8.4957199999999986</v>
      </c>
      <c r="U56" s="16">
        <v>10.460270000000001</v>
      </c>
      <c r="V56" s="16">
        <v>-5.7617600000000007</v>
      </c>
      <c r="W56" s="16">
        <v>-2.9507099999999999</v>
      </c>
      <c r="X56" s="16">
        <v>5.573264</v>
      </c>
      <c r="Y56" s="16">
        <v>6.7049099999999999</v>
      </c>
      <c r="Z56" s="16">
        <v>-0.37902999999999998</v>
      </c>
      <c r="AA56" s="16">
        <v>1.002618</v>
      </c>
      <c r="AB56" s="16">
        <v>4.0797420000000004</v>
      </c>
      <c r="AC56" s="16">
        <v>-5.3277200000000002</v>
      </c>
      <c r="AD56" s="16">
        <v>-6.2411499999999993</v>
      </c>
      <c r="AE56" s="16">
        <v>2.4840100000000001</v>
      </c>
      <c r="AF56" s="16">
        <v>5.2410399999999999</v>
      </c>
      <c r="AG56" s="16">
        <v>-12.903600000000001</v>
      </c>
      <c r="AH56" s="16">
        <v>8.5776000000000003</v>
      </c>
      <c r="AI56" s="46"/>
      <c r="AJ56" s="46"/>
      <c r="AK56" s="46"/>
      <c r="AL56" s="46"/>
      <c r="AM56" s="46"/>
      <c r="AN56" s="4"/>
      <c r="AO56" s="4"/>
      <c r="AP56" s="4"/>
      <c r="AQ56" s="4"/>
      <c r="AR56" s="4"/>
      <c r="AS56" s="4"/>
      <c r="AT56" s="4"/>
      <c r="AU56" s="4"/>
      <c r="AV56" s="4"/>
      <c r="AW56" s="4"/>
      <c r="AX56" s="4"/>
      <c r="AY56" s="4"/>
    </row>
    <row r="57" spans="1:1005" ht="14.5" x14ac:dyDescent="0.35">
      <c r="A57" s="136">
        <f>YampaRiverInflow.TotalOutflow!A57</f>
        <v>47757</v>
      </c>
      <c r="B57" s="34">
        <v>0.73499999999999999</v>
      </c>
      <c r="C57" s="12">
        <v>0.73499999999999999</v>
      </c>
      <c r="D57" s="45">
        <v>0.73499999999999999</v>
      </c>
      <c r="E57" s="16">
        <v>-8.1954599999999989</v>
      </c>
      <c r="F57" s="16">
        <v>1.15303</v>
      </c>
      <c r="G57" s="16">
        <v>4.8546899999999997</v>
      </c>
      <c r="H57" s="16">
        <v>-2.7721900000000002</v>
      </c>
      <c r="I57" s="16">
        <v>10.111030000000001</v>
      </c>
      <c r="J57" s="16">
        <v>-7.8798000000000004</v>
      </c>
      <c r="K57" s="16">
        <v>4.2608300000000003</v>
      </c>
      <c r="L57" s="16">
        <v>-9.0296399999999988</v>
      </c>
      <c r="M57" s="16">
        <v>-19.219099999999997</v>
      </c>
      <c r="N57" s="16">
        <v>-22.1523</v>
      </c>
      <c r="O57" s="16">
        <v>1.00861</v>
      </c>
      <c r="P57" s="16">
        <v>-7.54697</v>
      </c>
      <c r="Q57" s="16">
        <v>3.05389</v>
      </c>
      <c r="R57" s="16">
        <v>-0.55309000000000008</v>
      </c>
      <c r="S57" s="16">
        <v>-10.613</v>
      </c>
      <c r="T57" s="16">
        <v>-11.085899999999999</v>
      </c>
      <c r="U57" s="16">
        <v>5.77902</v>
      </c>
      <c r="V57" s="16">
        <v>-2.5799099999999999</v>
      </c>
      <c r="W57" s="16">
        <v>11.36007</v>
      </c>
      <c r="X57" s="16">
        <v>13.28439</v>
      </c>
      <c r="Y57" s="16">
        <v>-1.07623</v>
      </c>
      <c r="Z57" s="16">
        <v>6.7392950000000003</v>
      </c>
      <c r="AA57" s="16">
        <v>9.3276970000000006</v>
      </c>
      <c r="AB57" s="16">
        <v>9.8532309999999992</v>
      </c>
      <c r="AC57" s="16">
        <v>2.3867620000000001</v>
      </c>
      <c r="AD57" s="16">
        <v>-14.003299999999999</v>
      </c>
      <c r="AE57" s="16">
        <v>4.5726499999999994</v>
      </c>
      <c r="AF57" s="16">
        <v>16.06822</v>
      </c>
      <c r="AG57" s="16">
        <v>-0.16736000000000001</v>
      </c>
      <c r="AH57" s="16">
        <v>3.9343000000000004</v>
      </c>
      <c r="AI57" s="46"/>
      <c r="AJ57" s="46"/>
      <c r="AK57" s="46"/>
      <c r="AL57" s="46"/>
      <c r="AM57" s="46"/>
      <c r="AN57" s="4"/>
      <c r="AO57" s="4"/>
      <c r="AP57" s="4"/>
      <c r="AQ57" s="4"/>
      <c r="AR57" s="4"/>
      <c r="AS57" s="4"/>
      <c r="AT57" s="4"/>
      <c r="AU57" s="4"/>
      <c r="AV57" s="4"/>
      <c r="AW57" s="4"/>
      <c r="AX57" s="4"/>
      <c r="AY57" s="4"/>
    </row>
    <row r="58" spans="1:1005" ht="14.5" x14ac:dyDescent="0.35">
      <c r="A58" s="136">
        <f>YampaRiverInflow.TotalOutflow!A58</f>
        <v>47788</v>
      </c>
      <c r="B58" s="34">
        <v>-5.5279999999999996</v>
      </c>
      <c r="C58" s="12">
        <v>-5.5279999999999996</v>
      </c>
      <c r="D58" s="45">
        <v>-5.5279999999999996</v>
      </c>
      <c r="E58" s="16">
        <v>7.5139499999999995</v>
      </c>
      <c r="F58" s="16">
        <v>2.73468</v>
      </c>
      <c r="G58" s="16">
        <v>6.6013000000000002</v>
      </c>
      <c r="H58" s="16">
        <v>0.97684000000000004</v>
      </c>
      <c r="I58" s="16">
        <v>8.3629300000000004</v>
      </c>
      <c r="J58" s="16">
        <v>1.9108499999999999</v>
      </c>
      <c r="K58" s="16">
        <v>-3.2407300000000001</v>
      </c>
      <c r="L58" s="16">
        <v>2.9348700000000001</v>
      </c>
      <c r="M58" s="16">
        <v>-7.6372900000000001</v>
      </c>
      <c r="N58" s="16">
        <v>3.4327800000000002</v>
      </c>
      <c r="O58" s="16">
        <v>5.0682</v>
      </c>
      <c r="P58" s="16">
        <v>-2.44712</v>
      </c>
      <c r="Q58" s="16">
        <v>9.4311000000000007</v>
      </c>
      <c r="R58" s="16">
        <v>-7.2890100000000002</v>
      </c>
      <c r="S58" s="16">
        <v>-3.6388499999999997</v>
      </c>
      <c r="T58" s="16">
        <v>0.89403999999999995</v>
      </c>
      <c r="U58" s="16">
        <v>10.06827</v>
      </c>
      <c r="V58" s="16">
        <v>6.3182299999999998</v>
      </c>
      <c r="W58" s="16">
        <v>14.429110000000001</v>
      </c>
      <c r="X58" s="16">
        <v>13.14282</v>
      </c>
      <c r="Y58" s="16">
        <v>0.30604999999999999</v>
      </c>
      <c r="Z58" s="16">
        <v>3.2879200000000002</v>
      </c>
      <c r="AA58" s="16">
        <v>9.6716720000000009</v>
      </c>
      <c r="AB58" s="16">
        <v>20.124560000000002</v>
      </c>
      <c r="AC58" s="16">
        <v>-11.070600000000001</v>
      </c>
      <c r="AD58" s="16">
        <v>-13.8909</v>
      </c>
      <c r="AE58" s="16">
        <v>6.7825500000000005</v>
      </c>
      <c r="AF58" s="16">
        <v>12.2211</v>
      </c>
      <c r="AG58" s="16">
        <v>-13.3376</v>
      </c>
      <c r="AH58" s="16">
        <v>4.8029599999999997</v>
      </c>
      <c r="AI58" s="46"/>
      <c r="AJ58" s="46"/>
      <c r="AK58" s="46"/>
      <c r="AL58" s="46"/>
      <c r="AM58" s="46"/>
      <c r="AN58" s="4"/>
      <c r="AO58" s="4"/>
      <c r="AP58" s="4"/>
      <c r="AQ58" s="4"/>
      <c r="AR58" s="4"/>
      <c r="AS58" s="4"/>
      <c r="AT58" s="4"/>
      <c r="AU58" s="4"/>
      <c r="AV58" s="4"/>
      <c r="AW58" s="4"/>
      <c r="AX58" s="4"/>
      <c r="AY58" s="4"/>
    </row>
    <row r="59" spans="1:1005" ht="14.5" x14ac:dyDescent="0.35">
      <c r="A59" s="136">
        <f>YampaRiverInflow.TotalOutflow!A59</f>
        <v>47818</v>
      </c>
      <c r="B59" s="34">
        <v>-4.2699999999999996</v>
      </c>
      <c r="C59" s="12">
        <v>-4.2699999999999996</v>
      </c>
      <c r="D59" s="45">
        <v>-4.2699999999999996</v>
      </c>
      <c r="E59" s="16">
        <v>94.941029999999998</v>
      </c>
      <c r="F59" s="16">
        <v>-1.6679900000000001</v>
      </c>
      <c r="G59" s="16">
        <v>27.110379999999999</v>
      </c>
      <c r="H59" s="16">
        <v>15.47331</v>
      </c>
      <c r="I59" s="16">
        <v>23.397189999999998</v>
      </c>
      <c r="J59" s="16">
        <v>-21.467200000000002</v>
      </c>
      <c r="K59" s="16">
        <v>-1.96912</v>
      </c>
      <c r="L59" s="16">
        <v>6.1689999999999996</v>
      </c>
      <c r="M59" s="16">
        <v>-8.7340999999999998</v>
      </c>
      <c r="N59" s="16">
        <v>2.1890200000000002</v>
      </c>
      <c r="O59" s="16">
        <v>6.2199300000000006</v>
      </c>
      <c r="P59" s="16">
        <v>-1.9193900000000002</v>
      </c>
      <c r="Q59" s="16">
        <v>-0.40073999999999999</v>
      </c>
      <c r="R59" s="16">
        <v>-10.7593</v>
      </c>
      <c r="S59" s="16">
        <v>-7.3306499999999994</v>
      </c>
      <c r="T59" s="16">
        <v>7.5781999999999998</v>
      </c>
      <c r="U59" s="16">
        <v>10.29767</v>
      </c>
      <c r="V59" s="16">
        <v>-5.8699700000000004</v>
      </c>
      <c r="W59" s="16">
        <v>24.633080000000003</v>
      </c>
      <c r="X59" s="16">
        <v>23.363189999999999</v>
      </c>
      <c r="Y59" s="16">
        <v>-1.2471300000000001</v>
      </c>
      <c r="Z59" s="16">
        <v>-6.3736999999999995</v>
      </c>
      <c r="AA59" s="16">
        <v>5.9137360000000001</v>
      </c>
      <c r="AB59" s="16">
        <v>15.60941</v>
      </c>
      <c r="AC59" s="16">
        <v>24.042540000000002</v>
      </c>
      <c r="AD59" s="16">
        <v>-3.4043299999999999</v>
      </c>
      <c r="AE59" s="16">
        <v>8.3700100000000006</v>
      </c>
      <c r="AF59" s="16">
        <v>26.24044</v>
      </c>
      <c r="AG59" s="16">
        <v>9.7062999999999988</v>
      </c>
      <c r="AH59" s="16">
        <v>15.84782</v>
      </c>
      <c r="AI59" s="46"/>
      <c r="AJ59" s="46"/>
      <c r="AK59" s="46"/>
      <c r="AL59" s="46"/>
      <c r="AM59" s="46"/>
      <c r="AN59" s="4"/>
      <c r="AO59" s="4"/>
      <c r="AP59" s="4"/>
      <c r="AQ59" s="4"/>
      <c r="AR59" s="4"/>
      <c r="AS59" s="4"/>
      <c r="AT59" s="4"/>
      <c r="AU59" s="4"/>
      <c r="AV59" s="4"/>
      <c r="AW59" s="4"/>
      <c r="AX59" s="4"/>
      <c r="AY59" s="4"/>
    </row>
    <row r="60" spans="1:1005" ht="14.5" x14ac:dyDescent="0.35">
      <c r="A60" s="136">
        <f>YampaRiverInflow.TotalOutflow!A60</f>
        <v>47849</v>
      </c>
      <c r="B60" s="34">
        <v>1.958</v>
      </c>
      <c r="C60" s="12">
        <v>1.958</v>
      </c>
      <c r="D60" s="45">
        <v>1.958</v>
      </c>
      <c r="E60" s="16">
        <v>-4.0167999999999999</v>
      </c>
      <c r="F60" s="16">
        <v>-0.42529</v>
      </c>
      <c r="G60" s="16">
        <v>-9.22471</v>
      </c>
      <c r="H60" s="16">
        <v>16.908450000000002</v>
      </c>
      <c r="I60" s="16">
        <v>1.48193</v>
      </c>
      <c r="J60" s="16">
        <v>-11.1562</v>
      </c>
      <c r="K60" s="16">
        <v>-10.2127</v>
      </c>
      <c r="L60" s="16">
        <v>-20.743200000000002</v>
      </c>
      <c r="M60" s="16">
        <v>-9.2751999999999999</v>
      </c>
      <c r="N60" s="16">
        <v>-13.9984</v>
      </c>
      <c r="O60" s="16">
        <v>-0.47846</v>
      </c>
      <c r="P60" s="16">
        <v>-2.4032600000000004</v>
      </c>
      <c r="Q60" s="16">
        <v>3.4120999999999997</v>
      </c>
      <c r="R60" s="16">
        <v>-10.2646</v>
      </c>
      <c r="S60" s="16">
        <v>17.93282</v>
      </c>
      <c r="T60" s="16">
        <v>-2.55436</v>
      </c>
      <c r="U60" s="16">
        <v>-2.7433800000000002</v>
      </c>
      <c r="V60" s="16">
        <v>-21.323400000000003</v>
      </c>
      <c r="W60" s="16">
        <v>2.622719</v>
      </c>
      <c r="X60" s="16">
        <v>3.4634200000000002</v>
      </c>
      <c r="Y60" s="16">
        <v>7.8842790000000003</v>
      </c>
      <c r="Z60" s="16">
        <v>16.61054</v>
      </c>
      <c r="AA60" s="16">
        <v>8.8169590000000007</v>
      </c>
      <c r="AB60" s="16">
        <v>17.907229999999998</v>
      </c>
      <c r="AC60" s="16">
        <v>12.460120000000002</v>
      </c>
      <c r="AD60" s="16">
        <v>7.4652799999999999</v>
      </c>
      <c r="AE60" s="16">
        <v>6.9913500000000006</v>
      </c>
      <c r="AF60" s="16">
        <v>-30.0366</v>
      </c>
      <c r="AG60" s="16">
        <v>0.34805000000000003</v>
      </c>
      <c r="AH60" s="16">
        <v>8.1073400000000007</v>
      </c>
      <c r="AI60" s="46"/>
      <c r="AJ60" s="46"/>
      <c r="AK60" s="46"/>
      <c r="AL60" s="46"/>
      <c r="AM60" s="46"/>
      <c r="AN60" s="4"/>
      <c r="AO60" s="4"/>
      <c r="AP60" s="4"/>
      <c r="AQ60" s="4"/>
      <c r="AR60" s="4"/>
      <c r="AS60" s="4"/>
      <c r="AT60" s="4"/>
      <c r="AU60" s="4"/>
      <c r="AV60" s="4"/>
      <c r="AW60" s="4"/>
      <c r="AX60" s="4"/>
      <c r="AY60" s="4"/>
    </row>
    <row r="61" spans="1:1005" ht="14.5" x14ac:dyDescent="0.35">
      <c r="A61" s="136">
        <f>YampaRiverInflow.TotalOutflow!A61</f>
        <v>47880</v>
      </c>
      <c r="B61" s="34">
        <v>0.82399999999999995</v>
      </c>
      <c r="C61" s="12">
        <v>0.82399999999999995</v>
      </c>
      <c r="D61" s="45">
        <v>0.82399999999999995</v>
      </c>
      <c r="E61" s="16">
        <v>-2.7169299999999996</v>
      </c>
      <c r="F61" s="16">
        <v>1.1206400000000001</v>
      </c>
      <c r="G61" s="16">
        <v>-12.965299999999999</v>
      </c>
      <c r="H61" s="16">
        <v>0.91830999999999996</v>
      </c>
      <c r="I61" s="16">
        <v>1.91351</v>
      </c>
      <c r="J61" s="16">
        <v>-9.2040600000000001</v>
      </c>
      <c r="K61" s="16">
        <v>-8.6602700000000006</v>
      </c>
      <c r="L61" s="16">
        <v>-7.7134099999999997</v>
      </c>
      <c r="M61" s="16">
        <v>-7.8451700000000004</v>
      </c>
      <c r="N61" s="16">
        <v>-18.252200000000002</v>
      </c>
      <c r="O61" s="16">
        <v>-3.1171700000000002</v>
      </c>
      <c r="P61" s="16">
        <v>-7.3280799999999999</v>
      </c>
      <c r="Q61" s="16">
        <v>1.02014</v>
      </c>
      <c r="R61" s="16">
        <v>-14.3032</v>
      </c>
      <c r="S61" s="16">
        <v>-13.955</v>
      </c>
      <c r="T61" s="16">
        <v>-11.963200000000001</v>
      </c>
      <c r="U61" s="16">
        <v>-5.2006099999999993</v>
      </c>
      <c r="V61" s="16">
        <v>-1.8404100000000001</v>
      </c>
      <c r="W61" s="16">
        <v>4.1879590000000002</v>
      </c>
      <c r="X61" s="16">
        <v>8.0341699999999996</v>
      </c>
      <c r="Y61" s="16">
        <v>-3.2283200000000001</v>
      </c>
      <c r="Z61" s="16">
        <v>-5.3345600000000006</v>
      </c>
      <c r="AA61" s="16">
        <v>-3.9803500000000001</v>
      </c>
      <c r="AB61" s="16">
        <v>3.725031</v>
      </c>
      <c r="AC61" s="16">
        <v>11.38289</v>
      </c>
      <c r="AD61" s="16">
        <v>9.9543199999999992</v>
      </c>
      <c r="AE61" s="16">
        <v>4.1059299999999999</v>
      </c>
      <c r="AF61" s="16">
        <v>-45.490699999999997</v>
      </c>
      <c r="AG61" s="16">
        <v>-8.9389900000000004</v>
      </c>
      <c r="AH61" s="16">
        <v>14.93486</v>
      </c>
      <c r="AI61" s="46"/>
      <c r="AJ61" s="46"/>
      <c r="AK61" s="46"/>
      <c r="AL61" s="46"/>
      <c r="AM61" s="46"/>
      <c r="AN61" s="4"/>
      <c r="AO61" s="4"/>
      <c r="AP61" s="4"/>
      <c r="AQ61" s="4"/>
      <c r="AR61" s="4"/>
      <c r="AS61" s="4"/>
      <c r="AT61" s="4"/>
      <c r="AU61" s="4"/>
      <c r="AV61" s="4"/>
      <c r="AW61" s="4"/>
      <c r="AX61" s="4"/>
      <c r="AY61" s="4"/>
    </row>
    <row r="62" spans="1:1005" ht="14.5" x14ac:dyDescent="0.35">
      <c r="A62" s="136">
        <f>YampaRiverInflow.TotalOutflow!A62</f>
        <v>47908</v>
      </c>
      <c r="B62" s="34">
        <v>-0.621</v>
      </c>
      <c r="C62" s="12">
        <v>-0.621</v>
      </c>
      <c r="D62" s="45">
        <v>-0.621</v>
      </c>
      <c r="E62" s="16">
        <v>33.225720000000003</v>
      </c>
      <c r="F62" s="16">
        <v>11.037510000000001</v>
      </c>
      <c r="G62" s="16">
        <v>4.6733700000000002</v>
      </c>
      <c r="H62" s="16">
        <v>4.0890000000000003E-2</v>
      </c>
      <c r="I62" s="16">
        <v>8.1969799999999999</v>
      </c>
      <c r="J62" s="16">
        <v>5.5769299999999999</v>
      </c>
      <c r="K62" s="16">
        <v>-5.0199499999999997</v>
      </c>
      <c r="L62" s="16">
        <v>-3.68032</v>
      </c>
      <c r="M62" s="16">
        <v>-25.690300000000001</v>
      </c>
      <c r="N62" s="16">
        <v>16.045670000000001</v>
      </c>
      <c r="O62" s="16">
        <v>-10.3043</v>
      </c>
      <c r="P62" s="16">
        <v>-11.892200000000001</v>
      </c>
      <c r="Q62" s="16">
        <v>0.31795999999999996</v>
      </c>
      <c r="R62" s="16">
        <v>-9.7432599999999994</v>
      </c>
      <c r="S62" s="16">
        <v>-12.145200000000001</v>
      </c>
      <c r="T62" s="16">
        <v>-6.3741000000000003</v>
      </c>
      <c r="U62" s="16">
        <v>-11.247</v>
      </c>
      <c r="V62" s="16">
        <v>-5.8244099999999994</v>
      </c>
      <c r="W62" s="16">
        <v>-14.067500000000001</v>
      </c>
      <c r="X62" s="16">
        <v>-1.27335</v>
      </c>
      <c r="Y62" s="16">
        <v>-1.8987400000000001</v>
      </c>
      <c r="Z62" s="16">
        <v>-12.0581</v>
      </c>
      <c r="AA62" s="16">
        <v>-1.39941</v>
      </c>
      <c r="AB62" s="16">
        <v>3.0619520000000002</v>
      </c>
      <c r="AC62" s="16">
        <v>0.5556236</v>
      </c>
      <c r="AD62" s="16">
        <v>2.51511</v>
      </c>
      <c r="AE62" s="16">
        <v>-1.48194</v>
      </c>
      <c r="AF62" s="16">
        <v>-85.616900000000001</v>
      </c>
      <c r="AG62" s="16">
        <v>-18.977</v>
      </c>
      <c r="AH62" s="16">
        <v>-3.0748000000000002</v>
      </c>
      <c r="AI62" s="46"/>
      <c r="AJ62" s="46"/>
      <c r="AK62" s="46"/>
      <c r="AL62" s="46"/>
      <c r="AM62" s="46"/>
      <c r="AN62" s="4"/>
      <c r="AO62" s="4"/>
      <c r="AP62" s="4"/>
      <c r="AQ62" s="4"/>
      <c r="AR62" s="4"/>
      <c r="AS62" s="4"/>
      <c r="AT62" s="4"/>
      <c r="AU62" s="4"/>
      <c r="AV62" s="4"/>
      <c r="AW62" s="4"/>
      <c r="AX62" s="4"/>
      <c r="AY62" s="4"/>
    </row>
    <row r="63" spans="1:1005" ht="14.5" x14ac:dyDescent="0.35">
      <c r="A63" s="136">
        <f>YampaRiverInflow.TotalOutflow!A63</f>
        <v>47939</v>
      </c>
      <c r="B63" s="34">
        <v>-2.9449999999999998</v>
      </c>
      <c r="C63" s="12">
        <v>-2.9449999999999998</v>
      </c>
      <c r="D63" s="45">
        <v>-2.9449999999999998</v>
      </c>
      <c r="E63" s="16">
        <v>-7.57599</v>
      </c>
      <c r="F63" s="16">
        <v>15.395820000000001</v>
      </c>
      <c r="G63" s="16">
        <v>39.174210000000002</v>
      </c>
      <c r="H63" s="16">
        <v>-0.41738999999999998</v>
      </c>
      <c r="I63" s="16">
        <v>-3.9382700000000002</v>
      </c>
      <c r="J63" s="16">
        <v>0.93055999999999994</v>
      </c>
      <c r="K63" s="16">
        <v>-11.8729</v>
      </c>
      <c r="L63" s="16">
        <v>-13.3843</v>
      </c>
      <c r="M63" s="16">
        <v>-6.9093299999999997</v>
      </c>
      <c r="N63" s="16">
        <v>4.2983100000000007</v>
      </c>
      <c r="O63" s="16">
        <v>-1.6048699999999998</v>
      </c>
      <c r="P63" s="16">
        <v>-3.3881199999999998</v>
      </c>
      <c r="Q63" s="16">
        <v>-8.2623700000000007</v>
      </c>
      <c r="R63" s="16">
        <v>-14.0764</v>
      </c>
      <c r="S63" s="16">
        <v>-15.644399999999999</v>
      </c>
      <c r="T63" s="16">
        <v>-20.3934</v>
      </c>
      <c r="U63" s="16">
        <v>-12.2591</v>
      </c>
      <c r="V63" s="16">
        <v>-6.0398699999999996</v>
      </c>
      <c r="W63" s="16">
        <v>14.186459999999999</v>
      </c>
      <c r="X63" s="16">
        <v>-9.3056399999999986</v>
      </c>
      <c r="Y63" s="16">
        <v>-4.80497</v>
      </c>
      <c r="Z63" s="16">
        <v>-4.7238199999999999</v>
      </c>
      <c r="AA63" s="16">
        <v>-4.9565900000000003</v>
      </c>
      <c r="AB63" s="16">
        <v>-3.62934</v>
      </c>
      <c r="AC63" s="16">
        <v>-36.724299999999999</v>
      </c>
      <c r="AD63" s="16">
        <v>5.76356</v>
      </c>
      <c r="AE63" s="16">
        <v>12.84352</v>
      </c>
      <c r="AF63" s="16">
        <v>-51.0623</v>
      </c>
      <c r="AG63" s="16">
        <v>-15.1135</v>
      </c>
      <c r="AH63" s="16">
        <v>-4.2431000000000001</v>
      </c>
      <c r="AI63" s="46"/>
      <c r="AJ63" s="46"/>
      <c r="AK63" s="46"/>
      <c r="AL63" s="46"/>
      <c r="AM63" s="46"/>
      <c r="AN63" s="4"/>
      <c r="AO63" s="4"/>
      <c r="AP63" s="4"/>
      <c r="AQ63" s="4"/>
      <c r="AR63" s="4"/>
      <c r="AS63" s="4"/>
      <c r="AT63" s="4"/>
      <c r="AU63" s="4"/>
      <c r="AV63" s="4"/>
      <c r="AW63" s="4"/>
      <c r="AX63" s="4"/>
      <c r="AY63" s="4"/>
    </row>
    <row r="64" spans="1:1005" ht="14.5" x14ac:dyDescent="0.35">
      <c r="A64" s="136">
        <f>YampaRiverInflow.TotalOutflow!A64</f>
        <v>47969</v>
      </c>
      <c r="B64" s="34">
        <v>-6.407</v>
      </c>
      <c r="C64" s="12">
        <v>-6.407</v>
      </c>
      <c r="D64" s="45">
        <v>-6.407</v>
      </c>
      <c r="E64" s="16">
        <v>-8.2093600000000002</v>
      </c>
      <c r="F64" s="16">
        <v>11.730090000000001</v>
      </c>
      <c r="G64" s="16">
        <v>21.999099999999999</v>
      </c>
      <c r="H64" s="16">
        <v>0.11092</v>
      </c>
      <c r="I64" s="16">
        <v>-14.867799999999999</v>
      </c>
      <c r="J64" s="16">
        <v>-7.1809500000000002</v>
      </c>
      <c r="K64" s="16">
        <v>-5.66974</v>
      </c>
      <c r="L64" s="16">
        <v>-33.700400000000002</v>
      </c>
      <c r="M64" s="16">
        <v>-4.7220800000000001</v>
      </c>
      <c r="N64" s="16">
        <v>-17.381799999999998</v>
      </c>
      <c r="O64" s="16">
        <v>-33.279300000000006</v>
      </c>
      <c r="P64" s="16">
        <v>-5.4207200000000002</v>
      </c>
      <c r="Q64" s="16">
        <v>-5.2464300000000001</v>
      </c>
      <c r="R64" s="16">
        <v>3.1493000000000002</v>
      </c>
      <c r="S64" s="16">
        <v>-9.5569299999999995</v>
      </c>
      <c r="T64" s="16">
        <v>4.5381899999999993</v>
      </c>
      <c r="U64" s="16">
        <v>2.7454499999999999</v>
      </c>
      <c r="V64" s="16">
        <v>4.5651899999999994</v>
      </c>
      <c r="W64" s="16">
        <v>0.1095455</v>
      </c>
      <c r="X64" s="16">
        <v>7.3637499999999996</v>
      </c>
      <c r="Y64" s="16">
        <v>8.667313</v>
      </c>
      <c r="Z64" s="16">
        <v>9.6379000000000001</v>
      </c>
      <c r="AA64" s="16">
        <v>-0.59501400000000004</v>
      </c>
      <c r="AB64" s="16">
        <v>-7.1286899999999997</v>
      </c>
      <c r="AC64" s="16">
        <v>13.089129999999999</v>
      </c>
      <c r="AD64" s="16">
        <v>7.5992100000000002</v>
      </c>
      <c r="AE64" s="16">
        <v>4.7034399999999996</v>
      </c>
      <c r="AF64" s="16">
        <v>-61.748899999999999</v>
      </c>
      <c r="AG64" s="16">
        <v>-4.7955200000000007</v>
      </c>
      <c r="AH64" s="16">
        <v>-13.974399999999999</v>
      </c>
      <c r="AI64" s="46"/>
      <c r="AJ64" s="46"/>
      <c r="AK64" s="46"/>
      <c r="AL64" s="46"/>
      <c r="AM64" s="46"/>
      <c r="AN64" s="4"/>
      <c r="AO64" s="4"/>
      <c r="AP64" s="4"/>
      <c r="AQ64" s="4"/>
      <c r="AR64" s="4"/>
      <c r="AS64" s="4"/>
      <c r="AT64" s="4"/>
      <c r="AU64" s="4"/>
      <c r="AV64" s="4"/>
      <c r="AW64" s="4"/>
      <c r="AX64" s="4"/>
      <c r="AY64" s="4"/>
      <c r="ALQ64" t="e">
        <v>#N/A</v>
      </c>
    </row>
    <row r="65" spans="1:1005" ht="14.5" x14ac:dyDescent="0.35">
      <c r="A65" s="136">
        <f>YampaRiverInflow.TotalOutflow!A65</f>
        <v>48000</v>
      </c>
      <c r="B65" s="34">
        <v>0.91400000000000003</v>
      </c>
      <c r="C65" s="12">
        <v>0.91400000000000003</v>
      </c>
      <c r="D65" s="45">
        <v>0.91400000000000003</v>
      </c>
      <c r="E65" s="16">
        <v>-11.6759</v>
      </c>
      <c r="F65" s="16">
        <v>-4.1159999999999995E-2</v>
      </c>
      <c r="G65" s="16">
        <v>5.6090299999999997</v>
      </c>
      <c r="H65" s="16">
        <v>-3.69754</v>
      </c>
      <c r="I65" s="16">
        <v>-11.8339</v>
      </c>
      <c r="J65" s="16">
        <v>-9.2286099999999998</v>
      </c>
      <c r="K65" s="16">
        <v>-8.5176200000000009</v>
      </c>
      <c r="L65" s="16">
        <v>-26.906099999999999</v>
      </c>
      <c r="M65" s="16">
        <v>-30.0809</v>
      </c>
      <c r="N65" s="16">
        <v>1.8562000000000001</v>
      </c>
      <c r="O65" s="16">
        <v>-14.7171</v>
      </c>
      <c r="P65" s="16">
        <v>-14.012499999999999</v>
      </c>
      <c r="Q65" s="16">
        <v>-1.51996</v>
      </c>
      <c r="R65" s="16">
        <v>-16.566500000000001</v>
      </c>
      <c r="S65" s="16">
        <v>-17.7789</v>
      </c>
      <c r="T65" s="16">
        <v>-8.3348700000000004</v>
      </c>
      <c r="U65" s="16">
        <v>-5.4185299999999996</v>
      </c>
      <c r="V65" s="16">
        <v>-7.2006999999999994</v>
      </c>
      <c r="W65" s="16">
        <v>-0.73851199999999995</v>
      </c>
      <c r="X65" s="16">
        <v>2.2777600000000002</v>
      </c>
      <c r="Y65" s="16">
        <v>-1.24882</v>
      </c>
      <c r="Z65" s="16">
        <v>-2.2548400000000002</v>
      </c>
      <c r="AA65" s="16">
        <v>-7.8657200000000005</v>
      </c>
      <c r="AB65" s="16">
        <v>-7.5185699999999995</v>
      </c>
      <c r="AC65" s="16">
        <v>-7.5434399999999995</v>
      </c>
      <c r="AD65" s="16">
        <v>4.59762</v>
      </c>
      <c r="AE65" s="16">
        <v>13.497540000000001</v>
      </c>
      <c r="AF65" s="16">
        <v>-26.186700000000002</v>
      </c>
      <c r="AG65" s="16">
        <v>-3.3491300000000002</v>
      </c>
      <c r="AH65" s="16">
        <v>4.0840300000000003</v>
      </c>
      <c r="AI65" s="46"/>
      <c r="AJ65" s="46"/>
      <c r="AK65" s="46"/>
      <c r="AL65" s="46"/>
      <c r="AM65" s="46"/>
      <c r="AN65" s="4"/>
      <c r="AO65" s="4"/>
      <c r="AP65" s="4"/>
      <c r="AQ65" s="4"/>
      <c r="AR65" s="4"/>
      <c r="AS65" s="4"/>
      <c r="AT65" s="4"/>
      <c r="AU65" s="4"/>
      <c r="AV65" s="4"/>
      <c r="AW65" s="4"/>
      <c r="AX65" s="4"/>
      <c r="AY65" s="4"/>
      <c r="ALQ65" t="e">
        <v>#N/A</v>
      </c>
    </row>
    <row r="66" spans="1:1005" ht="14.5" x14ac:dyDescent="0.35">
      <c r="A66" s="136">
        <f>YampaRiverInflow.TotalOutflow!A66</f>
        <v>48030</v>
      </c>
      <c r="B66" s="34">
        <v>-9.2409999999999997</v>
      </c>
      <c r="C66" s="12">
        <v>-9.2409999999999997</v>
      </c>
      <c r="D66" s="45">
        <v>-9.2409999999999997</v>
      </c>
      <c r="E66" s="16">
        <v>-11.493399999999999</v>
      </c>
      <c r="F66" s="16">
        <v>10.728009999999999</v>
      </c>
      <c r="G66" s="16">
        <v>8.7200199999999999</v>
      </c>
      <c r="H66" s="16">
        <v>-1.2666099999999998</v>
      </c>
      <c r="I66" s="16">
        <v>-11.347200000000001</v>
      </c>
      <c r="J66" s="16">
        <v>-18.336200000000002</v>
      </c>
      <c r="K66" s="16">
        <v>-2.94312</v>
      </c>
      <c r="L66" s="16">
        <v>-31.489599999999999</v>
      </c>
      <c r="M66" s="16">
        <v>-20.471400000000003</v>
      </c>
      <c r="N66" s="16">
        <v>-11.8964</v>
      </c>
      <c r="O66" s="16">
        <v>-5.89581</v>
      </c>
      <c r="P66" s="16">
        <v>-9.4188299999999998</v>
      </c>
      <c r="Q66" s="16">
        <v>-9.6500499999999985</v>
      </c>
      <c r="R66" s="16">
        <v>-13.497399999999999</v>
      </c>
      <c r="S66" s="16">
        <v>-20.7821</v>
      </c>
      <c r="T66" s="16">
        <v>-5.3935699999999995</v>
      </c>
      <c r="U66" s="16">
        <v>-16.034399999999998</v>
      </c>
      <c r="V66" s="16">
        <v>-7.2505600000000001</v>
      </c>
      <c r="W66" s="16">
        <v>-12.2248</v>
      </c>
      <c r="X66" s="16">
        <v>-2.5033499999999997</v>
      </c>
      <c r="Y66" s="16">
        <v>-0.440502</v>
      </c>
      <c r="Z66" s="16">
        <v>11.24718</v>
      </c>
      <c r="AA66" s="16">
        <v>-1.8387200000000001</v>
      </c>
      <c r="AB66" s="16">
        <v>-11.0794</v>
      </c>
      <c r="AC66" s="16">
        <v>-4.7515900000000002</v>
      </c>
      <c r="AD66" s="16">
        <v>1.85019</v>
      </c>
      <c r="AE66" s="16">
        <v>3.09552</v>
      </c>
      <c r="AF66" s="16">
        <v>-10.6083</v>
      </c>
      <c r="AG66" s="16">
        <v>-7.64445</v>
      </c>
      <c r="AH66" s="16">
        <v>8.1272700000000011</v>
      </c>
      <c r="AI66" s="46"/>
      <c r="AJ66" s="46"/>
      <c r="AK66" s="46"/>
      <c r="AL66" s="46"/>
      <c r="AM66" s="46"/>
      <c r="AN66" s="4"/>
      <c r="AO66" s="4"/>
      <c r="AP66" s="4"/>
      <c r="AQ66" s="4"/>
      <c r="AR66" s="4"/>
      <c r="AS66" s="4"/>
      <c r="AT66" s="4"/>
      <c r="AU66" s="4"/>
      <c r="AV66" s="4"/>
      <c r="AW66" s="4"/>
      <c r="AX66" s="4"/>
      <c r="AY66" s="4"/>
      <c r="ALQ66" t="e">
        <v>#N/A</v>
      </c>
    </row>
    <row r="67" spans="1:1005" ht="14.5" x14ac:dyDescent="0.35">
      <c r="A67" s="136">
        <f>YampaRiverInflow.TotalOutflow!A67</f>
        <v>48061</v>
      </c>
      <c r="B67" s="34">
        <v>-6.3780000000000001</v>
      </c>
      <c r="C67" s="12">
        <v>-6.3780000000000001</v>
      </c>
      <c r="D67" s="45">
        <v>-6.3780000000000001</v>
      </c>
      <c r="E67" s="16">
        <v>-4.3264100000000001</v>
      </c>
      <c r="F67" s="16">
        <v>-10.6752</v>
      </c>
      <c r="G67" s="16">
        <v>1.8042</v>
      </c>
      <c r="H67" s="16">
        <v>4.2788000000000004</v>
      </c>
      <c r="I67" s="16">
        <v>-12.226000000000001</v>
      </c>
      <c r="J67" s="16">
        <v>-3.8130300000000004</v>
      </c>
      <c r="K67" s="16">
        <v>-0.78469000000000011</v>
      </c>
      <c r="L67" s="16">
        <v>-7.6042100000000001</v>
      </c>
      <c r="M67" s="16">
        <v>-5.4120699999999999</v>
      </c>
      <c r="N67" s="16">
        <v>-13.8598</v>
      </c>
      <c r="O67" s="16">
        <v>-14.737</v>
      </c>
      <c r="P67" s="16">
        <v>-6.2569600000000003</v>
      </c>
      <c r="Q67" s="16">
        <v>-22.553799999999999</v>
      </c>
      <c r="R67" s="16">
        <v>-2.4493899999999997</v>
      </c>
      <c r="S67" s="16">
        <v>-15.1355</v>
      </c>
      <c r="T67" s="16">
        <v>2.9768400000000002</v>
      </c>
      <c r="U67" s="16">
        <v>5.9177799999999996</v>
      </c>
      <c r="V67" s="16">
        <v>3.3304999999999998</v>
      </c>
      <c r="W67" s="16">
        <v>10.576969999999999</v>
      </c>
      <c r="X67" s="16">
        <v>-7.4222299999999999</v>
      </c>
      <c r="Y67" s="16">
        <v>-2.7236199999999999</v>
      </c>
      <c r="Z67" s="16">
        <v>11.2767</v>
      </c>
      <c r="AA67" s="16">
        <v>-2.6559499999999998</v>
      </c>
      <c r="AB67" s="16">
        <v>3.1679930000000001</v>
      </c>
      <c r="AC67" s="16">
        <v>-8.08446</v>
      </c>
      <c r="AD67" s="16">
        <v>4.3259999999999996</v>
      </c>
      <c r="AE67" s="16">
        <v>3.7869800000000002</v>
      </c>
      <c r="AF67" s="16">
        <v>-3.9497499999999999</v>
      </c>
      <c r="AG67" s="16">
        <v>-0.94598000000000004</v>
      </c>
      <c r="AH67" s="16">
        <v>2.1968100000000002</v>
      </c>
      <c r="AI67" s="46"/>
      <c r="AJ67" s="46"/>
      <c r="AK67" s="46"/>
      <c r="AL67" s="46"/>
      <c r="AM67" s="46"/>
      <c r="AN67" s="4"/>
      <c r="AO67" s="4"/>
      <c r="AP67" s="4"/>
      <c r="AQ67" s="4"/>
      <c r="AR67" s="4"/>
      <c r="AS67" s="4"/>
      <c r="AT67" s="4"/>
      <c r="AU67" s="4"/>
      <c r="AV67" s="4"/>
      <c r="AW67" s="4"/>
      <c r="AX67" s="4"/>
      <c r="AY67" s="4"/>
      <c r="ALQ67" t="e">
        <v>#N/A</v>
      </c>
    </row>
    <row r="68" spans="1:1005" ht="14.5" x14ac:dyDescent="0.35">
      <c r="A68" s="136">
        <f>YampaRiverInflow.TotalOutflow!A68</f>
        <v>48092</v>
      </c>
      <c r="B68" s="34">
        <v>0.28000000000000003</v>
      </c>
      <c r="C68" s="12">
        <v>0.28000000000000003</v>
      </c>
      <c r="D68" s="45">
        <v>0.28000000000000003</v>
      </c>
      <c r="E68" s="16">
        <v>4.2184399999999993</v>
      </c>
      <c r="F68" s="16">
        <v>2.1504499999999998</v>
      </c>
      <c r="G68" s="16">
        <v>-6.8963000000000001</v>
      </c>
      <c r="H68" s="16">
        <v>-12.975100000000001</v>
      </c>
      <c r="I68" s="16">
        <v>-7.1190200000000008</v>
      </c>
      <c r="J68" s="16">
        <v>-2.2877899999999998</v>
      </c>
      <c r="K68" s="16">
        <v>-15.519200000000001</v>
      </c>
      <c r="L68" s="16">
        <v>-21.1785</v>
      </c>
      <c r="M68" s="16">
        <v>-6.0739200000000002</v>
      </c>
      <c r="N68" s="16">
        <v>-3.6959299999999997</v>
      </c>
      <c r="O68" s="16">
        <v>0.22959000000000002</v>
      </c>
      <c r="P68" s="16">
        <v>-2.0469200000000001</v>
      </c>
      <c r="Q68" s="16">
        <v>-1.55017</v>
      </c>
      <c r="R68" s="16">
        <v>8.7733099999999986</v>
      </c>
      <c r="S68" s="16">
        <v>-8.4957199999999986</v>
      </c>
      <c r="T68" s="16">
        <v>10.460270000000001</v>
      </c>
      <c r="U68" s="16">
        <v>-5.7617600000000007</v>
      </c>
      <c r="V68" s="16">
        <v>-2.9507099999999999</v>
      </c>
      <c r="W68" s="16">
        <v>5.573264</v>
      </c>
      <c r="X68" s="16">
        <v>6.7049099999999999</v>
      </c>
      <c r="Y68" s="16">
        <v>-0.37902999999999998</v>
      </c>
      <c r="Z68" s="16">
        <v>1.002618</v>
      </c>
      <c r="AA68" s="16">
        <v>4.0797420000000004</v>
      </c>
      <c r="AB68" s="16">
        <v>-5.3277200000000002</v>
      </c>
      <c r="AC68" s="16">
        <v>-6.2411499999999993</v>
      </c>
      <c r="AD68" s="16">
        <v>2.4840100000000001</v>
      </c>
      <c r="AE68" s="16">
        <v>5.2410399999999999</v>
      </c>
      <c r="AF68" s="16">
        <v>-12.903600000000001</v>
      </c>
      <c r="AG68" s="16">
        <v>8.5776000000000003</v>
      </c>
      <c r="AH68" s="16">
        <v>15.860709999999999</v>
      </c>
      <c r="AI68" s="46"/>
      <c r="AJ68" s="46"/>
      <c r="AK68" s="46"/>
      <c r="AL68" s="46"/>
      <c r="AM68" s="46"/>
      <c r="AN68" s="4"/>
      <c r="AO68" s="4"/>
      <c r="AP68" s="4"/>
      <c r="AQ68" s="4"/>
      <c r="AR68" s="4"/>
      <c r="AS68" s="4"/>
      <c r="AT68" s="4"/>
      <c r="AU68" s="4"/>
      <c r="AV68" s="4"/>
      <c r="AW68" s="4"/>
      <c r="AX68" s="4"/>
      <c r="AY68" s="4"/>
      <c r="ALQ68" t="e">
        <v>#N/A</v>
      </c>
    </row>
    <row r="69" spans="1:1005" ht="14.5" x14ac:dyDescent="0.35">
      <c r="A69" s="136"/>
      <c r="B69" s="34"/>
      <c r="C69" s="12"/>
      <c r="D69" s="45"/>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46"/>
      <c r="AJ69" s="46"/>
      <c r="AK69" s="46"/>
      <c r="AL69" s="46"/>
      <c r="AM69" s="46"/>
      <c r="AN69" s="4"/>
      <c r="AO69" s="4"/>
      <c r="AP69" s="4"/>
      <c r="AQ69" s="4"/>
      <c r="AR69" s="4"/>
      <c r="AS69" s="4"/>
      <c r="AT69" s="4"/>
      <c r="AU69" s="4"/>
      <c r="AV69" s="4"/>
      <c r="AW69" s="4"/>
      <c r="AX69" s="4"/>
      <c r="AY69" s="4"/>
      <c r="ALQ69" t="e">
        <v>#N/A</v>
      </c>
    </row>
    <row r="70" spans="1:1005" ht="14.5" x14ac:dyDescent="0.35">
      <c r="A70" s="136"/>
      <c r="B70" s="34"/>
      <c r="C70" s="12"/>
      <c r="D70" s="45"/>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46"/>
      <c r="AJ70" s="46"/>
      <c r="AK70" s="46"/>
      <c r="AL70" s="46"/>
      <c r="AM70" s="46"/>
      <c r="AN70" s="4"/>
      <c r="AO70" s="4"/>
      <c r="AP70" s="4"/>
      <c r="AQ70" s="4"/>
      <c r="AR70" s="4"/>
      <c r="AS70" s="4"/>
      <c r="AT70" s="4"/>
      <c r="AU70" s="4"/>
      <c r="AV70" s="4"/>
      <c r="AW70" s="4"/>
      <c r="AX70" s="4"/>
      <c r="AY70" s="4"/>
      <c r="ALQ70" t="e">
        <v>#N/A</v>
      </c>
    </row>
    <row r="71" spans="1:1005" ht="14.5" x14ac:dyDescent="0.35">
      <c r="A71" s="136"/>
      <c r="B71" s="34"/>
      <c r="C71" s="12"/>
      <c r="D71" s="45"/>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46"/>
      <c r="AJ71" s="46"/>
      <c r="AK71" s="46"/>
      <c r="AL71" s="46"/>
      <c r="AM71" s="46"/>
      <c r="AN71" s="4"/>
      <c r="AO71" s="4"/>
      <c r="AP71" s="4"/>
      <c r="AQ71" s="4"/>
      <c r="AR71" s="4"/>
      <c r="AS71" s="4"/>
      <c r="AT71" s="4"/>
      <c r="AU71" s="4"/>
      <c r="AV71" s="4"/>
      <c r="AW71" s="4"/>
      <c r="AX71" s="4"/>
      <c r="AY71" s="4"/>
      <c r="ALQ71" t="e">
        <v>#N/A</v>
      </c>
    </row>
    <row r="72" spans="1:1005" ht="12.75" customHeight="1" x14ac:dyDescent="0.35">
      <c r="A72" s="136"/>
      <c r="B72" s="34"/>
      <c r="C72" s="12"/>
      <c r="D72" s="45"/>
      <c r="AI72" s="16"/>
      <c r="AJ72" s="16"/>
      <c r="AK72" s="16"/>
      <c r="AL72" s="16"/>
      <c r="AM72" s="16"/>
      <c r="ALQ72" t="e">
        <v>#N/A</v>
      </c>
    </row>
    <row r="73" spans="1:1005" ht="12.75" customHeight="1" x14ac:dyDescent="0.35">
      <c r="A73" s="136"/>
      <c r="B73" s="34"/>
      <c r="C73" s="12"/>
      <c r="D73" s="45"/>
      <c r="AI73" s="16"/>
      <c r="AJ73" s="16"/>
      <c r="AK73" s="16"/>
      <c r="AL73" s="16"/>
      <c r="AM73" s="16"/>
    </row>
    <row r="74" spans="1:1005" ht="12.75" customHeight="1" x14ac:dyDescent="0.35">
      <c r="A74" s="136"/>
      <c r="B74" s="34"/>
      <c r="C74" s="12"/>
      <c r="D74" s="45"/>
      <c r="AI74" s="16"/>
      <c r="AJ74" s="16"/>
      <c r="AK74" s="16"/>
      <c r="AL74" s="16"/>
      <c r="AM74" s="16"/>
    </row>
    <row r="75" spans="1:1005" ht="12.75" customHeight="1" x14ac:dyDescent="0.35">
      <c r="A75" s="136"/>
      <c r="B75" s="34"/>
      <c r="C75" s="12"/>
      <c r="D75" s="45"/>
      <c r="AI75" s="16"/>
      <c r="AJ75" s="16"/>
      <c r="AK75" s="16"/>
      <c r="AL75" s="16"/>
      <c r="AM75" s="16"/>
    </row>
    <row r="76" spans="1:1005" ht="12.75" customHeight="1" x14ac:dyDescent="0.35">
      <c r="A76" s="136"/>
      <c r="B76" s="34"/>
      <c r="C76" s="12"/>
      <c r="D76" s="45"/>
      <c r="AI76" s="16"/>
      <c r="AJ76" s="16"/>
      <c r="AK76" s="16"/>
      <c r="AL76" s="16"/>
      <c r="AM76" s="16"/>
    </row>
    <row r="77" spans="1:1005" ht="12.75" customHeight="1" x14ac:dyDescent="0.35">
      <c r="A77" s="136"/>
      <c r="B77" s="34"/>
      <c r="C77" s="12"/>
      <c r="D77" s="45"/>
    </row>
    <row r="78" spans="1:1005" ht="12.75" customHeight="1" x14ac:dyDescent="0.35">
      <c r="A78" s="136"/>
      <c r="B78" s="34"/>
      <c r="C78" s="12"/>
      <c r="D78" s="45"/>
    </row>
    <row r="79" spans="1:1005" ht="12.75" customHeight="1" x14ac:dyDescent="0.35">
      <c r="A79" s="136"/>
      <c r="B79" s="34"/>
      <c r="C79" s="12"/>
      <c r="D79" s="45"/>
    </row>
    <row r="80" spans="1:1005" ht="12.75" customHeight="1" x14ac:dyDescent="0.35">
      <c r="A80" s="136"/>
      <c r="B80" s="34"/>
      <c r="C80" s="12"/>
      <c r="D80" s="45"/>
    </row>
    <row r="81" spans="1:4" ht="12.75" customHeight="1" x14ac:dyDescent="0.35">
      <c r="A81" s="136"/>
      <c r="B81" s="34"/>
      <c r="C81" s="12"/>
      <c r="D81" s="45"/>
    </row>
    <row r="82" spans="1:4" ht="12.75" customHeight="1" x14ac:dyDescent="0.35">
      <c r="A82" s="136"/>
      <c r="B82" s="34"/>
      <c r="C82" s="12"/>
      <c r="D82" s="45"/>
    </row>
    <row r="83" spans="1:4" ht="12.75" customHeight="1" x14ac:dyDescent="0.35">
      <c r="A83" s="136"/>
      <c r="B83" s="34"/>
      <c r="C83" s="12"/>
      <c r="D83" s="45"/>
    </row>
    <row r="84" spans="1:4" ht="12.75" customHeight="1" x14ac:dyDescent="0.35">
      <c r="A84" s="136"/>
      <c r="B84" s="34"/>
      <c r="C84" s="12"/>
      <c r="D84" s="45"/>
    </row>
  </sheetData>
  <mergeCells count="1">
    <mergeCell ref="B1:AH1"/>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3A4D-0101-4F86-B091-645976E736F8}">
  <sheetPr codeName="Sheet27">
    <tabColor rgb="FFFF0000"/>
  </sheetPr>
  <dimension ref="A1:ALQ84"/>
  <sheetViews>
    <sheetView workbookViewId="0">
      <selection activeCell="B4" sqref="B4:AZ100"/>
    </sheetView>
  </sheetViews>
  <sheetFormatPr defaultColWidth="18.6328125" defaultRowHeight="12.75" customHeight="1" x14ac:dyDescent="0.35"/>
  <cols>
    <col min="1" max="2" width="9.36328125" customWidth="1"/>
    <col min="3" max="3" width="9.6328125" bestFit="1" customWidth="1"/>
    <col min="4" max="54" width="9.36328125" customWidth="1"/>
  </cols>
  <sheetData>
    <row r="1" spans="1:51" ht="14.5" x14ac:dyDescent="0.35">
      <c r="A1" s="130"/>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3"/>
      <c r="AJ1" s="3"/>
      <c r="AK1" s="3"/>
      <c r="AL1" s="3"/>
      <c r="AM1" s="3"/>
    </row>
    <row r="2" spans="1:51" ht="14.5" x14ac:dyDescent="0.35">
      <c r="A2" s="130" t="s">
        <v>39</v>
      </c>
      <c r="B2" s="132" t="s">
        <v>0</v>
      </c>
      <c r="C2" s="132" t="s">
        <v>1</v>
      </c>
      <c r="D2" s="132" t="s">
        <v>2</v>
      </c>
      <c r="E2" s="132">
        <v>1991</v>
      </c>
      <c r="F2" s="132">
        <v>1992</v>
      </c>
      <c r="G2" s="132">
        <v>1993</v>
      </c>
      <c r="H2" s="132">
        <v>1994</v>
      </c>
      <c r="I2" s="132">
        <v>1995</v>
      </c>
      <c r="J2" s="132">
        <v>1996</v>
      </c>
      <c r="K2" s="132">
        <v>1997</v>
      </c>
      <c r="L2" s="132">
        <v>1998</v>
      </c>
      <c r="M2" s="132">
        <v>1999</v>
      </c>
      <c r="N2" s="132">
        <v>2000</v>
      </c>
      <c r="O2" s="132">
        <v>2001</v>
      </c>
      <c r="P2" s="132">
        <v>2002</v>
      </c>
      <c r="Q2" s="132">
        <v>2003</v>
      </c>
      <c r="R2" s="132">
        <v>2004</v>
      </c>
      <c r="S2" s="132">
        <v>2005</v>
      </c>
      <c r="T2" s="132">
        <v>2006</v>
      </c>
      <c r="U2" s="132">
        <v>2007</v>
      </c>
      <c r="V2" s="132">
        <v>2008</v>
      </c>
      <c r="W2" s="132">
        <v>2009</v>
      </c>
      <c r="X2" s="132">
        <v>2010</v>
      </c>
      <c r="Y2" s="132">
        <v>2011</v>
      </c>
      <c r="Z2" s="132">
        <v>2012</v>
      </c>
      <c r="AA2" s="132">
        <v>2013</v>
      </c>
      <c r="AB2" s="132">
        <v>2014</v>
      </c>
      <c r="AC2" s="132">
        <v>2015</v>
      </c>
      <c r="AD2" s="132">
        <v>2016</v>
      </c>
      <c r="AE2" s="133">
        <v>2017</v>
      </c>
      <c r="AF2" s="132">
        <v>2018</v>
      </c>
      <c r="AG2" s="132">
        <v>2019</v>
      </c>
      <c r="AH2" s="132">
        <v>2020</v>
      </c>
      <c r="AI2" s="3"/>
      <c r="AJ2" s="3"/>
      <c r="AK2" s="3"/>
      <c r="AL2" s="3"/>
      <c r="AM2" s="3"/>
      <c r="AN2" s="3"/>
      <c r="AO2" s="3"/>
      <c r="AP2" s="3"/>
      <c r="AQ2" s="3"/>
      <c r="AR2" s="3"/>
    </row>
    <row r="3" spans="1:51" ht="14.5" x14ac:dyDescent="0.35">
      <c r="A3" s="134" t="str">
        <f>A2&amp;"_"&amp;"Time"</f>
        <v>HvrToDvs_In_Time</v>
      </c>
      <c r="B3" s="135" t="s">
        <v>3</v>
      </c>
      <c r="C3" s="135" t="s">
        <v>4</v>
      </c>
      <c r="D3" s="135" t="s">
        <v>5</v>
      </c>
      <c r="E3" s="135" t="s">
        <v>6</v>
      </c>
      <c r="F3" s="135" t="s">
        <v>7</v>
      </c>
      <c r="G3" s="135" t="s">
        <v>8</v>
      </c>
      <c r="H3" s="135" t="s">
        <v>9</v>
      </c>
      <c r="I3" s="135" t="s">
        <v>10</v>
      </c>
      <c r="J3" s="135" t="s">
        <v>11</v>
      </c>
      <c r="K3" s="135" t="s">
        <v>12</v>
      </c>
      <c r="L3" s="135" t="s">
        <v>13</v>
      </c>
      <c r="M3" s="135" t="s">
        <v>14</v>
      </c>
      <c r="N3" s="135" t="s">
        <v>15</v>
      </c>
      <c r="O3" s="135" t="s">
        <v>16</v>
      </c>
      <c r="P3" s="135" t="s">
        <v>17</v>
      </c>
      <c r="Q3" s="135" t="s">
        <v>18</v>
      </c>
      <c r="R3" s="135" t="s">
        <v>19</v>
      </c>
      <c r="S3" s="135" t="s">
        <v>20</v>
      </c>
      <c r="T3" s="135" t="s">
        <v>21</v>
      </c>
      <c r="U3" s="135" t="s">
        <v>22</v>
      </c>
      <c r="V3" s="135" t="s">
        <v>23</v>
      </c>
      <c r="W3" s="135" t="s">
        <v>24</v>
      </c>
      <c r="X3" s="135" t="s">
        <v>25</v>
      </c>
      <c r="Y3" s="135" t="s">
        <v>26</v>
      </c>
      <c r="Z3" s="135" t="s">
        <v>27</v>
      </c>
      <c r="AA3" s="135" t="s">
        <v>28</v>
      </c>
      <c r="AB3" s="135" t="s">
        <v>29</v>
      </c>
      <c r="AC3" s="135" t="s">
        <v>30</v>
      </c>
      <c r="AD3" s="135" t="s">
        <v>31</v>
      </c>
      <c r="AE3" s="135" t="s">
        <v>32</v>
      </c>
      <c r="AF3" s="135" t="s">
        <v>33</v>
      </c>
      <c r="AG3" s="135" t="s">
        <v>34</v>
      </c>
      <c r="AH3" s="135" t="s">
        <v>35</v>
      </c>
      <c r="AI3" s="3"/>
      <c r="AJ3" s="3"/>
      <c r="AK3" s="3"/>
      <c r="AL3" s="3"/>
      <c r="AM3" s="3"/>
      <c r="AN3" s="3"/>
      <c r="AO3" s="3"/>
      <c r="AP3" s="3"/>
      <c r="AQ3" s="3"/>
      <c r="AR3" s="3"/>
    </row>
    <row r="4" spans="1:51" ht="14.5" x14ac:dyDescent="0.35">
      <c r="A4" s="137">
        <f>YampaRiverInflow.TotalOutflow!A4</f>
        <v>46143</v>
      </c>
      <c r="B4" s="81">
        <v>-10.058</v>
      </c>
      <c r="C4" s="82">
        <v>-10.058</v>
      </c>
      <c r="D4" s="129">
        <v>-10.058</v>
      </c>
      <c r="E4" s="16">
        <v>-50.883940000000003</v>
      </c>
      <c r="F4" s="16">
        <v>-27.42698</v>
      </c>
      <c r="G4" s="16">
        <v>-13.264139999999999</v>
      </c>
      <c r="H4" s="16">
        <v>-29.224029999999999</v>
      </c>
      <c r="I4" s="16">
        <v>-23.53134</v>
      </c>
      <c r="J4" s="16">
        <v>-2.7735700000000003</v>
      </c>
      <c r="K4" s="16">
        <v>-15.322940000000001</v>
      </c>
      <c r="L4" s="16">
        <v>-19.867259999999998</v>
      </c>
      <c r="M4" s="16">
        <v>-15.572929999999999</v>
      </c>
      <c r="N4" s="16">
        <v>36.142910000000001</v>
      </c>
      <c r="O4" s="16">
        <v>-3.1130999999999998</v>
      </c>
      <c r="P4" s="16">
        <v>-16.675549999999998</v>
      </c>
      <c r="Q4" s="16">
        <v>-17.536919999999999</v>
      </c>
      <c r="R4" s="16">
        <v>-28.011310000000002</v>
      </c>
      <c r="S4" s="16">
        <v>-21.856310000000001</v>
      </c>
      <c r="T4" s="16">
        <v>3.5355400000000001</v>
      </c>
      <c r="U4" s="16">
        <v>-23.032049999999998</v>
      </c>
      <c r="V4" s="16">
        <v>-27.275220000000001</v>
      </c>
      <c r="W4" s="16">
        <v>-11.566879999999999</v>
      </c>
      <c r="X4" s="16">
        <v>-26.851080000000003</v>
      </c>
      <c r="Y4" s="16">
        <v>-16.472080000000002</v>
      </c>
      <c r="Z4" s="16">
        <v>-21.851860000000002</v>
      </c>
      <c r="AA4" s="16">
        <v>-22.571669999999997</v>
      </c>
      <c r="AB4" s="16">
        <v>-23.858180000000001</v>
      </c>
      <c r="AC4" s="16">
        <v>-18.369009999999999</v>
      </c>
      <c r="AD4" s="16">
        <v>-14.94468</v>
      </c>
      <c r="AE4" s="16">
        <v>-19.296259999999997</v>
      </c>
      <c r="AF4" s="16">
        <v>-17.438189999999999</v>
      </c>
      <c r="AG4" s="16">
        <v>-15.69408</v>
      </c>
      <c r="AH4" s="16">
        <v>-9.6890499999999999</v>
      </c>
      <c r="AI4" s="16"/>
      <c r="AJ4" s="16"/>
      <c r="AK4" s="16"/>
      <c r="AL4" s="16"/>
      <c r="AM4" s="16"/>
      <c r="AN4" s="4"/>
      <c r="AO4" s="4"/>
      <c r="AP4" s="4"/>
      <c r="AQ4" s="4"/>
      <c r="AR4" s="4"/>
      <c r="AS4" s="4"/>
      <c r="AT4" s="4"/>
      <c r="AU4" s="4"/>
      <c r="AV4" s="4"/>
      <c r="AW4" s="4"/>
      <c r="AX4" s="4"/>
      <c r="AY4" s="4"/>
    </row>
    <row r="5" spans="1:51" ht="14.5" x14ac:dyDescent="0.35">
      <c r="A5" s="137">
        <f>YampaRiverInflow.TotalOutflow!A5</f>
        <v>46174</v>
      </c>
      <c r="B5" s="34">
        <v>-13.593999999999999</v>
      </c>
      <c r="C5" s="12">
        <v>-13.593999999999999</v>
      </c>
      <c r="D5" s="45">
        <v>-13.593999999999999</v>
      </c>
      <c r="E5" s="16">
        <v>-59.343000000000004</v>
      </c>
      <c r="F5" s="16">
        <v>-32.013860000000001</v>
      </c>
      <c r="G5" s="16">
        <v>-5.7282900000000003</v>
      </c>
      <c r="H5" s="16">
        <v>-24.09413</v>
      </c>
      <c r="I5" s="16">
        <v>-28.66929</v>
      </c>
      <c r="J5" s="16">
        <v>-22.894779999999997</v>
      </c>
      <c r="K5" s="16">
        <v>-8.4372399999999992</v>
      </c>
      <c r="L5" s="16">
        <v>-15.65728</v>
      </c>
      <c r="M5" s="16">
        <v>-12.931179999999999</v>
      </c>
      <c r="N5" s="16">
        <v>-18.715900000000001</v>
      </c>
      <c r="O5" s="16">
        <v>-17.61956</v>
      </c>
      <c r="P5" s="16">
        <v>-9.7447199999999992</v>
      </c>
      <c r="Q5" s="16">
        <v>-3.1937099999999998</v>
      </c>
      <c r="R5" s="16">
        <v>-11.334670000000001</v>
      </c>
      <c r="S5" s="16">
        <v>-18.532310000000003</v>
      </c>
      <c r="T5" s="16">
        <v>1.92611</v>
      </c>
      <c r="U5" s="16">
        <v>-21.110040000000001</v>
      </c>
      <c r="V5" s="16">
        <v>-19.540299999999998</v>
      </c>
      <c r="W5" s="16">
        <v>-15.975790000000002</v>
      </c>
      <c r="X5" s="16">
        <v>-32.847480000000004</v>
      </c>
      <c r="Y5" s="16">
        <v>-21.42004</v>
      </c>
      <c r="Z5" s="16">
        <v>-30.22063</v>
      </c>
      <c r="AA5" s="16">
        <v>-27.89715</v>
      </c>
      <c r="AB5" s="16">
        <v>-31.396319999999999</v>
      </c>
      <c r="AC5" s="16">
        <v>-29.21951</v>
      </c>
      <c r="AD5" s="16">
        <v>-25.421259999999997</v>
      </c>
      <c r="AE5" s="16">
        <v>-17.919930000000001</v>
      </c>
      <c r="AF5" s="16">
        <v>-30.92728</v>
      </c>
      <c r="AG5" s="16">
        <v>-23.747820000000001</v>
      </c>
      <c r="AH5" s="16">
        <v>-21.322800000000001</v>
      </c>
      <c r="AI5" s="46"/>
      <c r="AJ5" s="46"/>
      <c r="AK5" s="46"/>
      <c r="AL5" s="46"/>
      <c r="AM5" s="46"/>
      <c r="AN5" s="4"/>
      <c r="AO5" s="4"/>
      <c r="AP5" s="4"/>
      <c r="AQ5" s="4"/>
      <c r="AR5" s="4"/>
      <c r="AS5" s="4"/>
      <c r="AT5" s="4"/>
      <c r="AU5" s="4"/>
      <c r="AV5" s="4"/>
      <c r="AW5" s="4"/>
      <c r="AX5" s="4"/>
      <c r="AY5" s="4"/>
    </row>
    <row r="6" spans="1:51" ht="14.5" x14ac:dyDescent="0.35">
      <c r="A6" s="137">
        <f>YampaRiverInflow.TotalOutflow!A6</f>
        <v>46204</v>
      </c>
      <c r="B6" s="34">
        <v>-18.728999999999999</v>
      </c>
      <c r="C6" s="12">
        <v>-18.728999999999999</v>
      </c>
      <c r="D6" s="45">
        <v>-18.728999999999999</v>
      </c>
      <c r="E6" s="16">
        <v>-47.631269999999994</v>
      </c>
      <c r="F6" s="16">
        <v>-43.163959999999996</v>
      </c>
      <c r="G6" s="16">
        <v>-27.08154</v>
      </c>
      <c r="H6" s="16">
        <v>-23.899249999999999</v>
      </c>
      <c r="I6" s="16">
        <v>-20.626099999999997</v>
      </c>
      <c r="J6" s="16">
        <v>-10.398209999999999</v>
      </c>
      <c r="K6" s="16">
        <v>-10.19393</v>
      </c>
      <c r="L6" s="16">
        <v>-18.311769999999999</v>
      </c>
      <c r="M6" s="16">
        <v>-15.302760000000001</v>
      </c>
      <c r="N6" s="16">
        <v>-25.186910000000001</v>
      </c>
      <c r="O6" s="16">
        <v>-26.149759999999997</v>
      </c>
      <c r="P6" s="16">
        <v>-18.206589999999998</v>
      </c>
      <c r="Q6" s="16">
        <v>-16.932770000000001</v>
      </c>
      <c r="R6" s="16">
        <v>-11.23888</v>
      </c>
      <c r="S6" s="16">
        <v>-14.996259999999999</v>
      </c>
      <c r="T6" s="16">
        <v>3.59327</v>
      </c>
      <c r="U6" s="16">
        <v>-18.765970000000003</v>
      </c>
      <c r="V6" s="16">
        <v>-11.523569999999999</v>
      </c>
      <c r="W6" s="16">
        <v>-7.7080399999999996</v>
      </c>
      <c r="X6" s="16">
        <v>-27.048749999999998</v>
      </c>
      <c r="Y6" s="16">
        <v>-22.246220000000001</v>
      </c>
      <c r="Z6" s="16">
        <v>-21.478169999999999</v>
      </c>
      <c r="AA6" s="16">
        <v>-36.614269999999998</v>
      </c>
      <c r="AB6" s="16">
        <v>-22.211980000000001</v>
      </c>
      <c r="AC6" s="16">
        <v>-27.412610000000001</v>
      </c>
      <c r="AD6" s="16">
        <v>-37.642650000000003</v>
      </c>
      <c r="AE6" s="16">
        <v>-16.347709999999999</v>
      </c>
      <c r="AF6" s="16">
        <v>-19.617069999999998</v>
      </c>
      <c r="AG6" s="16">
        <v>-22.699870000000001</v>
      </c>
      <c r="AH6" s="16">
        <v>-17.179880000000001</v>
      </c>
      <c r="AI6" s="46"/>
      <c r="AJ6" s="46"/>
      <c r="AK6" s="46"/>
      <c r="AL6" s="46"/>
      <c r="AM6" s="46"/>
      <c r="AN6" s="4"/>
      <c r="AO6" s="4"/>
      <c r="AP6" s="4"/>
      <c r="AQ6" s="4"/>
      <c r="AR6" s="4"/>
      <c r="AS6" s="4"/>
      <c r="AT6" s="4"/>
      <c r="AU6" s="4"/>
      <c r="AV6" s="4"/>
      <c r="AW6" s="4"/>
      <c r="AX6" s="4"/>
      <c r="AY6" s="4"/>
    </row>
    <row r="7" spans="1:51" ht="14.5" x14ac:dyDescent="0.35">
      <c r="A7" s="137">
        <f>YampaRiverInflow.TotalOutflow!A7</f>
        <v>46235</v>
      </c>
      <c r="B7" s="34">
        <v>-12.797000000000001</v>
      </c>
      <c r="C7" s="12">
        <v>-12.797000000000001</v>
      </c>
      <c r="D7" s="45">
        <v>-12.797000000000001</v>
      </c>
      <c r="E7" s="16">
        <v>-38.69999</v>
      </c>
      <c r="F7" s="16">
        <v>-40.601660000000003</v>
      </c>
      <c r="G7" s="16">
        <v>-10.54106</v>
      </c>
      <c r="H7" s="16">
        <v>-28.243020000000001</v>
      </c>
      <c r="I7" s="16">
        <v>-38.875269999999993</v>
      </c>
      <c r="J7" s="16">
        <v>-10.18477</v>
      </c>
      <c r="K7" s="16">
        <v>-3.4436999999999998</v>
      </c>
      <c r="L7" s="16">
        <v>-18.58174</v>
      </c>
      <c r="M7" s="16">
        <v>-17.12154</v>
      </c>
      <c r="N7" s="16">
        <v>-17.84836</v>
      </c>
      <c r="O7" s="16">
        <v>-12.213329999999999</v>
      </c>
      <c r="P7" s="16">
        <v>-14.071669999999999</v>
      </c>
      <c r="Q7" s="16">
        <v>-7.6597600000000003</v>
      </c>
      <c r="R7" s="16">
        <v>-9.9216899999999999</v>
      </c>
      <c r="S7" s="16">
        <v>-9.8270400000000002</v>
      </c>
      <c r="T7" s="16">
        <v>0.95716999999999997</v>
      </c>
      <c r="U7" s="16">
        <v>-13.4948</v>
      </c>
      <c r="V7" s="16">
        <v>-10.937709999999999</v>
      </c>
      <c r="W7" s="16">
        <v>-14.345180000000001</v>
      </c>
      <c r="X7" s="16">
        <v>-20.569520000000001</v>
      </c>
      <c r="Y7" s="16">
        <v>-13.446770000000001</v>
      </c>
      <c r="Z7" s="16">
        <v>-16.82076</v>
      </c>
      <c r="AA7" s="16">
        <v>-22.761310000000002</v>
      </c>
      <c r="AB7" s="16">
        <v>-12.675990000000001</v>
      </c>
      <c r="AC7" s="16">
        <v>-23.720400000000001</v>
      </c>
      <c r="AD7" s="16">
        <v>-20.238779999999998</v>
      </c>
      <c r="AE7" s="16">
        <v>-16.907869999999999</v>
      </c>
      <c r="AF7" s="16">
        <v>-20.437060000000002</v>
      </c>
      <c r="AG7" s="16">
        <v>-18.531770000000002</v>
      </c>
      <c r="AH7" s="16">
        <v>-17.41047</v>
      </c>
      <c r="AI7" s="46"/>
      <c r="AJ7" s="46"/>
      <c r="AK7" s="46"/>
      <c r="AL7" s="46"/>
      <c r="AM7" s="46"/>
      <c r="AN7" s="4"/>
      <c r="AO7" s="4"/>
      <c r="AP7" s="4"/>
      <c r="AQ7" s="4"/>
      <c r="AR7" s="4"/>
      <c r="AS7" s="4"/>
      <c r="AT7" s="4"/>
      <c r="AU7" s="4"/>
      <c r="AV7" s="4"/>
      <c r="AW7" s="4"/>
      <c r="AX7" s="4"/>
      <c r="AY7" s="4"/>
    </row>
    <row r="8" spans="1:51" ht="14.5" x14ac:dyDescent="0.35">
      <c r="A8" s="137">
        <f>YampaRiverInflow.TotalOutflow!A8</f>
        <v>46266</v>
      </c>
      <c r="B8" s="34">
        <v>-3.5750000000000002</v>
      </c>
      <c r="C8" s="12">
        <v>-3.5750000000000002</v>
      </c>
      <c r="D8" s="45">
        <v>-3.5750000000000002</v>
      </c>
      <c r="E8" s="16">
        <v>-30.64518</v>
      </c>
      <c r="F8" s="16">
        <v>-16.40521</v>
      </c>
      <c r="G8" s="16">
        <v>1.02267</v>
      </c>
      <c r="H8" s="16">
        <v>-2.5803499999999997</v>
      </c>
      <c r="I8" s="16">
        <v>1.2362299999999999</v>
      </c>
      <c r="J8" s="16">
        <v>-6.8090299999999999</v>
      </c>
      <c r="K8" s="16">
        <v>2.4422899999999998</v>
      </c>
      <c r="L8" s="16">
        <v>-15.388030000000001</v>
      </c>
      <c r="M8" s="16">
        <v>3.0395700000000003</v>
      </c>
      <c r="N8" s="16">
        <v>-6.1195399999999998</v>
      </c>
      <c r="O8" s="16">
        <v>-6.2437700000000005</v>
      </c>
      <c r="P8" s="16">
        <v>-1.99848</v>
      </c>
      <c r="Q8" s="16">
        <v>-6.6900600000000008</v>
      </c>
      <c r="R8" s="16">
        <v>0.25474000000000002</v>
      </c>
      <c r="S8" s="16">
        <v>-8.8620400000000004</v>
      </c>
      <c r="T8" s="16">
        <v>-3.0682</v>
      </c>
      <c r="U8" s="16">
        <v>-5.7606200000000003</v>
      </c>
      <c r="V8" s="16">
        <v>0.47227999999999998</v>
      </c>
      <c r="W8" s="16">
        <v>-4.20695</v>
      </c>
      <c r="X8" s="16">
        <v>-6.3936400000000004</v>
      </c>
      <c r="Y8" s="16">
        <v>-9.4515100000000007</v>
      </c>
      <c r="Z8" s="16">
        <v>-9.5977199999999989</v>
      </c>
      <c r="AA8" s="16">
        <v>-16.26549</v>
      </c>
      <c r="AB8" s="16">
        <v>-9.5290599999999994</v>
      </c>
      <c r="AC8" s="16">
        <v>-19.450950000000002</v>
      </c>
      <c r="AD8" s="16">
        <v>-20.921619999999997</v>
      </c>
      <c r="AE8" s="16">
        <v>-14.65705</v>
      </c>
      <c r="AF8" s="16">
        <v>-15.921899999999999</v>
      </c>
      <c r="AG8" s="16">
        <v>-21.619810000000001</v>
      </c>
      <c r="AH8" s="16">
        <v>-5.9765299999999995</v>
      </c>
      <c r="AI8" s="46"/>
      <c r="AJ8" s="46"/>
      <c r="AK8" s="46"/>
      <c r="AL8" s="46"/>
      <c r="AM8" s="46"/>
      <c r="AN8" s="4"/>
      <c r="AO8" s="4"/>
      <c r="AP8" s="4"/>
      <c r="AQ8" s="4"/>
      <c r="AR8" s="4"/>
      <c r="AS8" s="4"/>
      <c r="AT8" s="4"/>
      <c r="AU8" s="4"/>
      <c r="AV8" s="4"/>
      <c r="AW8" s="4"/>
      <c r="AX8" s="4"/>
      <c r="AY8" s="4"/>
    </row>
    <row r="9" spans="1:51" ht="14.5" x14ac:dyDescent="0.35">
      <c r="A9" s="137">
        <f>YampaRiverInflow.TotalOutflow!A9</f>
        <v>46296</v>
      </c>
      <c r="B9" s="34">
        <v>-6.3259999999999996</v>
      </c>
      <c r="C9" s="12">
        <v>-6.3259999999999996</v>
      </c>
      <c r="D9" s="45">
        <v>-6.3259999999999996</v>
      </c>
      <c r="E9" s="16">
        <v>-31.0061</v>
      </c>
      <c r="F9" s="16">
        <v>-11.167629999999999</v>
      </c>
      <c r="G9" s="16">
        <v>-10.74901</v>
      </c>
      <c r="H9" s="16">
        <v>-8.8123100000000001</v>
      </c>
      <c r="I9" s="16">
        <v>-11.13649</v>
      </c>
      <c r="J9" s="16">
        <v>6.3886599999999998</v>
      </c>
      <c r="K9" s="16">
        <v>0.57689999999999997</v>
      </c>
      <c r="L9" s="16">
        <v>-16.89283</v>
      </c>
      <c r="M9" s="16">
        <v>8.3119599999999991</v>
      </c>
      <c r="N9" s="16">
        <v>-6.4643699999999997</v>
      </c>
      <c r="O9" s="16">
        <v>8.5244999999999997</v>
      </c>
      <c r="P9" s="16">
        <v>6.7957299999999998</v>
      </c>
      <c r="Q9" s="16">
        <v>2.22281</v>
      </c>
      <c r="R9" s="16">
        <v>14.7875</v>
      </c>
      <c r="S9" s="16">
        <v>16.688839999999999</v>
      </c>
      <c r="T9" s="16">
        <v>16.133759999999999</v>
      </c>
      <c r="U9" s="16">
        <v>-1.7467300000000001</v>
      </c>
      <c r="V9" s="16">
        <v>-7.6018800000000004</v>
      </c>
      <c r="W9" s="16">
        <v>-8.6028099999999998</v>
      </c>
      <c r="X9" s="16">
        <v>1.7289000000000001</v>
      </c>
      <c r="Y9" s="16">
        <v>2.0648499999999999</v>
      </c>
      <c r="Z9" s="16">
        <v>-9.3043399999999998</v>
      </c>
      <c r="AA9" s="16">
        <v>-14.40264</v>
      </c>
      <c r="AB9" s="16">
        <v>4.5734599999999999</v>
      </c>
      <c r="AC9" s="16">
        <v>-10.345000000000001</v>
      </c>
      <c r="AD9" s="16">
        <v>-10.817909999999999</v>
      </c>
      <c r="AE9" s="16">
        <v>-4.6761099999999995</v>
      </c>
      <c r="AF9" s="16">
        <v>-11.80575</v>
      </c>
      <c r="AG9" s="16">
        <v>-24.372349999999997</v>
      </c>
      <c r="AH9" s="16">
        <v>-12.45984</v>
      </c>
      <c r="AI9" s="46"/>
      <c r="AJ9" s="46"/>
      <c r="AK9" s="46"/>
      <c r="AL9" s="46"/>
      <c r="AM9" s="46"/>
      <c r="AN9" s="4"/>
      <c r="AO9" s="4"/>
      <c r="AP9" s="4"/>
      <c r="AQ9" s="4"/>
      <c r="AR9" s="4"/>
      <c r="AS9" s="4"/>
      <c r="AT9" s="4"/>
      <c r="AU9" s="4"/>
      <c r="AV9" s="4"/>
      <c r="AW9" s="4"/>
      <c r="AX9" s="4"/>
      <c r="AY9" s="4"/>
    </row>
    <row r="10" spans="1:51" ht="14.5" x14ac:dyDescent="0.35">
      <c r="A10" s="137">
        <f>YampaRiverInflow.TotalOutflow!A10</f>
        <v>46327</v>
      </c>
      <c r="B10" s="34">
        <v>-7.3849999999999998</v>
      </c>
      <c r="C10" s="12">
        <v>-7.3849999999999998</v>
      </c>
      <c r="D10" s="45">
        <v>-7.3849999999999998</v>
      </c>
      <c r="E10" s="16">
        <v>-19.634490000000003</v>
      </c>
      <c r="F10" s="16">
        <v>-15.422700000000001</v>
      </c>
      <c r="G10" s="16">
        <v>-5.2209500000000002</v>
      </c>
      <c r="H10" s="16">
        <v>-36.179300000000005</v>
      </c>
      <c r="I10" s="16">
        <v>8.1603399999999997</v>
      </c>
      <c r="J10" s="16">
        <v>12.20392</v>
      </c>
      <c r="K10" s="16">
        <v>-3.8944000000000001</v>
      </c>
      <c r="L10" s="16">
        <v>-16.175889999999999</v>
      </c>
      <c r="M10" s="16">
        <v>1.6593800000000001</v>
      </c>
      <c r="N10" s="16">
        <v>20.026259999999997</v>
      </c>
      <c r="O10" s="16">
        <v>5.5409600000000001</v>
      </c>
      <c r="P10" s="16">
        <v>2.2822300000000002</v>
      </c>
      <c r="Q10" s="16">
        <v>3.49756</v>
      </c>
      <c r="R10" s="16">
        <v>-4.8821300000000001</v>
      </c>
      <c r="S10" s="16">
        <v>-22.19115</v>
      </c>
      <c r="T10" s="16">
        <v>18.74352</v>
      </c>
      <c r="U10" s="16">
        <v>-2.6594799999999998</v>
      </c>
      <c r="V10" s="16">
        <v>-8.661290000000001</v>
      </c>
      <c r="W10" s="16">
        <v>-11.716149999999999</v>
      </c>
      <c r="X10" s="16">
        <v>-22.90878</v>
      </c>
      <c r="Y10" s="16">
        <v>-6.5478900000000007</v>
      </c>
      <c r="Z10" s="16">
        <v>-5.5670399999999995</v>
      </c>
      <c r="AA10" s="16">
        <v>6.0877700000000008</v>
      </c>
      <c r="AB10" s="16">
        <v>-1.5540799999999999</v>
      </c>
      <c r="AC10" s="16">
        <v>-10.62641</v>
      </c>
      <c r="AD10" s="16">
        <v>-22.082069999999998</v>
      </c>
      <c r="AE10" s="16">
        <v>-11.88527</v>
      </c>
      <c r="AF10" s="16">
        <v>-24.302009999999999</v>
      </c>
      <c r="AG10" s="16">
        <v>2.60358</v>
      </c>
      <c r="AH10" s="16">
        <v>-27.814820000000001</v>
      </c>
      <c r="AI10" s="46"/>
      <c r="AJ10" s="46"/>
      <c r="AK10" s="46"/>
      <c r="AL10" s="46"/>
      <c r="AM10" s="46"/>
      <c r="AN10" s="4"/>
      <c r="AO10" s="4"/>
      <c r="AP10" s="4"/>
      <c r="AQ10" s="4"/>
      <c r="AR10" s="4"/>
      <c r="AS10" s="4"/>
      <c r="AT10" s="4"/>
      <c r="AU10" s="4"/>
      <c r="AV10" s="4"/>
      <c r="AW10" s="4"/>
      <c r="AX10" s="4"/>
      <c r="AY10" s="4"/>
    </row>
    <row r="11" spans="1:51" ht="14.5" x14ac:dyDescent="0.35">
      <c r="A11" s="137">
        <f>YampaRiverInflow.TotalOutflow!A11</f>
        <v>46357</v>
      </c>
      <c r="B11" s="34">
        <v>-2.0270000000000001</v>
      </c>
      <c r="C11" s="12">
        <v>-2.0270000000000001</v>
      </c>
      <c r="D11" s="45">
        <v>-2.0270000000000001</v>
      </c>
      <c r="E11" s="16">
        <v>-8.5735899999999994</v>
      </c>
      <c r="F11" s="16">
        <v>-15.72508</v>
      </c>
      <c r="G11" s="16">
        <v>-11.224530000000001</v>
      </c>
      <c r="H11" s="16">
        <v>-16.591180000000001</v>
      </c>
      <c r="I11" s="16">
        <v>0.89049999999999996</v>
      </c>
      <c r="J11" s="16">
        <v>-2.2057500000000001</v>
      </c>
      <c r="K11" s="16">
        <v>-30.885999999999999</v>
      </c>
      <c r="L11" s="16">
        <v>-18.987929999999999</v>
      </c>
      <c r="M11" s="16">
        <v>-15.285489999999999</v>
      </c>
      <c r="N11" s="16">
        <v>-11.96585</v>
      </c>
      <c r="O11" s="16">
        <v>-8.4787599999999994</v>
      </c>
      <c r="P11" s="16">
        <v>-5.5878900000000007</v>
      </c>
      <c r="Q11" s="16">
        <v>-3.42475</v>
      </c>
      <c r="R11" s="16">
        <v>-8.0102100000000007</v>
      </c>
      <c r="S11" s="16">
        <v>-2.9604699999999999</v>
      </c>
      <c r="T11" s="16">
        <v>8.1728400000000008</v>
      </c>
      <c r="U11" s="16">
        <v>-9.531229999999999</v>
      </c>
      <c r="V11" s="16">
        <v>-7.5190400000000004</v>
      </c>
      <c r="W11" s="16">
        <v>-17.699780000000001</v>
      </c>
      <c r="X11" s="16">
        <v>-8.1265999999999998</v>
      </c>
      <c r="Y11" s="16">
        <v>-21.882480000000001</v>
      </c>
      <c r="Z11" s="16">
        <v>-0.56415999999999999</v>
      </c>
      <c r="AA11" s="16">
        <v>-3.9737100000000001</v>
      </c>
      <c r="AB11" s="16">
        <v>3.1901899999999999</v>
      </c>
      <c r="AC11" s="16">
        <v>-6.7791199999999998</v>
      </c>
      <c r="AD11" s="16">
        <v>-12.66384</v>
      </c>
      <c r="AE11" s="16">
        <v>-11.72982</v>
      </c>
      <c r="AF11" s="16">
        <v>-8.6976899999999997</v>
      </c>
      <c r="AG11" s="16">
        <v>3.13713</v>
      </c>
      <c r="AH11" s="16">
        <v>-2.83372</v>
      </c>
      <c r="AI11" s="46"/>
      <c r="AJ11" s="46"/>
      <c r="AK11" s="46"/>
      <c r="AL11" s="46"/>
      <c r="AM11" s="46"/>
      <c r="AN11" s="4"/>
      <c r="AO11" s="4"/>
      <c r="AP11" s="4"/>
      <c r="AQ11" s="4"/>
      <c r="AR11" s="4"/>
      <c r="AS11" s="4"/>
      <c r="AT11" s="4"/>
      <c r="AU11" s="4"/>
      <c r="AV11" s="4"/>
      <c r="AW11" s="4"/>
      <c r="AX11" s="4"/>
      <c r="AY11" s="4"/>
    </row>
    <row r="12" spans="1:51" ht="14.5" x14ac:dyDescent="0.35">
      <c r="A12" s="137">
        <f>YampaRiverInflow.TotalOutflow!A12</f>
        <v>46388</v>
      </c>
      <c r="B12" s="34">
        <v>-4.968</v>
      </c>
      <c r="C12" s="12">
        <v>-4.968</v>
      </c>
      <c r="D12" s="45">
        <v>-4.968</v>
      </c>
      <c r="E12" s="16">
        <v>-9.7464099999999991</v>
      </c>
      <c r="F12" s="16">
        <v>-7.9297299999999993</v>
      </c>
      <c r="G12" s="16">
        <v>-0.53858000000000006</v>
      </c>
      <c r="H12" s="16">
        <v>-9.2530000000000001</v>
      </c>
      <c r="I12" s="16">
        <v>-2.6761900000000001</v>
      </c>
      <c r="J12" s="16">
        <v>-10.645389999999999</v>
      </c>
      <c r="K12" s="16">
        <v>-24.767759999999999</v>
      </c>
      <c r="L12" s="16">
        <v>-19.95645</v>
      </c>
      <c r="M12" s="16">
        <v>-6.7551600000000001</v>
      </c>
      <c r="N12" s="16">
        <v>3.6644800000000002</v>
      </c>
      <c r="O12" s="16">
        <v>-8.1808599999999991</v>
      </c>
      <c r="P12" s="16">
        <v>-6.9567299999999994</v>
      </c>
      <c r="Q12" s="16">
        <v>-10.40982</v>
      </c>
      <c r="R12" s="16">
        <v>0.62288999999999994</v>
      </c>
      <c r="S12" s="16">
        <v>-24.679400000000001</v>
      </c>
      <c r="T12" s="16">
        <v>-9.1849699999999999</v>
      </c>
      <c r="U12" s="16">
        <v>-14.851360000000001</v>
      </c>
      <c r="V12" s="16">
        <v>-13.8294</v>
      </c>
      <c r="W12" s="16">
        <v>-10.89728</v>
      </c>
      <c r="X12" s="16">
        <v>-7.2114099999999999</v>
      </c>
      <c r="Y12" s="16">
        <v>-22.53942</v>
      </c>
      <c r="Z12" s="16">
        <v>-9.4303899999999992</v>
      </c>
      <c r="AA12" s="16">
        <v>-6.6437100000000004</v>
      </c>
      <c r="AB12" s="16">
        <v>-17.863379999999999</v>
      </c>
      <c r="AC12" s="16">
        <v>-30.41215</v>
      </c>
      <c r="AD12" s="16">
        <v>-21.799250000000001</v>
      </c>
      <c r="AE12" s="16">
        <v>1.50478</v>
      </c>
      <c r="AF12" s="16">
        <v>-28.800259999999998</v>
      </c>
      <c r="AG12" s="16">
        <v>-7.3329999999999992E-2</v>
      </c>
      <c r="AH12" s="16">
        <v>-10.749919999999999</v>
      </c>
      <c r="AI12" s="46"/>
      <c r="AJ12" s="46"/>
      <c r="AK12" s="46"/>
      <c r="AL12" s="46"/>
      <c r="AM12" s="46"/>
      <c r="AN12" s="4"/>
      <c r="AO12" s="4"/>
      <c r="AP12" s="4"/>
      <c r="AQ12" s="4"/>
      <c r="AR12" s="4"/>
      <c r="AS12" s="4"/>
      <c r="AT12" s="4"/>
      <c r="AU12" s="4"/>
      <c r="AV12" s="4"/>
      <c r="AW12" s="4"/>
      <c r="AX12" s="4"/>
      <c r="AY12" s="4"/>
    </row>
    <row r="13" spans="1:51" ht="14.5" x14ac:dyDescent="0.35">
      <c r="A13" s="137">
        <f>YampaRiverInflow.TotalOutflow!A13</f>
        <v>46419</v>
      </c>
      <c r="B13" s="34">
        <v>-14.456</v>
      </c>
      <c r="C13" s="12">
        <v>-14.456</v>
      </c>
      <c r="D13" s="45">
        <v>-14.456</v>
      </c>
      <c r="E13" s="16">
        <v>-6.0945</v>
      </c>
      <c r="F13" s="16">
        <v>8.8889800000000001</v>
      </c>
      <c r="G13" s="16">
        <v>-7.9021499999999998</v>
      </c>
      <c r="H13" s="16">
        <v>-5.5460399999999996</v>
      </c>
      <c r="I13" s="16">
        <v>-19.460819999999998</v>
      </c>
      <c r="J13" s="16">
        <v>-16.715619999999998</v>
      </c>
      <c r="K13" s="16">
        <v>14.064540000000001</v>
      </c>
      <c r="L13" s="16">
        <v>-15.41591</v>
      </c>
      <c r="M13" s="16">
        <v>-12.96556</v>
      </c>
      <c r="N13" s="16">
        <v>-9.5933500000000009</v>
      </c>
      <c r="O13" s="16">
        <v>-8.6650200000000002</v>
      </c>
      <c r="P13" s="16">
        <v>-4.5227200000000005</v>
      </c>
      <c r="Q13" s="16">
        <v>-7.0445699999999993</v>
      </c>
      <c r="R13" s="16">
        <v>0.31457000000000002</v>
      </c>
      <c r="S13" s="16">
        <v>-9.0514200000000002</v>
      </c>
      <c r="T13" s="16">
        <v>-9.2945599999999988</v>
      </c>
      <c r="U13" s="16">
        <v>-5.9604300000000006</v>
      </c>
      <c r="V13" s="16">
        <v>-8.6297999999999995</v>
      </c>
      <c r="W13" s="16">
        <v>-7.7912100000000004</v>
      </c>
      <c r="X13" s="16">
        <v>-10.988049999999999</v>
      </c>
      <c r="Y13" s="16">
        <v>-19.275569999999998</v>
      </c>
      <c r="Z13" s="16">
        <v>-12.945889999999999</v>
      </c>
      <c r="AA13" s="16">
        <v>-22.459019999999999</v>
      </c>
      <c r="AB13" s="16">
        <v>-10.986780000000001</v>
      </c>
      <c r="AC13" s="16">
        <v>-22.574740000000002</v>
      </c>
      <c r="AD13" s="16">
        <v>-15.92117</v>
      </c>
      <c r="AE13" s="16">
        <v>-3.3474699999999999</v>
      </c>
      <c r="AF13" s="16">
        <v>-6.9009499999999999</v>
      </c>
      <c r="AG13" s="16">
        <v>-3.6037600000000003</v>
      </c>
      <c r="AH13" s="16">
        <v>-22.41188</v>
      </c>
      <c r="AI13" s="46"/>
      <c r="AJ13" s="46"/>
      <c r="AK13" s="46"/>
      <c r="AL13" s="46"/>
      <c r="AM13" s="46"/>
      <c r="AN13" s="4"/>
      <c r="AO13" s="4"/>
      <c r="AP13" s="4"/>
      <c r="AQ13" s="4"/>
      <c r="AR13" s="4"/>
      <c r="AS13" s="4"/>
      <c r="AT13" s="4"/>
      <c r="AU13" s="4"/>
      <c r="AV13" s="4"/>
      <c r="AW13" s="4"/>
      <c r="AX13" s="4"/>
      <c r="AY13" s="4"/>
    </row>
    <row r="14" spans="1:51" ht="14.5" x14ac:dyDescent="0.35">
      <c r="A14" s="137">
        <f>YampaRiverInflow.TotalOutflow!A14</f>
        <v>46447</v>
      </c>
      <c r="B14" s="34">
        <v>-14.478</v>
      </c>
      <c r="C14" s="12">
        <v>-14.478</v>
      </c>
      <c r="D14" s="45">
        <v>-14.478</v>
      </c>
      <c r="E14" s="16">
        <v>-2.0655100000000002</v>
      </c>
      <c r="F14" s="16">
        <v>-5.8160400000000001</v>
      </c>
      <c r="G14" s="16">
        <v>-25.493880000000001</v>
      </c>
      <c r="H14" s="16">
        <v>-21.368179999999999</v>
      </c>
      <c r="I14" s="16">
        <v>-10.980540000000001</v>
      </c>
      <c r="J14" s="16">
        <v>-22.592410000000001</v>
      </c>
      <c r="K14" s="16">
        <v>-41.335809999999995</v>
      </c>
      <c r="L14" s="16">
        <v>-20.545960000000001</v>
      </c>
      <c r="M14" s="16">
        <v>-14.699110000000001</v>
      </c>
      <c r="N14" s="16">
        <v>-44.778870000000005</v>
      </c>
      <c r="O14" s="16">
        <v>-10.86153</v>
      </c>
      <c r="P14" s="16">
        <v>-10.544040000000001</v>
      </c>
      <c r="Q14" s="16">
        <v>-16.42557</v>
      </c>
      <c r="R14" s="16">
        <v>-14.93465</v>
      </c>
      <c r="S14" s="16">
        <v>-15.63274</v>
      </c>
      <c r="T14" s="16">
        <v>-16.15907</v>
      </c>
      <c r="U14" s="16">
        <v>-15.25135</v>
      </c>
      <c r="V14" s="16">
        <v>-17.034509999999997</v>
      </c>
      <c r="W14" s="16">
        <v>-21.14264</v>
      </c>
      <c r="X14" s="16">
        <v>-13.394159999999999</v>
      </c>
      <c r="Y14" s="16">
        <v>-24.728169999999999</v>
      </c>
      <c r="Z14" s="16">
        <v>-12.946339999999999</v>
      </c>
      <c r="AA14" s="16">
        <v>-14.941930000000001</v>
      </c>
      <c r="AB14" s="16">
        <v>-22.739099999999997</v>
      </c>
      <c r="AC14" s="16">
        <v>-16.134589999999999</v>
      </c>
      <c r="AD14" s="16">
        <v>-28.68308</v>
      </c>
      <c r="AE14" s="16">
        <v>-4.22288</v>
      </c>
      <c r="AF14" s="16">
        <v>3.4572699999999998</v>
      </c>
      <c r="AG14" s="16">
        <v>1.25017</v>
      </c>
      <c r="AH14" s="16">
        <v>-31.598890000000001</v>
      </c>
      <c r="AI14" s="46"/>
      <c r="AJ14" s="46"/>
      <c r="AK14" s="46"/>
      <c r="AL14" s="46"/>
      <c r="AM14" s="46"/>
      <c r="AN14" s="4"/>
      <c r="AO14" s="4"/>
      <c r="AP14" s="4"/>
      <c r="AQ14" s="4"/>
      <c r="AR14" s="4"/>
      <c r="AS14" s="4"/>
      <c r="AT14" s="4"/>
      <c r="AU14" s="4"/>
      <c r="AV14" s="4"/>
      <c r="AW14" s="4"/>
      <c r="AX14" s="4"/>
      <c r="AY14" s="4"/>
    </row>
    <row r="15" spans="1:51" ht="14.5" x14ac:dyDescent="0.35">
      <c r="A15" s="137">
        <f>YampaRiverInflow.TotalOutflow!A15</f>
        <v>46478</v>
      </c>
      <c r="B15" s="34">
        <v>-18.241</v>
      </c>
      <c r="C15" s="12">
        <v>-18.241</v>
      </c>
      <c r="D15" s="45">
        <v>-18.241</v>
      </c>
      <c r="E15" s="16">
        <v>-23.29175</v>
      </c>
      <c r="F15" s="16">
        <v>-20.7684</v>
      </c>
      <c r="G15" s="16">
        <v>-26.814439999999998</v>
      </c>
      <c r="H15" s="16">
        <v>-17.90917</v>
      </c>
      <c r="I15" s="16">
        <v>-28.635090000000002</v>
      </c>
      <c r="J15" s="16">
        <v>-14.1168</v>
      </c>
      <c r="K15" s="16">
        <v>-9.0910299999999999</v>
      </c>
      <c r="L15" s="16">
        <v>-22.383119999999998</v>
      </c>
      <c r="M15" s="16">
        <v>59.391539999999999</v>
      </c>
      <c r="N15" s="16">
        <v>-63.58173</v>
      </c>
      <c r="O15" s="16">
        <v>-14.289959999999999</v>
      </c>
      <c r="P15" s="16">
        <v>-18.956109999999999</v>
      </c>
      <c r="Q15" s="16">
        <v>-4.1280000000000004E-2</v>
      </c>
      <c r="R15" s="16">
        <v>-19.869040000000002</v>
      </c>
      <c r="S15" s="16">
        <v>-23.20046</v>
      </c>
      <c r="T15" s="16">
        <v>-19.820720000000001</v>
      </c>
      <c r="U15" s="16">
        <v>-9.1137800000000002</v>
      </c>
      <c r="V15" s="16">
        <v>-15.77689</v>
      </c>
      <c r="W15" s="16">
        <v>-19.864979999999999</v>
      </c>
      <c r="X15" s="16">
        <v>-16.396039999999999</v>
      </c>
      <c r="Y15" s="16">
        <v>-26.008659999999999</v>
      </c>
      <c r="Z15" s="16">
        <v>-22.024150000000002</v>
      </c>
      <c r="AA15" s="16">
        <v>-23.49466</v>
      </c>
      <c r="AB15" s="16">
        <v>-21.14265</v>
      </c>
      <c r="AC15" s="16">
        <v>-19.851419999999997</v>
      </c>
      <c r="AD15" s="16">
        <v>-28.04072</v>
      </c>
      <c r="AE15" s="16">
        <v>-6.6238900000000003</v>
      </c>
      <c r="AF15" s="16">
        <v>-4.0508199999999999</v>
      </c>
      <c r="AG15" s="16">
        <v>0.34855999999999998</v>
      </c>
      <c r="AH15" s="16">
        <v>-43.061860000000003</v>
      </c>
      <c r="AI15" s="46"/>
      <c r="AJ15" s="46"/>
      <c r="AK15" s="46"/>
      <c r="AL15" s="46"/>
      <c r="AM15" s="46"/>
      <c r="AN15" s="4"/>
      <c r="AO15" s="4"/>
      <c r="AP15" s="4"/>
      <c r="AQ15" s="4"/>
      <c r="AR15" s="4"/>
      <c r="AS15" s="4"/>
      <c r="AT15" s="4"/>
      <c r="AU15" s="4"/>
      <c r="AV15" s="4"/>
      <c r="AW15" s="4"/>
      <c r="AX15" s="4"/>
      <c r="AY15" s="4"/>
    </row>
    <row r="16" spans="1:51" ht="14.5" x14ac:dyDescent="0.35">
      <c r="A16" s="137">
        <f>YampaRiverInflow.TotalOutflow!A16</f>
        <v>46508</v>
      </c>
      <c r="B16" s="34">
        <v>-10.058</v>
      </c>
      <c r="C16" s="12">
        <v>-10.058</v>
      </c>
      <c r="D16" s="45">
        <v>-10.058</v>
      </c>
      <c r="E16" s="16">
        <v>-27.42698</v>
      </c>
      <c r="F16" s="16">
        <v>-13.264139999999999</v>
      </c>
      <c r="G16" s="16">
        <v>-29.224029999999999</v>
      </c>
      <c r="H16" s="16">
        <v>-23.53134</v>
      </c>
      <c r="I16" s="16">
        <v>-2.7735700000000003</v>
      </c>
      <c r="J16" s="16">
        <v>-15.322940000000001</v>
      </c>
      <c r="K16" s="16">
        <v>-19.867259999999998</v>
      </c>
      <c r="L16" s="16">
        <v>-15.572929999999999</v>
      </c>
      <c r="M16" s="16">
        <v>36.142910000000001</v>
      </c>
      <c r="N16" s="16">
        <v>-3.1130999999999998</v>
      </c>
      <c r="O16" s="16">
        <v>-16.675549999999998</v>
      </c>
      <c r="P16" s="16">
        <v>-17.536919999999999</v>
      </c>
      <c r="Q16" s="16">
        <v>-28.011310000000002</v>
      </c>
      <c r="R16" s="16">
        <v>-21.856310000000001</v>
      </c>
      <c r="S16" s="16">
        <v>3.5355400000000001</v>
      </c>
      <c r="T16" s="16">
        <v>-23.032049999999998</v>
      </c>
      <c r="U16" s="16">
        <v>-27.275220000000001</v>
      </c>
      <c r="V16" s="16">
        <v>-11.566879999999999</v>
      </c>
      <c r="W16" s="16">
        <v>-26.851080000000003</v>
      </c>
      <c r="X16" s="16">
        <v>-16.472080000000002</v>
      </c>
      <c r="Y16" s="16">
        <v>-21.851860000000002</v>
      </c>
      <c r="Z16" s="16">
        <v>-22.571669999999997</v>
      </c>
      <c r="AA16" s="16">
        <v>-23.858180000000001</v>
      </c>
      <c r="AB16" s="16">
        <v>-18.369009999999999</v>
      </c>
      <c r="AC16" s="16">
        <v>-14.94468</v>
      </c>
      <c r="AD16" s="16">
        <v>-19.296259999999997</v>
      </c>
      <c r="AE16" s="16">
        <v>-17.438189999999999</v>
      </c>
      <c r="AF16" s="16">
        <v>-15.69408</v>
      </c>
      <c r="AG16" s="16">
        <v>-9.6890499999999999</v>
      </c>
      <c r="AH16" s="16">
        <v>-50.874790000000004</v>
      </c>
      <c r="AI16" s="46"/>
      <c r="AJ16" s="46"/>
      <c r="AK16" s="46"/>
      <c r="AL16" s="46"/>
      <c r="AM16" s="46"/>
      <c r="AN16" s="4"/>
      <c r="AO16" s="4"/>
      <c r="AP16" s="4"/>
      <c r="AQ16" s="4"/>
      <c r="AR16" s="4"/>
      <c r="AS16" s="4"/>
      <c r="AT16" s="4"/>
      <c r="AU16" s="4"/>
      <c r="AV16" s="4"/>
      <c r="AW16" s="4"/>
      <c r="AX16" s="4"/>
      <c r="AY16" s="4"/>
    </row>
    <row r="17" spans="1:51" ht="14.5" x14ac:dyDescent="0.35">
      <c r="A17" s="137">
        <f>YampaRiverInflow.TotalOutflow!A17</f>
        <v>46539</v>
      </c>
      <c r="B17" s="34">
        <v>-13.593999999999999</v>
      </c>
      <c r="C17" s="12">
        <v>-13.593999999999999</v>
      </c>
      <c r="D17" s="45">
        <v>-13.593999999999999</v>
      </c>
      <c r="E17" s="16">
        <v>-32.013860000000001</v>
      </c>
      <c r="F17" s="16">
        <v>-5.7282900000000003</v>
      </c>
      <c r="G17" s="16">
        <v>-24.09413</v>
      </c>
      <c r="H17" s="16">
        <v>-28.66929</v>
      </c>
      <c r="I17" s="16">
        <v>-22.894779999999997</v>
      </c>
      <c r="J17" s="16">
        <v>-8.4372399999999992</v>
      </c>
      <c r="K17" s="16">
        <v>-15.65728</v>
      </c>
      <c r="L17" s="16">
        <v>-12.931179999999999</v>
      </c>
      <c r="M17" s="16">
        <v>-18.715900000000001</v>
      </c>
      <c r="N17" s="16">
        <v>-17.61956</v>
      </c>
      <c r="O17" s="16">
        <v>-9.7447199999999992</v>
      </c>
      <c r="P17" s="16">
        <v>-3.1937099999999998</v>
      </c>
      <c r="Q17" s="16">
        <v>-11.334670000000001</v>
      </c>
      <c r="R17" s="16">
        <v>-18.532310000000003</v>
      </c>
      <c r="S17" s="16">
        <v>1.92611</v>
      </c>
      <c r="T17" s="16">
        <v>-21.110040000000001</v>
      </c>
      <c r="U17" s="16">
        <v>-19.540299999999998</v>
      </c>
      <c r="V17" s="16">
        <v>-15.975790000000002</v>
      </c>
      <c r="W17" s="16">
        <v>-32.847480000000004</v>
      </c>
      <c r="X17" s="16">
        <v>-21.42004</v>
      </c>
      <c r="Y17" s="16">
        <v>-30.22063</v>
      </c>
      <c r="Z17" s="16">
        <v>-27.89715</v>
      </c>
      <c r="AA17" s="16">
        <v>-31.396319999999999</v>
      </c>
      <c r="AB17" s="16">
        <v>-29.21951</v>
      </c>
      <c r="AC17" s="16">
        <v>-25.421259999999997</v>
      </c>
      <c r="AD17" s="16">
        <v>-17.919930000000001</v>
      </c>
      <c r="AE17" s="16">
        <v>-30.92728</v>
      </c>
      <c r="AF17" s="16">
        <v>-23.747820000000001</v>
      </c>
      <c r="AG17" s="16">
        <v>-21.322800000000001</v>
      </c>
      <c r="AH17" s="16">
        <v>-59.346059999999994</v>
      </c>
      <c r="AI17" s="46"/>
      <c r="AJ17" s="46"/>
      <c r="AK17" s="46"/>
      <c r="AL17" s="46"/>
      <c r="AM17" s="46"/>
      <c r="AN17" s="4"/>
      <c r="AO17" s="4"/>
      <c r="AP17" s="4"/>
      <c r="AQ17" s="4"/>
      <c r="AR17" s="4"/>
      <c r="AS17" s="4"/>
      <c r="AT17" s="4"/>
      <c r="AU17" s="4"/>
      <c r="AV17" s="4"/>
      <c r="AW17" s="4"/>
      <c r="AX17" s="4"/>
      <c r="AY17" s="4"/>
    </row>
    <row r="18" spans="1:51" ht="14.5" x14ac:dyDescent="0.35">
      <c r="A18" s="137">
        <f>YampaRiverInflow.TotalOutflow!A18</f>
        <v>46569</v>
      </c>
      <c r="B18" s="34">
        <v>-18.728999999999999</v>
      </c>
      <c r="C18" s="12">
        <v>-18.728999999999999</v>
      </c>
      <c r="D18" s="45">
        <v>-18.728999999999999</v>
      </c>
      <c r="E18" s="16">
        <v>-43.163959999999996</v>
      </c>
      <c r="F18" s="16">
        <v>-27.08154</v>
      </c>
      <c r="G18" s="16">
        <v>-23.899249999999999</v>
      </c>
      <c r="H18" s="16">
        <v>-20.626099999999997</v>
      </c>
      <c r="I18" s="16">
        <v>-10.398209999999999</v>
      </c>
      <c r="J18" s="16">
        <v>-10.19393</v>
      </c>
      <c r="K18" s="16">
        <v>-18.311769999999999</v>
      </c>
      <c r="L18" s="16">
        <v>-15.302760000000001</v>
      </c>
      <c r="M18" s="16">
        <v>-25.186910000000001</v>
      </c>
      <c r="N18" s="16">
        <v>-26.149759999999997</v>
      </c>
      <c r="O18" s="16">
        <v>-18.206589999999998</v>
      </c>
      <c r="P18" s="16">
        <v>-16.932770000000001</v>
      </c>
      <c r="Q18" s="16">
        <v>-11.23888</v>
      </c>
      <c r="R18" s="16">
        <v>-14.996259999999999</v>
      </c>
      <c r="S18" s="16">
        <v>3.59327</v>
      </c>
      <c r="T18" s="16">
        <v>-18.765970000000003</v>
      </c>
      <c r="U18" s="16">
        <v>-11.523569999999999</v>
      </c>
      <c r="V18" s="16">
        <v>-7.7080399999999996</v>
      </c>
      <c r="W18" s="16">
        <v>-27.048749999999998</v>
      </c>
      <c r="X18" s="16">
        <v>-22.246220000000001</v>
      </c>
      <c r="Y18" s="16">
        <v>-21.478169999999999</v>
      </c>
      <c r="Z18" s="16">
        <v>-36.614269999999998</v>
      </c>
      <c r="AA18" s="16">
        <v>-22.211980000000001</v>
      </c>
      <c r="AB18" s="16">
        <v>-27.412610000000001</v>
      </c>
      <c r="AC18" s="16">
        <v>-37.642650000000003</v>
      </c>
      <c r="AD18" s="16">
        <v>-16.347709999999999</v>
      </c>
      <c r="AE18" s="16">
        <v>-19.617069999999998</v>
      </c>
      <c r="AF18" s="16">
        <v>-22.699870000000001</v>
      </c>
      <c r="AG18" s="16">
        <v>-17.179880000000001</v>
      </c>
      <c r="AH18" s="16">
        <v>-47.634029999999996</v>
      </c>
      <c r="AI18" s="46"/>
      <c r="AJ18" s="46"/>
      <c r="AK18" s="46"/>
      <c r="AL18" s="46"/>
      <c r="AM18" s="46"/>
      <c r="AN18" s="4"/>
      <c r="AO18" s="4"/>
      <c r="AP18" s="4"/>
      <c r="AQ18" s="4"/>
      <c r="AR18" s="4"/>
      <c r="AS18" s="4"/>
      <c r="AT18" s="4"/>
      <c r="AU18" s="4"/>
      <c r="AV18" s="4"/>
      <c r="AW18" s="4"/>
      <c r="AX18" s="4"/>
      <c r="AY18" s="4"/>
    </row>
    <row r="19" spans="1:51" ht="14.5" x14ac:dyDescent="0.35">
      <c r="A19" s="137">
        <f>YampaRiverInflow.TotalOutflow!A19</f>
        <v>46600</v>
      </c>
      <c r="B19" s="34">
        <v>-12.797000000000001</v>
      </c>
      <c r="C19" s="12">
        <v>-12.797000000000001</v>
      </c>
      <c r="D19" s="45">
        <v>-12.797000000000001</v>
      </c>
      <c r="E19" s="16">
        <v>-40.601660000000003</v>
      </c>
      <c r="F19" s="16">
        <v>-10.54106</v>
      </c>
      <c r="G19" s="16">
        <v>-28.243020000000001</v>
      </c>
      <c r="H19" s="16">
        <v>-38.875269999999993</v>
      </c>
      <c r="I19" s="16">
        <v>-10.18477</v>
      </c>
      <c r="J19" s="16">
        <v>-3.4436999999999998</v>
      </c>
      <c r="K19" s="16">
        <v>-18.58174</v>
      </c>
      <c r="L19" s="16">
        <v>-17.12154</v>
      </c>
      <c r="M19" s="16">
        <v>-17.84836</v>
      </c>
      <c r="N19" s="16">
        <v>-12.213329999999999</v>
      </c>
      <c r="O19" s="16">
        <v>-14.071669999999999</v>
      </c>
      <c r="P19" s="16">
        <v>-7.6597600000000003</v>
      </c>
      <c r="Q19" s="16">
        <v>-9.9216899999999999</v>
      </c>
      <c r="R19" s="16">
        <v>-9.8270400000000002</v>
      </c>
      <c r="S19" s="16">
        <v>0.95716999999999997</v>
      </c>
      <c r="T19" s="16">
        <v>-13.4948</v>
      </c>
      <c r="U19" s="16">
        <v>-10.937709999999999</v>
      </c>
      <c r="V19" s="16">
        <v>-14.345180000000001</v>
      </c>
      <c r="W19" s="16">
        <v>-20.569520000000001</v>
      </c>
      <c r="X19" s="16">
        <v>-13.446770000000001</v>
      </c>
      <c r="Y19" s="16">
        <v>-16.82076</v>
      </c>
      <c r="Z19" s="16">
        <v>-22.761310000000002</v>
      </c>
      <c r="AA19" s="16">
        <v>-12.675990000000001</v>
      </c>
      <c r="AB19" s="16">
        <v>-23.720400000000001</v>
      </c>
      <c r="AC19" s="16">
        <v>-20.238779999999998</v>
      </c>
      <c r="AD19" s="16">
        <v>-16.907869999999999</v>
      </c>
      <c r="AE19" s="16">
        <v>-20.437060000000002</v>
      </c>
      <c r="AF19" s="16">
        <v>-18.531770000000002</v>
      </c>
      <c r="AG19" s="16">
        <v>-17.41047</v>
      </c>
      <c r="AH19" s="16">
        <v>-38.691830000000003</v>
      </c>
      <c r="AI19" s="46"/>
      <c r="AJ19" s="46"/>
      <c r="AK19" s="46"/>
      <c r="AL19" s="46"/>
      <c r="AM19" s="46"/>
      <c r="AN19" s="4"/>
      <c r="AO19" s="4"/>
      <c r="AP19" s="4"/>
      <c r="AQ19" s="4"/>
      <c r="AR19" s="4"/>
      <c r="AS19" s="4"/>
      <c r="AT19" s="4"/>
      <c r="AU19" s="4"/>
      <c r="AV19" s="4"/>
      <c r="AW19" s="4"/>
      <c r="AX19" s="4"/>
      <c r="AY19" s="4"/>
    </row>
    <row r="20" spans="1:51" ht="14.5" x14ac:dyDescent="0.35">
      <c r="A20" s="137">
        <f>YampaRiverInflow.TotalOutflow!A20</f>
        <v>46631</v>
      </c>
      <c r="B20" s="34">
        <v>-3.5750000000000002</v>
      </c>
      <c r="C20" s="12">
        <v>-3.5750000000000002</v>
      </c>
      <c r="D20" s="45">
        <v>-3.5750000000000002</v>
      </c>
      <c r="E20" s="16">
        <v>-16.40521</v>
      </c>
      <c r="F20" s="16">
        <v>1.02267</v>
      </c>
      <c r="G20" s="16">
        <v>-2.5803499999999997</v>
      </c>
      <c r="H20" s="16">
        <v>1.2362299999999999</v>
      </c>
      <c r="I20" s="16">
        <v>-6.8090299999999999</v>
      </c>
      <c r="J20" s="16">
        <v>2.4422899999999998</v>
      </c>
      <c r="K20" s="16">
        <v>-15.388030000000001</v>
      </c>
      <c r="L20" s="16">
        <v>3.0395700000000003</v>
      </c>
      <c r="M20" s="16">
        <v>-6.1195399999999998</v>
      </c>
      <c r="N20" s="16">
        <v>-6.2437700000000005</v>
      </c>
      <c r="O20" s="16">
        <v>-1.99848</v>
      </c>
      <c r="P20" s="16">
        <v>-6.6900600000000008</v>
      </c>
      <c r="Q20" s="16">
        <v>0.25474000000000002</v>
      </c>
      <c r="R20" s="16">
        <v>-8.8620400000000004</v>
      </c>
      <c r="S20" s="16">
        <v>-3.0682</v>
      </c>
      <c r="T20" s="16">
        <v>-5.7606200000000003</v>
      </c>
      <c r="U20" s="16">
        <v>0.47227999999999998</v>
      </c>
      <c r="V20" s="16">
        <v>-4.20695</v>
      </c>
      <c r="W20" s="16">
        <v>-6.3936400000000004</v>
      </c>
      <c r="X20" s="16">
        <v>-9.4515100000000007</v>
      </c>
      <c r="Y20" s="16">
        <v>-9.5977199999999989</v>
      </c>
      <c r="Z20" s="16">
        <v>-16.26549</v>
      </c>
      <c r="AA20" s="16">
        <v>-9.5290599999999994</v>
      </c>
      <c r="AB20" s="16">
        <v>-19.450950000000002</v>
      </c>
      <c r="AC20" s="16">
        <v>-20.921619999999997</v>
      </c>
      <c r="AD20" s="16">
        <v>-14.65705</v>
      </c>
      <c r="AE20" s="16">
        <v>-15.921899999999999</v>
      </c>
      <c r="AF20" s="16">
        <v>-21.619810000000001</v>
      </c>
      <c r="AG20" s="16">
        <v>-5.9765299999999995</v>
      </c>
      <c r="AH20" s="16">
        <v>-30.643849999999997</v>
      </c>
      <c r="AI20" s="46"/>
      <c r="AJ20" s="46"/>
      <c r="AK20" s="46"/>
      <c r="AL20" s="46"/>
      <c r="AM20" s="46"/>
      <c r="AN20" s="4"/>
      <c r="AO20" s="4"/>
      <c r="AP20" s="4"/>
      <c r="AQ20" s="4"/>
      <c r="AR20" s="4"/>
      <c r="AS20" s="4"/>
      <c r="AT20" s="4"/>
      <c r="AU20" s="4"/>
      <c r="AV20" s="4"/>
      <c r="AW20" s="4"/>
      <c r="AX20" s="4"/>
      <c r="AY20" s="4"/>
    </row>
    <row r="21" spans="1:51" ht="14.5" x14ac:dyDescent="0.35">
      <c r="A21" s="137">
        <f>YampaRiverInflow.TotalOutflow!A21</f>
        <v>46661</v>
      </c>
      <c r="B21" s="34">
        <v>-6.3259999999999996</v>
      </c>
      <c r="C21" s="12">
        <v>-6.3259999999999996</v>
      </c>
      <c r="D21" s="45">
        <v>-6.3259999999999996</v>
      </c>
      <c r="E21" s="16">
        <v>-11.167629999999999</v>
      </c>
      <c r="F21" s="16">
        <v>-10.74901</v>
      </c>
      <c r="G21" s="16">
        <v>-8.8123100000000001</v>
      </c>
      <c r="H21" s="16">
        <v>-11.13649</v>
      </c>
      <c r="I21" s="16">
        <v>6.3886599999999998</v>
      </c>
      <c r="J21" s="16">
        <v>0.57689999999999997</v>
      </c>
      <c r="K21" s="16">
        <v>-16.89283</v>
      </c>
      <c r="L21" s="16">
        <v>8.3119599999999991</v>
      </c>
      <c r="M21" s="16">
        <v>-6.4643699999999997</v>
      </c>
      <c r="N21" s="16">
        <v>8.5244999999999997</v>
      </c>
      <c r="O21" s="16">
        <v>6.7957299999999998</v>
      </c>
      <c r="P21" s="16">
        <v>2.22281</v>
      </c>
      <c r="Q21" s="16">
        <v>14.7875</v>
      </c>
      <c r="R21" s="16">
        <v>16.688839999999999</v>
      </c>
      <c r="S21" s="16">
        <v>16.133759999999999</v>
      </c>
      <c r="T21" s="16">
        <v>-1.7467300000000001</v>
      </c>
      <c r="U21" s="16">
        <v>-7.6018800000000004</v>
      </c>
      <c r="V21" s="16">
        <v>-8.6028099999999998</v>
      </c>
      <c r="W21" s="16">
        <v>1.7289000000000001</v>
      </c>
      <c r="X21" s="16">
        <v>2.0648499999999999</v>
      </c>
      <c r="Y21" s="16">
        <v>-9.3043399999999998</v>
      </c>
      <c r="Z21" s="16">
        <v>-14.40264</v>
      </c>
      <c r="AA21" s="16">
        <v>4.5734599999999999</v>
      </c>
      <c r="AB21" s="16">
        <v>-10.345000000000001</v>
      </c>
      <c r="AC21" s="16">
        <v>-10.817909999999999</v>
      </c>
      <c r="AD21" s="16">
        <v>-4.6761099999999995</v>
      </c>
      <c r="AE21" s="16">
        <v>-11.80575</v>
      </c>
      <c r="AF21" s="16">
        <v>-24.372349999999997</v>
      </c>
      <c r="AG21" s="16">
        <v>-12.45984</v>
      </c>
      <c r="AH21" s="16">
        <v>-31.00582</v>
      </c>
      <c r="AI21" s="46"/>
      <c r="AJ21" s="46"/>
      <c r="AK21" s="46"/>
      <c r="AL21" s="46"/>
      <c r="AM21" s="46"/>
      <c r="AN21" s="4"/>
      <c r="AO21" s="4"/>
      <c r="AP21" s="4"/>
      <c r="AQ21" s="4"/>
      <c r="AR21" s="4"/>
      <c r="AS21" s="4"/>
      <c r="AT21" s="4"/>
      <c r="AU21" s="4"/>
      <c r="AV21" s="4"/>
      <c r="AW21" s="4"/>
      <c r="AX21" s="4"/>
      <c r="AY21" s="4"/>
    </row>
    <row r="22" spans="1:51" ht="14.5" x14ac:dyDescent="0.35">
      <c r="A22" s="137">
        <f>YampaRiverInflow.TotalOutflow!A22</f>
        <v>46692</v>
      </c>
      <c r="B22" s="34">
        <v>-7.3849999999999998</v>
      </c>
      <c r="C22" s="12">
        <v>-7.3849999999999998</v>
      </c>
      <c r="D22" s="45">
        <v>-7.3849999999999998</v>
      </c>
      <c r="E22" s="16">
        <v>-15.422700000000001</v>
      </c>
      <c r="F22" s="16">
        <v>-5.2209500000000002</v>
      </c>
      <c r="G22" s="16">
        <v>-36.179300000000005</v>
      </c>
      <c r="H22" s="16">
        <v>8.1603399999999997</v>
      </c>
      <c r="I22" s="16">
        <v>12.20392</v>
      </c>
      <c r="J22" s="16">
        <v>-3.8944000000000001</v>
      </c>
      <c r="K22" s="16">
        <v>-16.175889999999999</v>
      </c>
      <c r="L22" s="16">
        <v>1.6593800000000001</v>
      </c>
      <c r="M22" s="16">
        <v>20.026259999999997</v>
      </c>
      <c r="N22" s="16">
        <v>5.5409600000000001</v>
      </c>
      <c r="O22" s="16">
        <v>2.2822300000000002</v>
      </c>
      <c r="P22" s="16">
        <v>3.49756</v>
      </c>
      <c r="Q22" s="16">
        <v>-4.8821300000000001</v>
      </c>
      <c r="R22" s="16">
        <v>-22.19115</v>
      </c>
      <c r="S22" s="16">
        <v>18.74352</v>
      </c>
      <c r="T22" s="16">
        <v>-2.6594799999999998</v>
      </c>
      <c r="U22" s="16">
        <v>-8.661290000000001</v>
      </c>
      <c r="V22" s="16">
        <v>-11.716149999999999</v>
      </c>
      <c r="W22" s="16">
        <v>-22.90878</v>
      </c>
      <c r="X22" s="16">
        <v>-6.5478900000000007</v>
      </c>
      <c r="Y22" s="16">
        <v>-5.5670399999999995</v>
      </c>
      <c r="Z22" s="16">
        <v>6.0877700000000008</v>
      </c>
      <c r="AA22" s="16">
        <v>-1.5540799999999999</v>
      </c>
      <c r="AB22" s="16">
        <v>-10.62641</v>
      </c>
      <c r="AC22" s="16">
        <v>-22.082069999999998</v>
      </c>
      <c r="AD22" s="16">
        <v>-11.88527</v>
      </c>
      <c r="AE22" s="16">
        <v>-24.302009999999999</v>
      </c>
      <c r="AF22" s="16">
        <v>2.60358</v>
      </c>
      <c r="AG22" s="16">
        <v>-27.814820000000001</v>
      </c>
      <c r="AH22" s="16">
        <v>-19.64039</v>
      </c>
      <c r="AI22" s="46"/>
      <c r="AJ22" s="46"/>
      <c r="AK22" s="46"/>
      <c r="AL22" s="46"/>
      <c r="AM22" s="46"/>
      <c r="AN22" s="4"/>
      <c r="AO22" s="4"/>
      <c r="AP22" s="4"/>
      <c r="AQ22" s="4"/>
      <c r="AR22" s="4"/>
      <c r="AS22" s="4"/>
      <c r="AT22" s="4"/>
      <c r="AU22" s="4"/>
      <c r="AV22" s="4"/>
      <c r="AW22" s="4"/>
      <c r="AX22" s="4"/>
      <c r="AY22" s="4"/>
    </row>
    <row r="23" spans="1:51" ht="14.5" x14ac:dyDescent="0.35">
      <c r="A23" s="137">
        <f>YampaRiverInflow.TotalOutflow!A23</f>
        <v>46722</v>
      </c>
      <c r="B23" s="34">
        <v>-2.0270000000000001</v>
      </c>
      <c r="C23" s="12">
        <v>-2.0270000000000001</v>
      </c>
      <c r="D23" s="45">
        <v>-2.0270000000000001</v>
      </c>
      <c r="E23" s="16">
        <v>-15.72508</v>
      </c>
      <c r="F23" s="16">
        <v>-11.224530000000001</v>
      </c>
      <c r="G23" s="16">
        <v>-16.591180000000001</v>
      </c>
      <c r="H23" s="16">
        <v>0.89049999999999996</v>
      </c>
      <c r="I23" s="16">
        <v>-2.2057500000000001</v>
      </c>
      <c r="J23" s="16">
        <v>-30.885999999999999</v>
      </c>
      <c r="K23" s="16">
        <v>-18.987929999999999</v>
      </c>
      <c r="L23" s="16">
        <v>-15.285489999999999</v>
      </c>
      <c r="M23" s="16">
        <v>-11.96585</v>
      </c>
      <c r="N23" s="16">
        <v>-8.4787599999999994</v>
      </c>
      <c r="O23" s="16">
        <v>-5.5878900000000007</v>
      </c>
      <c r="P23" s="16">
        <v>-3.42475</v>
      </c>
      <c r="Q23" s="16">
        <v>-8.0102100000000007</v>
      </c>
      <c r="R23" s="16">
        <v>-2.9604699999999999</v>
      </c>
      <c r="S23" s="16">
        <v>8.1728400000000008</v>
      </c>
      <c r="T23" s="16">
        <v>-9.531229999999999</v>
      </c>
      <c r="U23" s="16">
        <v>-7.5190400000000004</v>
      </c>
      <c r="V23" s="16">
        <v>-17.699780000000001</v>
      </c>
      <c r="W23" s="16">
        <v>-8.1265999999999998</v>
      </c>
      <c r="X23" s="16">
        <v>-21.882480000000001</v>
      </c>
      <c r="Y23" s="16">
        <v>-0.56415999999999999</v>
      </c>
      <c r="Z23" s="16">
        <v>-3.9737100000000001</v>
      </c>
      <c r="AA23" s="16">
        <v>3.1901899999999999</v>
      </c>
      <c r="AB23" s="16">
        <v>-6.7791199999999998</v>
      </c>
      <c r="AC23" s="16">
        <v>-12.66384</v>
      </c>
      <c r="AD23" s="16">
        <v>-11.72982</v>
      </c>
      <c r="AE23" s="16">
        <v>-8.6976899999999997</v>
      </c>
      <c r="AF23" s="16">
        <v>3.13713</v>
      </c>
      <c r="AG23" s="16">
        <v>-2.83372</v>
      </c>
      <c r="AH23" s="16">
        <v>-8.5674299999999999</v>
      </c>
      <c r="AI23" s="46"/>
      <c r="AJ23" s="46"/>
      <c r="AK23" s="46"/>
      <c r="AL23" s="46"/>
      <c r="AM23" s="46"/>
      <c r="AN23" s="4"/>
      <c r="AO23" s="4"/>
      <c r="AP23" s="4"/>
      <c r="AQ23" s="4"/>
      <c r="AR23" s="4"/>
      <c r="AS23" s="4"/>
      <c r="AT23" s="4"/>
      <c r="AU23" s="4"/>
      <c r="AV23" s="4"/>
      <c r="AW23" s="4"/>
      <c r="AX23" s="4"/>
      <c r="AY23" s="4"/>
    </row>
    <row r="24" spans="1:51" ht="14.5" x14ac:dyDescent="0.35">
      <c r="A24" s="137">
        <f>YampaRiverInflow.TotalOutflow!A24</f>
        <v>46753</v>
      </c>
      <c r="B24" s="34">
        <v>-4.968</v>
      </c>
      <c r="C24" s="12">
        <v>-4.968</v>
      </c>
      <c r="D24" s="45">
        <v>-4.968</v>
      </c>
      <c r="E24" s="16">
        <v>-7.9297299999999993</v>
      </c>
      <c r="F24" s="16">
        <v>-0.53858000000000006</v>
      </c>
      <c r="G24" s="16">
        <v>-9.2530000000000001</v>
      </c>
      <c r="H24" s="16">
        <v>-2.6761900000000001</v>
      </c>
      <c r="I24" s="16">
        <v>-10.645389999999999</v>
      </c>
      <c r="J24" s="16">
        <v>-24.767759999999999</v>
      </c>
      <c r="K24" s="16">
        <v>-19.95645</v>
      </c>
      <c r="L24" s="16">
        <v>-6.7551600000000001</v>
      </c>
      <c r="M24" s="16">
        <v>3.6644800000000002</v>
      </c>
      <c r="N24" s="16">
        <v>-8.1808599999999991</v>
      </c>
      <c r="O24" s="16">
        <v>-6.9567299999999994</v>
      </c>
      <c r="P24" s="16">
        <v>-10.40982</v>
      </c>
      <c r="Q24" s="16">
        <v>0.62288999999999994</v>
      </c>
      <c r="R24" s="16">
        <v>-24.679400000000001</v>
      </c>
      <c r="S24" s="16">
        <v>-9.1849699999999999</v>
      </c>
      <c r="T24" s="16">
        <v>-14.851360000000001</v>
      </c>
      <c r="U24" s="16">
        <v>-13.8294</v>
      </c>
      <c r="V24" s="16">
        <v>-10.89728</v>
      </c>
      <c r="W24" s="16">
        <v>-7.2114099999999999</v>
      </c>
      <c r="X24" s="16">
        <v>-22.53942</v>
      </c>
      <c r="Y24" s="16">
        <v>-9.4303899999999992</v>
      </c>
      <c r="Z24" s="16">
        <v>-6.6437100000000004</v>
      </c>
      <c r="AA24" s="16">
        <v>-17.863379999999999</v>
      </c>
      <c r="AB24" s="16">
        <v>-30.41215</v>
      </c>
      <c r="AC24" s="16">
        <v>-21.799250000000001</v>
      </c>
      <c r="AD24" s="16">
        <v>1.50478</v>
      </c>
      <c r="AE24" s="16">
        <v>-28.800259999999998</v>
      </c>
      <c r="AF24" s="16">
        <v>-7.3329999999999992E-2</v>
      </c>
      <c r="AG24" s="16">
        <v>-10.749919999999999</v>
      </c>
      <c r="AH24" s="16">
        <v>-9.7509899999999998</v>
      </c>
      <c r="AI24" s="46"/>
      <c r="AJ24" s="46"/>
      <c r="AK24" s="46"/>
      <c r="AL24" s="46"/>
      <c r="AM24" s="46"/>
      <c r="AN24" s="4"/>
      <c r="AO24" s="4"/>
      <c r="AP24" s="4"/>
      <c r="AQ24" s="4"/>
      <c r="AR24" s="4"/>
      <c r="AS24" s="4"/>
      <c r="AT24" s="4"/>
      <c r="AU24" s="4"/>
      <c r="AV24" s="4"/>
      <c r="AW24" s="4"/>
      <c r="AX24" s="4"/>
      <c r="AY24" s="4"/>
    </row>
    <row r="25" spans="1:51" ht="14.5" x14ac:dyDescent="0.35">
      <c r="A25" s="137">
        <f>YampaRiverInflow.TotalOutflow!A25</f>
        <v>46784</v>
      </c>
      <c r="B25" s="34">
        <v>-14.456</v>
      </c>
      <c r="C25" s="12">
        <v>-14.456</v>
      </c>
      <c r="D25" s="45">
        <v>-14.456</v>
      </c>
      <c r="E25" s="16">
        <v>8.8889800000000001</v>
      </c>
      <c r="F25" s="16">
        <v>-7.9021499999999998</v>
      </c>
      <c r="G25" s="16">
        <v>-5.5460399999999996</v>
      </c>
      <c r="H25" s="16">
        <v>-19.460819999999998</v>
      </c>
      <c r="I25" s="16">
        <v>-16.715619999999998</v>
      </c>
      <c r="J25" s="16">
        <v>14.064540000000001</v>
      </c>
      <c r="K25" s="16">
        <v>-15.41591</v>
      </c>
      <c r="L25" s="16">
        <v>-12.96556</v>
      </c>
      <c r="M25" s="16">
        <v>-9.5933500000000009</v>
      </c>
      <c r="N25" s="16">
        <v>-8.6650200000000002</v>
      </c>
      <c r="O25" s="16">
        <v>-4.5227200000000005</v>
      </c>
      <c r="P25" s="16">
        <v>-7.0445699999999993</v>
      </c>
      <c r="Q25" s="16">
        <v>0.31457000000000002</v>
      </c>
      <c r="R25" s="16">
        <v>-9.0514200000000002</v>
      </c>
      <c r="S25" s="16">
        <v>-9.2945599999999988</v>
      </c>
      <c r="T25" s="16">
        <v>-5.9604300000000006</v>
      </c>
      <c r="U25" s="16">
        <v>-8.6297999999999995</v>
      </c>
      <c r="V25" s="16">
        <v>-7.7912100000000004</v>
      </c>
      <c r="W25" s="16">
        <v>-10.988049999999999</v>
      </c>
      <c r="X25" s="16">
        <v>-19.275569999999998</v>
      </c>
      <c r="Y25" s="16">
        <v>-12.945889999999999</v>
      </c>
      <c r="Z25" s="16">
        <v>-22.459019999999999</v>
      </c>
      <c r="AA25" s="16">
        <v>-10.986780000000001</v>
      </c>
      <c r="AB25" s="16">
        <v>-22.574740000000002</v>
      </c>
      <c r="AC25" s="16">
        <v>-15.92117</v>
      </c>
      <c r="AD25" s="16">
        <v>-3.3474699999999999</v>
      </c>
      <c r="AE25" s="16">
        <v>-6.9009499999999999</v>
      </c>
      <c r="AF25" s="16">
        <v>-3.6037600000000003</v>
      </c>
      <c r="AG25" s="16">
        <v>-22.41188</v>
      </c>
      <c r="AH25" s="16">
        <v>-6.0861999999999998</v>
      </c>
      <c r="AI25" s="46"/>
      <c r="AJ25" s="46"/>
      <c r="AK25" s="46"/>
      <c r="AL25" s="46"/>
      <c r="AM25" s="46"/>
      <c r="AN25" s="4"/>
      <c r="AO25" s="4"/>
      <c r="AP25" s="4"/>
      <c r="AQ25" s="4"/>
      <c r="AR25" s="4"/>
      <c r="AS25" s="4"/>
      <c r="AT25" s="4"/>
      <c r="AU25" s="4"/>
      <c r="AV25" s="4"/>
      <c r="AW25" s="4"/>
      <c r="AX25" s="4"/>
      <c r="AY25" s="4"/>
    </row>
    <row r="26" spans="1:51" ht="14.5" x14ac:dyDescent="0.35">
      <c r="A26" s="137">
        <f>YampaRiverInflow.TotalOutflow!A26</f>
        <v>46813</v>
      </c>
      <c r="B26" s="34">
        <v>-14.478</v>
      </c>
      <c r="C26" s="12">
        <v>-14.478</v>
      </c>
      <c r="D26" s="45">
        <v>-14.478</v>
      </c>
      <c r="E26" s="16">
        <v>-5.8160400000000001</v>
      </c>
      <c r="F26" s="16">
        <v>-25.493880000000001</v>
      </c>
      <c r="G26" s="16">
        <v>-21.368179999999999</v>
      </c>
      <c r="H26" s="16">
        <v>-10.980540000000001</v>
      </c>
      <c r="I26" s="16">
        <v>-22.592410000000001</v>
      </c>
      <c r="J26" s="16">
        <v>-41.335809999999995</v>
      </c>
      <c r="K26" s="16">
        <v>-20.545960000000001</v>
      </c>
      <c r="L26" s="16">
        <v>-14.699110000000001</v>
      </c>
      <c r="M26" s="16">
        <v>-44.778870000000005</v>
      </c>
      <c r="N26" s="16">
        <v>-10.86153</v>
      </c>
      <c r="O26" s="16">
        <v>-10.544040000000001</v>
      </c>
      <c r="P26" s="16">
        <v>-16.42557</v>
      </c>
      <c r="Q26" s="16">
        <v>-14.93465</v>
      </c>
      <c r="R26" s="16">
        <v>-15.63274</v>
      </c>
      <c r="S26" s="16">
        <v>-16.15907</v>
      </c>
      <c r="T26" s="16">
        <v>-15.25135</v>
      </c>
      <c r="U26" s="16">
        <v>-17.034509999999997</v>
      </c>
      <c r="V26" s="16">
        <v>-21.14264</v>
      </c>
      <c r="W26" s="16">
        <v>-13.394159999999999</v>
      </c>
      <c r="X26" s="16">
        <v>-24.728169999999999</v>
      </c>
      <c r="Y26" s="16">
        <v>-12.946339999999999</v>
      </c>
      <c r="Z26" s="16">
        <v>-14.941930000000001</v>
      </c>
      <c r="AA26" s="16">
        <v>-22.739099999999997</v>
      </c>
      <c r="AB26" s="16">
        <v>-16.134589999999999</v>
      </c>
      <c r="AC26" s="16">
        <v>-28.68308</v>
      </c>
      <c r="AD26" s="16">
        <v>-4.22288</v>
      </c>
      <c r="AE26" s="16">
        <v>3.4572699999999998</v>
      </c>
      <c r="AF26" s="16">
        <v>1.25017</v>
      </c>
      <c r="AG26" s="16">
        <v>-31.598890000000001</v>
      </c>
      <c r="AH26" s="16">
        <v>-2.0714899999999998</v>
      </c>
      <c r="AI26" s="46"/>
      <c r="AJ26" s="46"/>
      <c r="AK26" s="46"/>
      <c r="AL26" s="46"/>
      <c r="AM26" s="46"/>
      <c r="AN26" s="4"/>
      <c r="AO26" s="4"/>
      <c r="AP26" s="4"/>
      <c r="AQ26" s="4"/>
      <c r="AR26" s="4"/>
      <c r="AS26" s="4"/>
      <c r="AT26" s="4"/>
      <c r="AU26" s="4"/>
      <c r="AV26" s="4"/>
      <c r="AW26" s="4"/>
      <c r="AX26" s="4"/>
      <c r="AY26" s="4"/>
    </row>
    <row r="27" spans="1:51" ht="14.5" x14ac:dyDescent="0.35">
      <c r="A27" s="137">
        <f>YampaRiverInflow.TotalOutflow!A27</f>
        <v>46844</v>
      </c>
      <c r="B27" s="34">
        <v>-18.241</v>
      </c>
      <c r="C27" s="12">
        <v>-18.241</v>
      </c>
      <c r="D27" s="45">
        <v>-18.241</v>
      </c>
      <c r="E27" s="16">
        <v>-20.7684</v>
      </c>
      <c r="F27" s="16">
        <v>-26.814439999999998</v>
      </c>
      <c r="G27" s="16">
        <v>-17.90917</v>
      </c>
      <c r="H27" s="16">
        <v>-28.635090000000002</v>
      </c>
      <c r="I27" s="16">
        <v>-14.1168</v>
      </c>
      <c r="J27" s="16">
        <v>-9.0910299999999999</v>
      </c>
      <c r="K27" s="16">
        <v>-22.383119999999998</v>
      </c>
      <c r="L27" s="16">
        <v>59.391539999999999</v>
      </c>
      <c r="M27" s="16">
        <v>-63.58173</v>
      </c>
      <c r="N27" s="16">
        <v>-14.289959999999999</v>
      </c>
      <c r="O27" s="16">
        <v>-18.956109999999999</v>
      </c>
      <c r="P27" s="16">
        <v>-4.1280000000000004E-2</v>
      </c>
      <c r="Q27" s="16">
        <v>-19.869040000000002</v>
      </c>
      <c r="R27" s="16">
        <v>-23.20046</v>
      </c>
      <c r="S27" s="16">
        <v>-19.820720000000001</v>
      </c>
      <c r="T27" s="16">
        <v>-9.1137800000000002</v>
      </c>
      <c r="U27" s="16">
        <v>-15.77689</v>
      </c>
      <c r="V27" s="16">
        <v>-19.864979999999999</v>
      </c>
      <c r="W27" s="16">
        <v>-16.396039999999999</v>
      </c>
      <c r="X27" s="16">
        <v>-26.008659999999999</v>
      </c>
      <c r="Y27" s="16">
        <v>-22.024150000000002</v>
      </c>
      <c r="Z27" s="16">
        <v>-23.49466</v>
      </c>
      <c r="AA27" s="16">
        <v>-21.14265</v>
      </c>
      <c r="AB27" s="16">
        <v>-19.851419999999997</v>
      </c>
      <c r="AC27" s="16">
        <v>-28.04072</v>
      </c>
      <c r="AD27" s="16">
        <v>-6.6238900000000003</v>
      </c>
      <c r="AE27" s="16">
        <v>-4.0508199999999999</v>
      </c>
      <c r="AF27" s="16">
        <v>0.34855999999999998</v>
      </c>
      <c r="AG27" s="16">
        <v>-43.061860000000003</v>
      </c>
      <c r="AH27" s="16">
        <v>-23.281939999999999</v>
      </c>
      <c r="AI27" s="46"/>
      <c r="AJ27" s="46"/>
      <c r="AK27" s="46"/>
      <c r="AL27" s="46"/>
      <c r="AM27" s="46"/>
      <c r="AN27" s="4"/>
      <c r="AO27" s="4"/>
      <c r="AP27" s="4"/>
      <c r="AQ27" s="4"/>
      <c r="AR27" s="4"/>
      <c r="AS27" s="4"/>
      <c r="AT27" s="4"/>
      <c r="AU27" s="4"/>
      <c r="AV27" s="4"/>
      <c r="AW27" s="4"/>
      <c r="AX27" s="4"/>
      <c r="AY27" s="4"/>
    </row>
    <row r="28" spans="1:51" ht="14.5" x14ac:dyDescent="0.35">
      <c r="A28" s="137">
        <f>YampaRiverInflow.TotalOutflow!A28</f>
        <v>46874</v>
      </c>
      <c r="B28" s="34">
        <v>-10.058</v>
      </c>
      <c r="C28" s="12">
        <v>-10.058</v>
      </c>
      <c r="D28" s="45">
        <v>-10.058</v>
      </c>
      <c r="E28" s="16">
        <v>-13.264139999999999</v>
      </c>
      <c r="F28" s="16">
        <v>-29.224029999999999</v>
      </c>
      <c r="G28" s="16">
        <v>-23.53134</v>
      </c>
      <c r="H28" s="16">
        <v>-2.7735700000000003</v>
      </c>
      <c r="I28" s="16">
        <v>-15.322940000000001</v>
      </c>
      <c r="J28" s="16">
        <v>-19.867259999999998</v>
      </c>
      <c r="K28" s="16">
        <v>-15.572929999999999</v>
      </c>
      <c r="L28" s="16">
        <v>36.142910000000001</v>
      </c>
      <c r="M28" s="16">
        <v>-3.1130999999999998</v>
      </c>
      <c r="N28" s="16">
        <v>-16.675549999999998</v>
      </c>
      <c r="O28" s="16">
        <v>-17.536919999999999</v>
      </c>
      <c r="P28" s="16">
        <v>-28.011310000000002</v>
      </c>
      <c r="Q28" s="16">
        <v>-21.856310000000001</v>
      </c>
      <c r="R28" s="16">
        <v>3.5355400000000001</v>
      </c>
      <c r="S28" s="16">
        <v>-23.032049999999998</v>
      </c>
      <c r="T28" s="16">
        <v>-27.275220000000001</v>
      </c>
      <c r="U28" s="16">
        <v>-11.566879999999999</v>
      </c>
      <c r="V28" s="16">
        <v>-26.851080000000003</v>
      </c>
      <c r="W28" s="16">
        <v>-16.472080000000002</v>
      </c>
      <c r="X28" s="16">
        <v>-21.851860000000002</v>
      </c>
      <c r="Y28" s="16">
        <v>-22.571669999999997</v>
      </c>
      <c r="Z28" s="16">
        <v>-23.858180000000001</v>
      </c>
      <c r="AA28" s="16">
        <v>-18.369009999999999</v>
      </c>
      <c r="AB28" s="16">
        <v>-14.94468</v>
      </c>
      <c r="AC28" s="16">
        <v>-19.296259999999997</v>
      </c>
      <c r="AD28" s="16">
        <v>-17.438189999999999</v>
      </c>
      <c r="AE28" s="16">
        <v>-15.69408</v>
      </c>
      <c r="AF28" s="16">
        <v>-9.6890499999999999</v>
      </c>
      <c r="AG28" s="16">
        <v>-50.874790000000004</v>
      </c>
      <c r="AH28" s="16">
        <v>-27.428099999999997</v>
      </c>
      <c r="AI28" s="46"/>
      <c r="AJ28" s="46"/>
      <c r="AK28" s="46"/>
      <c r="AL28" s="46"/>
      <c r="AM28" s="46"/>
      <c r="AN28" s="4"/>
      <c r="AO28" s="4"/>
      <c r="AP28" s="4"/>
      <c r="AQ28" s="4"/>
      <c r="AR28" s="4"/>
      <c r="AS28" s="4"/>
      <c r="AT28" s="4"/>
      <c r="AU28" s="4"/>
      <c r="AV28" s="4"/>
      <c r="AW28" s="4"/>
      <c r="AX28" s="4"/>
      <c r="AY28" s="4"/>
    </row>
    <row r="29" spans="1:51" ht="14.5" x14ac:dyDescent="0.35">
      <c r="A29" s="137">
        <f>YampaRiverInflow.TotalOutflow!A29</f>
        <v>46905</v>
      </c>
      <c r="B29" s="34">
        <v>-13.593999999999999</v>
      </c>
      <c r="C29" s="12">
        <v>-13.593999999999999</v>
      </c>
      <c r="D29" s="45">
        <v>-13.593999999999999</v>
      </c>
      <c r="E29" s="16">
        <v>-5.7282900000000003</v>
      </c>
      <c r="F29" s="16">
        <v>-24.09413</v>
      </c>
      <c r="G29" s="16">
        <v>-28.66929</v>
      </c>
      <c r="H29" s="16">
        <v>-22.894779999999997</v>
      </c>
      <c r="I29" s="16">
        <v>-8.4372399999999992</v>
      </c>
      <c r="J29" s="16">
        <v>-15.65728</v>
      </c>
      <c r="K29" s="16">
        <v>-12.931179999999999</v>
      </c>
      <c r="L29" s="16">
        <v>-18.715900000000001</v>
      </c>
      <c r="M29" s="16">
        <v>-17.61956</v>
      </c>
      <c r="N29" s="16">
        <v>-9.7447199999999992</v>
      </c>
      <c r="O29" s="16">
        <v>-3.1937099999999998</v>
      </c>
      <c r="P29" s="16">
        <v>-11.334670000000001</v>
      </c>
      <c r="Q29" s="16">
        <v>-18.532310000000003</v>
      </c>
      <c r="R29" s="16">
        <v>1.92611</v>
      </c>
      <c r="S29" s="16">
        <v>-21.110040000000001</v>
      </c>
      <c r="T29" s="16">
        <v>-19.540299999999998</v>
      </c>
      <c r="U29" s="16">
        <v>-15.975790000000002</v>
      </c>
      <c r="V29" s="16">
        <v>-32.847480000000004</v>
      </c>
      <c r="W29" s="16">
        <v>-21.42004</v>
      </c>
      <c r="X29" s="16">
        <v>-30.22063</v>
      </c>
      <c r="Y29" s="16">
        <v>-27.89715</v>
      </c>
      <c r="Z29" s="16">
        <v>-31.396319999999999</v>
      </c>
      <c r="AA29" s="16">
        <v>-29.21951</v>
      </c>
      <c r="AB29" s="16">
        <v>-25.421259999999997</v>
      </c>
      <c r="AC29" s="16">
        <v>-17.919930000000001</v>
      </c>
      <c r="AD29" s="16">
        <v>-30.92728</v>
      </c>
      <c r="AE29" s="16">
        <v>-23.747820000000001</v>
      </c>
      <c r="AF29" s="16">
        <v>-21.322800000000001</v>
      </c>
      <c r="AG29" s="16">
        <v>-59.346059999999994</v>
      </c>
      <c r="AH29" s="16">
        <v>-32.015830000000001</v>
      </c>
      <c r="AI29" s="46"/>
      <c r="AJ29" s="46"/>
      <c r="AK29" s="46"/>
      <c r="AL29" s="46"/>
      <c r="AM29" s="46"/>
      <c r="AN29" s="4"/>
      <c r="AO29" s="4"/>
      <c r="AP29" s="4"/>
      <c r="AQ29" s="4"/>
      <c r="AR29" s="4"/>
      <c r="AS29" s="4"/>
      <c r="AT29" s="4"/>
      <c r="AU29" s="4"/>
      <c r="AV29" s="4"/>
      <c r="AW29" s="4"/>
      <c r="AX29" s="4"/>
      <c r="AY29" s="4"/>
    </row>
    <row r="30" spans="1:51" ht="14.5" x14ac:dyDescent="0.35">
      <c r="A30" s="137">
        <f>YampaRiverInflow.TotalOutflow!A30</f>
        <v>46935</v>
      </c>
      <c r="B30" s="34">
        <v>-18.728999999999999</v>
      </c>
      <c r="C30" s="12">
        <v>-18.728999999999999</v>
      </c>
      <c r="D30" s="45">
        <v>-18.728999999999999</v>
      </c>
      <c r="E30" s="16">
        <v>-27.08154</v>
      </c>
      <c r="F30" s="16">
        <v>-23.899249999999999</v>
      </c>
      <c r="G30" s="16">
        <v>-20.626099999999997</v>
      </c>
      <c r="H30" s="16">
        <v>-10.398209999999999</v>
      </c>
      <c r="I30" s="16">
        <v>-10.19393</v>
      </c>
      <c r="J30" s="16">
        <v>-18.311769999999999</v>
      </c>
      <c r="K30" s="16">
        <v>-15.302760000000001</v>
      </c>
      <c r="L30" s="16">
        <v>-25.186910000000001</v>
      </c>
      <c r="M30" s="16">
        <v>-26.149759999999997</v>
      </c>
      <c r="N30" s="16">
        <v>-18.206589999999998</v>
      </c>
      <c r="O30" s="16">
        <v>-16.932770000000001</v>
      </c>
      <c r="P30" s="16">
        <v>-11.23888</v>
      </c>
      <c r="Q30" s="16">
        <v>-14.996259999999999</v>
      </c>
      <c r="R30" s="16">
        <v>3.59327</v>
      </c>
      <c r="S30" s="16">
        <v>-18.765970000000003</v>
      </c>
      <c r="T30" s="16">
        <v>-11.523569999999999</v>
      </c>
      <c r="U30" s="16">
        <v>-7.7080399999999996</v>
      </c>
      <c r="V30" s="16">
        <v>-27.048749999999998</v>
      </c>
      <c r="W30" s="16">
        <v>-22.246220000000001</v>
      </c>
      <c r="X30" s="16">
        <v>-21.478169999999999</v>
      </c>
      <c r="Y30" s="16">
        <v>-36.614269999999998</v>
      </c>
      <c r="Z30" s="16">
        <v>-22.211980000000001</v>
      </c>
      <c r="AA30" s="16">
        <v>-27.412610000000001</v>
      </c>
      <c r="AB30" s="16">
        <v>-37.642650000000003</v>
      </c>
      <c r="AC30" s="16">
        <v>-16.347709999999999</v>
      </c>
      <c r="AD30" s="16">
        <v>-19.617069999999998</v>
      </c>
      <c r="AE30" s="16">
        <v>-22.699870000000001</v>
      </c>
      <c r="AF30" s="16">
        <v>-17.179880000000001</v>
      </c>
      <c r="AG30" s="16">
        <v>-47.634029999999996</v>
      </c>
      <c r="AH30" s="16">
        <v>-43.163139999999999</v>
      </c>
      <c r="AI30" s="46"/>
      <c r="AJ30" s="46"/>
      <c r="AK30" s="46"/>
      <c r="AL30" s="46"/>
      <c r="AM30" s="46"/>
      <c r="AN30" s="4"/>
      <c r="AO30" s="4"/>
      <c r="AP30" s="4"/>
      <c r="AQ30" s="4"/>
      <c r="AR30" s="4"/>
      <c r="AS30" s="4"/>
      <c r="AT30" s="4"/>
      <c r="AU30" s="4"/>
      <c r="AV30" s="4"/>
      <c r="AW30" s="4"/>
      <c r="AX30" s="4"/>
      <c r="AY30" s="4"/>
    </row>
    <row r="31" spans="1:51" ht="14.5" x14ac:dyDescent="0.35">
      <c r="A31" s="137">
        <f>YampaRiverInflow.TotalOutflow!A31</f>
        <v>46966</v>
      </c>
      <c r="B31" s="34">
        <v>-12.797000000000001</v>
      </c>
      <c r="C31" s="12">
        <v>-12.797000000000001</v>
      </c>
      <c r="D31" s="45">
        <v>-12.797000000000001</v>
      </c>
      <c r="E31" s="16">
        <v>-10.54106</v>
      </c>
      <c r="F31" s="16">
        <v>-28.243020000000001</v>
      </c>
      <c r="G31" s="16">
        <v>-38.875269999999993</v>
      </c>
      <c r="H31" s="16">
        <v>-10.18477</v>
      </c>
      <c r="I31" s="16">
        <v>-3.4436999999999998</v>
      </c>
      <c r="J31" s="16">
        <v>-18.58174</v>
      </c>
      <c r="K31" s="16">
        <v>-17.12154</v>
      </c>
      <c r="L31" s="16">
        <v>-17.84836</v>
      </c>
      <c r="M31" s="16">
        <v>-12.213329999999999</v>
      </c>
      <c r="N31" s="16">
        <v>-14.071669999999999</v>
      </c>
      <c r="O31" s="16">
        <v>-7.6597600000000003</v>
      </c>
      <c r="P31" s="16">
        <v>-9.9216899999999999</v>
      </c>
      <c r="Q31" s="16">
        <v>-9.8270400000000002</v>
      </c>
      <c r="R31" s="16">
        <v>0.95716999999999997</v>
      </c>
      <c r="S31" s="16">
        <v>-13.4948</v>
      </c>
      <c r="T31" s="16">
        <v>-10.937709999999999</v>
      </c>
      <c r="U31" s="16">
        <v>-14.345180000000001</v>
      </c>
      <c r="V31" s="16">
        <v>-20.569520000000001</v>
      </c>
      <c r="W31" s="16">
        <v>-13.446770000000001</v>
      </c>
      <c r="X31" s="16">
        <v>-16.82076</v>
      </c>
      <c r="Y31" s="16">
        <v>-22.761310000000002</v>
      </c>
      <c r="Z31" s="16">
        <v>-12.675990000000001</v>
      </c>
      <c r="AA31" s="16">
        <v>-23.720400000000001</v>
      </c>
      <c r="AB31" s="16">
        <v>-20.238779999999998</v>
      </c>
      <c r="AC31" s="16">
        <v>-16.907869999999999</v>
      </c>
      <c r="AD31" s="16">
        <v>-20.437060000000002</v>
      </c>
      <c r="AE31" s="16">
        <v>-18.531770000000002</v>
      </c>
      <c r="AF31" s="16">
        <v>-17.41047</v>
      </c>
      <c r="AG31" s="16">
        <v>-38.691830000000003</v>
      </c>
      <c r="AH31" s="16">
        <v>-40.59751</v>
      </c>
      <c r="AI31" s="46"/>
      <c r="AJ31" s="46"/>
      <c r="AK31" s="46"/>
      <c r="AL31" s="46"/>
      <c r="AM31" s="46"/>
      <c r="AN31" s="4"/>
      <c r="AO31" s="4"/>
      <c r="AP31" s="4"/>
      <c r="AQ31" s="4"/>
      <c r="AR31" s="4"/>
      <c r="AS31" s="4"/>
      <c r="AT31" s="4"/>
      <c r="AU31" s="4"/>
      <c r="AV31" s="4"/>
      <c r="AW31" s="4"/>
      <c r="AX31" s="4"/>
      <c r="AY31" s="4"/>
    </row>
    <row r="32" spans="1:51" ht="14.5" x14ac:dyDescent="0.35">
      <c r="A32" s="137">
        <f>YampaRiverInflow.TotalOutflow!A32</f>
        <v>46997</v>
      </c>
      <c r="B32" s="34">
        <v>-3.5750000000000002</v>
      </c>
      <c r="C32" s="12">
        <v>-3.5750000000000002</v>
      </c>
      <c r="D32" s="45">
        <v>-3.5750000000000002</v>
      </c>
      <c r="E32" s="16">
        <v>1.02267</v>
      </c>
      <c r="F32" s="16">
        <v>-2.5803499999999997</v>
      </c>
      <c r="G32" s="16">
        <v>1.2362299999999999</v>
      </c>
      <c r="H32" s="16">
        <v>-6.8090299999999999</v>
      </c>
      <c r="I32" s="16">
        <v>2.4422899999999998</v>
      </c>
      <c r="J32" s="16">
        <v>-15.388030000000001</v>
      </c>
      <c r="K32" s="16">
        <v>3.0395700000000003</v>
      </c>
      <c r="L32" s="16">
        <v>-6.1195399999999998</v>
      </c>
      <c r="M32" s="16">
        <v>-6.2437700000000005</v>
      </c>
      <c r="N32" s="16">
        <v>-1.99848</v>
      </c>
      <c r="O32" s="16">
        <v>-6.6900600000000008</v>
      </c>
      <c r="P32" s="16">
        <v>0.25474000000000002</v>
      </c>
      <c r="Q32" s="16">
        <v>-8.8620400000000004</v>
      </c>
      <c r="R32" s="16">
        <v>-3.0682</v>
      </c>
      <c r="S32" s="16">
        <v>-5.7606200000000003</v>
      </c>
      <c r="T32" s="16">
        <v>0.47227999999999998</v>
      </c>
      <c r="U32" s="16">
        <v>-4.20695</v>
      </c>
      <c r="V32" s="16">
        <v>-6.3936400000000004</v>
      </c>
      <c r="W32" s="16">
        <v>-9.4515100000000007</v>
      </c>
      <c r="X32" s="16">
        <v>-9.5977199999999989</v>
      </c>
      <c r="Y32" s="16">
        <v>-16.26549</v>
      </c>
      <c r="Z32" s="16">
        <v>-9.5290599999999994</v>
      </c>
      <c r="AA32" s="16">
        <v>-19.450950000000002</v>
      </c>
      <c r="AB32" s="16">
        <v>-20.921619999999997</v>
      </c>
      <c r="AC32" s="16">
        <v>-14.65705</v>
      </c>
      <c r="AD32" s="16">
        <v>-15.921899999999999</v>
      </c>
      <c r="AE32" s="16">
        <v>-21.619810000000001</v>
      </c>
      <c r="AF32" s="16">
        <v>-5.9765299999999995</v>
      </c>
      <c r="AG32" s="16">
        <v>-30.643849999999997</v>
      </c>
      <c r="AH32" s="16">
        <v>-16.40672</v>
      </c>
      <c r="AI32" s="46"/>
      <c r="AJ32" s="46"/>
      <c r="AK32" s="46"/>
      <c r="AL32" s="46"/>
      <c r="AM32" s="46"/>
      <c r="AN32" s="4"/>
      <c r="AO32" s="4"/>
      <c r="AP32" s="4"/>
      <c r="AQ32" s="4"/>
      <c r="AR32" s="4"/>
      <c r="AS32" s="4"/>
      <c r="AT32" s="4"/>
      <c r="AU32" s="4"/>
      <c r="AV32" s="4"/>
      <c r="AW32" s="4"/>
      <c r="AX32" s="4"/>
      <c r="AY32" s="4"/>
    </row>
    <row r="33" spans="1:51" ht="14.5" x14ac:dyDescent="0.35">
      <c r="A33" s="137">
        <f>YampaRiverInflow.TotalOutflow!A33</f>
        <v>47027</v>
      </c>
      <c r="B33" s="34">
        <v>-6.3259999999999996</v>
      </c>
      <c r="C33" s="12">
        <v>-6.3259999999999996</v>
      </c>
      <c r="D33" s="45">
        <v>-6.3259999999999996</v>
      </c>
      <c r="E33" s="16">
        <v>-10.74901</v>
      </c>
      <c r="F33" s="16">
        <v>-8.8123100000000001</v>
      </c>
      <c r="G33" s="16">
        <v>-11.13649</v>
      </c>
      <c r="H33" s="16">
        <v>6.3886599999999998</v>
      </c>
      <c r="I33" s="16">
        <v>0.57689999999999997</v>
      </c>
      <c r="J33" s="16">
        <v>-16.89283</v>
      </c>
      <c r="K33" s="16">
        <v>8.3119599999999991</v>
      </c>
      <c r="L33" s="16">
        <v>-6.4643699999999997</v>
      </c>
      <c r="M33" s="16">
        <v>8.5244999999999997</v>
      </c>
      <c r="N33" s="16">
        <v>6.7957299999999998</v>
      </c>
      <c r="O33" s="16">
        <v>2.22281</v>
      </c>
      <c r="P33" s="16">
        <v>14.7875</v>
      </c>
      <c r="Q33" s="16">
        <v>16.688839999999999</v>
      </c>
      <c r="R33" s="16">
        <v>16.133759999999999</v>
      </c>
      <c r="S33" s="16">
        <v>-1.7467300000000001</v>
      </c>
      <c r="T33" s="16">
        <v>-7.6018800000000004</v>
      </c>
      <c r="U33" s="16">
        <v>-8.6028099999999998</v>
      </c>
      <c r="V33" s="16">
        <v>1.7289000000000001</v>
      </c>
      <c r="W33" s="16">
        <v>2.0648499999999999</v>
      </c>
      <c r="X33" s="16">
        <v>-9.3043399999999998</v>
      </c>
      <c r="Y33" s="16">
        <v>-14.40264</v>
      </c>
      <c r="Z33" s="16">
        <v>4.5734599999999999</v>
      </c>
      <c r="AA33" s="16">
        <v>-10.345000000000001</v>
      </c>
      <c r="AB33" s="16">
        <v>-10.817909999999999</v>
      </c>
      <c r="AC33" s="16">
        <v>-4.6761099999999995</v>
      </c>
      <c r="AD33" s="16">
        <v>-11.80575</v>
      </c>
      <c r="AE33" s="16">
        <v>-24.372349999999997</v>
      </c>
      <c r="AF33" s="16">
        <v>-12.45984</v>
      </c>
      <c r="AG33" s="16">
        <v>-31.00582</v>
      </c>
      <c r="AH33" s="16">
        <v>-11.16733</v>
      </c>
      <c r="AI33" s="46"/>
      <c r="AJ33" s="46"/>
      <c r="AK33" s="46"/>
      <c r="AL33" s="46"/>
      <c r="AM33" s="46"/>
      <c r="AN33" s="4"/>
      <c r="AO33" s="4"/>
      <c r="AP33" s="4"/>
      <c r="AQ33" s="4"/>
      <c r="AR33" s="4"/>
      <c r="AS33" s="4"/>
      <c r="AT33" s="4"/>
      <c r="AU33" s="4"/>
      <c r="AV33" s="4"/>
      <c r="AW33" s="4"/>
      <c r="AX33" s="4"/>
      <c r="AY33" s="4"/>
    </row>
    <row r="34" spans="1:51" ht="14.5" x14ac:dyDescent="0.35">
      <c r="A34" s="137">
        <f>YampaRiverInflow.TotalOutflow!A34</f>
        <v>47058</v>
      </c>
      <c r="B34" s="34">
        <v>-7.3849999999999998</v>
      </c>
      <c r="C34" s="12">
        <v>-7.3849999999999998</v>
      </c>
      <c r="D34" s="45">
        <v>-7.3849999999999998</v>
      </c>
      <c r="E34" s="16">
        <v>-5.2209500000000002</v>
      </c>
      <c r="F34" s="16">
        <v>-36.179300000000005</v>
      </c>
      <c r="G34" s="16">
        <v>8.1603399999999997</v>
      </c>
      <c r="H34" s="16">
        <v>12.20392</v>
      </c>
      <c r="I34" s="16">
        <v>-3.8944000000000001</v>
      </c>
      <c r="J34" s="16">
        <v>-16.175889999999999</v>
      </c>
      <c r="K34" s="16">
        <v>1.6593800000000001</v>
      </c>
      <c r="L34" s="16">
        <v>20.026259999999997</v>
      </c>
      <c r="M34" s="16">
        <v>5.5409600000000001</v>
      </c>
      <c r="N34" s="16">
        <v>2.2822300000000002</v>
      </c>
      <c r="O34" s="16">
        <v>3.49756</v>
      </c>
      <c r="P34" s="16">
        <v>-4.8821300000000001</v>
      </c>
      <c r="Q34" s="16">
        <v>-22.19115</v>
      </c>
      <c r="R34" s="16">
        <v>18.74352</v>
      </c>
      <c r="S34" s="16">
        <v>-2.6594799999999998</v>
      </c>
      <c r="T34" s="16">
        <v>-8.661290000000001</v>
      </c>
      <c r="U34" s="16">
        <v>-11.716149999999999</v>
      </c>
      <c r="V34" s="16">
        <v>-22.90878</v>
      </c>
      <c r="W34" s="16">
        <v>-6.5478900000000007</v>
      </c>
      <c r="X34" s="16">
        <v>-5.5670399999999995</v>
      </c>
      <c r="Y34" s="16">
        <v>6.0877700000000008</v>
      </c>
      <c r="Z34" s="16">
        <v>-1.5540799999999999</v>
      </c>
      <c r="AA34" s="16">
        <v>-10.62641</v>
      </c>
      <c r="AB34" s="16">
        <v>-22.082069999999998</v>
      </c>
      <c r="AC34" s="16">
        <v>-11.88527</v>
      </c>
      <c r="AD34" s="16">
        <v>-24.302009999999999</v>
      </c>
      <c r="AE34" s="16">
        <v>2.60358</v>
      </c>
      <c r="AF34" s="16">
        <v>-27.814820000000001</v>
      </c>
      <c r="AG34" s="16">
        <v>-19.64039</v>
      </c>
      <c r="AH34" s="16">
        <v>-15.421670000000001</v>
      </c>
      <c r="AI34" s="46"/>
      <c r="AJ34" s="46"/>
      <c r="AK34" s="46"/>
      <c r="AL34" s="46"/>
      <c r="AM34" s="46"/>
      <c r="AN34" s="4"/>
      <c r="AO34" s="4"/>
      <c r="AP34" s="4"/>
      <c r="AQ34" s="4"/>
      <c r="AR34" s="4"/>
      <c r="AS34" s="4"/>
      <c r="AT34" s="4"/>
      <c r="AU34" s="4"/>
      <c r="AV34" s="4"/>
      <c r="AW34" s="4"/>
      <c r="AX34" s="4"/>
      <c r="AY34" s="4"/>
    </row>
    <row r="35" spans="1:51" ht="14.5" x14ac:dyDescent="0.35">
      <c r="A35" s="137">
        <f>YampaRiverInflow.TotalOutflow!A35</f>
        <v>47088</v>
      </c>
      <c r="B35" s="34">
        <v>-2.0270000000000001</v>
      </c>
      <c r="C35" s="12">
        <v>-2.0270000000000001</v>
      </c>
      <c r="D35" s="45">
        <v>-2.0270000000000001</v>
      </c>
      <c r="E35" s="16">
        <v>-11.224530000000001</v>
      </c>
      <c r="F35" s="16">
        <v>-16.591180000000001</v>
      </c>
      <c r="G35" s="16">
        <v>0.89049999999999996</v>
      </c>
      <c r="H35" s="16">
        <v>-2.2057500000000001</v>
      </c>
      <c r="I35" s="16">
        <v>-30.885999999999999</v>
      </c>
      <c r="J35" s="16">
        <v>-18.987929999999999</v>
      </c>
      <c r="K35" s="16">
        <v>-15.285489999999999</v>
      </c>
      <c r="L35" s="16">
        <v>-11.96585</v>
      </c>
      <c r="M35" s="16">
        <v>-8.4787599999999994</v>
      </c>
      <c r="N35" s="16">
        <v>-5.5878900000000007</v>
      </c>
      <c r="O35" s="16">
        <v>-3.42475</v>
      </c>
      <c r="P35" s="16">
        <v>-8.0102100000000007</v>
      </c>
      <c r="Q35" s="16">
        <v>-2.9604699999999999</v>
      </c>
      <c r="R35" s="16">
        <v>8.1728400000000008</v>
      </c>
      <c r="S35" s="16">
        <v>-9.531229999999999</v>
      </c>
      <c r="T35" s="16">
        <v>-7.5190400000000004</v>
      </c>
      <c r="U35" s="16">
        <v>-17.699780000000001</v>
      </c>
      <c r="V35" s="16">
        <v>-8.1265999999999998</v>
      </c>
      <c r="W35" s="16">
        <v>-21.882480000000001</v>
      </c>
      <c r="X35" s="16">
        <v>-0.56415999999999999</v>
      </c>
      <c r="Y35" s="16">
        <v>-3.9737100000000001</v>
      </c>
      <c r="Z35" s="16">
        <v>3.1901899999999999</v>
      </c>
      <c r="AA35" s="16">
        <v>-6.7791199999999998</v>
      </c>
      <c r="AB35" s="16">
        <v>-12.66384</v>
      </c>
      <c r="AC35" s="16">
        <v>-11.72982</v>
      </c>
      <c r="AD35" s="16">
        <v>-8.6976899999999997</v>
      </c>
      <c r="AE35" s="16">
        <v>3.13713</v>
      </c>
      <c r="AF35" s="16">
        <v>-2.83372</v>
      </c>
      <c r="AG35" s="16">
        <v>-8.5674299999999999</v>
      </c>
      <c r="AH35" s="16">
        <v>-15.724969999999999</v>
      </c>
      <c r="AI35" s="46"/>
      <c r="AJ35" s="46"/>
      <c r="AK35" s="46"/>
      <c r="AL35" s="46"/>
      <c r="AM35" s="46"/>
      <c r="AN35" s="4"/>
      <c r="AO35" s="4"/>
      <c r="AP35" s="4"/>
      <c r="AQ35" s="4"/>
      <c r="AR35" s="4"/>
      <c r="AS35" s="4"/>
      <c r="AT35" s="4"/>
      <c r="AU35" s="4"/>
      <c r="AV35" s="4"/>
      <c r="AW35" s="4"/>
      <c r="AX35" s="4"/>
      <c r="AY35" s="4"/>
    </row>
    <row r="36" spans="1:51" ht="14.5" x14ac:dyDescent="0.35">
      <c r="A36" s="137">
        <f>YampaRiverInflow.TotalOutflow!A36</f>
        <v>47119</v>
      </c>
      <c r="B36" s="34">
        <v>-4.968</v>
      </c>
      <c r="C36" s="12">
        <v>-4.968</v>
      </c>
      <c r="D36" s="45">
        <v>-4.968</v>
      </c>
      <c r="E36" s="16">
        <v>-0.53858000000000006</v>
      </c>
      <c r="F36" s="16">
        <v>-9.2530000000000001</v>
      </c>
      <c r="G36" s="16">
        <v>-2.6761900000000001</v>
      </c>
      <c r="H36" s="16">
        <v>-10.645389999999999</v>
      </c>
      <c r="I36" s="16">
        <v>-24.767759999999999</v>
      </c>
      <c r="J36" s="16">
        <v>-19.95645</v>
      </c>
      <c r="K36" s="16">
        <v>-6.7551600000000001</v>
      </c>
      <c r="L36" s="16">
        <v>3.6644800000000002</v>
      </c>
      <c r="M36" s="16">
        <v>-8.1808599999999991</v>
      </c>
      <c r="N36" s="16">
        <v>-6.9567299999999994</v>
      </c>
      <c r="O36" s="16">
        <v>-10.40982</v>
      </c>
      <c r="P36" s="16">
        <v>0.62288999999999994</v>
      </c>
      <c r="Q36" s="16">
        <v>-24.679400000000001</v>
      </c>
      <c r="R36" s="16">
        <v>-9.1849699999999999</v>
      </c>
      <c r="S36" s="16">
        <v>-14.851360000000001</v>
      </c>
      <c r="T36" s="16">
        <v>-13.8294</v>
      </c>
      <c r="U36" s="16">
        <v>-10.89728</v>
      </c>
      <c r="V36" s="16">
        <v>-7.2114099999999999</v>
      </c>
      <c r="W36" s="16">
        <v>-22.53942</v>
      </c>
      <c r="X36" s="16">
        <v>-9.4303899999999992</v>
      </c>
      <c r="Y36" s="16">
        <v>-6.6437100000000004</v>
      </c>
      <c r="Z36" s="16">
        <v>-17.863379999999999</v>
      </c>
      <c r="AA36" s="16">
        <v>-30.41215</v>
      </c>
      <c r="AB36" s="16">
        <v>-21.799250000000001</v>
      </c>
      <c r="AC36" s="16">
        <v>1.50478</v>
      </c>
      <c r="AD36" s="16">
        <v>-28.800259999999998</v>
      </c>
      <c r="AE36" s="16">
        <v>-7.3329999999999992E-2</v>
      </c>
      <c r="AF36" s="16">
        <v>-10.749919999999999</v>
      </c>
      <c r="AG36" s="16">
        <v>-9.7509899999999998</v>
      </c>
      <c r="AH36" s="16">
        <v>-7.9319700000000006</v>
      </c>
      <c r="AI36" s="46"/>
      <c r="AJ36" s="46"/>
      <c r="AK36" s="46"/>
      <c r="AL36" s="46"/>
      <c r="AM36" s="46"/>
      <c r="AN36" s="4"/>
      <c r="AO36" s="4"/>
      <c r="AP36" s="4"/>
      <c r="AQ36" s="4"/>
      <c r="AR36" s="4"/>
      <c r="AS36" s="4"/>
      <c r="AT36" s="4"/>
      <c r="AU36" s="4"/>
      <c r="AV36" s="4"/>
      <c r="AW36" s="4"/>
      <c r="AX36" s="4"/>
      <c r="AY36" s="4"/>
    </row>
    <row r="37" spans="1:51" ht="14.5" x14ac:dyDescent="0.35">
      <c r="A37" s="137">
        <f>YampaRiverInflow.TotalOutflow!A37</f>
        <v>47150</v>
      </c>
      <c r="B37" s="34">
        <v>-14.456</v>
      </c>
      <c r="C37" s="12">
        <v>-14.456</v>
      </c>
      <c r="D37" s="45">
        <v>-14.456</v>
      </c>
      <c r="E37" s="16">
        <v>-7.9021499999999998</v>
      </c>
      <c r="F37" s="16">
        <v>-5.5460399999999996</v>
      </c>
      <c r="G37" s="16">
        <v>-19.460819999999998</v>
      </c>
      <c r="H37" s="16">
        <v>-16.715619999999998</v>
      </c>
      <c r="I37" s="16">
        <v>14.064540000000001</v>
      </c>
      <c r="J37" s="16">
        <v>-15.41591</v>
      </c>
      <c r="K37" s="16">
        <v>-12.96556</v>
      </c>
      <c r="L37" s="16">
        <v>-9.5933500000000009</v>
      </c>
      <c r="M37" s="16">
        <v>-8.6650200000000002</v>
      </c>
      <c r="N37" s="16">
        <v>-4.5227200000000005</v>
      </c>
      <c r="O37" s="16">
        <v>-7.0445699999999993</v>
      </c>
      <c r="P37" s="16">
        <v>0.31457000000000002</v>
      </c>
      <c r="Q37" s="16">
        <v>-9.0514200000000002</v>
      </c>
      <c r="R37" s="16">
        <v>-9.2945599999999988</v>
      </c>
      <c r="S37" s="16">
        <v>-5.9604300000000006</v>
      </c>
      <c r="T37" s="16">
        <v>-8.6297999999999995</v>
      </c>
      <c r="U37" s="16">
        <v>-7.7912100000000004</v>
      </c>
      <c r="V37" s="16">
        <v>-10.988049999999999</v>
      </c>
      <c r="W37" s="16">
        <v>-19.275569999999998</v>
      </c>
      <c r="X37" s="16">
        <v>-12.945889999999999</v>
      </c>
      <c r="Y37" s="16">
        <v>-22.459019999999999</v>
      </c>
      <c r="Z37" s="16">
        <v>-10.986780000000001</v>
      </c>
      <c r="AA37" s="16">
        <v>-22.574740000000002</v>
      </c>
      <c r="AB37" s="16">
        <v>-15.92117</v>
      </c>
      <c r="AC37" s="16">
        <v>-3.3474699999999999</v>
      </c>
      <c r="AD37" s="16">
        <v>-6.9009499999999999</v>
      </c>
      <c r="AE37" s="16">
        <v>-3.6037600000000003</v>
      </c>
      <c r="AF37" s="16">
        <v>-22.41188</v>
      </c>
      <c r="AG37" s="16">
        <v>-6.0861999999999998</v>
      </c>
      <c r="AH37" s="16">
        <v>8.8889200000000006</v>
      </c>
      <c r="AI37" s="46"/>
      <c r="AJ37" s="46"/>
      <c r="AK37" s="46"/>
      <c r="AL37" s="46"/>
      <c r="AM37" s="46"/>
      <c r="AN37" s="4"/>
      <c r="AO37" s="4"/>
      <c r="AP37" s="4"/>
      <c r="AQ37" s="4"/>
      <c r="AR37" s="4"/>
      <c r="AS37" s="4"/>
      <c r="AT37" s="4"/>
      <c r="AU37" s="4"/>
      <c r="AV37" s="4"/>
      <c r="AW37" s="4"/>
      <c r="AX37" s="4"/>
      <c r="AY37" s="4"/>
    </row>
    <row r="38" spans="1:51" ht="14.5" x14ac:dyDescent="0.35">
      <c r="A38" s="137">
        <f>YampaRiverInflow.TotalOutflow!A38</f>
        <v>47178</v>
      </c>
      <c r="B38" s="34">
        <v>-14.478</v>
      </c>
      <c r="C38" s="12">
        <v>-14.478</v>
      </c>
      <c r="D38" s="45">
        <v>-14.478</v>
      </c>
      <c r="E38" s="16">
        <v>-25.493880000000001</v>
      </c>
      <c r="F38" s="16">
        <v>-21.368179999999999</v>
      </c>
      <c r="G38" s="16">
        <v>-10.980540000000001</v>
      </c>
      <c r="H38" s="16">
        <v>-22.592410000000001</v>
      </c>
      <c r="I38" s="16">
        <v>-41.335809999999995</v>
      </c>
      <c r="J38" s="16">
        <v>-20.545960000000001</v>
      </c>
      <c r="K38" s="16">
        <v>-14.699110000000001</v>
      </c>
      <c r="L38" s="16">
        <v>-44.778870000000005</v>
      </c>
      <c r="M38" s="16">
        <v>-10.86153</v>
      </c>
      <c r="N38" s="16">
        <v>-10.544040000000001</v>
      </c>
      <c r="O38" s="16">
        <v>-16.42557</v>
      </c>
      <c r="P38" s="16">
        <v>-14.93465</v>
      </c>
      <c r="Q38" s="16">
        <v>-15.63274</v>
      </c>
      <c r="R38" s="16">
        <v>-16.15907</v>
      </c>
      <c r="S38" s="16">
        <v>-15.25135</v>
      </c>
      <c r="T38" s="16">
        <v>-17.034509999999997</v>
      </c>
      <c r="U38" s="16">
        <v>-21.14264</v>
      </c>
      <c r="V38" s="16">
        <v>-13.394159999999999</v>
      </c>
      <c r="W38" s="16">
        <v>-24.728169999999999</v>
      </c>
      <c r="X38" s="16">
        <v>-12.946339999999999</v>
      </c>
      <c r="Y38" s="16">
        <v>-14.941930000000001</v>
      </c>
      <c r="Z38" s="16">
        <v>-22.739099999999997</v>
      </c>
      <c r="AA38" s="16">
        <v>-16.134589999999999</v>
      </c>
      <c r="AB38" s="16">
        <v>-28.68308</v>
      </c>
      <c r="AC38" s="16">
        <v>-4.22288</v>
      </c>
      <c r="AD38" s="16">
        <v>3.4572699999999998</v>
      </c>
      <c r="AE38" s="16">
        <v>1.25017</v>
      </c>
      <c r="AF38" s="16">
        <v>-31.598890000000001</v>
      </c>
      <c r="AG38" s="16">
        <v>-2.0714899999999998</v>
      </c>
      <c r="AH38" s="16">
        <v>-5.8077399999999999</v>
      </c>
      <c r="AI38" s="46"/>
      <c r="AJ38" s="46"/>
      <c r="AK38" s="46"/>
      <c r="AL38" s="46"/>
      <c r="AM38" s="46"/>
      <c r="AN38" s="4"/>
      <c r="AO38" s="4"/>
      <c r="AP38" s="4"/>
      <c r="AQ38" s="4"/>
      <c r="AR38" s="4"/>
      <c r="AS38" s="4"/>
      <c r="AT38" s="4"/>
      <c r="AU38" s="4"/>
      <c r="AV38" s="4"/>
      <c r="AW38" s="4"/>
      <c r="AX38" s="4"/>
      <c r="AY38" s="4"/>
    </row>
    <row r="39" spans="1:51" ht="14.5" x14ac:dyDescent="0.35">
      <c r="A39" s="137">
        <f>YampaRiverInflow.TotalOutflow!A39</f>
        <v>47209</v>
      </c>
      <c r="B39" s="34">
        <v>-18.241</v>
      </c>
      <c r="C39" s="12">
        <v>-18.241</v>
      </c>
      <c r="D39" s="45">
        <v>-18.241</v>
      </c>
      <c r="E39" s="16">
        <v>-26.814439999999998</v>
      </c>
      <c r="F39" s="16">
        <v>-17.90917</v>
      </c>
      <c r="G39" s="16">
        <v>-28.635090000000002</v>
      </c>
      <c r="H39" s="16">
        <v>-14.1168</v>
      </c>
      <c r="I39" s="16">
        <v>-9.0910299999999999</v>
      </c>
      <c r="J39" s="16">
        <v>-22.383119999999998</v>
      </c>
      <c r="K39" s="16">
        <v>59.391539999999999</v>
      </c>
      <c r="L39" s="16">
        <v>-63.58173</v>
      </c>
      <c r="M39" s="16">
        <v>-14.289959999999999</v>
      </c>
      <c r="N39" s="16">
        <v>-18.956109999999999</v>
      </c>
      <c r="O39" s="16">
        <v>-4.1280000000000004E-2</v>
      </c>
      <c r="P39" s="16">
        <v>-19.869040000000002</v>
      </c>
      <c r="Q39" s="16">
        <v>-23.20046</v>
      </c>
      <c r="R39" s="16">
        <v>-19.820720000000001</v>
      </c>
      <c r="S39" s="16">
        <v>-9.1137800000000002</v>
      </c>
      <c r="T39" s="16">
        <v>-15.77689</v>
      </c>
      <c r="U39" s="16">
        <v>-19.864979999999999</v>
      </c>
      <c r="V39" s="16">
        <v>-16.396039999999999</v>
      </c>
      <c r="W39" s="16">
        <v>-26.008659999999999</v>
      </c>
      <c r="X39" s="16">
        <v>-22.024150000000002</v>
      </c>
      <c r="Y39" s="16">
        <v>-23.49466</v>
      </c>
      <c r="Z39" s="16">
        <v>-21.14265</v>
      </c>
      <c r="AA39" s="16">
        <v>-19.851419999999997</v>
      </c>
      <c r="AB39" s="16">
        <v>-28.04072</v>
      </c>
      <c r="AC39" s="16">
        <v>-6.6238900000000003</v>
      </c>
      <c r="AD39" s="16">
        <v>-4.0508199999999999</v>
      </c>
      <c r="AE39" s="16">
        <v>0.34855999999999998</v>
      </c>
      <c r="AF39" s="16">
        <v>-43.061860000000003</v>
      </c>
      <c r="AG39" s="16">
        <v>-23.281939999999999</v>
      </c>
      <c r="AH39" s="16">
        <v>-20.773990000000001</v>
      </c>
      <c r="AI39" s="46"/>
      <c r="AJ39" s="46"/>
      <c r="AK39" s="46"/>
      <c r="AL39" s="46"/>
      <c r="AM39" s="46"/>
      <c r="AN39" s="4"/>
      <c r="AO39" s="4"/>
      <c r="AP39" s="4"/>
      <c r="AQ39" s="4"/>
      <c r="AR39" s="4"/>
      <c r="AS39" s="4"/>
      <c r="AT39" s="4"/>
      <c r="AU39" s="4"/>
      <c r="AV39" s="4"/>
      <c r="AW39" s="4"/>
      <c r="AX39" s="4"/>
      <c r="AY39" s="4"/>
    </row>
    <row r="40" spans="1:51" ht="14.5" x14ac:dyDescent="0.35">
      <c r="A40" s="137">
        <f>YampaRiverInflow.TotalOutflow!A40</f>
        <v>47239</v>
      </c>
      <c r="B40" s="34">
        <v>-10.058</v>
      </c>
      <c r="C40" s="12">
        <v>-10.058</v>
      </c>
      <c r="D40" s="45">
        <v>-10.058</v>
      </c>
      <c r="E40" s="16">
        <v>-29.224029999999999</v>
      </c>
      <c r="F40" s="16">
        <v>-23.53134</v>
      </c>
      <c r="G40" s="16">
        <v>-2.7735700000000003</v>
      </c>
      <c r="H40" s="16">
        <v>-15.322940000000001</v>
      </c>
      <c r="I40" s="16">
        <v>-19.867259999999998</v>
      </c>
      <c r="J40" s="16">
        <v>-15.572929999999999</v>
      </c>
      <c r="K40" s="16">
        <v>36.142910000000001</v>
      </c>
      <c r="L40" s="16">
        <v>-3.1130999999999998</v>
      </c>
      <c r="M40" s="16">
        <v>-16.675549999999998</v>
      </c>
      <c r="N40" s="16">
        <v>-17.536919999999999</v>
      </c>
      <c r="O40" s="16">
        <v>-28.011310000000002</v>
      </c>
      <c r="P40" s="16">
        <v>-21.856310000000001</v>
      </c>
      <c r="Q40" s="16">
        <v>3.5355400000000001</v>
      </c>
      <c r="R40" s="16">
        <v>-23.032049999999998</v>
      </c>
      <c r="S40" s="16">
        <v>-27.275220000000001</v>
      </c>
      <c r="T40" s="16">
        <v>-11.566879999999999</v>
      </c>
      <c r="U40" s="16">
        <v>-26.851080000000003</v>
      </c>
      <c r="V40" s="16">
        <v>-16.472080000000002</v>
      </c>
      <c r="W40" s="16">
        <v>-21.851860000000002</v>
      </c>
      <c r="X40" s="16">
        <v>-22.571669999999997</v>
      </c>
      <c r="Y40" s="16">
        <v>-23.858180000000001</v>
      </c>
      <c r="Z40" s="16">
        <v>-18.369009999999999</v>
      </c>
      <c r="AA40" s="16">
        <v>-14.94468</v>
      </c>
      <c r="AB40" s="16">
        <v>-19.296259999999997</v>
      </c>
      <c r="AC40" s="16">
        <v>-17.438189999999999</v>
      </c>
      <c r="AD40" s="16">
        <v>-15.69408</v>
      </c>
      <c r="AE40" s="16">
        <v>-9.6890499999999999</v>
      </c>
      <c r="AF40" s="16">
        <v>-50.874790000000004</v>
      </c>
      <c r="AG40" s="16">
        <v>-27.428099999999997</v>
      </c>
      <c r="AH40" s="16">
        <v>-13.267719999999999</v>
      </c>
      <c r="AI40" s="46"/>
      <c r="AJ40" s="46"/>
      <c r="AK40" s="46"/>
      <c r="AL40" s="46"/>
      <c r="AM40" s="46"/>
      <c r="AN40" s="4"/>
      <c r="AO40" s="4"/>
      <c r="AP40" s="4"/>
      <c r="AQ40" s="4"/>
      <c r="AR40" s="4"/>
      <c r="AS40" s="4"/>
      <c r="AT40" s="4"/>
      <c r="AU40" s="4"/>
      <c r="AV40" s="4"/>
      <c r="AW40" s="4"/>
      <c r="AX40" s="4"/>
      <c r="AY40" s="4"/>
    </row>
    <row r="41" spans="1:51" ht="14.5" x14ac:dyDescent="0.35">
      <c r="A41" s="137">
        <f>YampaRiverInflow.TotalOutflow!A41</f>
        <v>47270</v>
      </c>
      <c r="B41" s="34">
        <v>-13.593999999999999</v>
      </c>
      <c r="C41" s="12">
        <v>-13.593999999999999</v>
      </c>
      <c r="D41" s="45">
        <v>-13.593999999999999</v>
      </c>
      <c r="E41" s="16">
        <v>-24.09413</v>
      </c>
      <c r="F41" s="16">
        <v>-28.66929</v>
      </c>
      <c r="G41" s="16">
        <v>-22.894779999999997</v>
      </c>
      <c r="H41" s="16">
        <v>-8.4372399999999992</v>
      </c>
      <c r="I41" s="16">
        <v>-15.65728</v>
      </c>
      <c r="J41" s="16">
        <v>-12.931179999999999</v>
      </c>
      <c r="K41" s="16">
        <v>-18.715900000000001</v>
      </c>
      <c r="L41" s="16">
        <v>-17.61956</v>
      </c>
      <c r="M41" s="16">
        <v>-9.7447199999999992</v>
      </c>
      <c r="N41" s="16">
        <v>-3.1937099999999998</v>
      </c>
      <c r="O41" s="16">
        <v>-11.334670000000001</v>
      </c>
      <c r="P41" s="16">
        <v>-18.532310000000003</v>
      </c>
      <c r="Q41" s="16">
        <v>1.92611</v>
      </c>
      <c r="R41" s="16">
        <v>-21.110040000000001</v>
      </c>
      <c r="S41" s="16">
        <v>-19.540299999999998</v>
      </c>
      <c r="T41" s="16">
        <v>-15.975790000000002</v>
      </c>
      <c r="U41" s="16">
        <v>-32.847480000000004</v>
      </c>
      <c r="V41" s="16">
        <v>-21.42004</v>
      </c>
      <c r="W41" s="16">
        <v>-30.22063</v>
      </c>
      <c r="X41" s="16">
        <v>-27.89715</v>
      </c>
      <c r="Y41" s="16">
        <v>-31.396319999999999</v>
      </c>
      <c r="Z41" s="16">
        <v>-29.21951</v>
      </c>
      <c r="AA41" s="16">
        <v>-25.421259999999997</v>
      </c>
      <c r="AB41" s="16">
        <v>-17.919930000000001</v>
      </c>
      <c r="AC41" s="16">
        <v>-30.92728</v>
      </c>
      <c r="AD41" s="16">
        <v>-23.747820000000001</v>
      </c>
      <c r="AE41" s="16">
        <v>-21.322800000000001</v>
      </c>
      <c r="AF41" s="16">
        <v>-59.346059999999994</v>
      </c>
      <c r="AG41" s="16">
        <v>-32.015830000000001</v>
      </c>
      <c r="AH41" s="16">
        <v>-5.7221099999999998</v>
      </c>
      <c r="AI41" s="46"/>
      <c r="AJ41" s="46"/>
      <c r="AK41" s="46"/>
      <c r="AL41" s="46"/>
      <c r="AM41" s="46"/>
      <c r="AN41" s="4"/>
      <c r="AO41" s="4"/>
      <c r="AP41" s="4"/>
      <c r="AQ41" s="4"/>
      <c r="AR41" s="4"/>
      <c r="AS41" s="4"/>
      <c r="AT41" s="4"/>
      <c r="AU41" s="4"/>
      <c r="AV41" s="4"/>
      <c r="AW41" s="4"/>
      <c r="AX41" s="4"/>
      <c r="AY41" s="4"/>
    </row>
    <row r="42" spans="1:51" ht="14.5" x14ac:dyDescent="0.35">
      <c r="A42" s="137">
        <f>YampaRiverInflow.TotalOutflow!A42</f>
        <v>47300</v>
      </c>
      <c r="B42" s="34">
        <v>-18.728999999999999</v>
      </c>
      <c r="C42" s="12">
        <v>-18.728999999999999</v>
      </c>
      <c r="D42" s="45">
        <v>-18.728999999999999</v>
      </c>
      <c r="E42" s="16">
        <v>-23.899249999999999</v>
      </c>
      <c r="F42" s="16">
        <v>-20.626099999999997</v>
      </c>
      <c r="G42" s="16">
        <v>-10.398209999999999</v>
      </c>
      <c r="H42" s="16">
        <v>-10.19393</v>
      </c>
      <c r="I42" s="16">
        <v>-18.311769999999999</v>
      </c>
      <c r="J42" s="16">
        <v>-15.302760000000001</v>
      </c>
      <c r="K42" s="16">
        <v>-25.186910000000001</v>
      </c>
      <c r="L42" s="16">
        <v>-26.149759999999997</v>
      </c>
      <c r="M42" s="16">
        <v>-18.206589999999998</v>
      </c>
      <c r="N42" s="16">
        <v>-16.932770000000001</v>
      </c>
      <c r="O42" s="16">
        <v>-11.23888</v>
      </c>
      <c r="P42" s="16">
        <v>-14.996259999999999</v>
      </c>
      <c r="Q42" s="16">
        <v>3.59327</v>
      </c>
      <c r="R42" s="16">
        <v>-18.765970000000003</v>
      </c>
      <c r="S42" s="16">
        <v>-11.523569999999999</v>
      </c>
      <c r="T42" s="16">
        <v>-7.7080399999999996</v>
      </c>
      <c r="U42" s="16">
        <v>-27.048749999999998</v>
      </c>
      <c r="V42" s="16">
        <v>-22.246220000000001</v>
      </c>
      <c r="W42" s="16">
        <v>-21.478169999999999</v>
      </c>
      <c r="X42" s="16">
        <v>-36.614269999999998</v>
      </c>
      <c r="Y42" s="16">
        <v>-22.211980000000001</v>
      </c>
      <c r="Z42" s="16">
        <v>-27.412610000000001</v>
      </c>
      <c r="AA42" s="16">
        <v>-37.642650000000003</v>
      </c>
      <c r="AB42" s="16">
        <v>-16.347709999999999</v>
      </c>
      <c r="AC42" s="16">
        <v>-19.617069999999998</v>
      </c>
      <c r="AD42" s="16">
        <v>-22.699870000000001</v>
      </c>
      <c r="AE42" s="16">
        <v>-17.179880000000001</v>
      </c>
      <c r="AF42" s="16">
        <v>-47.634029999999996</v>
      </c>
      <c r="AG42" s="16">
        <v>-43.163139999999999</v>
      </c>
      <c r="AH42" s="16">
        <v>-27.084130000000002</v>
      </c>
      <c r="AI42" s="46"/>
      <c r="AJ42" s="46"/>
      <c r="AK42" s="46"/>
      <c r="AL42" s="46"/>
      <c r="AM42" s="46"/>
      <c r="AN42" s="4"/>
      <c r="AO42" s="4"/>
      <c r="AP42" s="4"/>
      <c r="AQ42" s="4"/>
      <c r="AR42" s="4"/>
      <c r="AS42" s="4"/>
      <c r="AT42" s="4"/>
      <c r="AU42" s="4"/>
      <c r="AV42" s="4"/>
      <c r="AW42" s="4"/>
      <c r="AX42" s="4"/>
      <c r="AY42" s="4"/>
    </row>
    <row r="43" spans="1:51" ht="14.5" x14ac:dyDescent="0.35">
      <c r="A43" s="137">
        <f>YampaRiverInflow.TotalOutflow!A43</f>
        <v>47331</v>
      </c>
      <c r="B43" s="34">
        <v>-12.797000000000001</v>
      </c>
      <c r="C43" s="12">
        <v>-12.797000000000001</v>
      </c>
      <c r="D43" s="45">
        <v>-12.797000000000001</v>
      </c>
      <c r="E43" s="16">
        <v>-28.243020000000001</v>
      </c>
      <c r="F43" s="16">
        <v>-38.875269999999993</v>
      </c>
      <c r="G43" s="16">
        <v>-10.18477</v>
      </c>
      <c r="H43" s="16">
        <v>-3.4436999999999998</v>
      </c>
      <c r="I43" s="16">
        <v>-18.58174</v>
      </c>
      <c r="J43" s="16">
        <v>-17.12154</v>
      </c>
      <c r="K43" s="16">
        <v>-17.84836</v>
      </c>
      <c r="L43" s="16">
        <v>-12.213329999999999</v>
      </c>
      <c r="M43" s="16">
        <v>-14.071669999999999</v>
      </c>
      <c r="N43" s="16">
        <v>-7.6597600000000003</v>
      </c>
      <c r="O43" s="16">
        <v>-9.9216899999999999</v>
      </c>
      <c r="P43" s="16">
        <v>-9.8270400000000002</v>
      </c>
      <c r="Q43" s="16">
        <v>0.95716999999999997</v>
      </c>
      <c r="R43" s="16">
        <v>-13.4948</v>
      </c>
      <c r="S43" s="16">
        <v>-10.937709999999999</v>
      </c>
      <c r="T43" s="16">
        <v>-14.345180000000001</v>
      </c>
      <c r="U43" s="16">
        <v>-20.569520000000001</v>
      </c>
      <c r="V43" s="16">
        <v>-13.446770000000001</v>
      </c>
      <c r="W43" s="16">
        <v>-16.82076</v>
      </c>
      <c r="X43" s="16">
        <v>-22.761310000000002</v>
      </c>
      <c r="Y43" s="16">
        <v>-12.675990000000001</v>
      </c>
      <c r="Z43" s="16">
        <v>-23.720400000000001</v>
      </c>
      <c r="AA43" s="16">
        <v>-20.238779999999998</v>
      </c>
      <c r="AB43" s="16">
        <v>-16.907869999999999</v>
      </c>
      <c r="AC43" s="16">
        <v>-20.437060000000002</v>
      </c>
      <c r="AD43" s="16">
        <v>-18.531770000000002</v>
      </c>
      <c r="AE43" s="16">
        <v>-17.41047</v>
      </c>
      <c r="AF43" s="16">
        <v>-38.691830000000003</v>
      </c>
      <c r="AG43" s="16">
        <v>-40.59751</v>
      </c>
      <c r="AH43" s="16">
        <v>-10.537649999999999</v>
      </c>
      <c r="AI43" s="46"/>
      <c r="AJ43" s="46"/>
      <c r="AK43" s="46"/>
      <c r="AL43" s="46"/>
      <c r="AM43" s="46"/>
      <c r="AN43" s="4"/>
      <c r="AO43" s="4"/>
      <c r="AP43" s="4"/>
      <c r="AQ43" s="4"/>
      <c r="AR43" s="4"/>
      <c r="AS43" s="4"/>
      <c r="AT43" s="4"/>
      <c r="AU43" s="4"/>
      <c r="AV43" s="4"/>
      <c r="AW43" s="4"/>
      <c r="AX43" s="4"/>
      <c r="AY43" s="4"/>
    </row>
    <row r="44" spans="1:51" ht="14.5" x14ac:dyDescent="0.35">
      <c r="A44" s="137">
        <f>YampaRiverInflow.TotalOutflow!A44</f>
        <v>47362</v>
      </c>
      <c r="B44" s="34">
        <v>-3.5750000000000002</v>
      </c>
      <c r="C44" s="12">
        <v>-3.5750000000000002</v>
      </c>
      <c r="D44" s="45">
        <v>-3.5750000000000002</v>
      </c>
      <c r="E44" s="16">
        <v>-2.5803499999999997</v>
      </c>
      <c r="F44" s="16">
        <v>1.2362299999999999</v>
      </c>
      <c r="G44" s="16">
        <v>-6.8090299999999999</v>
      </c>
      <c r="H44" s="16">
        <v>2.4422899999999998</v>
      </c>
      <c r="I44" s="16">
        <v>-15.388030000000001</v>
      </c>
      <c r="J44" s="16">
        <v>3.0395700000000003</v>
      </c>
      <c r="K44" s="16">
        <v>-6.1195399999999998</v>
      </c>
      <c r="L44" s="16">
        <v>-6.2437700000000005</v>
      </c>
      <c r="M44" s="16">
        <v>-1.99848</v>
      </c>
      <c r="N44" s="16">
        <v>-6.6900600000000008</v>
      </c>
      <c r="O44" s="16">
        <v>0.25474000000000002</v>
      </c>
      <c r="P44" s="16">
        <v>-8.8620400000000004</v>
      </c>
      <c r="Q44" s="16">
        <v>-3.0682</v>
      </c>
      <c r="R44" s="16">
        <v>-5.7606200000000003</v>
      </c>
      <c r="S44" s="16">
        <v>0.47227999999999998</v>
      </c>
      <c r="T44" s="16">
        <v>-4.20695</v>
      </c>
      <c r="U44" s="16">
        <v>-6.3936400000000004</v>
      </c>
      <c r="V44" s="16">
        <v>-9.4515100000000007</v>
      </c>
      <c r="W44" s="16">
        <v>-9.5977199999999989</v>
      </c>
      <c r="X44" s="16">
        <v>-16.26549</v>
      </c>
      <c r="Y44" s="16">
        <v>-9.5290599999999994</v>
      </c>
      <c r="Z44" s="16">
        <v>-19.450950000000002</v>
      </c>
      <c r="AA44" s="16">
        <v>-20.921619999999997</v>
      </c>
      <c r="AB44" s="16">
        <v>-14.65705</v>
      </c>
      <c r="AC44" s="16">
        <v>-15.921899999999999</v>
      </c>
      <c r="AD44" s="16">
        <v>-21.619810000000001</v>
      </c>
      <c r="AE44" s="16">
        <v>-5.9765299999999995</v>
      </c>
      <c r="AF44" s="16">
        <v>-30.643849999999997</v>
      </c>
      <c r="AG44" s="16">
        <v>-16.40672</v>
      </c>
      <c r="AH44" s="16">
        <v>1.02725</v>
      </c>
      <c r="AI44" s="46"/>
      <c r="AJ44" s="46"/>
      <c r="AK44" s="46"/>
      <c r="AL44" s="46"/>
      <c r="AM44" s="46"/>
      <c r="AN44" s="4"/>
      <c r="AO44" s="4"/>
      <c r="AP44" s="4"/>
      <c r="AQ44" s="4"/>
      <c r="AR44" s="4"/>
      <c r="AS44" s="4"/>
      <c r="AT44" s="4"/>
      <c r="AU44" s="4"/>
      <c r="AV44" s="4"/>
      <c r="AW44" s="4"/>
      <c r="AX44" s="4"/>
      <c r="AY44" s="4"/>
    </row>
    <row r="45" spans="1:51" ht="14.5" x14ac:dyDescent="0.35">
      <c r="A45" s="137">
        <f>YampaRiverInflow.TotalOutflow!A45</f>
        <v>47392</v>
      </c>
      <c r="B45" s="34">
        <v>-6.3259999999999996</v>
      </c>
      <c r="C45" s="12">
        <v>-6.3259999999999996</v>
      </c>
      <c r="D45" s="45">
        <v>-6.3259999999999996</v>
      </c>
      <c r="E45" s="16">
        <v>-8.8123100000000001</v>
      </c>
      <c r="F45" s="16">
        <v>-11.13649</v>
      </c>
      <c r="G45" s="16">
        <v>6.3886599999999998</v>
      </c>
      <c r="H45" s="16">
        <v>0.57689999999999997</v>
      </c>
      <c r="I45" s="16">
        <v>-16.89283</v>
      </c>
      <c r="J45" s="16">
        <v>8.3119599999999991</v>
      </c>
      <c r="K45" s="16">
        <v>-6.4643699999999997</v>
      </c>
      <c r="L45" s="16">
        <v>8.5244999999999997</v>
      </c>
      <c r="M45" s="16">
        <v>6.7957299999999998</v>
      </c>
      <c r="N45" s="16">
        <v>2.22281</v>
      </c>
      <c r="O45" s="16">
        <v>14.7875</v>
      </c>
      <c r="P45" s="16">
        <v>16.688839999999999</v>
      </c>
      <c r="Q45" s="16">
        <v>16.133759999999999</v>
      </c>
      <c r="R45" s="16">
        <v>-1.7467300000000001</v>
      </c>
      <c r="S45" s="16">
        <v>-7.6018800000000004</v>
      </c>
      <c r="T45" s="16">
        <v>-8.6028099999999998</v>
      </c>
      <c r="U45" s="16">
        <v>1.7289000000000001</v>
      </c>
      <c r="V45" s="16">
        <v>2.0648499999999999</v>
      </c>
      <c r="W45" s="16">
        <v>-9.3043399999999998</v>
      </c>
      <c r="X45" s="16">
        <v>-14.40264</v>
      </c>
      <c r="Y45" s="16">
        <v>4.5734599999999999</v>
      </c>
      <c r="Z45" s="16">
        <v>-10.345000000000001</v>
      </c>
      <c r="AA45" s="16">
        <v>-10.817909999999999</v>
      </c>
      <c r="AB45" s="16">
        <v>-4.6761099999999995</v>
      </c>
      <c r="AC45" s="16">
        <v>-11.80575</v>
      </c>
      <c r="AD45" s="16">
        <v>-24.372349999999997</v>
      </c>
      <c r="AE45" s="16">
        <v>-12.45984</v>
      </c>
      <c r="AF45" s="16">
        <v>-31.00582</v>
      </c>
      <c r="AG45" s="16">
        <v>-11.16733</v>
      </c>
      <c r="AH45" s="16">
        <v>-10.75211</v>
      </c>
      <c r="AI45" s="46"/>
      <c r="AJ45" s="46"/>
      <c r="AK45" s="46"/>
      <c r="AL45" s="46"/>
      <c r="AM45" s="46"/>
      <c r="AN45" s="4"/>
      <c r="AO45" s="4"/>
      <c r="AP45" s="4"/>
      <c r="AQ45" s="4"/>
      <c r="AR45" s="4"/>
      <c r="AS45" s="4"/>
      <c r="AT45" s="4"/>
      <c r="AU45" s="4"/>
      <c r="AV45" s="4"/>
      <c r="AW45" s="4"/>
      <c r="AX45" s="4"/>
      <c r="AY45" s="4"/>
    </row>
    <row r="46" spans="1:51" ht="14.5" x14ac:dyDescent="0.35">
      <c r="A46" s="137">
        <f>YampaRiverInflow.TotalOutflow!A46</f>
        <v>47423</v>
      </c>
      <c r="B46" s="34">
        <v>-7.3849999999999998</v>
      </c>
      <c r="C46" s="12">
        <v>-7.3849999999999998</v>
      </c>
      <c r="D46" s="45">
        <v>-7.3849999999999998</v>
      </c>
      <c r="E46" s="16">
        <v>-36.179300000000005</v>
      </c>
      <c r="F46" s="16">
        <v>8.1603399999999997</v>
      </c>
      <c r="G46" s="16">
        <v>12.20392</v>
      </c>
      <c r="H46" s="16">
        <v>-3.8944000000000001</v>
      </c>
      <c r="I46" s="16">
        <v>-16.175889999999999</v>
      </c>
      <c r="J46" s="16">
        <v>1.6593800000000001</v>
      </c>
      <c r="K46" s="16">
        <v>20.026259999999997</v>
      </c>
      <c r="L46" s="16">
        <v>5.5409600000000001</v>
      </c>
      <c r="M46" s="16">
        <v>2.2822300000000002</v>
      </c>
      <c r="N46" s="16">
        <v>3.49756</v>
      </c>
      <c r="O46" s="16">
        <v>-4.8821300000000001</v>
      </c>
      <c r="P46" s="16">
        <v>-22.19115</v>
      </c>
      <c r="Q46" s="16">
        <v>18.74352</v>
      </c>
      <c r="R46" s="16">
        <v>-2.6594799999999998</v>
      </c>
      <c r="S46" s="16">
        <v>-8.661290000000001</v>
      </c>
      <c r="T46" s="16">
        <v>-11.716149999999999</v>
      </c>
      <c r="U46" s="16">
        <v>-22.90878</v>
      </c>
      <c r="V46" s="16">
        <v>-6.5478900000000007</v>
      </c>
      <c r="W46" s="16">
        <v>-5.5670399999999995</v>
      </c>
      <c r="X46" s="16">
        <v>6.0877700000000008</v>
      </c>
      <c r="Y46" s="16">
        <v>-1.5540799999999999</v>
      </c>
      <c r="Z46" s="16">
        <v>-10.62641</v>
      </c>
      <c r="AA46" s="16">
        <v>-22.082069999999998</v>
      </c>
      <c r="AB46" s="16">
        <v>-11.88527</v>
      </c>
      <c r="AC46" s="16">
        <v>-24.302009999999999</v>
      </c>
      <c r="AD46" s="16">
        <v>2.60358</v>
      </c>
      <c r="AE46" s="16">
        <v>-27.814820000000001</v>
      </c>
      <c r="AF46" s="16">
        <v>-19.64039</v>
      </c>
      <c r="AG46" s="16">
        <v>-15.421670000000001</v>
      </c>
      <c r="AH46" s="16">
        <v>-5.2225299999999999</v>
      </c>
      <c r="AI46" s="46"/>
      <c r="AJ46" s="46"/>
      <c r="AK46" s="46"/>
      <c r="AL46" s="46"/>
      <c r="AM46" s="46"/>
      <c r="AN46" s="4"/>
      <c r="AO46" s="4"/>
      <c r="AP46" s="4"/>
      <c r="AQ46" s="4"/>
      <c r="AR46" s="4"/>
      <c r="AS46" s="4"/>
      <c r="AT46" s="4"/>
      <c r="AU46" s="4"/>
      <c r="AV46" s="4"/>
      <c r="AW46" s="4"/>
      <c r="AX46" s="4"/>
      <c r="AY46" s="4"/>
    </row>
    <row r="47" spans="1:51" ht="14.5" x14ac:dyDescent="0.35">
      <c r="A47" s="137">
        <f>YampaRiverInflow.TotalOutflow!A47</f>
        <v>47453</v>
      </c>
      <c r="B47" s="34">
        <v>-2.0270000000000001</v>
      </c>
      <c r="C47" s="12">
        <v>-2.0270000000000001</v>
      </c>
      <c r="D47" s="45">
        <v>-2.0270000000000001</v>
      </c>
      <c r="E47" s="16">
        <v>-16.591180000000001</v>
      </c>
      <c r="F47" s="16">
        <v>0.89049999999999996</v>
      </c>
      <c r="G47" s="16">
        <v>-2.2057500000000001</v>
      </c>
      <c r="H47" s="16">
        <v>-30.885999999999999</v>
      </c>
      <c r="I47" s="16">
        <v>-18.987929999999999</v>
      </c>
      <c r="J47" s="16">
        <v>-15.285489999999999</v>
      </c>
      <c r="K47" s="16">
        <v>-11.96585</v>
      </c>
      <c r="L47" s="16">
        <v>-8.4787599999999994</v>
      </c>
      <c r="M47" s="16">
        <v>-5.5878900000000007</v>
      </c>
      <c r="N47" s="16">
        <v>-3.42475</v>
      </c>
      <c r="O47" s="16">
        <v>-8.0102100000000007</v>
      </c>
      <c r="P47" s="16">
        <v>-2.9604699999999999</v>
      </c>
      <c r="Q47" s="16">
        <v>8.1728400000000008</v>
      </c>
      <c r="R47" s="16">
        <v>-9.531229999999999</v>
      </c>
      <c r="S47" s="16">
        <v>-7.5190400000000004</v>
      </c>
      <c r="T47" s="16">
        <v>-17.699780000000001</v>
      </c>
      <c r="U47" s="16">
        <v>-8.1265999999999998</v>
      </c>
      <c r="V47" s="16">
        <v>-21.882480000000001</v>
      </c>
      <c r="W47" s="16">
        <v>-0.56415999999999999</v>
      </c>
      <c r="X47" s="16">
        <v>-3.9737100000000001</v>
      </c>
      <c r="Y47" s="16">
        <v>3.1901899999999999</v>
      </c>
      <c r="Z47" s="16">
        <v>-6.7791199999999998</v>
      </c>
      <c r="AA47" s="16">
        <v>-12.66384</v>
      </c>
      <c r="AB47" s="16">
        <v>-11.72982</v>
      </c>
      <c r="AC47" s="16">
        <v>-8.6976899999999997</v>
      </c>
      <c r="AD47" s="16">
        <v>3.13713</v>
      </c>
      <c r="AE47" s="16">
        <v>-2.83372</v>
      </c>
      <c r="AF47" s="16">
        <v>-8.5674299999999999</v>
      </c>
      <c r="AG47" s="16">
        <v>-15.724969999999999</v>
      </c>
      <c r="AH47" s="16">
        <v>-11.221879999999999</v>
      </c>
      <c r="AI47" s="46"/>
      <c r="AJ47" s="46"/>
      <c r="AK47" s="46"/>
      <c r="AL47" s="46"/>
      <c r="AM47" s="46"/>
      <c r="AN47" s="4"/>
      <c r="AO47" s="4"/>
      <c r="AP47" s="4"/>
      <c r="AQ47" s="4"/>
      <c r="AR47" s="4"/>
      <c r="AS47" s="4"/>
      <c r="AT47" s="4"/>
      <c r="AU47" s="4"/>
      <c r="AV47" s="4"/>
      <c r="AW47" s="4"/>
      <c r="AX47" s="4"/>
      <c r="AY47" s="4"/>
    </row>
    <row r="48" spans="1:51" ht="14.5" x14ac:dyDescent="0.35">
      <c r="A48" s="137">
        <f>YampaRiverInflow.TotalOutflow!A48</f>
        <v>47484</v>
      </c>
      <c r="B48" s="34">
        <v>-4.968</v>
      </c>
      <c r="C48" s="12">
        <v>-4.968</v>
      </c>
      <c r="D48" s="45">
        <v>-4.968</v>
      </c>
      <c r="E48" s="16">
        <v>-9.2530000000000001</v>
      </c>
      <c r="F48" s="16">
        <v>-2.6761900000000001</v>
      </c>
      <c r="G48" s="16">
        <v>-10.645389999999999</v>
      </c>
      <c r="H48" s="16">
        <v>-24.767759999999999</v>
      </c>
      <c r="I48" s="16">
        <v>-19.95645</v>
      </c>
      <c r="J48" s="16">
        <v>-6.7551600000000001</v>
      </c>
      <c r="K48" s="16">
        <v>3.6644800000000002</v>
      </c>
      <c r="L48" s="16">
        <v>-8.1808599999999991</v>
      </c>
      <c r="M48" s="16">
        <v>-6.9567299999999994</v>
      </c>
      <c r="N48" s="16">
        <v>-10.40982</v>
      </c>
      <c r="O48" s="16">
        <v>0.62288999999999994</v>
      </c>
      <c r="P48" s="16">
        <v>-24.679400000000001</v>
      </c>
      <c r="Q48" s="16">
        <v>-9.1849699999999999</v>
      </c>
      <c r="R48" s="16">
        <v>-14.851360000000001</v>
      </c>
      <c r="S48" s="16">
        <v>-13.8294</v>
      </c>
      <c r="T48" s="16">
        <v>-10.89728</v>
      </c>
      <c r="U48" s="16">
        <v>-7.2114099999999999</v>
      </c>
      <c r="V48" s="16">
        <v>-22.53942</v>
      </c>
      <c r="W48" s="16">
        <v>-9.4303899999999992</v>
      </c>
      <c r="X48" s="16">
        <v>-6.6437100000000004</v>
      </c>
      <c r="Y48" s="16">
        <v>-17.863379999999999</v>
      </c>
      <c r="Z48" s="16">
        <v>-30.41215</v>
      </c>
      <c r="AA48" s="16">
        <v>-21.799250000000001</v>
      </c>
      <c r="AB48" s="16">
        <v>1.50478</v>
      </c>
      <c r="AC48" s="16">
        <v>-28.800259999999998</v>
      </c>
      <c r="AD48" s="16">
        <v>-7.3329999999999992E-2</v>
      </c>
      <c r="AE48" s="16">
        <v>-10.749919999999999</v>
      </c>
      <c r="AF48" s="16">
        <v>-9.7509899999999998</v>
      </c>
      <c r="AG48" s="16">
        <v>-7.9319700000000006</v>
      </c>
      <c r="AH48" s="16">
        <v>-0.54016999999999993</v>
      </c>
      <c r="AI48" s="46"/>
      <c r="AJ48" s="46"/>
      <c r="AK48" s="46"/>
      <c r="AL48" s="46"/>
      <c r="AM48" s="46"/>
      <c r="AN48" s="4"/>
      <c r="AO48" s="4"/>
      <c r="AP48" s="4"/>
      <c r="AQ48" s="4"/>
      <c r="AR48" s="4"/>
      <c r="AS48" s="4"/>
      <c r="AT48" s="4"/>
      <c r="AU48" s="4"/>
      <c r="AV48" s="4"/>
      <c r="AW48" s="4"/>
      <c r="AX48" s="4"/>
      <c r="AY48" s="4"/>
    </row>
    <row r="49" spans="1:1005" ht="14.5" x14ac:dyDescent="0.35">
      <c r="A49" s="137">
        <f>YampaRiverInflow.TotalOutflow!A49</f>
        <v>47515</v>
      </c>
      <c r="B49" s="34">
        <v>-14.456</v>
      </c>
      <c r="C49" s="12">
        <v>-14.456</v>
      </c>
      <c r="D49" s="45">
        <v>-14.456</v>
      </c>
      <c r="E49" s="16">
        <v>-5.5460399999999996</v>
      </c>
      <c r="F49" s="16">
        <v>-19.460819999999998</v>
      </c>
      <c r="G49" s="16">
        <v>-16.715619999999998</v>
      </c>
      <c r="H49" s="16">
        <v>14.064540000000001</v>
      </c>
      <c r="I49" s="16">
        <v>-15.41591</v>
      </c>
      <c r="J49" s="16">
        <v>-12.96556</v>
      </c>
      <c r="K49" s="16">
        <v>-9.5933500000000009</v>
      </c>
      <c r="L49" s="16">
        <v>-8.6650200000000002</v>
      </c>
      <c r="M49" s="16">
        <v>-4.5227200000000005</v>
      </c>
      <c r="N49" s="16">
        <v>-7.0445699999999993</v>
      </c>
      <c r="O49" s="16">
        <v>0.31457000000000002</v>
      </c>
      <c r="P49" s="16">
        <v>-9.0514200000000002</v>
      </c>
      <c r="Q49" s="16">
        <v>-9.2945599999999988</v>
      </c>
      <c r="R49" s="16">
        <v>-5.9604300000000006</v>
      </c>
      <c r="S49" s="16">
        <v>-8.6297999999999995</v>
      </c>
      <c r="T49" s="16">
        <v>-7.7912100000000004</v>
      </c>
      <c r="U49" s="16">
        <v>-10.988049999999999</v>
      </c>
      <c r="V49" s="16">
        <v>-19.275569999999998</v>
      </c>
      <c r="W49" s="16">
        <v>-12.945889999999999</v>
      </c>
      <c r="X49" s="16">
        <v>-22.459019999999999</v>
      </c>
      <c r="Y49" s="16">
        <v>-10.986780000000001</v>
      </c>
      <c r="Z49" s="16">
        <v>-22.574740000000002</v>
      </c>
      <c r="AA49" s="16">
        <v>-15.92117</v>
      </c>
      <c r="AB49" s="16">
        <v>-3.3474699999999999</v>
      </c>
      <c r="AC49" s="16">
        <v>-6.9009499999999999</v>
      </c>
      <c r="AD49" s="16">
        <v>-3.6037600000000003</v>
      </c>
      <c r="AE49" s="16">
        <v>-22.41188</v>
      </c>
      <c r="AF49" s="16">
        <v>-6.0861999999999998</v>
      </c>
      <c r="AG49" s="16">
        <v>8.8889200000000006</v>
      </c>
      <c r="AH49" s="16">
        <v>-7.9001400000000004</v>
      </c>
      <c r="AI49" s="46"/>
      <c r="AJ49" s="46"/>
      <c r="AK49" s="46"/>
      <c r="AL49" s="46"/>
      <c r="AM49" s="46"/>
      <c r="AN49" s="4"/>
      <c r="AO49" s="4"/>
      <c r="AP49" s="4"/>
      <c r="AQ49" s="4"/>
      <c r="AR49" s="4"/>
      <c r="AS49" s="4"/>
      <c r="AT49" s="4"/>
      <c r="AU49" s="4"/>
      <c r="AV49" s="4"/>
      <c r="AW49" s="4"/>
      <c r="AX49" s="4"/>
      <c r="AY49" s="4"/>
    </row>
    <row r="50" spans="1:1005" ht="14.5" x14ac:dyDescent="0.35">
      <c r="A50" s="137">
        <f>YampaRiverInflow.TotalOutflow!A50</f>
        <v>47543</v>
      </c>
      <c r="B50" s="34">
        <v>-14.478</v>
      </c>
      <c r="C50" s="12">
        <v>-14.478</v>
      </c>
      <c r="D50" s="45">
        <v>-14.478</v>
      </c>
      <c r="E50" s="16">
        <v>-21.368179999999999</v>
      </c>
      <c r="F50" s="16">
        <v>-10.980540000000001</v>
      </c>
      <c r="G50" s="16">
        <v>-22.592410000000001</v>
      </c>
      <c r="H50" s="16">
        <v>-41.335809999999995</v>
      </c>
      <c r="I50" s="16">
        <v>-20.545960000000001</v>
      </c>
      <c r="J50" s="16">
        <v>-14.699110000000001</v>
      </c>
      <c r="K50" s="16">
        <v>-44.778870000000005</v>
      </c>
      <c r="L50" s="16">
        <v>-10.86153</v>
      </c>
      <c r="M50" s="16">
        <v>-10.544040000000001</v>
      </c>
      <c r="N50" s="16">
        <v>-16.42557</v>
      </c>
      <c r="O50" s="16">
        <v>-14.93465</v>
      </c>
      <c r="P50" s="16">
        <v>-15.63274</v>
      </c>
      <c r="Q50" s="16">
        <v>-16.15907</v>
      </c>
      <c r="R50" s="16">
        <v>-15.25135</v>
      </c>
      <c r="S50" s="16">
        <v>-17.034509999999997</v>
      </c>
      <c r="T50" s="16">
        <v>-21.14264</v>
      </c>
      <c r="U50" s="16">
        <v>-13.394159999999999</v>
      </c>
      <c r="V50" s="16">
        <v>-24.728169999999999</v>
      </c>
      <c r="W50" s="16">
        <v>-12.946339999999999</v>
      </c>
      <c r="X50" s="16">
        <v>-14.941930000000001</v>
      </c>
      <c r="Y50" s="16">
        <v>-22.739099999999997</v>
      </c>
      <c r="Z50" s="16">
        <v>-16.134589999999999</v>
      </c>
      <c r="AA50" s="16">
        <v>-28.68308</v>
      </c>
      <c r="AB50" s="16">
        <v>-4.22288</v>
      </c>
      <c r="AC50" s="16">
        <v>3.4572699999999998</v>
      </c>
      <c r="AD50" s="16">
        <v>1.25017</v>
      </c>
      <c r="AE50" s="16">
        <v>-31.598890000000001</v>
      </c>
      <c r="AF50" s="16">
        <v>-2.0714899999999998</v>
      </c>
      <c r="AG50" s="16">
        <v>-5.8077399999999999</v>
      </c>
      <c r="AH50" s="16">
        <v>-25.490770000000001</v>
      </c>
      <c r="AI50" s="46"/>
      <c r="AJ50" s="46"/>
      <c r="AK50" s="46"/>
      <c r="AL50" s="46"/>
      <c r="AM50" s="46"/>
      <c r="AN50" s="4"/>
      <c r="AO50" s="4"/>
      <c r="AP50" s="4"/>
      <c r="AQ50" s="4"/>
      <c r="AR50" s="4"/>
      <c r="AS50" s="4"/>
      <c r="AT50" s="4"/>
      <c r="AU50" s="4"/>
      <c r="AV50" s="4"/>
      <c r="AW50" s="4"/>
      <c r="AX50" s="4"/>
      <c r="AY50" s="4"/>
    </row>
    <row r="51" spans="1:1005" ht="14.5" x14ac:dyDescent="0.35">
      <c r="A51" s="137">
        <f>YampaRiverInflow.TotalOutflow!A51</f>
        <v>47574</v>
      </c>
      <c r="B51" s="34">
        <v>-18.241</v>
      </c>
      <c r="C51" s="12">
        <v>-18.241</v>
      </c>
      <c r="D51" s="45">
        <v>-18.241</v>
      </c>
      <c r="E51" s="16">
        <v>-17.90917</v>
      </c>
      <c r="F51" s="16">
        <v>-28.635090000000002</v>
      </c>
      <c r="G51" s="16">
        <v>-14.1168</v>
      </c>
      <c r="H51" s="16">
        <v>-9.0910299999999999</v>
      </c>
      <c r="I51" s="16">
        <v>-22.383119999999998</v>
      </c>
      <c r="J51" s="16">
        <v>59.391539999999999</v>
      </c>
      <c r="K51" s="16">
        <v>-63.58173</v>
      </c>
      <c r="L51" s="16">
        <v>-14.289959999999999</v>
      </c>
      <c r="M51" s="16">
        <v>-18.956109999999999</v>
      </c>
      <c r="N51" s="16">
        <v>-4.1280000000000004E-2</v>
      </c>
      <c r="O51" s="16">
        <v>-19.869040000000002</v>
      </c>
      <c r="P51" s="16">
        <v>-23.20046</v>
      </c>
      <c r="Q51" s="16">
        <v>-19.820720000000001</v>
      </c>
      <c r="R51" s="16">
        <v>-9.1137800000000002</v>
      </c>
      <c r="S51" s="16">
        <v>-15.77689</v>
      </c>
      <c r="T51" s="16">
        <v>-19.864979999999999</v>
      </c>
      <c r="U51" s="16">
        <v>-16.396039999999999</v>
      </c>
      <c r="V51" s="16">
        <v>-26.008659999999999</v>
      </c>
      <c r="W51" s="16">
        <v>-22.024150000000002</v>
      </c>
      <c r="X51" s="16">
        <v>-23.49466</v>
      </c>
      <c r="Y51" s="16">
        <v>-21.14265</v>
      </c>
      <c r="Z51" s="16">
        <v>-19.851419999999997</v>
      </c>
      <c r="AA51" s="16">
        <v>-28.04072</v>
      </c>
      <c r="AB51" s="16">
        <v>-6.6238900000000003</v>
      </c>
      <c r="AC51" s="16">
        <v>-4.0508199999999999</v>
      </c>
      <c r="AD51" s="16">
        <v>0.34855999999999998</v>
      </c>
      <c r="AE51" s="16">
        <v>-43.061860000000003</v>
      </c>
      <c r="AF51" s="16">
        <v>-23.281939999999999</v>
      </c>
      <c r="AG51" s="16">
        <v>-20.773990000000001</v>
      </c>
      <c r="AH51" s="16">
        <v>-26.821540000000002</v>
      </c>
      <c r="AI51" s="46"/>
      <c r="AJ51" s="46"/>
      <c r="AK51" s="46"/>
      <c r="AL51" s="46"/>
      <c r="AM51" s="46"/>
      <c r="AN51" s="4"/>
      <c r="AO51" s="4"/>
      <c r="AP51" s="4"/>
      <c r="AQ51" s="4"/>
      <c r="AR51" s="4"/>
      <c r="AS51" s="4"/>
      <c r="AT51" s="4"/>
      <c r="AU51" s="4"/>
      <c r="AV51" s="4"/>
      <c r="AW51" s="4"/>
      <c r="AX51" s="4"/>
      <c r="AY51" s="4"/>
    </row>
    <row r="52" spans="1:1005" ht="14.5" x14ac:dyDescent="0.35">
      <c r="A52" s="137">
        <f>YampaRiverInflow.TotalOutflow!A52</f>
        <v>47604</v>
      </c>
      <c r="B52" s="34">
        <v>-10.058</v>
      </c>
      <c r="C52" s="12">
        <v>-10.058</v>
      </c>
      <c r="D52" s="45">
        <v>-10.058</v>
      </c>
      <c r="E52" s="16">
        <v>-23.53134</v>
      </c>
      <c r="F52" s="16">
        <v>-2.7735700000000003</v>
      </c>
      <c r="G52" s="16">
        <v>-15.322940000000001</v>
      </c>
      <c r="H52" s="16">
        <v>-19.867259999999998</v>
      </c>
      <c r="I52" s="16">
        <v>-15.572929999999999</v>
      </c>
      <c r="J52" s="16">
        <v>36.142910000000001</v>
      </c>
      <c r="K52" s="16">
        <v>-3.1130999999999998</v>
      </c>
      <c r="L52" s="16">
        <v>-16.675549999999998</v>
      </c>
      <c r="M52" s="16">
        <v>-17.536919999999999</v>
      </c>
      <c r="N52" s="16">
        <v>-28.011310000000002</v>
      </c>
      <c r="O52" s="16">
        <v>-21.856310000000001</v>
      </c>
      <c r="P52" s="16">
        <v>3.5355400000000001</v>
      </c>
      <c r="Q52" s="16">
        <v>-23.032049999999998</v>
      </c>
      <c r="R52" s="16">
        <v>-27.275220000000001</v>
      </c>
      <c r="S52" s="16">
        <v>-11.566879999999999</v>
      </c>
      <c r="T52" s="16">
        <v>-26.851080000000003</v>
      </c>
      <c r="U52" s="16">
        <v>-16.472080000000002</v>
      </c>
      <c r="V52" s="16">
        <v>-21.851860000000002</v>
      </c>
      <c r="W52" s="16">
        <v>-22.571669999999997</v>
      </c>
      <c r="X52" s="16">
        <v>-23.858180000000001</v>
      </c>
      <c r="Y52" s="16">
        <v>-18.369009999999999</v>
      </c>
      <c r="Z52" s="16">
        <v>-14.94468</v>
      </c>
      <c r="AA52" s="16">
        <v>-19.296259999999997</v>
      </c>
      <c r="AB52" s="16">
        <v>-17.438189999999999</v>
      </c>
      <c r="AC52" s="16">
        <v>-15.69408</v>
      </c>
      <c r="AD52" s="16">
        <v>-9.6890499999999999</v>
      </c>
      <c r="AE52" s="16">
        <v>-50.874790000000004</v>
      </c>
      <c r="AF52" s="16">
        <v>-27.428099999999997</v>
      </c>
      <c r="AG52" s="16">
        <v>-13.267719999999999</v>
      </c>
      <c r="AH52" s="16">
        <v>-29.217569999999998</v>
      </c>
      <c r="AI52" s="46"/>
      <c r="AJ52" s="46"/>
      <c r="AK52" s="46"/>
      <c r="AL52" s="46"/>
      <c r="AM52" s="46"/>
      <c r="AN52" s="4"/>
      <c r="AO52" s="4"/>
      <c r="AP52" s="4"/>
      <c r="AQ52" s="4"/>
      <c r="AR52" s="4"/>
      <c r="AS52" s="4"/>
      <c r="AT52" s="4"/>
      <c r="AU52" s="4"/>
      <c r="AV52" s="4"/>
      <c r="AW52" s="4"/>
      <c r="AX52" s="4"/>
      <c r="AY52" s="4"/>
    </row>
    <row r="53" spans="1:1005" ht="14.5" x14ac:dyDescent="0.35">
      <c r="A53" s="137">
        <f>YampaRiverInflow.TotalOutflow!A53</f>
        <v>47635</v>
      </c>
      <c r="B53" s="34">
        <v>-13.593999999999999</v>
      </c>
      <c r="C53" s="12">
        <v>-13.593999999999999</v>
      </c>
      <c r="D53" s="45">
        <v>-13.593999999999999</v>
      </c>
      <c r="E53" s="16">
        <v>-28.66929</v>
      </c>
      <c r="F53" s="16">
        <v>-22.894779999999997</v>
      </c>
      <c r="G53" s="16">
        <v>-8.4372399999999992</v>
      </c>
      <c r="H53" s="16">
        <v>-15.65728</v>
      </c>
      <c r="I53" s="16">
        <v>-12.931179999999999</v>
      </c>
      <c r="J53" s="16">
        <v>-18.715900000000001</v>
      </c>
      <c r="K53" s="16">
        <v>-17.61956</v>
      </c>
      <c r="L53" s="16">
        <v>-9.7447199999999992</v>
      </c>
      <c r="M53" s="16">
        <v>-3.1937099999999998</v>
      </c>
      <c r="N53" s="16">
        <v>-11.334670000000001</v>
      </c>
      <c r="O53" s="16">
        <v>-18.532310000000003</v>
      </c>
      <c r="P53" s="16">
        <v>1.92611</v>
      </c>
      <c r="Q53" s="16">
        <v>-21.110040000000001</v>
      </c>
      <c r="R53" s="16">
        <v>-19.540299999999998</v>
      </c>
      <c r="S53" s="16">
        <v>-15.975790000000002</v>
      </c>
      <c r="T53" s="16">
        <v>-32.847480000000004</v>
      </c>
      <c r="U53" s="16">
        <v>-21.42004</v>
      </c>
      <c r="V53" s="16">
        <v>-30.22063</v>
      </c>
      <c r="W53" s="16">
        <v>-27.89715</v>
      </c>
      <c r="X53" s="16">
        <v>-31.396319999999999</v>
      </c>
      <c r="Y53" s="16">
        <v>-29.21951</v>
      </c>
      <c r="Z53" s="16">
        <v>-25.421259999999997</v>
      </c>
      <c r="AA53" s="16">
        <v>-17.919930000000001</v>
      </c>
      <c r="AB53" s="16">
        <v>-30.92728</v>
      </c>
      <c r="AC53" s="16">
        <v>-23.747820000000001</v>
      </c>
      <c r="AD53" s="16">
        <v>-21.322800000000001</v>
      </c>
      <c r="AE53" s="16">
        <v>-59.346059999999994</v>
      </c>
      <c r="AF53" s="16">
        <v>-32.015830000000001</v>
      </c>
      <c r="AG53" s="16">
        <v>-5.7221099999999998</v>
      </c>
      <c r="AH53" s="16">
        <v>-24.088740000000001</v>
      </c>
      <c r="AI53" s="46"/>
      <c r="AJ53" s="46"/>
      <c r="AK53" s="46"/>
      <c r="AL53" s="46"/>
      <c r="AM53" s="46"/>
      <c r="AN53" s="4"/>
      <c r="AO53" s="4"/>
      <c r="AP53" s="4"/>
      <c r="AQ53" s="4"/>
      <c r="AR53" s="4"/>
      <c r="AS53" s="4"/>
      <c r="AT53" s="4"/>
      <c r="AU53" s="4"/>
      <c r="AV53" s="4"/>
      <c r="AW53" s="4"/>
      <c r="AX53" s="4"/>
      <c r="AY53" s="4"/>
    </row>
    <row r="54" spans="1:1005" ht="14.5" x14ac:dyDescent="0.35">
      <c r="A54" s="137">
        <f>YampaRiverInflow.TotalOutflow!A54</f>
        <v>47665</v>
      </c>
      <c r="B54" s="34">
        <v>-18.728999999999999</v>
      </c>
      <c r="C54" s="12">
        <v>-18.728999999999999</v>
      </c>
      <c r="D54" s="45">
        <v>-18.728999999999999</v>
      </c>
      <c r="E54" s="16">
        <v>-20.626099999999997</v>
      </c>
      <c r="F54" s="16">
        <v>-10.398209999999999</v>
      </c>
      <c r="G54" s="16">
        <v>-10.19393</v>
      </c>
      <c r="H54" s="16">
        <v>-18.311769999999999</v>
      </c>
      <c r="I54" s="16">
        <v>-15.302760000000001</v>
      </c>
      <c r="J54" s="16">
        <v>-25.186910000000001</v>
      </c>
      <c r="K54" s="16">
        <v>-26.149759999999997</v>
      </c>
      <c r="L54" s="16">
        <v>-18.206589999999998</v>
      </c>
      <c r="M54" s="16">
        <v>-16.932770000000001</v>
      </c>
      <c r="N54" s="16">
        <v>-11.23888</v>
      </c>
      <c r="O54" s="16">
        <v>-14.996259999999999</v>
      </c>
      <c r="P54" s="16">
        <v>3.59327</v>
      </c>
      <c r="Q54" s="16">
        <v>-18.765970000000003</v>
      </c>
      <c r="R54" s="16">
        <v>-11.523569999999999</v>
      </c>
      <c r="S54" s="16">
        <v>-7.7080399999999996</v>
      </c>
      <c r="T54" s="16">
        <v>-27.048749999999998</v>
      </c>
      <c r="U54" s="16">
        <v>-22.246220000000001</v>
      </c>
      <c r="V54" s="16">
        <v>-21.478169999999999</v>
      </c>
      <c r="W54" s="16">
        <v>-36.614269999999998</v>
      </c>
      <c r="X54" s="16">
        <v>-22.211980000000001</v>
      </c>
      <c r="Y54" s="16">
        <v>-27.412610000000001</v>
      </c>
      <c r="Z54" s="16">
        <v>-37.642650000000003</v>
      </c>
      <c r="AA54" s="16">
        <v>-16.347709999999999</v>
      </c>
      <c r="AB54" s="16">
        <v>-19.617069999999998</v>
      </c>
      <c r="AC54" s="16">
        <v>-22.699870000000001</v>
      </c>
      <c r="AD54" s="16">
        <v>-17.179880000000001</v>
      </c>
      <c r="AE54" s="16">
        <v>-47.634029999999996</v>
      </c>
      <c r="AF54" s="16">
        <v>-43.163139999999999</v>
      </c>
      <c r="AG54" s="16">
        <v>-27.084130000000002</v>
      </c>
      <c r="AH54" s="16">
        <v>-23.90504</v>
      </c>
      <c r="AI54" s="46"/>
      <c r="AJ54" s="46"/>
      <c r="AK54" s="46"/>
      <c r="AL54" s="46"/>
      <c r="AM54" s="46"/>
      <c r="AN54" s="4"/>
      <c r="AO54" s="4"/>
      <c r="AP54" s="4"/>
      <c r="AQ54" s="4"/>
      <c r="AR54" s="4"/>
      <c r="AS54" s="4"/>
      <c r="AT54" s="4"/>
      <c r="AU54" s="4"/>
      <c r="AV54" s="4"/>
      <c r="AW54" s="4"/>
      <c r="AX54" s="4"/>
      <c r="AY54" s="4"/>
    </row>
    <row r="55" spans="1:1005" ht="14.5" x14ac:dyDescent="0.35">
      <c r="A55" s="137">
        <f>YampaRiverInflow.TotalOutflow!A55</f>
        <v>47696</v>
      </c>
      <c r="B55" s="34">
        <v>-12.797000000000001</v>
      </c>
      <c r="C55" s="12">
        <v>-12.797000000000001</v>
      </c>
      <c r="D55" s="45">
        <v>-12.797000000000001</v>
      </c>
      <c r="E55" s="16">
        <v>-38.875269999999993</v>
      </c>
      <c r="F55" s="16">
        <v>-10.18477</v>
      </c>
      <c r="G55" s="16">
        <v>-3.4436999999999998</v>
      </c>
      <c r="H55" s="16">
        <v>-18.58174</v>
      </c>
      <c r="I55" s="16">
        <v>-17.12154</v>
      </c>
      <c r="J55" s="16">
        <v>-17.84836</v>
      </c>
      <c r="K55" s="16">
        <v>-12.213329999999999</v>
      </c>
      <c r="L55" s="16">
        <v>-14.071669999999999</v>
      </c>
      <c r="M55" s="16">
        <v>-7.6597600000000003</v>
      </c>
      <c r="N55" s="16">
        <v>-9.9216899999999999</v>
      </c>
      <c r="O55" s="16">
        <v>-9.8270400000000002</v>
      </c>
      <c r="P55" s="16">
        <v>0.95716999999999997</v>
      </c>
      <c r="Q55" s="16">
        <v>-13.4948</v>
      </c>
      <c r="R55" s="16">
        <v>-10.937709999999999</v>
      </c>
      <c r="S55" s="16">
        <v>-14.345180000000001</v>
      </c>
      <c r="T55" s="16">
        <v>-20.569520000000001</v>
      </c>
      <c r="U55" s="16">
        <v>-13.446770000000001</v>
      </c>
      <c r="V55" s="16">
        <v>-16.82076</v>
      </c>
      <c r="W55" s="16">
        <v>-22.761310000000002</v>
      </c>
      <c r="X55" s="16">
        <v>-12.675990000000001</v>
      </c>
      <c r="Y55" s="16">
        <v>-23.720400000000001</v>
      </c>
      <c r="Z55" s="16">
        <v>-20.238779999999998</v>
      </c>
      <c r="AA55" s="16">
        <v>-16.907869999999999</v>
      </c>
      <c r="AB55" s="16">
        <v>-20.437060000000002</v>
      </c>
      <c r="AC55" s="16">
        <v>-18.531770000000002</v>
      </c>
      <c r="AD55" s="16">
        <v>-17.41047</v>
      </c>
      <c r="AE55" s="16">
        <v>-38.691830000000003</v>
      </c>
      <c r="AF55" s="16">
        <v>-40.59751</v>
      </c>
      <c r="AG55" s="16">
        <v>-10.537649999999999</v>
      </c>
      <c r="AH55" s="16">
        <v>-28.23929</v>
      </c>
      <c r="AI55" s="46"/>
      <c r="AJ55" s="46"/>
      <c r="AK55" s="46"/>
      <c r="AL55" s="46"/>
      <c r="AM55" s="46"/>
      <c r="AN55" s="4"/>
      <c r="AO55" s="4"/>
      <c r="AP55" s="4"/>
      <c r="AQ55" s="4"/>
      <c r="AR55" s="4"/>
      <c r="AS55" s="4"/>
      <c r="AT55" s="4"/>
      <c r="AU55" s="4"/>
      <c r="AV55" s="4"/>
      <c r="AW55" s="4"/>
      <c r="AX55" s="4"/>
      <c r="AY55" s="4"/>
    </row>
    <row r="56" spans="1:1005" ht="14.5" x14ac:dyDescent="0.35">
      <c r="A56" s="137">
        <f>YampaRiverInflow.TotalOutflow!A56</f>
        <v>47727</v>
      </c>
      <c r="B56" s="34">
        <v>-3.5750000000000002</v>
      </c>
      <c r="C56" s="12">
        <v>-3.5750000000000002</v>
      </c>
      <c r="D56" s="45">
        <v>-3.5750000000000002</v>
      </c>
      <c r="E56" s="16">
        <v>1.2362299999999999</v>
      </c>
      <c r="F56" s="16">
        <v>-6.8090299999999999</v>
      </c>
      <c r="G56" s="16">
        <v>2.4422899999999998</v>
      </c>
      <c r="H56" s="16">
        <v>-15.388030000000001</v>
      </c>
      <c r="I56" s="16">
        <v>3.0395700000000003</v>
      </c>
      <c r="J56" s="16">
        <v>-6.1195399999999998</v>
      </c>
      <c r="K56" s="16">
        <v>-6.2437700000000005</v>
      </c>
      <c r="L56" s="16">
        <v>-1.99848</v>
      </c>
      <c r="M56" s="16">
        <v>-6.6900600000000008</v>
      </c>
      <c r="N56" s="16">
        <v>0.25474000000000002</v>
      </c>
      <c r="O56" s="16">
        <v>-8.8620400000000004</v>
      </c>
      <c r="P56" s="16">
        <v>-3.0682</v>
      </c>
      <c r="Q56" s="16">
        <v>-5.7606200000000003</v>
      </c>
      <c r="R56" s="16">
        <v>0.47227999999999998</v>
      </c>
      <c r="S56" s="16">
        <v>-4.20695</v>
      </c>
      <c r="T56" s="16">
        <v>-6.3936400000000004</v>
      </c>
      <c r="U56" s="16">
        <v>-9.4515100000000007</v>
      </c>
      <c r="V56" s="16">
        <v>-9.5977199999999989</v>
      </c>
      <c r="W56" s="16">
        <v>-16.26549</v>
      </c>
      <c r="X56" s="16">
        <v>-9.5290599999999994</v>
      </c>
      <c r="Y56" s="16">
        <v>-19.450950000000002</v>
      </c>
      <c r="Z56" s="16">
        <v>-20.921619999999997</v>
      </c>
      <c r="AA56" s="16">
        <v>-14.65705</v>
      </c>
      <c r="AB56" s="16">
        <v>-15.921899999999999</v>
      </c>
      <c r="AC56" s="16">
        <v>-21.619810000000001</v>
      </c>
      <c r="AD56" s="16">
        <v>-5.9765299999999995</v>
      </c>
      <c r="AE56" s="16">
        <v>-30.643849999999997</v>
      </c>
      <c r="AF56" s="16">
        <v>-16.40672</v>
      </c>
      <c r="AG56" s="16">
        <v>1.02725</v>
      </c>
      <c r="AH56" s="16">
        <v>-2.57606</v>
      </c>
      <c r="AI56" s="46"/>
      <c r="AJ56" s="46"/>
      <c r="AK56" s="46"/>
      <c r="AL56" s="46"/>
      <c r="AM56" s="46"/>
      <c r="AN56" s="4"/>
      <c r="AO56" s="4"/>
      <c r="AP56" s="4"/>
      <c r="AQ56" s="4"/>
      <c r="AR56" s="4"/>
      <c r="AS56" s="4"/>
      <c r="AT56" s="4"/>
      <c r="AU56" s="4"/>
      <c r="AV56" s="4"/>
      <c r="AW56" s="4"/>
      <c r="AX56" s="4"/>
      <c r="AY56" s="4"/>
    </row>
    <row r="57" spans="1:1005" ht="14.5" x14ac:dyDescent="0.35">
      <c r="A57" s="137">
        <f>YampaRiverInflow.TotalOutflow!A57</f>
        <v>47757</v>
      </c>
      <c r="B57" s="34">
        <v>-6.3259999999999996</v>
      </c>
      <c r="C57" s="12">
        <v>-6.3259999999999996</v>
      </c>
      <c r="D57" s="45">
        <v>-6.3259999999999996</v>
      </c>
      <c r="E57" s="16">
        <v>-11.13649</v>
      </c>
      <c r="F57" s="16">
        <v>6.3886599999999998</v>
      </c>
      <c r="G57" s="16">
        <v>0.57689999999999997</v>
      </c>
      <c r="H57" s="16">
        <v>-16.89283</v>
      </c>
      <c r="I57" s="16">
        <v>8.3119599999999991</v>
      </c>
      <c r="J57" s="16">
        <v>-6.4643699999999997</v>
      </c>
      <c r="K57" s="16">
        <v>8.5244999999999997</v>
      </c>
      <c r="L57" s="16">
        <v>6.7957299999999998</v>
      </c>
      <c r="M57" s="16">
        <v>2.22281</v>
      </c>
      <c r="N57" s="16">
        <v>14.7875</v>
      </c>
      <c r="O57" s="16">
        <v>16.688839999999999</v>
      </c>
      <c r="P57" s="16">
        <v>16.133759999999999</v>
      </c>
      <c r="Q57" s="16">
        <v>-1.7467300000000001</v>
      </c>
      <c r="R57" s="16">
        <v>-7.6018800000000004</v>
      </c>
      <c r="S57" s="16">
        <v>-8.6028099999999998</v>
      </c>
      <c r="T57" s="16">
        <v>1.7289000000000001</v>
      </c>
      <c r="U57" s="16">
        <v>2.0648499999999999</v>
      </c>
      <c r="V57" s="16">
        <v>-9.3043399999999998</v>
      </c>
      <c r="W57" s="16">
        <v>-14.40264</v>
      </c>
      <c r="X57" s="16">
        <v>4.5734599999999999</v>
      </c>
      <c r="Y57" s="16">
        <v>-10.345000000000001</v>
      </c>
      <c r="Z57" s="16">
        <v>-10.817909999999999</v>
      </c>
      <c r="AA57" s="16">
        <v>-4.6761099999999995</v>
      </c>
      <c r="AB57" s="16">
        <v>-11.80575</v>
      </c>
      <c r="AC57" s="16">
        <v>-24.372349999999997</v>
      </c>
      <c r="AD57" s="16">
        <v>-12.45984</v>
      </c>
      <c r="AE57" s="16">
        <v>-31.00582</v>
      </c>
      <c r="AF57" s="16">
        <v>-11.16733</v>
      </c>
      <c r="AG57" s="16">
        <v>-10.75211</v>
      </c>
      <c r="AH57" s="16">
        <v>-8.8145000000000007</v>
      </c>
      <c r="AI57" s="46"/>
      <c r="AJ57" s="46"/>
      <c r="AK57" s="46"/>
      <c r="AL57" s="46"/>
      <c r="AM57" s="46"/>
      <c r="AN57" s="4"/>
      <c r="AO57" s="4"/>
      <c r="AP57" s="4"/>
      <c r="AQ57" s="4"/>
      <c r="AR57" s="4"/>
      <c r="AS57" s="4"/>
      <c r="AT57" s="4"/>
      <c r="AU57" s="4"/>
      <c r="AV57" s="4"/>
      <c r="AW57" s="4"/>
      <c r="AX57" s="4"/>
      <c r="AY57" s="4"/>
    </row>
    <row r="58" spans="1:1005" ht="14.5" x14ac:dyDescent="0.35">
      <c r="A58" s="137">
        <f>YampaRiverInflow.TotalOutflow!A58</f>
        <v>47788</v>
      </c>
      <c r="B58" s="34">
        <v>-7.3849999999999998</v>
      </c>
      <c r="C58" s="12">
        <v>-7.3849999999999998</v>
      </c>
      <c r="D58" s="45">
        <v>-7.3849999999999998</v>
      </c>
      <c r="E58" s="16">
        <v>8.1603399999999997</v>
      </c>
      <c r="F58" s="16">
        <v>12.20392</v>
      </c>
      <c r="G58" s="16">
        <v>-3.8944000000000001</v>
      </c>
      <c r="H58" s="16">
        <v>-16.175889999999999</v>
      </c>
      <c r="I58" s="16">
        <v>1.6593800000000001</v>
      </c>
      <c r="J58" s="16">
        <v>20.026259999999997</v>
      </c>
      <c r="K58" s="16">
        <v>5.5409600000000001</v>
      </c>
      <c r="L58" s="16">
        <v>2.2822300000000002</v>
      </c>
      <c r="M58" s="16">
        <v>3.49756</v>
      </c>
      <c r="N58" s="16">
        <v>-4.8821300000000001</v>
      </c>
      <c r="O58" s="16">
        <v>-22.19115</v>
      </c>
      <c r="P58" s="16">
        <v>18.74352</v>
      </c>
      <c r="Q58" s="16">
        <v>-2.6594799999999998</v>
      </c>
      <c r="R58" s="16">
        <v>-8.661290000000001</v>
      </c>
      <c r="S58" s="16">
        <v>-11.716149999999999</v>
      </c>
      <c r="T58" s="16">
        <v>-22.90878</v>
      </c>
      <c r="U58" s="16">
        <v>-6.5478900000000007</v>
      </c>
      <c r="V58" s="16">
        <v>-5.5670399999999995</v>
      </c>
      <c r="W58" s="16">
        <v>6.0877700000000008</v>
      </c>
      <c r="X58" s="16">
        <v>-1.5540799999999999</v>
      </c>
      <c r="Y58" s="16">
        <v>-10.62641</v>
      </c>
      <c r="Z58" s="16">
        <v>-22.082069999999998</v>
      </c>
      <c r="AA58" s="16">
        <v>-11.88527</v>
      </c>
      <c r="AB58" s="16">
        <v>-24.302009999999999</v>
      </c>
      <c r="AC58" s="16">
        <v>2.60358</v>
      </c>
      <c r="AD58" s="16">
        <v>-27.814820000000001</v>
      </c>
      <c r="AE58" s="16">
        <v>-19.64039</v>
      </c>
      <c r="AF58" s="16">
        <v>-15.421670000000001</v>
      </c>
      <c r="AG58" s="16">
        <v>-5.2225299999999999</v>
      </c>
      <c r="AH58" s="16">
        <v>-36.179589999999997</v>
      </c>
      <c r="AI58" s="46"/>
      <c r="AJ58" s="46"/>
      <c r="AK58" s="46"/>
      <c r="AL58" s="46"/>
      <c r="AM58" s="46"/>
      <c r="AN58" s="4"/>
      <c r="AO58" s="4"/>
      <c r="AP58" s="4"/>
      <c r="AQ58" s="4"/>
      <c r="AR58" s="4"/>
      <c r="AS58" s="4"/>
      <c r="AT58" s="4"/>
      <c r="AU58" s="4"/>
      <c r="AV58" s="4"/>
      <c r="AW58" s="4"/>
      <c r="AX58" s="4"/>
      <c r="AY58" s="4"/>
    </row>
    <row r="59" spans="1:1005" ht="14.5" x14ac:dyDescent="0.35">
      <c r="A59" s="137">
        <f>YampaRiverInflow.TotalOutflow!A59</f>
        <v>47818</v>
      </c>
      <c r="B59" s="34">
        <v>-2.0270000000000001</v>
      </c>
      <c r="C59" s="12">
        <v>-2.0270000000000001</v>
      </c>
      <c r="D59" s="45">
        <v>-2.0270000000000001</v>
      </c>
      <c r="E59" s="16">
        <v>0.89049999999999996</v>
      </c>
      <c r="F59" s="16">
        <v>-2.2057500000000001</v>
      </c>
      <c r="G59" s="16">
        <v>-30.885999999999999</v>
      </c>
      <c r="H59" s="16">
        <v>-18.987929999999999</v>
      </c>
      <c r="I59" s="16">
        <v>-15.285489999999999</v>
      </c>
      <c r="J59" s="16">
        <v>-11.96585</v>
      </c>
      <c r="K59" s="16">
        <v>-8.4787599999999994</v>
      </c>
      <c r="L59" s="16">
        <v>-5.5878900000000007</v>
      </c>
      <c r="M59" s="16">
        <v>-3.42475</v>
      </c>
      <c r="N59" s="16">
        <v>-8.0102100000000007</v>
      </c>
      <c r="O59" s="16">
        <v>-2.9604699999999999</v>
      </c>
      <c r="P59" s="16">
        <v>8.1728400000000008</v>
      </c>
      <c r="Q59" s="16">
        <v>-9.531229999999999</v>
      </c>
      <c r="R59" s="16">
        <v>-7.5190400000000004</v>
      </c>
      <c r="S59" s="16">
        <v>-17.699780000000001</v>
      </c>
      <c r="T59" s="16">
        <v>-8.1265999999999998</v>
      </c>
      <c r="U59" s="16">
        <v>-21.882480000000001</v>
      </c>
      <c r="V59" s="16">
        <v>-0.56415999999999999</v>
      </c>
      <c r="W59" s="16">
        <v>-3.9737100000000001</v>
      </c>
      <c r="X59" s="16">
        <v>3.1901899999999999</v>
      </c>
      <c r="Y59" s="16">
        <v>-6.7791199999999998</v>
      </c>
      <c r="Z59" s="16">
        <v>-12.66384</v>
      </c>
      <c r="AA59" s="16">
        <v>-11.72982</v>
      </c>
      <c r="AB59" s="16">
        <v>-8.6976899999999997</v>
      </c>
      <c r="AC59" s="16">
        <v>3.13713</v>
      </c>
      <c r="AD59" s="16">
        <v>-2.83372</v>
      </c>
      <c r="AE59" s="16">
        <v>-8.5674299999999999</v>
      </c>
      <c r="AF59" s="16">
        <v>-15.724969999999999</v>
      </c>
      <c r="AG59" s="16">
        <v>-11.221879999999999</v>
      </c>
      <c r="AH59" s="16">
        <v>-16.58785</v>
      </c>
      <c r="AI59" s="46"/>
      <c r="AJ59" s="46"/>
      <c r="AK59" s="46"/>
      <c r="AL59" s="46"/>
      <c r="AM59" s="46"/>
      <c r="AN59" s="4"/>
      <c r="AO59" s="4"/>
      <c r="AP59" s="4"/>
      <c r="AQ59" s="4"/>
      <c r="AR59" s="4"/>
      <c r="AS59" s="4"/>
      <c r="AT59" s="4"/>
      <c r="AU59" s="4"/>
      <c r="AV59" s="4"/>
      <c r="AW59" s="4"/>
      <c r="AX59" s="4"/>
      <c r="AY59" s="4"/>
    </row>
    <row r="60" spans="1:1005" ht="14.5" x14ac:dyDescent="0.35">
      <c r="A60" s="137">
        <f>YampaRiverInflow.TotalOutflow!A60</f>
        <v>47849</v>
      </c>
      <c r="B60" s="34">
        <v>-4.968</v>
      </c>
      <c r="C60" s="12">
        <v>-4.968</v>
      </c>
      <c r="D60" s="45">
        <v>-4.968</v>
      </c>
      <c r="E60" s="16">
        <v>-2.6761900000000001</v>
      </c>
      <c r="F60" s="16">
        <v>-10.645389999999999</v>
      </c>
      <c r="G60" s="16">
        <v>-24.767759999999999</v>
      </c>
      <c r="H60" s="16">
        <v>-19.95645</v>
      </c>
      <c r="I60" s="16">
        <v>-6.7551600000000001</v>
      </c>
      <c r="J60" s="16">
        <v>3.6644800000000002</v>
      </c>
      <c r="K60" s="16">
        <v>-8.1808599999999991</v>
      </c>
      <c r="L60" s="16">
        <v>-6.9567299999999994</v>
      </c>
      <c r="M60" s="16">
        <v>-10.40982</v>
      </c>
      <c r="N60" s="16">
        <v>0.62288999999999994</v>
      </c>
      <c r="O60" s="16">
        <v>-24.679400000000001</v>
      </c>
      <c r="P60" s="16">
        <v>-9.1849699999999999</v>
      </c>
      <c r="Q60" s="16">
        <v>-14.851360000000001</v>
      </c>
      <c r="R60" s="16">
        <v>-13.8294</v>
      </c>
      <c r="S60" s="16">
        <v>-10.89728</v>
      </c>
      <c r="T60" s="16">
        <v>-7.2114099999999999</v>
      </c>
      <c r="U60" s="16">
        <v>-22.53942</v>
      </c>
      <c r="V60" s="16">
        <v>-9.4303899999999992</v>
      </c>
      <c r="W60" s="16">
        <v>-6.6437100000000004</v>
      </c>
      <c r="X60" s="16">
        <v>-17.863379999999999</v>
      </c>
      <c r="Y60" s="16">
        <v>-30.41215</v>
      </c>
      <c r="Z60" s="16">
        <v>-21.799250000000001</v>
      </c>
      <c r="AA60" s="16">
        <v>1.50478</v>
      </c>
      <c r="AB60" s="16">
        <v>-28.800259999999998</v>
      </c>
      <c r="AC60" s="16">
        <v>-7.3329999999999992E-2</v>
      </c>
      <c r="AD60" s="16">
        <v>-10.749919999999999</v>
      </c>
      <c r="AE60" s="16">
        <v>-9.7509899999999998</v>
      </c>
      <c r="AF60" s="16">
        <v>-7.9319700000000006</v>
      </c>
      <c r="AG60" s="16">
        <v>-0.54016999999999993</v>
      </c>
      <c r="AH60" s="16">
        <v>-9.2524899999999999</v>
      </c>
      <c r="AI60" s="46"/>
      <c r="AJ60" s="46"/>
      <c r="AK60" s="46"/>
      <c r="AL60" s="46"/>
      <c r="AM60" s="46"/>
      <c r="AN60" s="4"/>
      <c r="AO60" s="4"/>
      <c r="AP60" s="4"/>
      <c r="AQ60" s="4"/>
      <c r="AR60" s="4"/>
      <c r="AS60" s="4"/>
      <c r="AT60" s="4"/>
      <c r="AU60" s="4"/>
      <c r="AV60" s="4"/>
      <c r="AW60" s="4"/>
      <c r="AX60" s="4"/>
      <c r="AY60" s="4"/>
    </row>
    <row r="61" spans="1:1005" ht="14.5" x14ac:dyDescent="0.35">
      <c r="A61" s="137">
        <f>YampaRiverInflow.TotalOutflow!A61</f>
        <v>47880</v>
      </c>
      <c r="B61" s="34">
        <v>-14.456</v>
      </c>
      <c r="C61" s="12">
        <v>-14.456</v>
      </c>
      <c r="D61" s="45">
        <v>-14.456</v>
      </c>
      <c r="E61" s="16">
        <v>-19.460819999999998</v>
      </c>
      <c r="F61" s="16">
        <v>-16.715619999999998</v>
      </c>
      <c r="G61" s="16">
        <v>14.064540000000001</v>
      </c>
      <c r="H61" s="16">
        <v>-15.41591</v>
      </c>
      <c r="I61" s="16">
        <v>-12.96556</v>
      </c>
      <c r="J61" s="16">
        <v>-9.5933500000000009</v>
      </c>
      <c r="K61" s="16">
        <v>-8.6650200000000002</v>
      </c>
      <c r="L61" s="16">
        <v>-4.5227200000000005</v>
      </c>
      <c r="M61" s="16">
        <v>-7.0445699999999993</v>
      </c>
      <c r="N61" s="16">
        <v>0.31457000000000002</v>
      </c>
      <c r="O61" s="16">
        <v>-9.0514200000000002</v>
      </c>
      <c r="P61" s="16">
        <v>-9.2945599999999988</v>
      </c>
      <c r="Q61" s="16">
        <v>-5.9604300000000006</v>
      </c>
      <c r="R61" s="16">
        <v>-8.6297999999999995</v>
      </c>
      <c r="S61" s="16">
        <v>-7.7912100000000004</v>
      </c>
      <c r="T61" s="16">
        <v>-10.988049999999999</v>
      </c>
      <c r="U61" s="16">
        <v>-19.275569999999998</v>
      </c>
      <c r="V61" s="16">
        <v>-12.945889999999999</v>
      </c>
      <c r="W61" s="16">
        <v>-22.459019999999999</v>
      </c>
      <c r="X61" s="16">
        <v>-10.986780000000001</v>
      </c>
      <c r="Y61" s="16">
        <v>-22.574740000000002</v>
      </c>
      <c r="Z61" s="16">
        <v>-15.92117</v>
      </c>
      <c r="AA61" s="16">
        <v>-3.3474699999999999</v>
      </c>
      <c r="AB61" s="16">
        <v>-6.9009499999999999</v>
      </c>
      <c r="AC61" s="16">
        <v>-3.6037600000000003</v>
      </c>
      <c r="AD61" s="16">
        <v>-22.41188</v>
      </c>
      <c r="AE61" s="16">
        <v>-6.0861999999999998</v>
      </c>
      <c r="AF61" s="16">
        <v>8.8889200000000006</v>
      </c>
      <c r="AG61" s="16">
        <v>-7.9001400000000004</v>
      </c>
      <c r="AH61" s="16">
        <v>-5.5469499999999998</v>
      </c>
      <c r="AI61" s="46"/>
      <c r="AJ61" s="46"/>
      <c r="AK61" s="46"/>
      <c r="AL61" s="46"/>
      <c r="AM61" s="46"/>
      <c r="AN61" s="4"/>
      <c r="AO61" s="4"/>
      <c r="AP61" s="4"/>
      <c r="AQ61" s="4"/>
      <c r="AR61" s="4"/>
      <c r="AS61" s="4"/>
      <c r="AT61" s="4"/>
      <c r="AU61" s="4"/>
      <c r="AV61" s="4"/>
      <c r="AW61" s="4"/>
      <c r="AX61" s="4"/>
      <c r="AY61" s="4"/>
    </row>
    <row r="62" spans="1:1005" ht="14.5" x14ac:dyDescent="0.35">
      <c r="A62" s="137">
        <f>YampaRiverInflow.TotalOutflow!A62</f>
        <v>47908</v>
      </c>
      <c r="B62" s="34">
        <v>-14.478</v>
      </c>
      <c r="C62" s="12">
        <v>-14.478</v>
      </c>
      <c r="D62" s="45">
        <v>-14.478</v>
      </c>
      <c r="E62" s="16">
        <v>-10.980540000000001</v>
      </c>
      <c r="F62" s="16">
        <v>-22.592410000000001</v>
      </c>
      <c r="G62" s="16">
        <v>-41.335809999999995</v>
      </c>
      <c r="H62" s="16">
        <v>-20.545960000000001</v>
      </c>
      <c r="I62" s="16">
        <v>-14.699110000000001</v>
      </c>
      <c r="J62" s="16">
        <v>-44.778870000000005</v>
      </c>
      <c r="K62" s="16">
        <v>-10.86153</v>
      </c>
      <c r="L62" s="16">
        <v>-10.544040000000001</v>
      </c>
      <c r="M62" s="16">
        <v>-16.42557</v>
      </c>
      <c r="N62" s="16">
        <v>-14.93465</v>
      </c>
      <c r="O62" s="16">
        <v>-15.63274</v>
      </c>
      <c r="P62" s="16">
        <v>-16.15907</v>
      </c>
      <c r="Q62" s="16">
        <v>-15.25135</v>
      </c>
      <c r="R62" s="16">
        <v>-17.034509999999997</v>
      </c>
      <c r="S62" s="16">
        <v>-21.14264</v>
      </c>
      <c r="T62" s="16">
        <v>-13.394159999999999</v>
      </c>
      <c r="U62" s="16">
        <v>-24.728169999999999</v>
      </c>
      <c r="V62" s="16">
        <v>-12.946339999999999</v>
      </c>
      <c r="W62" s="16">
        <v>-14.941930000000001</v>
      </c>
      <c r="X62" s="16">
        <v>-22.739099999999997</v>
      </c>
      <c r="Y62" s="16">
        <v>-16.134589999999999</v>
      </c>
      <c r="Z62" s="16">
        <v>-28.68308</v>
      </c>
      <c r="AA62" s="16">
        <v>-4.22288</v>
      </c>
      <c r="AB62" s="16">
        <v>3.4572699999999998</v>
      </c>
      <c r="AC62" s="16">
        <v>1.25017</v>
      </c>
      <c r="AD62" s="16">
        <v>-31.598890000000001</v>
      </c>
      <c r="AE62" s="16">
        <v>-2.0714899999999998</v>
      </c>
      <c r="AF62" s="16">
        <v>-5.8077399999999999</v>
      </c>
      <c r="AG62" s="16">
        <v>-25.490770000000001</v>
      </c>
      <c r="AH62" s="16">
        <v>-21.368089999999999</v>
      </c>
      <c r="AI62" s="46"/>
      <c r="AJ62" s="46"/>
      <c r="AK62" s="46"/>
      <c r="AL62" s="46"/>
      <c r="AM62" s="46"/>
      <c r="AN62" s="4"/>
      <c r="AO62" s="4"/>
      <c r="AP62" s="4"/>
      <c r="AQ62" s="4"/>
      <c r="AR62" s="4"/>
      <c r="AS62" s="4"/>
      <c r="AT62" s="4"/>
      <c r="AU62" s="4"/>
      <c r="AV62" s="4"/>
      <c r="AW62" s="4"/>
      <c r="AX62" s="4"/>
      <c r="AY62" s="4"/>
    </row>
    <row r="63" spans="1:1005" ht="14.5" x14ac:dyDescent="0.35">
      <c r="A63" s="137">
        <f>YampaRiverInflow.TotalOutflow!A63</f>
        <v>47939</v>
      </c>
      <c r="B63" s="34">
        <v>-18.241</v>
      </c>
      <c r="C63" s="12">
        <v>-18.241</v>
      </c>
      <c r="D63" s="45">
        <v>-18.241</v>
      </c>
      <c r="E63" s="16">
        <v>-28.635090000000002</v>
      </c>
      <c r="F63" s="16">
        <v>-14.1168</v>
      </c>
      <c r="G63" s="16">
        <v>-9.0910299999999999</v>
      </c>
      <c r="H63" s="16">
        <v>-22.383119999999998</v>
      </c>
      <c r="I63" s="16">
        <v>59.391539999999999</v>
      </c>
      <c r="J63" s="16">
        <v>-63.58173</v>
      </c>
      <c r="K63" s="16">
        <v>-14.289959999999999</v>
      </c>
      <c r="L63" s="16">
        <v>-18.956109999999999</v>
      </c>
      <c r="M63" s="16">
        <v>-4.1280000000000004E-2</v>
      </c>
      <c r="N63" s="16">
        <v>-19.869040000000002</v>
      </c>
      <c r="O63" s="16">
        <v>-23.20046</v>
      </c>
      <c r="P63" s="16">
        <v>-19.820720000000001</v>
      </c>
      <c r="Q63" s="16">
        <v>-9.1137800000000002</v>
      </c>
      <c r="R63" s="16">
        <v>-15.77689</v>
      </c>
      <c r="S63" s="16">
        <v>-19.864979999999999</v>
      </c>
      <c r="T63" s="16">
        <v>-16.396039999999999</v>
      </c>
      <c r="U63" s="16">
        <v>-26.008659999999999</v>
      </c>
      <c r="V63" s="16">
        <v>-22.024150000000002</v>
      </c>
      <c r="W63" s="16">
        <v>-23.49466</v>
      </c>
      <c r="X63" s="16">
        <v>-21.14265</v>
      </c>
      <c r="Y63" s="16">
        <v>-19.851419999999997</v>
      </c>
      <c r="Z63" s="16">
        <v>-28.04072</v>
      </c>
      <c r="AA63" s="16">
        <v>-6.6238900000000003</v>
      </c>
      <c r="AB63" s="16">
        <v>-4.0508199999999999</v>
      </c>
      <c r="AC63" s="16">
        <v>0.34855999999999998</v>
      </c>
      <c r="AD63" s="16">
        <v>-43.061860000000003</v>
      </c>
      <c r="AE63" s="16">
        <v>-23.281939999999999</v>
      </c>
      <c r="AF63" s="16">
        <v>-20.773990000000001</v>
      </c>
      <c r="AG63" s="16">
        <v>-26.821540000000002</v>
      </c>
      <c r="AH63" s="16">
        <v>-17.913619999999998</v>
      </c>
      <c r="AI63" s="46"/>
      <c r="AJ63" s="46"/>
      <c r="AK63" s="46"/>
      <c r="AL63" s="46"/>
      <c r="AM63" s="46"/>
      <c r="AN63" s="4"/>
      <c r="AO63" s="4"/>
      <c r="AP63" s="4"/>
      <c r="AQ63" s="4"/>
      <c r="AR63" s="4"/>
      <c r="AS63" s="4"/>
      <c r="AT63" s="4"/>
      <c r="AU63" s="4"/>
      <c r="AV63" s="4"/>
      <c r="AW63" s="4"/>
      <c r="AX63" s="4"/>
      <c r="AY63" s="4"/>
    </row>
    <row r="64" spans="1:1005" ht="14.5" x14ac:dyDescent="0.35">
      <c r="A64" s="137">
        <f>YampaRiverInflow.TotalOutflow!A64</f>
        <v>47969</v>
      </c>
      <c r="B64" s="34">
        <v>-10.058</v>
      </c>
      <c r="C64" s="12">
        <v>-10.058</v>
      </c>
      <c r="D64" s="45">
        <v>-10.058</v>
      </c>
      <c r="E64" s="16">
        <v>-2.7735700000000003</v>
      </c>
      <c r="F64" s="16">
        <v>-15.322940000000001</v>
      </c>
      <c r="G64" s="16">
        <v>-19.867259999999998</v>
      </c>
      <c r="H64" s="16">
        <v>-15.572929999999999</v>
      </c>
      <c r="I64" s="16">
        <v>36.142910000000001</v>
      </c>
      <c r="J64" s="16">
        <v>-3.1130999999999998</v>
      </c>
      <c r="K64" s="16">
        <v>-16.675549999999998</v>
      </c>
      <c r="L64" s="16">
        <v>-17.536919999999999</v>
      </c>
      <c r="M64" s="16">
        <v>-28.011310000000002</v>
      </c>
      <c r="N64" s="16">
        <v>-21.856310000000001</v>
      </c>
      <c r="O64" s="16">
        <v>3.5355400000000001</v>
      </c>
      <c r="P64" s="16">
        <v>-23.032049999999998</v>
      </c>
      <c r="Q64" s="16">
        <v>-27.275220000000001</v>
      </c>
      <c r="R64" s="16">
        <v>-11.566879999999999</v>
      </c>
      <c r="S64" s="16">
        <v>-26.851080000000003</v>
      </c>
      <c r="T64" s="16">
        <v>-16.472080000000002</v>
      </c>
      <c r="U64" s="16">
        <v>-21.851860000000002</v>
      </c>
      <c r="V64" s="16">
        <v>-22.571669999999997</v>
      </c>
      <c r="W64" s="16">
        <v>-23.858180000000001</v>
      </c>
      <c r="X64" s="16">
        <v>-18.369009999999999</v>
      </c>
      <c r="Y64" s="16">
        <v>-14.94468</v>
      </c>
      <c r="Z64" s="16">
        <v>-19.296259999999997</v>
      </c>
      <c r="AA64" s="16">
        <v>-17.438189999999999</v>
      </c>
      <c r="AB64" s="16">
        <v>-15.69408</v>
      </c>
      <c r="AC64" s="16">
        <v>-9.6890499999999999</v>
      </c>
      <c r="AD64" s="16">
        <v>-50.874790000000004</v>
      </c>
      <c r="AE64" s="16">
        <v>-27.428099999999997</v>
      </c>
      <c r="AF64" s="16">
        <v>-13.267719999999999</v>
      </c>
      <c r="AG64" s="16">
        <v>-29.217569999999998</v>
      </c>
      <c r="AH64" s="16">
        <v>-23.534490000000002</v>
      </c>
      <c r="AI64" s="46"/>
      <c r="AJ64" s="46"/>
      <c r="AK64" s="46"/>
      <c r="AL64" s="46"/>
      <c r="AM64" s="46"/>
      <c r="AN64" s="4"/>
      <c r="AO64" s="4"/>
      <c r="AP64" s="4"/>
      <c r="AQ64" s="4"/>
      <c r="AR64" s="4"/>
      <c r="AS64" s="4"/>
      <c r="AT64" s="4"/>
      <c r="AU64" s="4"/>
      <c r="AV64" s="4"/>
      <c r="AW64" s="4"/>
      <c r="AX64" s="4"/>
      <c r="AY64" s="4"/>
      <c r="ALQ64" t="e">
        <v>#N/A</v>
      </c>
    </row>
    <row r="65" spans="1:1005" ht="14.5" x14ac:dyDescent="0.35">
      <c r="A65" s="137">
        <f>YampaRiverInflow.TotalOutflow!A65</f>
        <v>48000</v>
      </c>
      <c r="B65" s="34">
        <v>-13.593999999999999</v>
      </c>
      <c r="C65" s="12">
        <v>-13.593999999999999</v>
      </c>
      <c r="D65" s="45">
        <v>-13.593999999999999</v>
      </c>
      <c r="E65" s="16">
        <v>-22.894779999999997</v>
      </c>
      <c r="F65" s="16">
        <v>-8.4372399999999992</v>
      </c>
      <c r="G65" s="16">
        <v>-15.65728</v>
      </c>
      <c r="H65" s="16">
        <v>-12.931179999999999</v>
      </c>
      <c r="I65" s="16">
        <v>-18.715900000000001</v>
      </c>
      <c r="J65" s="16">
        <v>-17.61956</v>
      </c>
      <c r="K65" s="16">
        <v>-9.7447199999999992</v>
      </c>
      <c r="L65" s="16">
        <v>-3.1937099999999998</v>
      </c>
      <c r="M65" s="16">
        <v>-11.334670000000001</v>
      </c>
      <c r="N65" s="16">
        <v>-18.532310000000003</v>
      </c>
      <c r="O65" s="16">
        <v>1.92611</v>
      </c>
      <c r="P65" s="16">
        <v>-21.110040000000001</v>
      </c>
      <c r="Q65" s="16">
        <v>-19.540299999999998</v>
      </c>
      <c r="R65" s="16">
        <v>-15.975790000000002</v>
      </c>
      <c r="S65" s="16">
        <v>-32.847480000000004</v>
      </c>
      <c r="T65" s="16">
        <v>-21.42004</v>
      </c>
      <c r="U65" s="16">
        <v>-30.22063</v>
      </c>
      <c r="V65" s="16">
        <v>-27.89715</v>
      </c>
      <c r="W65" s="16">
        <v>-31.396319999999999</v>
      </c>
      <c r="X65" s="16">
        <v>-29.21951</v>
      </c>
      <c r="Y65" s="16">
        <v>-25.421259999999997</v>
      </c>
      <c r="Z65" s="16">
        <v>-17.919930000000001</v>
      </c>
      <c r="AA65" s="16">
        <v>-30.92728</v>
      </c>
      <c r="AB65" s="16">
        <v>-23.747820000000001</v>
      </c>
      <c r="AC65" s="16">
        <v>-21.322800000000001</v>
      </c>
      <c r="AD65" s="16">
        <v>-59.346059999999994</v>
      </c>
      <c r="AE65" s="16">
        <v>-32.015830000000001</v>
      </c>
      <c r="AF65" s="16">
        <v>-5.7221099999999998</v>
      </c>
      <c r="AG65" s="16">
        <v>-24.088740000000001</v>
      </c>
      <c r="AH65" s="16">
        <v>-28.66141</v>
      </c>
      <c r="AI65" s="46"/>
      <c r="AJ65" s="46"/>
      <c r="AK65" s="46"/>
      <c r="AL65" s="46"/>
      <c r="AM65" s="46"/>
      <c r="AN65" s="4"/>
      <c r="AO65" s="4"/>
      <c r="AP65" s="4"/>
      <c r="AQ65" s="4"/>
      <c r="AR65" s="4"/>
      <c r="AS65" s="4"/>
      <c r="AT65" s="4"/>
      <c r="AU65" s="4"/>
      <c r="AV65" s="4"/>
      <c r="AW65" s="4"/>
      <c r="AX65" s="4"/>
      <c r="AY65" s="4"/>
      <c r="ALQ65" t="e">
        <v>#N/A</v>
      </c>
    </row>
    <row r="66" spans="1:1005" ht="14.5" x14ac:dyDescent="0.35">
      <c r="A66" s="137">
        <f>YampaRiverInflow.TotalOutflow!A66</f>
        <v>48030</v>
      </c>
      <c r="B66" s="34">
        <v>-18.728999999999999</v>
      </c>
      <c r="C66" s="12">
        <v>-18.728999999999999</v>
      </c>
      <c r="D66" s="45">
        <v>-18.728999999999999</v>
      </c>
      <c r="E66" s="16">
        <v>-10.398209999999999</v>
      </c>
      <c r="F66" s="16">
        <v>-10.19393</v>
      </c>
      <c r="G66" s="16">
        <v>-18.311769999999999</v>
      </c>
      <c r="H66" s="16">
        <v>-15.302760000000001</v>
      </c>
      <c r="I66" s="16">
        <v>-25.186910000000001</v>
      </c>
      <c r="J66" s="16">
        <v>-26.149759999999997</v>
      </c>
      <c r="K66" s="16">
        <v>-18.206589999999998</v>
      </c>
      <c r="L66" s="16">
        <v>-16.932770000000001</v>
      </c>
      <c r="M66" s="16">
        <v>-11.23888</v>
      </c>
      <c r="N66" s="16">
        <v>-14.996259999999999</v>
      </c>
      <c r="O66" s="16">
        <v>3.59327</v>
      </c>
      <c r="P66" s="16">
        <v>-18.765970000000003</v>
      </c>
      <c r="Q66" s="16">
        <v>-11.523569999999999</v>
      </c>
      <c r="R66" s="16">
        <v>-7.7080399999999996</v>
      </c>
      <c r="S66" s="16">
        <v>-27.048749999999998</v>
      </c>
      <c r="T66" s="16">
        <v>-22.246220000000001</v>
      </c>
      <c r="U66" s="16">
        <v>-21.478169999999999</v>
      </c>
      <c r="V66" s="16">
        <v>-36.614269999999998</v>
      </c>
      <c r="W66" s="16">
        <v>-22.211980000000001</v>
      </c>
      <c r="X66" s="16">
        <v>-27.412610000000001</v>
      </c>
      <c r="Y66" s="16">
        <v>-37.642650000000003</v>
      </c>
      <c r="Z66" s="16">
        <v>-16.347709999999999</v>
      </c>
      <c r="AA66" s="16">
        <v>-19.617069999999998</v>
      </c>
      <c r="AB66" s="16">
        <v>-22.699870000000001</v>
      </c>
      <c r="AC66" s="16">
        <v>-17.179880000000001</v>
      </c>
      <c r="AD66" s="16">
        <v>-47.634029999999996</v>
      </c>
      <c r="AE66" s="16">
        <v>-43.163139999999999</v>
      </c>
      <c r="AF66" s="16">
        <v>-27.084130000000002</v>
      </c>
      <c r="AG66" s="16">
        <v>-23.90504</v>
      </c>
      <c r="AH66" s="16">
        <v>-20.622529999999998</v>
      </c>
      <c r="AI66" s="46"/>
      <c r="AJ66" s="46"/>
      <c r="AK66" s="46"/>
      <c r="AL66" s="46"/>
      <c r="AM66" s="46"/>
      <c r="AN66" s="4"/>
      <c r="AO66" s="4"/>
      <c r="AP66" s="4"/>
      <c r="AQ66" s="4"/>
      <c r="AR66" s="4"/>
      <c r="AS66" s="4"/>
      <c r="AT66" s="4"/>
      <c r="AU66" s="4"/>
      <c r="AV66" s="4"/>
      <c r="AW66" s="4"/>
      <c r="AX66" s="4"/>
      <c r="AY66" s="4"/>
      <c r="ALQ66" t="e">
        <v>#N/A</v>
      </c>
    </row>
    <row r="67" spans="1:1005" ht="14.5" x14ac:dyDescent="0.35">
      <c r="A67" s="137">
        <f>YampaRiverInflow.TotalOutflow!A67</f>
        <v>48061</v>
      </c>
      <c r="B67" s="34">
        <v>-12.797000000000001</v>
      </c>
      <c r="C67" s="12">
        <v>-12.797000000000001</v>
      </c>
      <c r="D67" s="45">
        <v>-12.797000000000001</v>
      </c>
      <c r="E67" s="16">
        <v>-10.18477</v>
      </c>
      <c r="F67" s="16">
        <v>-3.4436999999999998</v>
      </c>
      <c r="G67" s="16">
        <v>-18.58174</v>
      </c>
      <c r="H67" s="16">
        <v>-17.12154</v>
      </c>
      <c r="I67" s="16">
        <v>-17.84836</v>
      </c>
      <c r="J67" s="16">
        <v>-12.213329999999999</v>
      </c>
      <c r="K67" s="16">
        <v>-14.071669999999999</v>
      </c>
      <c r="L67" s="16">
        <v>-7.6597600000000003</v>
      </c>
      <c r="M67" s="16">
        <v>-9.9216899999999999</v>
      </c>
      <c r="N67" s="16">
        <v>-9.8270400000000002</v>
      </c>
      <c r="O67" s="16">
        <v>0.95716999999999997</v>
      </c>
      <c r="P67" s="16">
        <v>-13.4948</v>
      </c>
      <c r="Q67" s="16">
        <v>-10.937709999999999</v>
      </c>
      <c r="R67" s="16">
        <v>-14.345180000000001</v>
      </c>
      <c r="S67" s="16">
        <v>-20.569520000000001</v>
      </c>
      <c r="T67" s="16">
        <v>-13.446770000000001</v>
      </c>
      <c r="U67" s="16">
        <v>-16.82076</v>
      </c>
      <c r="V67" s="16">
        <v>-22.761310000000002</v>
      </c>
      <c r="W67" s="16">
        <v>-12.675990000000001</v>
      </c>
      <c r="X67" s="16">
        <v>-23.720400000000001</v>
      </c>
      <c r="Y67" s="16">
        <v>-20.238779999999998</v>
      </c>
      <c r="Z67" s="16">
        <v>-16.907869999999999</v>
      </c>
      <c r="AA67" s="16">
        <v>-20.437060000000002</v>
      </c>
      <c r="AB67" s="16">
        <v>-18.531770000000002</v>
      </c>
      <c r="AC67" s="16">
        <v>-17.41047</v>
      </c>
      <c r="AD67" s="16">
        <v>-38.691830000000003</v>
      </c>
      <c r="AE67" s="16">
        <v>-40.59751</v>
      </c>
      <c r="AF67" s="16">
        <v>-10.537649999999999</v>
      </c>
      <c r="AG67" s="16">
        <v>-28.23929</v>
      </c>
      <c r="AH67" s="16">
        <v>-38.875620000000005</v>
      </c>
      <c r="AI67" s="46"/>
      <c r="AJ67" s="46"/>
      <c r="AK67" s="46"/>
      <c r="AL67" s="46"/>
      <c r="AM67" s="46"/>
      <c r="AN67" s="4"/>
      <c r="AO67" s="4"/>
      <c r="AP67" s="4"/>
      <c r="AQ67" s="4"/>
      <c r="AR67" s="4"/>
      <c r="AS67" s="4"/>
      <c r="AT67" s="4"/>
      <c r="AU67" s="4"/>
      <c r="AV67" s="4"/>
      <c r="AW67" s="4"/>
      <c r="AX67" s="4"/>
      <c r="AY67" s="4"/>
      <c r="ALQ67" t="e">
        <v>#N/A</v>
      </c>
    </row>
    <row r="68" spans="1:1005" ht="14.5" x14ac:dyDescent="0.35">
      <c r="A68" s="137">
        <f>YampaRiverInflow.TotalOutflow!A68</f>
        <v>48092</v>
      </c>
      <c r="B68" s="34">
        <v>-3.5750000000000002</v>
      </c>
      <c r="C68" s="12">
        <v>-3.5750000000000002</v>
      </c>
      <c r="D68" s="45">
        <v>-3.5750000000000002</v>
      </c>
      <c r="E68" s="16">
        <v>-6.8090299999999999</v>
      </c>
      <c r="F68" s="16">
        <v>2.4422899999999998</v>
      </c>
      <c r="G68" s="16">
        <v>-15.388030000000001</v>
      </c>
      <c r="H68" s="16">
        <v>3.0395700000000003</v>
      </c>
      <c r="I68" s="16">
        <v>-6.1195399999999998</v>
      </c>
      <c r="J68" s="16">
        <v>-6.2437700000000005</v>
      </c>
      <c r="K68" s="16">
        <v>-1.99848</v>
      </c>
      <c r="L68" s="16">
        <v>-6.6900600000000008</v>
      </c>
      <c r="M68" s="16">
        <v>0.25474000000000002</v>
      </c>
      <c r="N68" s="16">
        <v>-8.8620400000000004</v>
      </c>
      <c r="O68" s="16">
        <v>-3.0682</v>
      </c>
      <c r="P68" s="16">
        <v>-5.7606200000000003</v>
      </c>
      <c r="Q68" s="16">
        <v>0.47227999999999998</v>
      </c>
      <c r="R68" s="16">
        <v>-4.20695</v>
      </c>
      <c r="S68" s="16">
        <v>-6.3936400000000004</v>
      </c>
      <c r="T68" s="16">
        <v>-9.4515100000000007</v>
      </c>
      <c r="U68" s="16">
        <v>-9.5977199999999989</v>
      </c>
      <c r="V68" s="16">
        <v>-16.26549</v>
      </c>
      <c r="W68" s="16">
        <v>-9.5290599999999994</v>
      </c>
      <c r="X68" s="16">
        <v>-19.450950000000002</v>
      </c>
      <c r="Y68" s="16">
        <v>-20.921619999999997</v>
      </c>
      <c r="Z68" s="16">
        <v>-14.65705</v>
      </c>
      <c r="AA68" s="16">
        <v>-15.921899999999999</v>
      </c>
      <c r="AB68" s="16">
        <v>-21.619810000000001</v>
      </c>
      <c r="AC68" s="16">
        <v>-5.9765299999999995</v>
      </c>
      <c r="AD68" s="16">
        <v>-30.643849999999997</v>
      </c>
      <c r="AE68" s="16">
        <v>-16.40672</v>
      </c>
      <c r="AF68" s="16">
        <v>1.02725</v>
      </c>
      <c r="AG68" s="16">
        <v>-2.57606</v>
      </c>
      <c r="AH68" s="16">
        <v>1.2406300000000001</v>
      </c>
      <c r="AI68" s="46"/>
      <c r="AJ68" s="46"/>
      <c r="AK68" s="46"/>
      <c r="AL68" s="46"/>
      <c r="AM68" s="46"/>
      <c r="AN68" s="4"/>
      <c r="AO68" s="4"/>
      <c r="AP68" s="4"/>
      <c r="AQ68" s="4"/>
      <c r="AR68" s="4"/>
      <c r="AS68" s="4"/>
      <c r="AT68" s="4"/>
      <c r="AU68" s="4"/>
      <c r="AV68" s="4"/>
      <c r="AW68" s="4"/>
      <c r="AX68" s="4"/>
      <c r="AY68" s="4"/>
      <c r="ALQ68" t="e">
        <v>#N/A</v>
      </c>
    </row>
    <row r="69" spans="1:1005" ht="14.5" x14ac:dyDescent="0.35">
      <c r="A69" s="137"/>
      <c r="B69" s="34"/>
      <c r="C69" s="12"/>
      <c r="D69" s="45"/>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46"/>
      <c r="AJ69" s="46"/>
      <c r="AK69" s="46"/>
      <c r="AL69" s="46"/>
      <c r="AM69" s="46"/>
      <c r="AN69" s="4"/>
      <c r="AO69" s="4"/>
      <c r="AP69" s="4"/>
      <c r="AQ69" s="4"/>
      <c r="AR69" s="4"/>
      <c r="AS69" s="4"/>
      <c r="AT69" s="4"/>
      <c r="AU69" s="4"/>
      <c r="AV69" s="4"/>
      <c r="AW69" s="4"/>
      <c r="AX69" s="4"/>
      <c r="AY69" s="4"/>
      <c r="ALQ69" t="e">
        <v>#N/A</v>
      </c>
    </row>
    <row r="70" spans="1:1005" ht="14.5" x14ac:dyDescent="0.35">
      <c r="A70" s="137"/>
      <c r="B70" s="34"/>
      <c r="C70" s="12"/>
      <c r="D70" s="45"/>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46"/>
      <c r="AJ70" s="46"/>
      <c r="AK70" s="46"/>
      <c r="AL70" s="46"/>
      <c r="AM70" s="46"/>
      <c r="AN70" s="4"/>
      <c r="AO70" s="4"/>
      <c r="AP70" s="4"/>
      <c r="AQ70" s="4"/>
      <c r="AR70" s="4"/>
      <c r="AS70" s="4"/>
      <c r="AT70" s="4"/>
      <c r="AU70" s="4"/>
      <c r="AV70" s="4"/>
      <c r="AW70" s="4"/>
      <c r="AX70" s="4"/>
      <c r="AY70" s="4"/>
      <c r="ALQ70" t="e">
        <v>#N/A</v>
      </c>
    </row>
    <row r="71" spans="1:1005" ht="14.5" x14ac:dyDescent="0.35">
      <c r="A71" s="137"/>
      <c r="B71" s="34"/>
      <c r="C71" s="12"/>
      <c r="D71" s="45"/>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46"/>
      <c r="AJ71" s="46"/>
      <c r="AK71" s="46"/>
      <c r="AL71" s="46"/>
      <c r="AM71" s="46"/>
      <c r="AN71" s="4"/>
      <c r="AO71" s="4"/>
      <c r="AP71" s="4"/>
      <c r="AQ71" s="4"/>
      <c r="AR71" s="4"/>
      <c r="AS71" s="4"/>
      <c r="AT71" s="4"/>
      <c r="AU71" s="4"/>
      <c r="AV71" s="4"/>
      <c r="AW71" s="4"/>
      <c r="AX71" s="4"/>
      <c r="AY71" s="4"/>
      <c r="ALQ71" t="e">
        <v>#N/A</v>
      </c>
    </row>
    <row r="72" spans="1:1005" ht="12.75" customHeight="1" x14ac:dyDescent="0.35">
      <c r="A72" s="137"/>
      <c r="B72" s="33"/>
      <c r="C72" s="8"/>
      <c r="D72" s="11"/>
      <c r="AI72" s="16"/>
      <c r="AJ72" s="16"/>
      <c r="AK72" s="16"/>
      <c r="AL72" s="16"/>
      <c r="AM72" s="16"/>
      <c r="ALQ72" t="e">
        <v>#N/A</v>
      </c>
    </row>
    <row r="73" spans="1:1005" ht="12.75" customHeight="1" x14ac:dyDescent="0.35">
      <c r="A73" s="137"/>
      <c r="B73" s="33"/>
      <c r="C73" s="8"/>
      <c r="D73" s="11"/>
      <c r="E73" s="16"/>
      <c r="AI73" s="16"/>
      <c r="AJ73" s="16"/>
      <c r="AK73" s="16"/>
      <c r="AL73" s="16"/>
      <c r="AM73" s="16"/>
    </row>
    <row r="74" spans="1:1005" ht="12.75" customHeight="1" x14ac:dyDescent="0.35">
      <c r="A74" s="137"/>
      <c r="B74" s="33"/>
      <c r="C74" s="8"/>
      <c r="D74" s="11"/>
      <c r="AI74" s="16"/>
      <c r="AJ74" s="16"/>
      <c r="AK74" s="16"/>
      <c r="AL74" s="16"/>
      <c r="AM74" s="16"/>
    </row>
    <row r="75" spans="1:1005" ht="12.75" customHeight="1" x14ac:dyDescent="0.35">
      <c r="A75" s="137"/>
      <c r="B75" s="33"/>
      <c r="C75" s="8"/>
      <c r="D75" s="11"/>
      <c r="AI75" s="16"/>
      <c r="AJ75" s="16"/>
      <c r="AK75" s="16"/>
      <c r="AL75" s="16"/>
      <c r="AM75" s="16"/>
    </row>
    <row r="76" spans="1:1005" ht="12.75" customHeight="1" x14ac:dyDescent="0.35">
      <c r="A76" s="137"/>
      <c r="B76" s="33"/>
      <c r="C76" s="8"/>
      <c r="D76" s="11"/>
      <c r="AI76" s="16"/>
      <c r="AJ76" s="16"/>
      <c r="AK76" s="16"/>
      <c r="AL76" s="16"/>
      <c r="AM76" s="16"/>
    </row>
    <row r="77" spans="1:1005" ht="12.75" customHeight="1" x14ac:dyDescent="0.35">
      <c r="A77" s="137"/>
      <c r="B77" s="33"/>
      <c r="C77" s="8"/>
      <c r="D77" s="11"/>
      <c r="AI77" s="16"/>
      <c r="AJ77" s="16"/>
      <c r="AK77" s="16"/>
      <c r="AL77" s="16"/>
      <c r="AM77" s="16"/>
    </row>
    <row r="78" spans="1:1005" ht="12.75" customHeight="1" x14ac:dyDescent="0.35">
      <c r="A78" s="137"/>
      <c r="B78" s="33"/>
      <c r="C78" s="8"/>
      <c r="D78" s="11"/>
      <c r="AI78" s="16"/>
      <c r="AJ78" s="16"/>
      <c r="AK78" s="16"/>
      <c r="AL78" s="16"/>
      <c r="AM78" s="16"/>
    </row>
    <row r="79" spans="1:1005" ht="12.75" customHeight="1" x14ac:dyDescent="0.35">
      <c r="A79" s="137"/>
      <c r="B79" s="33"/>
      <c r="C79" s="8"/>
      <c r="D79" s="11"/>
    </row>
    <row r="80" spans="1:1005" ht="12.75" customHeight="1" x14ac:dyDescent="0.35">
      <c r="A80" s="137"/>
      <c r="B80" s="33"/>
      <c r="C80" s="8"/>
      <c r="D80" s="11"/>
    </row>
    <row r="81" spans="1:4" ht="12.75" customHeight="1" x14ac:dyDescent="0.35">
      <c r="A81" s="137"/>
      <c r="B81" s="33"/>
      <c r="C81" s="8"/>
      <c r="D81" s="11"/>
    </row>
    <row r="82" spans="1:4" ht="12.75" customHeight="1" x14ac:dyDescent="0.35">
      <c r="A82" s="137"/>
      <c r="B82" s="33"/>
      <c r="C82" s="8"/>
      <c r="D82" s="11"/>
    </row>
    <row r="83" spans="1:4" ht="12.75" customHeight="1" x14ac:dyDescent="0.35">
      <c r="A83" s="137"/>
      <c r="B83" s="33"/>
      <c r="C83" s="8"/>
      <c r="D83" s="11"/>
    </row>
    <row r="84" spans="1:4" ht="12.75" customHeight="1" x14ac:dyDescent="0.35">
      <c r="A84" s="137"/>
      <c r="B84" s="33"/>
      <c r="C84" s="8"/>
      <c r="D84" s="11"/>
    </row>
  </sheetData>
  <mergeCells count="1">
    <mergeCell ref="B1:AH1"/>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550E-8CFA-497F-A765-9BB0C43DCCE0}">
  <sheetPr codeName="Sheet28">
    <tabColor rgb="FFFF0000"/>
  </sheetPr>
  <dimension ref="A1:ALQ84"/>
  <sheetViews>
    <sheetView workbookViewId="0">
      <selection activeCell="B4" sqref="B4:AZ100"/>
    </sheetView>
  </sheetViews>
  <sheetFormatPr defaultColWidth="18.6328125" defaultRowHeight="12.75" customHeight="1" x14ac:dyDescent="0.35"/>
  <cols>
    <col min="1" max="2" width="9.36328125" customWidth="1"/>
    <col min="3" max="3" width="9.6328125" bestFit="1" customWidth="1"/>
    <col min="4" max="54" width="9.36328125" customWidth="1"/>
  </cols>
  <sheetData>
    <row r="1" spans="1:51" ht="14.5" x14ac:dyDescent="0.35">
      <c r="A1" s="130"/>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3"/>
      <c r="AJ1" s="3"/>
      <c r="AK1" s="3"/>
      <c r="AL1" s="3"/>
      <c r="AM1" s="3"/>
    </row>
    <row r="2" spans="1:51" ht="14.5" x14ac:dyDescent="0.35">
      <c r="A2" s="130" t="s">
        <v>40</v>
      </c>
      <c r="B2" s="132" t="s">
        <v>0</v>
      </c>
      <c r="C2" s="132" t="s">
        <v>1</v>
      </c>
      <c r="D2" s="132" t="s">
        <v>2</v>
      </c>
      <c r="E2" s="132">
        <v>1991</v>
      </c>
      <c r="F2" s="132">
        <v>1992</v>
      </c>
      <c r="G2" s="132">
        <v>1993</v>
      </c>
      <c r="H2" s="132">
        <v>1994</v>
      </c>
      <c r="I2" s="132">
        <v>1995</v>
      </c>
      <c r="J2" s="132">
        <v>1996</v>
      </c>
      <c r="K2" s="132">
        <v>1997</v>
      </c>
      <c r="L2" s="132">
        <v>1998</v>
      </c>
      <c r="M2" s="132">
        <v>1999</v>
      </c>
      <c r="N2" s="132">
        <v>2000</v>
      </c>
      <c r="O2" s="132">
        <v>2001</v>
      </c>
      <c r="P2" s="132">
        <v>2002</v>
      </c>
      <c r="Q2" s="132">
        <v>2003</v>
      </c>
      <c r="R2" s="132">
        <v>2004</v>
      </c>
      <c r="S2" s="132">
        <v>2005</v>
      </c>
      <c r="T2" s="132">
        <v>2006</v>
      </c>
      <c r="U2" s="132">
        <v>2007</v>
      </c>
      <c r="V2" s="132">
        <v>2008</v>
      </c>
      <c r="W2" s="132">
        <v>2009</v>
      </c>
      <c r="X2" s="132">
        <v>2010</v>
      </c>
      <c r="Y2" s="132">
        <v>2011</v>
      </c>
      <c r="Z2" s="132">
        <v>2012</v>
      </c>
      <c r="AA2" s="132">
        <v>2013</v>
      </c>
      <c r="AB2" s="132">
        <v>2014</v>
      </c>
      <c r="AC2" s="132">
        <v>2015</v>
      </c>
      <c r="AD2" s="132">
        <v>2016</v>
      </c>
      <c r="AE2" s="133">
        <v>2017</v>
      </c>
      <c r="AF2" s="132">
        <v>2018</v>
      </c>
      <c r="AG2" s="132">
        <v>2019</v>
      </c>
      <c r="AH2" s="132">
        <v>2020</v>
      </c>
      <c r="AI2" s="3"/>
      <c r="AJ2" s="3"/>
      <c r="AK2" s="3"/>
      <c r="AL2" s="3"/>
      <c r="AM2" s="3"/>
      <c r="AN2" s="3"/>
      <c r="AO2" s="3"/>
      <c r="AP2" s="3"/>
      <c r="AQ2" s="3"/>
      <c r="AR2" s="3"/>
      <c r="AS2" s="3"/>
    </row>
    <row r="3" spans="1:51" ht="14.5" x14ac:dyDescent="0.35">
      <c r="A3" s="134" t="str">
        <f>A2&amp;"_"&amp;"Time"</f>
        <v>PkrToImp_In_Time</v>
      </c>
      <c r="B3" s="135" t="s">
        <v>3</v>
      </c>
      <c r="C3" s="135" t="s">
        <v>4</v>
      </c>
      <c r="D3" s="135" t="s">
        <v>5</v>
      </c>
      <c r="E3" s="135" t="s">
        <v>6</v>
      </c>
      <c r="F3" s="135" t="s">
        <v>7</v>
      </c>
      <c r="G3" s="135" t="s">
        <v>8</v>
      </c>
      <c r="H3" s="135" t="s">
        <v>9</v>
      </c>
      <c r="I3" s="135" t="s">
        <v>10</v>
      </c>
      <c r="J3" s="135" t="s">
        <v>11</v>
      </c>
      <c r="K3" s="135" t="s">
        <v>12</v>
      </c>
      <c r="L3" s="135" t="s">
        <v>13</v>
      </c>
      <c r="M3" s="135" t="s">
        <v>14</v>
      </c>
      <c r="N3" s="135" t="s">
        <v>15</v>
      </c>
      <c r="O3" s="135" t="s">
        <v>16</v>
      </c>
      <c r="P3" s="135" t="s">
        <v>17</v>
      </c>
      <c r="Q3" s="135" t="s">
        <v>18</v>
      </c>
      <c r="R3" s="135" t="s">
        <v>19</v>
      </c>
      <c r="S3" s="135" t="s">
        <v>20</v>
      </c>
      <c r="T3" s="135" t="s">
        <v>21</v>
      </c>
      <c r="U3" s="135" t="s">
        <v>22</v>
      </c>
      <c r="V3" s="135" t="s">
        <v>23</v>
      </c>
      <c r="W3" s="135" t="s">
        <v>24</v>
      </c>
      <c r="X3" s="135" t="s">
        <v>25</v>
      </c>
      <c r="Y3" s="135" t="s">
        <v>26</v>
      </c>
      <c r="Z3" s="135" t="s">
        <v>27</v>
      </c>
      <c r="AA3" s="135" t="s">
        <v>28</v>
      </c>
      <c r="AB3" s="135" t="s">
        <v>29</v>
      </c>
      <c r="AC3" s="135" t="s">
        <v>30</v>
      </c>
      <c r="AD3" s="135" t="s">
        <v>31</v>
      </c>
      <c r="AE3" s="135" t="s">
        <v>32</v>
      </c>
      <c r="AF3" s="135" t="s">
        <v>33</v>
      </c>
      <c r="AG3" s="135" t="s">
        <v>34</v>
      </c>
      <c r="AH3" s="135" t="s">
        <v>35</v>
      </c>
      <c r="AI3" s="3"/>
      <c r="AJ3" s="3"/>
      <c r="AK3" s="3"/>
      <c r="AL3" s="3"/>
      <c r="AM3" s="3"/>
      <c r="AN3" s="3"/>
      <c r="AO3" s="3"/>
      <c r="AP3" s="3"/>
      <c r="AQ3" s="3"/>
      <c r="AR3" s="3"/>
      <c r="AS3" s="3"/>
    </row>
    <row r="4" spans="1:51" ht="14.5" x14ac:dyDescent="0.35">
      <c r="A4" s="136">
        <f>YampaRiverInflow.TotalOutflow!A4</f>
        <v>46143</v>
      </c>
      <c r="B4" s="81">
        <v>-44.896000000000001</v>
      </c>
      <c r="C4" s="82">
        <v>-44.896000000000001</v>
      </c>
      <c r="D4" s="129">
        <v>-44.896000000000001</v>
      </c>
      <c r="E4" s="16">
        <v>-19.012</v>
      </c>
      <c r="F4" s="16">
        <v>-19.098700000000001</v>
      </c>
      <c r="G4" s="16">
        <v>-31.252700000000001</v>
      </c>
      <c r="H4" s="16">
        <v>-147.96199999999999</v>
      </c>
      <c r="I4" s="16">
        <v>-29.909500000000001</v>
      </c>
      <c r="J4" s="16">
        <v>-28.129300000000001</v>
      </c>
      <c r="K4" s="16">
        <v>-49.9146</v>
      </c>
      <c r="L4" s="16">
        <v>-34.603400000000001</v>
      </c>
      <c r="M4" s="16">
        <v>-27.749099999999999</v>
      </c>
      <c r="N4" s="16">
        <v>-15.6434</v>
      </c>
      <c r="O4" s="16">
        <v>-26.480900000000002</v>
      </c>
      <c r="P4" s="16">
        <v>-13.461499999999999</v>
      </c>
      <c r="Q4" s="16">
        <v>-3.12216</v>
      </c>
      <c r="R4" s="16">
        <v>-37.49</v>
      </c>
      <c r="S4" s="16">
        <v>-28.581900000000001</v>
      </c>
      <c r="T4" s="16">
        <v>-34.988099999999996</v>
      </c>
      <c r="U4" s="16">
        <v>-27.610599999999998</v>
      </c>
      <c r="V4" s="16">
        <v>-13.771700000000001</v>
      </c>
      <c r="W4" s="16">
        <v>-19.453499999999998</v>
      </c>
      <c r="X4" s="16">
        <v>-43.834099999999999</v>
      </c>
      <c r="Y4" s="16">
        <v>-36.948999999999998</v>
      </c>
      <c r="Z4" s="16">
        <v>-18.708599999999997</v>
      </c>
      <c r="AA4" s="16">
        <v>-25.398700000000002</v>
      </c>
      <c r="AB4" s="16">
        <v>-18.684200000000001</v>
      </c>
      <c r="AC4" s="16">
        <v>-10.974200000000002</v>
      </c>
      <c r="AD4" s="16">
        <v>-34.367400000000004</v>
      </c>
      <c r="AE4" s="16">
        <v>-27.658300000000001</v>
      </c>
      <c r="AF4" s="16">
        <v>-22.264099999999999</v>
      </c>
      <c r="AG4" s="16">
        <v>-16.6996</v>
      </c>
      <c r="AH4" s="16">
        <v>-67.282200000000003</v>
      </c>
      <c r="AI4" s="16"/>
      <c r="AJ4" s="16"/>
      <c r="AK4" s="16"/>
      <c r="AL4" s="16"/>
      <c r="AM4" s="16"/>
      <c r="AN4" s="4"/>
      <c r="AO4" s="4"/>
      <c r="AP4" s="4"/>
      <c r="AQ4" s="4"/>
      <c r="AR4" s="4"/>
      <c r="AS4" s="4"/>
      <c r="AT4" s="4"/>
      <c r="AU4" s="4"/>
      <c r="AV4" s="4"/>
      <c r="AW4" s="4"/>
      <c r="AX4" s="4"/>
      <c r="AY4" s="4"/>
    </row>
    <row r="5" spans="1:51" ht="14.5" x14ac:dyDescent="0.35">
      <c r="A5" s="136">
        <f>YampaRiverInflow.TotalOutflow!A5</f>
        <v>46174</v>
      </c>
      <c r="B5" s="34">
        <v>-39.107999999999997</v>
      </c>
      <c r="C5" s="12">
        <v>-39.107999999999997</v>
      </c>
      <c r="D5" s="45">
        <v>-39.107999999999997</v>
      </c>
      <c r="E5" s="16">
        <v>-57.844000000000001</v>
      </c>
      <c r="F5" s="16">
        <v>-49.321300000000001</v>
      </c>
      <c r="G5" s="16">
        <v>-51.9298</v>
      </c>
      <c r="H5" s="16">
        <v>-183.62299999999999</v>
      </c>
      <c r="I5" s="16">
        <v>-63.558300000000003</v>
      </c>
      <c r="J5" s="16">
        <v>-43.443300000000001</v>
      </c>
      <c r="K5" s="16">
        <v>-78.712100000000007</v>
      </c>
      <c r="L5" s="16">
        <v>-44.4283</v>
      </c>
      <c r="M5" s="16">
        <v>-46.623400000000004</v>
      </c>
      <c r="N5" s="16">
        <v>-26.48</v>
      </c>
      <c r="O5" s="16">
        <v>-49.249099999999999</v>
      </c>
      <c r="P5" s="16">
        <v>-37.820300000000003</v>
      </c>
      <c r="Q5" s="16">
        <v>-37.123800000000003</v>
      </c>
      <c r="R5" s="16">
        <v>-46.805699999999995</v>
      </c>
      <c r="S5" s="16">
        <v>-42.2714</v>
      </c>
      <c r="T5" s="16">
        <v>-36.915500000000002</v>
      </c>
      <c r="U5" s="16">
        <v>-53.137800000000006</v>
      </c>
      <c r="V5" s="16">
        <v>-64.9482</v>
      </c>
      <c r="W5" s="16">
        <v>-25.7806</v>
      </c>
      <c r="X5" s="16">
        <v>-34.943199999999997</v>
      </c>
      <c r="Y5" s="16">
        <v>-51.296099999999996</v>
      </c>
      <c r="Z5" s="16">
        <v>-57.331800000000001</v>
      </c>
      <c r="AA5" s="16">
        <v>-54.558199999999999</v>
      </c>
      <c r="AB5" s="16">
        <v>-68.587000000000003</v>
      </c>
      <c r="AC5" s="16">
        <v>-37.685099999999998</v>
      </c>
      <c r="AD5" s="16">
        <v>-32.256500000000003</v>
      </c>
      <c r="AE5" s="16">
        <v>-52.228699999999996</v>
      </c>
      <c r="AF5" s="16">
        <v>-55.433399999999999</v>
      </c>
      <c r="AG5" s="16">
        <v>-50.623800000000003</v>
      </c>
      <c r="AH5" s="16">
        <v>-49.755000000000003</v>
      </c>
      <c r="AI5" s="46"/>
      <c r="AJ5" s="46"/>
      <c r="AK5" s="46"/>
      <c r="AL5" s="46"/>
      <c r="AM5" s="46"/>
      <c r="AN5" s="4"/>
      <c r="AO5" s="4"/>
      <c r="AP5" s="4"/>
      <c r="AQ5" s="4"/>
      <c r="AR5" s="4"/>
      <c r="AS5" s="4"/>
      <c r="AT5" s="4"/>
      <c r="AU5" s="4"/>
      <c r="AV5" s="4"/>
      <c r="AW5" s="4"/>
      <c r="AX5" s="4"/>
      <c r="AY5" s="4"/>
    </row>
    <row r="6" spans="1:51" ht="14.5" x14ac:dyDescent="0.35">
      <c r="A6" s="136">
        <f>YampaRiverInflow.TotalOutflow!A6</f>
        <v>46204</v>
      </c>
      <c r="B6" s="34">
        <v>-23.524999999999999</v>
      </c>
      <c r="C6" s="12">
        <v>-23.524999999999999</v>
      </c>
      <c r="D6" s="45">
        <v>-23.524999999999999</v>
      </c>
      <c r="E6" s="16">
        <v>-48.3</v>
      </c>
      <c r="F6" s="16">
        <v>-25.503700000000002</v>
      </c>
      <c r="G6" s="16">
        <v>-48.567099999999996</v>
      </c>
      <c r="H6" s="16">
        <v>-182.99199999999999</v>
      </c>
      <c r="I6" s="16">
        <v>-65.305999999999997</v>
      </c>
      <c r="J6" s="16">
        <v>-37.942</v>
      </c>
      <c r="K6" s="16">
        <v>-73.786799999999999</v>
      </c>
      <c r="L6" s="16">
        <v>-40.766500000000001</v>
      </c>
      <c r="M6" s="16">
        <v>-6.4570799999999995</v>
      </c>
      <c r="N6" s="16">
        <v>-40.478199999999994</v>
      </c>
      <c r="O6" s="16">
        <v>-35.347099999999998</v>
      </c>
      <c r="P6" s="16">
        <v>-30.984200000000001</v>
      </c>
      <c r="Q6" s="16">
        <v>-12.644399999999999</v>
      </c>
      <c r="R6" s="16">
        <v>-15.251700000000001</v>
      </c>
      <c r="S6" s="16">
        <v>-52.766100000000002</v>
      </c>
      <c r="T6" s="16">
        <v>-45.935900000000004</v>
      </c>
      <c r="U6" s="16">
        <v>-47.300400000000003</v>
      </c>
      <c r="V6" s="16">
        <v>-39.221400000000003</v>
      </c>
      <c r="W6" s="16">
        <v>-35.222799999999999</v>
      </c>
      <c r="X6" s="16">
        <v>-42.721499999999999</v>
      </c>
      <c r="Y6" s="16">
        <v>-48.900100000000002</v>
      </c>
      <c r="Z6" s="16">
        <v>-17.8947</v>
      </c>
      <c r="AA6" s="16">
        <v>-23.696200000000001</v>
      </c>
      <c r="AB6" s="16">
        <v>-7.1829000000000001</v>
      </c>
      <c r="AC6" s="16">
        <v>-15.904399999999999</v>
      </c>
      <c r="AD6" s="16">
        <v>-28.589599999999997</v>
      </c>
      <c r="AE6" s="16">
        <v>-43.727499999999999</v>
      </c>
      <c r="AF6" s="16">
        <v>-35.582300000000004</v>
      </c>
      <c r="AG6" s="16">
        <v>-30.575500000000002</v>
      </c>
      <c r="AH6" s="16">
        <v>-37.180800000000005</v>
      </c>
      <c r="AI6" s="46"/>
      <c r="AJ6" s="46"/>
      <c r="AK6" s="46"/>
      <c r="AL6" s="46"/>
      <c r="AM6" s="46"/>
      <c r="AN6" s="4"/>
      <c r="AO6" s="4"/>
      <c r="AP6" s="4"/>
      <c r="AQ6" s="4"/>
      <c r="AR6" s="4"/>
      <c r="AS6" s="4"/>
      <c r="AT6" s="4"/>
      <c r="AU6" s="4"/>
      <c r="AV6" s="4"/>
      <c r="AW6" s="4"/>
      <c r="AX6" s="4"/>
      <c r="AY6" s="4"/>
    </row>
    <row r="7" spans="1:51" ht="14.5" x14ac:dyDescent="0.35">
      <c r="A7" s="136">
        <f>YampaRiverInflow.TotalOutflow!A7</f>
        <v>46235</v>
      </c>
      <c r="B7" s="34">
        <v>-12.019</v>
      </c>
      <c r="C7" s="12">
        <v>-12.019</v>
      </c>
      <c r="D7" s="45">
        <v>-12.019</v>
      </c>
      <c r="E7" s="16">
        <v>-23.998000000000001</v>
      </c>
      <c r="F7" s="16">
        <v>5.8436199999999996</v>
      </c>
      <c r="G7" s="16">
        <v>-37.121300000000005</v>
      </c>
      <c r="H7" s="16">
        <v>-39.379899999999999</v>
      </c>
      <c r="I7" s="16">
        <v>-27.815000000000001</v>
      </c>
      <c r="J7" s="16">
        <v>-14.0517</v>
      </c>
      <c r="K7" s="16">
        <v>-65.381299999999996</v>
      </c>
      <c r="L7" s="16">
        <v>-36.5657</v>
      </c>
      <c r="M7" s="16">
        <v>-19.854400000000002</v>
      </c>
      <c r="N7" s="16">
        <v>-3.75305</v>
      </c>
      <c r="O7" s="16">
        <v>-2.8775900000000001</v>
      </c>
      <c r="P7" s="16">
        <v>-12.666399999999999</v>
      </c>
      <c r="Q7" s="16">
        <v>-13.9602</v>
      </c>
      <c r="R7" s="16">
        <v>-39.998400000000004</v>
      </c>
      <c r="S7" s="16">
        <v>7.2850600000000005</v>
      </c>
      <c r="T7" s="16">
        <v>-24.3444</v>
      </c>
      <c r="U7" s="16">
        <v>-33.449400000000004</v>
      </c>
      <c r="V7" s="16">
        <v>-19.831900000000001</v>
      </c>
      <c r="W7" s="16">
        <v>-46.257599999999996</v>
      </c>
      <c r="X7" s="16">
        <v>-32.945300000000003</v>
      </c>
      <c r="Y7" s="16">
        <v>-39.458300000000001</v>
      </c>
      <c r="Z7" s="16">
        <v>-23.445799999999998</v>
      </c>
      <c r="AA7" s="16">
        <v>-14.442500000000001</v>
      </c>
      <c r="AB7" s="16">
        <v>-5.3147600000000006</v>
      </c>
      <c r="AC7" s="16">
        <v>-20.151</v>
      </c>
      <c r="AD7" s="16">
        <v>-29.148299999999999</v>
      </c>
      <c r="AE7" s="16">
        <v>-33.437899999999999</v>
      </c>
      <c r="AF7" s="16">
        <v>-29.450599999999998</v>
      </c>
      <c r="AG7" s="16">
        <v>-25.803599999999999</v>
      </c>
      <c r="AH7" s="16">
        <v>-58.466900000000003</v>
      </c>
      <c r="AI7" s="46"/>
      <c r="AJ7" s="46"/>
      <c r="AK7" s="46"/>
      <c r="AL7" s="46"/>
      <c r="AM7" s="46"/>
      <c r="AN7" s="4"/>
      <c r="AO7" s="4"/>
      <c r="AP7" s="4"/>
      <c r="AQ7" s="4"/>
      <c r="AR7" s="4"/>
      <c r="AS7" s="4"/>
      <c r="AT7" s="4"/>
      <c r="AU7" s="4"/>
      <c r="AV7" s="4"/>
      <c r="AW7" s="4"/>
      <c r="AX7" s="4"/>
      <c r="AY7" s="4"/>
    </row>
    <row r="8" spans="1:51" ht="14.5" x14ac:dyDescent="0.35">
      <c r="A8" s="136">
        <f>YampaRiverInflow.TotalOutflow!A8</f>
        <v>46266</v>
      </c>
      <c r="B8" s="34">
        <v>-6.0039999999999996</v>
      </c>
      <c r="C8" s="12">
        <v>-6.0039999999999996</v>
      </c>
      <c r="D8" s="45">
        <v>-6.0039999999999996</v>
      </c>
      <c r="E8" s="16">
        <v>-15.521000000000001</v>
      </c>
      <c r="F8" s="16">
        <v>-12.745700000000001</v>
      </c>
      <c r="G8" s="16">
        <v>-31.333599999999997</v>
      </c>
      <c r="H8" s="16">
        <v>-19.856300000000001</v>
      </c>
      <c r="I8" s="16">
        <v>-41.415900000000001</v>
      </c>
      <c r="J8" s="16">
        <v>-22.555199999999999</v>
      </c>
      <c r="K8" s="16">
        <v>0.85353000000000001</v>
      </c>
      <c r="L8" s="16">
        <v>-61.966300000000004</v>
      </c>
      <c r="M8" s="16">
        <v>-54.048999999999999</v>
      </c>
      <c r="N8" s="16">
        <v>-27.7121</v>
      </c>
      <c r="O8" s="16">
        <v>-18.022099999999998</v>
      </c>
      <c r="P8" s="16">
        <v>-8.8447199999999988</v>
      </c>
      <c r="Q8" s="16">
        <v>-17.9664</v>
      </c>
      <c r="R8" s="16">
        <v>-5.1358199999999998</v>
      </c>
      <c r="S8" s="16">
        <v>-10.9739</v>
      </c>
      <c r="T8" s="16">
        <v>-32.469799999999999</v>
      </c>
      <c r="U8" s="16">
        <v>-35.090000000000003</v>
      </c>
      <c r="V8" s="16">
        <v>-20.7882</v>
      </c>
      <c r="W8" s="16">
        <v>-50.804099999999998</v>
      </c>
      <c r="X8" s="16">
        <v>-26.487200000000001</v>
      </c>
      <c r="Y8" s="16">
        <v>-30.253900000000002</v>
      </c>
      <c r="Z8" s="16">
        <v>-43.0578</v>
      </c>
      <c r="AA8" s="16">
        <v>-36.350099999999998</v>
      </c>
      <c r="AB8" s="16">
        <v>-18.872799999999998</v>
      </c>
      <c r="AC8" s="16">
        <v>-16.6816</v>
      </c>
      <c r="AD8" s="16">
        <v>-22.602599999999999</v>
      </c>
      <c r="AE8" s="16">
        <v>-13.866299999999999</v>
      </c>
      <c r="AF8" s="16">
        <v>-20.75</v>
      </c>
      <c r="AG8" s="16">
        <v>-8.9183799999999991</v>
      </c>
      <c r="AH8" s="16">
        <v>-33.353900000000003</v>
      </c>
      <c r="AI8" s="46"/>
      <c r="AJ8" s="46"/>
      <c r="AK8" s="46"/>
      <c r="AL8" s="46"/>
      <c r="AM8" s="46"/>
      <c r="AN8" s="4"/>
      <c r="AO8" s="4"/>
      <c r="AP8" s="4"/>
      <c r="AQ8" s="4"/>
      <c r="AR8" s="4"/>
      <c r="AS8" s="4"/>
      <c r="AT8" s="4"/>
      <c r="AU8" s="4"/>
      <c r="AV8" s="4"/>
      <c r="AW8" s="4"/>
      <c r="AX8" s="4"/>
      <c r="AY8" s="4"/>
    </row>
    <row r="9" spans="1:51" ht="14.5" x14ac:dyDescent="0.35">
      <c r="A9" s="136">
        <f>YampaRiverInflow.TotalOutflow!A9</f>
        <v>46296</v>
      </c>
      <c r="B9" s="34">
        <v>-4.306</v>
      </c>
      <c r="C9" s="12">
        <v>-4.306</v>
      </c>
      <c r="D9" s="45">
        <v>-4.306</v>
      </c>
      <c r="E9" s="16">
        <v>3.17</v>
      </c>
      <c r="F9" s="16">
        <v>-15.058</v>
      </c>
      <c r="G9" s="16">
        <v>-8.1872799999999994</v>
      </c>
      <c r="H9" s="16">
        <v>-13.261700000000001</v>
      </c>
      <c r="I9" s="16">
        <v>8.3438300000000005</v>
      </c>
      <c r="J9" s="16">
        <v>1.6283399999999999</v>
      </c>
      <c r="K9" s="16">
        <v>-1.5256099999999999</v>
      </c>
      <c r="L9" s="16">
        <v>0.55819000000000007</v>
      </c>
      <c r="M9" s="16">
        <v>-0.40666000000000002</v>
      </c>
      <c r="N9" s="16">
        <v>-3.3743600000000002</v>
      </c>
      <c r="O9" s="16">
        <v>10.40099</v>
      </c>
      <c r="P9" s="16">
        <v>3.1250999999999998</v>
      </c>
      <c r="Q9" s="16">
        <v>0.16553999999999999</v>
      </c>
      <c r="R9" s="16">
        <v>26.085080000000001</v>
      </c>
      <c r="S9" s="16">
        <v>-4.4398100000000005</v>
      </c>
      <c r="T9" s="16">
        <v>7.4000500000000002</v>
      </c>
      <c r="U9" s="16">
        <v>-11.6661</v>
      </c>
      <c r="V9" s="16">
        <v>-2.7408399999999999</v>
      </c>
      <c r="W9" s="16">
        <v>-4.4333</v>
      </c>
      <c r="X9" s="16">
        <v>-10.0848</v>
      </c>
      <c r="Y9" s="16">
        <v>-27.032599999999999</v>
      </c>
      <c r="Z9" s="16">
        <v>-5.7554099999999995</v>
      </c>
      <c r="AA9" s="16">
        <v>-10.2515</v>
      </c>
      <c r="AB9" s="16">
        <v>-12.6999</v>
      </c>
      <c r="AC9" s="16">
        <v>-3.16777</v>
      </c>
      <c r="AD9" s="16">
        <v>-24.611999999999998</v>
      </c>
      <c r="AE9" s="16">
        <v>-28.077099999999998</v>
      </c>
      <c r="AF9" s="16">
        <v>-12.1576</v>
      </c>
      <c r="AG9" s="16">
        <v>1.7223250000000001</v>
      </c>
      <c r="AH9" s="16">
        <v>-9.7818899999999989</v>
      </c>
      <c r="AI9" s="46"/>
      <c r="AJ9" s="46"/>
      <c r="AK9" s="46"/>
      <c r="AL9" s="46"/>
      <c r="AM9" s="46"/>
      <c r="AN9" s="4"/>
      <c r="AO9" s="4"/>
      <c r="AP9" s="4"/>
      <c r="AQ9" s="4"/>
      <c r="AR9" s="4"/>
      <c r="AS9" s="4"/>
      <c r="AT9" s="4"/>
      <c r="AU9" s="4"/>
      <c r="AV9" s="4"/>
      <c r="AW9" s="4"/>
      <c r="AX9" s="4"/>
      <c r="AY9" s="4"/>
    </row>
    <row r="10" spans="1:51" ht="14.5" x14ac:dyDescent="0.35">
      <c r="A10" s="136">
        <f>YampaRiverInflow.TotalOutflow!A10</f>
        <v>46327</v>
      </c>
      <c r="B10" s="34">
        <v>21.308</v>
      </c>
      <c r="C10" s="12">
        <v>21.308</v>
      </c>
      <c r="D10" s="45">
        <v>21.308</v>
      </c>
      <c r="E10" s="16">
        <v>8.6760000000000002</v>
      </c>
      <c r="F10" s="16">
        <v>-7.5486000000000004</v>
      </c>
      <c r="G10" s="16">
        <v>1.3323900000000002</v>
      </c>
      <c r="H10" s="16">
        <v>8.9617099999999983</v>
      </c>
      <c r="I10" s="16">
        <v>4.5023100000000005</v>
      </c>
      <c r="J10" s="16">
        <v>13.97513</v>
      </c>
      <c r="K10" s="16">
        <v>6.8756899999999996</v>
      </c>
      <c r="L10" s="16">
        <v>-37.753900000000002</v>
      </c>
      <c r="M10" s="16">
        <v>12.579600000000001</v>
      </c>
      <c r="N10" s="16">
        <v>4.9528100000000004</v>
      </c>
      <c r="O10" s="16">
        <v>14.292</v>
      </c>
      <c r="P10" s="16">
        <v>10.398250000000001</v>
      </c>
      <c r="Q10" s="16">
        <v>14.77266</v>
      </c>
      <c r="R10" s="16">
        <v>2.89751</v>
      </c>
      <c r="S10" s="16">
        <v>-5.1595500000000003</v>
      </c>
      <c r="T10" s="16">
        <v>8.3595300000000012</v>
      </c>
      <c r="U10" s="16">
        <v>0.24359</v>
      </c>
      <c r="V10" s="16">
        <v>-2.1938</v>
      </c>
      <c r="W10" s="16">
        <v>-8.1242999999999999</v>
      </c>
      <c r="X10" s="16">
        <v>-20.0396</v>
      </c>
      <c r="Y10" s="16">
        <v>-7.1350500000000006</v>
      </c>
      <c r="Z10" s="16">
        <v>-4.9749300000000005</v>
      </c>
      <c r="AA10" s="16">
        <v>-2.7747700000000002</v>
      </c>
      <c r="AB10" s="16">
        <v>-5.4642499999999998</v>
      </c>
      <c r="AC10" s="16">
        <v>12.753399999999999</v>
      </c>
      <c r="AD10" s="16">
        <v>1.235026</v>
      </c>
      <c r="AE10" s="16">
        <v>6.9389319999999994</v>
      </c>
      <c r="AF10" s="16">
        <v>-9.7391900000000007</v>
      </c>
      <c r="AG10" s="16">
        <v>26.70477</v>
      </c>
      <c r="AH10" s="16">
        <v>4.1004740000000002</v>
      </c>
      <c r="AI10" s="46"/>
      <c r="AJ10" s="46"/>
      <c r="AK10" s="46"/>
      <c r="AL10" s="46"/>
      <c r="AM10" s="46"/>
      <c r="AN10" s="4"/>
      <c r="AO10" s="4"/>
      <c r="AP10" s="4"/>
      <c r="AQ10" s="4"/>
      <c r="AR10" s="4"/>
      <c r="AS10" s="4"/>
      <c r="AT10" s="4"/>
      <c r="AU10" s="4"/>
      <c r="AV10" s="4"/>
      <c r="AW10" s="4"/>
      <c r="AX10" s="4"/>
      <c r="AY10" s="4"/>
    </row>
    <row r="11" spans="1:51" ht="14.5" x14ac:dyDescent="0.35">
      <c r="A11" s="136">
        <f>YampaRiverInflow.TotalOutflow!A11</f>
        <v>46357</v>
      </c>
      <c r="B11" s="34">
        <v>17.788</v>
      </c>
      <c r="C11" s="12">
        <v>17.788</v>
      </c>
      <c r="D11" s="45">
        <v>17.788</v>
      </c>
      <c r="E11" s="16">
        <v>18.335000000000001</v>
      </c>
      <c r="F11" s="16">
        <v>4.6582799999999995</v>
      </c>
      <c r="G11" s="16">
        <v>11.40897</v>
      </c>
      <c r="H11" s="16">
        <v>18.883740000000003</v>
      </c>
      <c r="I11" s="16">
        <v>6.48062</v>
      </c>
      <c r="J11" s="16">
        <v>-1.6886700000000001</v>
      </c>
      <c r="K11" s="16">
        <v>-26.622299999999999</v>
      </c>
      <c r="L11" s="16">
        <v>-69.312100000000001</v>
      </c>
      <c r="M11" s="16">
        <v>30.47054</v>
      </c>
      <c r="N11" s="16">
        <v>12.73404</v>
      </c>
      <c r="O11" s="16">
        <v>16.88007</v>
      </c>
      <c r="P11" s="16">
        <v>5.8597900000000003</v>
      </c>
      <c r="Q11" s="16">
        <v>7.4444699999999999</v>
      </c>
      <c r="R11" s="16">
        <v>33.224269999999997</v>
      </c>
      <c r="S11" s="16">
        <v>12.479979999999999</v>
      </c>
      <c r="T11" s="16">
        <v>17.551400000000001</v>
      </c>
      <c r="U11" s="16">
        <v>6.2706099999999996</v>
      </c>
      <c r="V11" s="16">
        <v>38.814579999999999</v>
      </c>
      <c r="W11" s="16">
        <v>9.5693099999999998</v>
      </c>
      <c r="X11" s="16">
        <v>34.180550000000004</v>
      </c>
      <c r="Y11" s="16">
        <v>4.3811200000000001</v>
      </c>
      <c r="Z11" s="16">
        <v>12.84577</v>
      </c>
      <c r="AA11" s="16">
        <v>-9.6169899999999995</v>
      </c>
      <c r="AB11" s="16">
        <v>8.3672789999999999</v>
      </c>
      <c r="AC11" s="16">
        <v>21.699849999999998</v>
      </c>
      <c r="AD11" s="16">
        <v>30.923099999999998</v>
      </c>
      <c r="AE11" s="16">
        <v>2.6434799999999998</v>
      </c>
      <c r="AF11" s="16">
        <v>7.848967</v>
      </c>
      <c r="AG11" s="16">
        <v>2.9376329999999999</v>
      </c>
      <c r="AH11" s="16">
        <v>20.856740000000002</v>
      </c>
      <c r="AI11" s="46"/>
      <c r="AJ11" s="46"/>
      <c r="AK11" s="46"/>
      <c r="AL11" s="46"/>
      <c r="AM11" s="46"/>
      <c r="AN11" s="4"/>
      <c r="AO11" s="4"/>
      <c r="AP11" s="4"/>
      <c r="AQ11" s="4"/>
      <c r="AR11" s="4"/>
      <c r="AS11" s="4"/>
      <c r="AT11" s="4"/>
      <c r="AU11" s="4"/>
      <c r="AV11" s="4"/>
      <c r="AW11" s="4"/>
      <c r="AX11" s="4"/>
      <c r="AY11" s="4"/>
    </row>
    <row r="12" spans="1:51" ht="14.5" x14ac:dyDescent="0.35">
      <c r="A12" s="136">
        <f>YampaRiverInflow.TotalOutflow!A12</f>
        <v>46388</v>
      </c>
      <c r="B12" s="34">
        <v>1.1200000000000001</v>
      </c>
      <c r="C12" s="12">
        <v>1.1200000000000001</v>
      </c>
      <c r="D12" s="45">
        <v>1.1200000000000001</v>
      </c>
      <c r="E12" s="16">
        <v>-16.688599999999997</v>
      </c>
      <c r="F12" s="16">
        <v>33.015449999999994</v>
      </c>
      <c r="G12" s="16">
        <v>-30.712700000000002</v>
      </c>
      <c r="H12" s="16">
        <v>-2.2970100000000002</v>
      </c>
      <c r="I12" s="16">
        <v>-5.6275300000000001</v>
      </c>
      <c r="J12" s="16">
        <v>-64.680900000000008</v>
      </c>
      <c r="K12" s="16">
        <v>-113.199</v>
      </c>
      <c r="L12" s="16">
        <v>36.242400000000004</v>
      </c>
      <c r="M12" s="16">
        <v>-10.6774</v>
      </c>
      <c r="N12" s="16">
        <v>8.1581399999999995</v>
      </c>
      <c r="O12" s="16">
        <v>1.3930199999999999</v>
      </c>
      <c r="P12" s="16">
        <v>10.17</v>
      </c>
      <c r="Q12" s="16">
        <v>3.6542600000000003</v>
      </c>
      <c r="R12" s="16">
        <v>8.1713000000000005</v>
      </c>
      <c r="S12" s="16">
        <v>-29.2118</v>
      </c>
      <c r="T12" s="16">
        <v>-12.4862</v>
      </c>
      <c r="U12" s="16">
        <v>-4.2013100000000003</v>
      </c>
      <c r="V12" s="16">
        <v>-21.987200000000001</v>
      </c>
      <c r="W12" s="16">
        <v>21.381310000000003</v>
      </c>
      <c r="X12" s="16">
        <v>-39.100499999999997</v>
      </c>
      <c r="Y12" s="16">
        <v>-31.088799999999999</v>
      </c>
      <c r="Z12" s="16">
        <v>7.3067399999999996</v>
      </c>
      <c r="AA12" s="16">
        <v>-13.319000000000001</v>
      </c>
      <c r="AB12" s="16">
        <v>-6.39839</v>
      </c>
      <c r="AC12" s="16">
        <v>-23.134</v>
      </c>
      <c r="AD12" s="16">
        <v>-29.637900000000002</v>
      </c>
      <c r="AE12" s="16">
        <v>-24.356300000000001</v>
      </c>
      <c r="AF12" s="16">
        <v>-6.12601</v>
      </c>
      <c r="AG12" s="16">
        <v>-35.9651</v>
      </c>
      <c r="AH12" s="16">
        <v>-1.4319999999999999</v>
      </c>
      <c r="AI12" s="46"/>
      <c r="AJ12" s="46"/>
      <c r="AK12" s="46"/>
      <c r="AL12" s="46"/>
      <c r="AM12" s="46"/>
      <c r="AN12" s="4"/>
      <c r="AO12" s="4"/>
      <c r="AP12" s="4"/>
      <c r="AQ12" s="4"/>
      <c r="AR12" s="4"/>
      <c r="AS12" s="4"/>
      <c r="AT12" s="4"/>
      <c r="AU12" s="4"/>
      <c r="AV12" s="4"/>
      <c r="AW12" s="4"/>
      <c r="AX12" s="4"/>
      <c r="AY12" s="4"/>
    </row>
    <row r="13" spans="1:51" ht="14.5" x14ac:dyDescent="0.35">
      <c r="A13" s="136">
        <f>YampaRiverInflow.TotalOutflow!A13</f>
        <v>46419</v>
      </c>
      <c r="B13" s="34">
        <v>-29.684000000000001</v>
      </c>
      <c r="C13" s="12">
        <v>-29.684000000000001</v>
      </c>
      <c r="D13" s="45">
        <v>-29.684000000000001</v>
      </c>
      <c r="E13" s="16">
        <v>-22.5732</v>
      </c>
      <c r="F13" s="16">
        <v>-17.1022</v>
      </c>
      <c r="G13" s="16">
        <v>-38.901800000000001</v>
      </c>
      <c r="H13" s="16">
        <v>-63.575199999999995</v>
      </c>
      <c r="I13" s="16">
        <v>-26.556999999999999</v>
      </c>
      <c r="J13" s="16">
        <v>-43.0946</v>
      </c>
      <c r="K13" s="16">
        <v>-46.804400000000001</v>
      </c>
      <c r="L13" s="16">
        <v>-20.875299999999999</v>
      </c>
      <c r="M13" s="16">
        <v>-24.3658</v>
      </c>
      <c r="N13" s="16">
        <v>1.18557</v>
      </c>
      <c r="O13" s="16">
        <v>-25.8432</v>
      </c>
      <c r="P13" s="16">
        <v>-4.4762599999999999</v>
      </c>
      <c r="Q13" s="16">
        <v>-2.36822</v>
      </c>
      <c r="R13" s="16">
        <v>5.9079799999999993</v>
      </c>
      <c r="S13" s="16">
        <v>-17.978400000000001</v>
      </c>
      <c r="T13" s="16">
        <v>-35.601699999999994</v>
      </c>
      <c r="U13" s="16">
        <v>-45.1038</v>
      </c>
      <c r="V13" s="16">
        <v>-5.1178299999999997</v>
      </c>
      <c r="W13" s="16">
        <v>-37.283000000000001</v>
      </c>
      <c r="X13" s="16">
        <v>-15.6464</v>
      </c>
      <c r="Y13" s="16">
        <v>-40.071800000000003</v>
      </c>
      <c r="Z13" s="16">
        <v>-32.633000000000003</v>
      </c>
      <c r="AA13" s="16">
        <v>-26.703299999999999</v>
      </c>
      <c r="AB13" s="16">
        <v>-28.727499999999999</v>
      </c>
      <c r="AC13" s="16">
        <v>-41.463300000000004</v>
      </c>
      <c r="AD13" s="16">
        <v>-12.364799999999999</v>
      </c>
      <c r="AE13" s="16">
        <v>-17.944700000000001</v>
      </c>
      <c r="AF13" s="16">
        <v>-30.381799999999998</v>
      </c>
      <c r="AG13" s="16">
        <v>-39.880099999999999</v>
      </c>
      <c r="AH13" s="16">
        <v>-13.894</v>
      </c>
      <c r="AI13" s="46"/>
      <c r="AJ13" s="46"/>
      <c r="AK13" s="46"/>
      <c r="AL13" s="46"/>
      <c r="AM13" s="46"/>
      <c r="AN13" s="4"/>
      <c r="AO13" s="4"/>
      <c r="AP13" s="4"/>
      <c r="AQ13" s="4"/>
      <c r="AR13" s="4"/>
      <c r="AS13" s="4"/>
      <c r="AT13" s="4"/>
      <c r="AU13" s="4"/>
      <c r="AV13" s="4"/>
      <c r="AW13" s="4"/>
      <c r="AX13" s="4"/>
      <c r="AY13" s="4"/>
    </row>
    <row r="14" spans="1:51" ht="14.5" x14ac:dyDescent="0.35">
      <c r="A14" s="136">
        <f>YampaRiverInflow.TotalOutflow!A14</f>
        <v>46447</v>
      </c>
      <c r="B14" s="34">
        <v>-43.48</v>
      </c>
      <c r="C14" s="12">
        <v>-43.48</v>
      </c>
      <c r="D14" s="45">
        <v>-43.48</v>
      </c>
      <c r="E14" s="16">
        <v>-9.4451399999999985</v>
      </c>
      <c r="F14" s="16">
        <v>-51.122900000000001</v>
      </c>
      <c r="G14" s="16">
        <v>-40.1935</v>
      </c>
      <c r="H14" s="16">
        <v>-34.902000000000001</v>
      </c>
      <c r="I14" s="16">
        <v>-96.0959</v>
      </c>
      <c r="J14" s="16">
        <v>-38.881300000000003</v>
      </c>
      <c r="K14" s="16">
        <v>-9.1832499999999992</v>
      </c>
      <c r="L14" s="16">
        <v>-13.1533</v>
      </c>
      <c r="M14" s="16">
        <v>-27.913900000000002</v>
      </c>
      <c r="N14" s="16">
        <v>-37.945300000000003</v>
      </c>
      <c r="O14" s="16">
        <v>-37.232500000000002</v>
      </c>
      <c r="P14" s="16">
        <v>-84.1511</v>
      </c>
      <c r="Q14" s="16">
        <v>-52.822800000000001</v>
      </c>
      <c r="R14" s="16">
        <v>-62.375399999999999</v>
      </c>
      <c r="S14" s="16">
        <v>-22.7028</v>
      </c>
      <c r="T14" s="16">
        <v>-24.410799999999998</v>
      </c>
      <c r="U14" s="16">
        <v>-35.779199999999996</v>
      </c>
      <c r="V14" s="16">
        <v>-52.189599999999999</v>
      </c>
      <c r="W14" s="16">
        <v>-44.594099999999997</v>
      </c>
      <c r="X14" s="16">
        <v>-46.276900000000005</v>
      </c>
      <c r="Y14" s="16">
        <v>-41.1785</v>
      </c>
      <c r="Z14" s="16">
        <v>-54.098800000000004</v>
      </c>
      <c r="AA14" s="16">
        <v>-94.38669999999999</v>
      </c>
      <c r="AB14" s="16">
        <v>-68.116</v>
      </c>
      <c r="AC14" s="16">
        <v>-21.329699999999999</v>
      </c>
      <c r="AD14" s="16">
        <v>-45.133600000000001</v>
      </c>
      <c r="AE14" s="16">
        <v>-41.103999999999999</v>
      </c>
      <c r="AF14" s="16">
        <v>-52.287500000000001</v>
      </c>
      <c r="AG14" s="16">
        <v>-39.996499999999997</v>
      </c>
      <c r="AH14" s="16">
        <v>-34.947000000000003</v>
      </c>
      <c r="AI14" s="46"/>
      <c r="AJ14" s="46"/>
      <c r="AK14" s="46"/>
      <c r="AL14" s="46"/>
      <c r="AM14" s="46"/>
      <c r="AN14" s="4"/>
      <c r="AO14" s="4"/>
      <c r="AP14" s="4"/>
      <c r="AQ14" s="4"/>
      <c r="AR14" s="4"/>
      <c r="AS14" s="4"/>
      <c r="AT14" s="4"/>
      <c r="AU14" s="4"/>
      <c r="AV14" s="4"/>
      <c r="AW14" s="4"/>
      <c r="AX14" s="4"/>
      <c r="AY14" s="4"/>
    </row>
    <row r="15" spans="1:51" ht="14.5" x14ac:dyDescent="0.35">
      <c r="A15" s="136">
        <f>YampaRiverInflow.TotalOutflow!A15</f>
        <v>46478</v>
      </c>
      <c r="B15" s="34">
        <v>-47.68</v>
      </c>
      <c r="C15" s="12">
        <v>-47.68</v>
      </c>
      <c r="D15" s="45">
        <v>-47.68</v>
      </c>
      <c r="E15" s="16">
        <v>-58.070099999999996</v>
      </c>
      <c r="F15" s="16">
        <v>-46.224299999999999</v>
      </c>
      <c r="G15" s="16">
        <v>-45.231099999999998</v>
      </c>
      <c r="H15" s="16">
        <v>-21.337199999999999</v>
      </c>
      <c r="I15" s="16">
        <v>-46.392000000000003</v>
      </c>
      <c r="J15" s="16">
        <v>-46.931699999999999</v>
      </c>
      <c r="K15" s="16">
        <v>-10.3939</v>
      </c>
      <c r="L15" s="16">
        <v>-22.183299999999999</v>
      </c>
      <c r="M15" s="16">
        <v>-50.360900000000001</v>
      </c>
      <c r="N15" s="16">
        <v>-34.244300000000003</v>
      </c>
      <c r="O15" s="16">
        <v>-28.298599999999997</v>
      </c>
      <c r="P15" s="16">
        <v>-23.056999999999999</v>
      </c>
      <c r="Q15" s="16">
        <v>-23.6526</v>
      </c>
      <c r="R15" s="16">
        <v>-18.731300000000001</v>
      </c>
      <c r="S15" s="16">
        <v>-34.493000000000002</v>
      </c>
      <c r="T15" s="16">
        <v>-34.719099999999997</v>
      </c>
      <c r="U15" s="16">
        <v>-39.354300000000002</v>
      </c>
      <c r="V15" s="16">
        <v>-36.816499999999998</v>
      </c>
      <c r="W15" s="16">
        <v>-31.096499999999999</v>
      </c>
      <c r="X15" s="16">
        <v>-26.820700000000002</v>
      </c>
      <c r="Y15" s="16">
        <v>-39.596599999999995</v>
      </c>
      <c r="Z15" s="16">
        <v>-38.490600000000001</v>
      </c>
      <c r="AA15" s="16">
        <v>-7.4329700000000001</v>
      </c>
      <c r="AB15" s="16">
        <v>-6.8644499999999997</v>
      </c>
      <c r="AC15" s="16">
        <v>-16.915599999999998</v>
      </c>
      <c r="AD15" s="16">
        <v>-37.536199999999994</v>
      </c>
      <c r="AE15" s="16">
        <v>-51.6753</v>
      </c>
      <c r="AF15" s="16">
        <v>-49.0565</v>
      </c>
      <c r="AG15" s="16">
        <v>3.8323470000000004</v>
      </c>
      <c r="AH15" s="16">
        <v>-59.116</v>
      </c>
      <c r="AI15" s="46"/>
      <c r="AJ15" s="46"/>
      <c r="AK15" s="46"/>
      <c r="AL15" s="46"/>
      <c r="AM15" s="46"/>
      <c r="AN15" s="4"/>
      <c r="AO15" s="4"/>
      <c r="AP15" s="4"/>
      <c r="AQ15" s="4"/>
      <c r="AR15" s="4"/>
      <c r="AS15" s="4"/>
      <c r="AT15" s="4"/>
      <c r="AU15" s="4"/>
      <c r="AV15" s="4"/>
      <c r="AW15" s="4"/>
      <c r="AX15" s="4"/>
      <c r="AY15" s="4"/>
    </row>
    <row r="16" spans="1:51" ht="14.5" x14ac:dyDescent="0.35">
      <c r="A16" s="136">
        <f>YampaRiverInflow.TotalOutflow!A16</f>
        <v>46508</v>
      </c>
      <c r="B16" s="34">
        <v>-44.896000000000001</v>
      </c>
      <c r="C16" s="12">
        <v>-44.896000000000001</v>
      </c>
      <c r="D16" s="45">
        <v>-44.896000000000001</v>
      </c>
      <c r="E16" s="16">
        <v>-19.098700000000001</v>
      </c>
      <c r="F16" s="16">
        <v>-31.252700000000001</v>
      </c>
      <c r="G16" s="16">
        <v>-147.96199999999999</v>
      </c>
      <c r="H16" s="16">
        <v>-29.909500000000001</v>
      </c>
      <c r="I16" s="16">
        <v>-28.129300000000001</v>
      </c>
      <c r="J16" s="16">
        <v>-49.9146</v>
      </c>
      <c r="K16" s="16">
        <v>-34.603400000000001</v>
      </c>
      <c r="L16" s="16">
        <v>-27.749099999999999</v>
      </c>
      <c r="M16" s="16">
        <v>-15.6434</v>
      </c>
      <c r="N16" s="16">
        <v>-26.480900000000002</v>
      </c>
      <c r="O16" s="16">
        <v>-13.461499999999999</v>
      </c>
      <c r="P16" s="16">
        <v>-3.12216</v>
      </c>
      <c r="Q16" s="16">
        <v>-37.49</v>
      </c>
      <c r="R16" s="16">
        <v>-28.581900000000001</v>
      </c>
      <c r="S16" s="16">
        <v>-34.988099999999996</v>
      </c>
      <c r="T16" s="16">
        <v>-27.610599999999998</v>
      </c>
      <c r="U16" s="16">
        <v>-13.771700000000001</v>
      </c>
      <c r="V16" s="16">
        <v>-19.453499999999998</v>
      </c>
      <c r="W16" s="16">
        <v>-43.834099999999999</v>
      </c>
      <c r="X16" s="16">
        <v>-36.948999999999998</v>
      </c>
      <c r="Y16" s="16">
        <v>-18.708599999999997</v>
      </c>
      <c r="Z16" s="16">
        <v>-25.398700000000002</v>
      </c>
      <c r="AA16" s="16">
        <v>-18.684200000000001</v>
      </c>
      <c r="AB16" s="16">
        <v>-10.974200000000002</v>
      </c>
      <c r="AC16" s="16">
        <v>-34.367400000000004</v>
      </c>
      <c r="AD16" s="16">
        <v>-27.658300000000001</v>
      </c>
      <c r="AE16" s="16">
        <v>-22.264099999999999</v>
      </c>
      <c r="AF16" s="16">
        <v>-16.6996</v>
      </c>
      <c r="AG16" s="16">
        <v>-67.282200000000003</v>
      </c>
      <c r="AH16" s="16">
        <v>-19.012</v>
      </c>
      <c r="AI16" s="46"/>
      <c r="AJ16" s="46"/>
      <c r="AK16" s="46"/>
      <c r="AL16" s="46"/>
      <c r="AM16" s="46"/>
      <c r="AN16" s="4"/>
      <c r="AO16" s="4"/>
      <c r="AP16" s="4"/>
      <c r="AQ16" s="4"/>
      <c r="AR16" s="4"/>
      <c r="AS16" s="4"/>
      <c r="AT16" s="4"/>
      <c r="AU16" s="4"/>
      <c r="AV16" s="4"/>
      <c r="AW16" s="4"/>
      <c r="AX16" s="4"/>
      <c r="AY16" s="4"/>
    </row>
    <row r="17" spans="1:51" ht="14.5" x14ac:dyDescent="0.35">
      <c r="A17" s="136">
        <f>YampaRiverInflow.TotalOutflow!A17</f>
        <v>46539</v>
      </c>
      <c r="B17" s="34">
        <v>-39.107999999999997</v>
      </c>
      <c r="C17" s="12">
        <v>-39.107999999999997</v>
      </c>
      <c r="D17" s="45">
        <v>-39.107999999999997</v>
      </c>
      <c r="E17" s="16">
        <v>-49.321300000000001</v>
      </c>
      <c r="F17" s="16">
        <v>-51.9298</v>
      </c>
      <c r="G17" s="16">
        <v>-183.62299999999999</v>
      </c>
      <c r="H17" s="16">
        <v>-63.558300000000003</v>
      </c>
      <c r="I17" s="16">
        <v>-43.443300000000001</v>
      </c>
      <c r="J17" s="16">
        <v>-78.712100000000007</v>
      </c>
      <c r="K17" s="16">
        <v>-44.4283</v>
      </c>
      <c r="L17" s="16">
        <v>-46.623400000000004</v>
      </c>
      <c r="M17" s="16">
        <v>-26.48</v>
      </c>
      <c r="N17" s="16">
        <v>-49.249099999999999</v>
      </c>
      <c r="O17" s="16">
        <v>-37.820300000000003</v>
      </c>
      <c r="P17" s="16">
        <v>-37.123800000000003</v>
      </c>
      <c r="Q17" s="16">
        <v>-46.805699999999995</v>
      </c>
      <c r="R17" s="16">
        <v>-42.2714</v>
      </c>
      <c r="S17" s="16">
        <v>-36.915500000000002</v>
      </c>
      <c r="T17" s="16">
        <v>-53.137800000000006</v>
      </c>
      <c r="U17" s="16">
        <v>-64.9482</v>
      </c>
      <c r="V17" s="16">
        <v>-25.7806</v>
      </c>
      <c r="W17" s="16">
        <v>-34.943199999999997</v>
      </c>
      <c r="X17" s="16">
        <v>-51.296099999999996</v>
      </c>
      <c r="Y17" s="16">
        <v>-57.331800000000001</v>
      </c>
      <c r="Z17" s="16">
        <v>-54.558199999999999</v>
      </c>
      <c r="AA17" s="16">
        <v>-68.587000000000003</v>
      </c>
      <c r="AB17" s="16">
        <v>-37.685099999999998</v>
      </c>
      <c r="AC17" s="16">
        <v>-32.256500000000003</v>
      </c>
      <c r="AD17" s="16">
        <v>-52.228699999999996</v>
      </c>
      <c r="AE17" s="16">
        <v>-55.433399999999999</v>
      </c>
      <c r="AF17" s="16">
        <v>-50.623800000000003</v>
      </c>
      <c r="AG17" s="16">
        <v>-49.755000000000003</v>
      </c>
      <c r="AH17" s="16">
        <v>-57.844000000000001</v>
      </c>
      <c r="AI17" s="46"/>
      <c r="AJ17" s="46"/>
      <c r="AK17" s="46"/>
      <c r="AL17" s="46"/>
      <c r="AM17" s="46"/>
      <c r="AN17" s="4"/>
      <c r="AO17" s="4"/>
      <c r="AP17" s="4"/>
      <c r="AQ17" s="4"/>
      <c r="AR17" s="4"/>
      <c r="AS17" s="4"/>
      <c r="AT17" s="4"/>
      <c r="AU17" s="4"/>
      <c r="AV17" s="4"/>
      <c r="AW17" s="4"/>
      <c r="AX17" s="4"/>
      <c r="AY17" s="4"/>
    </row>
    <row r="18" spans="1:51" ht="14.5" x14ac:dyDescent="0.35">
      <c r="A18" s="136">
        <f>YampaRiverInflow.TotalOutflow!A18</f>
        <v>46569</v>
      </c>
      <c r="B18" s="34">
        <v>-23.524999999999999</v>
      </c>
      <c r="C18" s="12">
        <v>-23.524999999999999</v>
      </c>
      <c r="D18" s="45">
        <v>-23.524999999999999</v>
      </c>
      <c r="E18" s="16">
        <v>-25.503700000000002</v>
      </c>
      <c r="F18" s="16">
        <v>-48.567099999999996</v>
      </c>
      <c r="G18" s="16">
        <v>-182.99199999999999</v>
      </c>
      <c r="H18" s="16">
        <v>-65.305999999999997</v>
      </c>
      <c r="I18" s="16">
        <v>-37.942</v>
      </c>
      <c r="J18" s="16">
        <v>-73.786799999999999</v>
      </c>
      <c r="K18" s="16">
        <v>-40.766500000000001</v>
      </c>
      <c r="L18" s="16">
        <v>-6.4570799999999995</v>
      </c>
      <c r="M18" s="16">
        <v>-40.478199999999994</v>
      </c>
      <c r="N18" s="16">
        <v>-35.347099999999998</v>
      </c>
      <c r="O18" s="16">
        <v>-30.984200000000001</v>
      </c>
      <c r="P18" s="16">
        <v>-12.644399999999999</v>
      </c>
      <c r="Q18" s="16">
        <v>-15.251700000000001</v>
      </c>
      <c r="R18" s="16">
        <v>-52.766100000000002</v>
      </c>
      <c r="S18" s="16">
        <v>-45.935900000000004</v>
      </c>
      <c r="T18" s="16">
        <v>-47.300400000000003</v>
      </c>
      <c r="U18" s="16">
        <v>-39.221400000000003</v>
      </c>
      <c r="V18" s="16">
        <v>-35.222799999999999</v>
      </c>
      <c r="W18" s="16">
        <v>-42.721499999999999</v>
      </c>
      <c r="X18" s="16">
        <v>-48.900100000000002</v>
      </c>
      <c r="Y18" s="16">
        <v>-17.8947</v>
      </c>
      <c r="Z18" s="16">
        <v>-23.696200000000001</v>
      </c>
      <c r="AA18" s="16">
        <v>-7.1829000000000001</v>
      </c>
      <c r="AB18" s="16">
        <v>-15.904399999999999</v>
      </c>
      <c r="AC18" s="16">
        <v>-28.589599999999997</v>
      </c>
      <c r="AD18" s="16">
        <v>-43.727499999999999</v>
      </c>
      <c r="AE18" s="16">
        <v>-35.582300000000004</v>
      </c>
      <c r="AF18" s="16">
        <v>-30.575500000000002</v>
      </c>
      <c r="AG18" s="16">
        <v>-37.180800000000005</v>
      </c>
      <c r="AH18" s="16">
        <v>-48.3</v>
      </c>
      <c r="AI18" s="46"/>
      <c r="AJ18" s="46"/>
      <c r="AK18" s="46"/>
      <c r="AL18" s="46"/>
      <c r="AM18" s="46"/>
      <c r="AN18" s="4"/>
      <c r="AO18" s="4"/>
      <c r="AP18" s="4"/>
      <c r="AQ18" s="4"/>
      <c r="AR18" s="4"/>
      <c r="AS18" s="4"/>
      <c r="AT18" s="4"/>
      <c r="AU18" s="4"/>
      <c r="AV18" s="4"/>
      <c r="AW18" s="4"/>
      <c r="AX18" s="4"/>
      <c r="AY18" s="4"/>
    </row>
    <row r="19" spans="1:51" ht="14.5" x14ac:dyDescent="0.35">
      <c r="A19" s="136">
        <f>YampaRiverInflow.TotalOutflow!A19</f>
        <v>46600</v>
      </c>
      <c r="B19" s="34">
        <v>-12.019</v>
      </c>
      <c r="C19" s="12">
        <v>-12.019</v>
      </c>
      <c r="D19" s="45">
        <v>-12.019</v>
      </c>
      <c r="E19" s="16">
        <v>5.8436199999999996</v>
      </c>
      <c r="F19" s="16">
        <v>-37.121300000000005</v>
      </c>
      <c r="G19" s="16">
        <v>-39.379899999999999</v>
      </c>
      <c r="H19" s="16">
        <v>-27.815000000000001</v>
      </c>
      <c r="I19" s="16">
        <v>-14.0517</v>
      </c>
      <c r="J19" s="16">
        <v>-65.381299999999996</v>
      </c>
      <c r="K19" s="16">
        <v>-36.5657</v>
      </c>
      <c r="L19" s="16">
        <v>-19.854400000000002</v>
      </c>
      <c r="M19" s="16">
        <v>-3.75305</v>
      </c>
      <c r="N19" s="16">
        <v>-2.8775900000000001</v>
      </c>
      <c r="O19" s="16">
        <v>-12.666399999999999</v>
      </c>
      <c r="P19" s="16">
        <v>-13.9602</v>
      </c>
      <c r="Q19" s="16">
        <v>-39.998400000000004</v>
      </c>
      <c r="R19" s="16">
        <v>7.2850600000000005</v>
      </c>
      <c r="S19" s="16">
        <v>-24.3444</v>
      </c>
      <c r="T19" s="16">
        <v>-33.449400000000004</v>
      </c>
      <c r="U19" s="16">
        <v>-19.831900000000001</v>
      </c>
      <c r="V19" s="16">
        <v>-46.257599999999996</v>
      </c>
      <c r="W19" s="16">
        <v>-32.945300000000003</v>
      </c>
      <c r="X19" s="16">
        <v>-39.458300000000001</v>
      </c>
      <c r="Y19" s="16">
        <v>-23.445799999999998</v>
      </c>
      <c r="Z19" s="16">
        <v>-14.442500000000001</v>
      </c>
      <c r="AA19" s="16">
        <v>-5.3147600000000006</v>
      </c>
      <c r="AB19" s="16">
        <v>-20.151</v>
      </c>
      <c r="AC19" s="16">
        <v>-29.148299999999999</v>
      </c>
      <c r="AD19" s="16">
        <v>-33.437899999999999</v>
      </c>
      <c r="AE19" s="16">
        <v>-29.450599999999998</v>
      </c>
      <c r="AF19" s="16">
        <v>-25.803599999999999</v>
      </c>
      <c r="AG19" s="16">
        <v>-58.466900000000003</v>
      </c>
      <c r="AH19" s="16">
        <v>-23.998000000000001</v>
      </c>
      <c r="AI19" s="46"/>
      <c r="AJ19" s="46"/>
      <c r="AK19" s="46"/>
      <c r="AL19" s="46"/>
      <c r="AM19" s="46"/>
      <c r="AN19" s="4"/>
      <c r="AO19" s="4"/>
      <c r="AP19" s="4"/>
      <c r="AQ19" s="4"/>
      <c r="AR19" s="4"/>
      <c r="AS19" s="4"/>
      <c r="AT19" s="4"/>
      <c r="AU19" s="4"/>
      <c r="AV19" s="4"/>
      <c r="AW19" s="4"/>
      <c r="AX19" s="4"/>
      <c r="AY19" s="4"/>
    </row>
    <row r="20" spans="1:51" ht="14.5" x14ac:dyDescent="0.35">
      <c r="A20" s="136">
        <f>YampaRiverInflow.TotalOutflow!A20</f>
        <v>46631</v>
      </c>
      <c r="B20" s="34">
        <v>-6.0039999999999996</v>
      </c>
      <c r="C20" s="12">
        <v>-6.0039999999999996</v>
      </c>
      <c r="D20" s="45">
        <v>-6.0039999999999996</v>
      </c>
      <c r="E20" s="16">
        <v>-12.745700000000001</v>
      </c>
      <c r="F20" s="16">
        <v>-31.333599999999997</v>
      </c>
      <c r="G20" s="16">
        <v>-19.856300000000001</v>
      </c>
      <c r="H20" s="16">
        <v>-41.415900000000001</v>
      </c>
      <c r="I20" s="16">
        <v>-22.555199999999999</v>
      </c>
      <c r="J20" s="16">
        <v>0.85353000000000001</v>
      </c>
      <c r="K20" s="16">
        <v>-61.966300000000004</v>
      </c>
      <c r="L20" s="16">
        <v>-54.048999999999999</v>
      </c>
      <c r="M20" s="16">
        <v>-27.7121</v>
      </c>
      <c r="N20" s="16">
        <v>-18.022099999999998</v>
      </c>
      <c r="O20" s="16">
        <v>-8.8447199999999988</v>
      </c>
      <c r="P20" s="16">
        <v>-17.9664</v>
      </c>
      <c r="Q20" s="16">
        <v>-5.1358199999999998</v>
      </c>
      <c r="R20" s="16">
        <v>-10.9739</v>
      </c>
      <c r="S20" s="16">
        <v>-32.469799999999999</v>
      </c>
      <c r="T20" s="16">
        <v>-35.090000000000003</v>
      </c>
      <c r="U20" s="16">
        <v>-20.7882</v>
      </c>
      <c r="V20" s="16">
        <v>-50.804099999999998</v>
      </c>
      <c r="W20" s="16">
        <v>-26.487200000000001</v>
      </c>
      <c r="X20" s="16">
        <v>-30.253900000000002</v>
      </c>
      <c r="Y20" s="16">
        <v>-43.0578</v>
      </c>
      <c r="Z20" s="16">
        <v>-36.350099999999998</v>
      </c>
      <c r="AA20" s="16">
        <v>-18.872799999999998</v>
      </c>
      <c r="AB20" s="16">
        <v>-16.6816</v>
      </c>
      <c r="AC20" s="16">
        <v>-22.602599999999999</v>
      </c>
      <c r="AD20" s="16">
        <v>-13.866299999999999</v>
      </c>
      <c r="AE20" s="16">
        <v>-20.75</v>
      </c>
      <c r="AF20" s="16">
        <v>-8.9183799999999991</v>
      </c>
      <c r="AG20" s="16">
        <v>-33.353900000000003</v>
      </c>
      <c r="AH20" s="16">
        <v>-15.521000000000001</v>
      </c>
      <c r="AI20" s="46"/>
      <c r="AJ20" s="46"/>
      <c r="AK20" s="46"/>
      <c r="AL20" s="46"/>
      <c r="AM20" s="46"/>
      <c r="AN20" s="4"/>
      <c r="AO20" s="4"/>
      <c r="AP20" s="4"/>
      <c r="AQ20" s="4"/>
      <c r="AR20" s="4"/>
      <c r="AS20" s="4"/>
      <c r="AT20" s="4"/>
      <c r="AU20" s="4"/>
      <c r="AV20" s="4"/>
      <c r="AW20" s="4"/>
      <c r="AX20" s="4"/>
      <c r="AY20" s="4"/>
    </row>
    <row r="21" spans="1:51" ht="14.5" x14ac:dyDescent="0.35">
      <c r="A21" s="136">
        <f>YampaRiverInflow.TotalOutflow!A21</f>
        <v>46661</v>
      </c>
      <c r="B21" s="34">
        <v>-4.306</v>
      </c>
      <c r="C21" s="12">
        <v>-4.306</v>
      </c>
      <c r="D21" s="45">
        <v>-4.306</v>
      </c>
      <c r="E21" s="16">
        <v>-15.058</v>
      </c>
      <c r="F21" s="16">
        <v>-8.1872799999999994</v>
      </c>
      <c r="G21" s="16">
        <v>-13.261700000000001</v>
      </c>
      <c r="H21" s="16">
        <v>8.3438300000000005</v>
      </c>
      <c r="I21" s="16">
        <v>1.6283399999999999</v>
      </c>
      <c r="J21" s="16">
        <v>-1.5256099999999999</v>
      </c>
      <c r="K21" s="16">
        <v>0.55819000000000007</v>
      </c>
      <c r="L21" s="16">
        <v>-0.40666000000000002</v>
      </c>
      <c r="M21" s="16">
        <v>-3.3743600000000002</v>
      </c>
      <c r="N21" s="16">
        <v>10.40099</v>
      </c>
      <c r="O21" s="16">
        <v>3.1250999999999998</v>
      </c>
      <c r="P21" s="16">
        <v>0.16553999999999999</v>
      </c>
      <c r="Q21" s="16">
        <v>26.085080000000001</v>
      </c>
      <c r="R21" s="16">
        <v>-4.4398100000000005</v>
      </c>
      <c r="S21" s="16">
        <v>7.4000500000000002</v>
      </c>
      <c r="T21" s="16">
        <v>-11.6661</v>
      </c>
      <c r="U21" s="16">
        <v>-2.7408399999999999</v>
      </c>
      <c r="V21" s="16">
        <v>-4.4333</v>
      </c>
      <c r="W21" s="16">
        <v>-10.0848</v>
      </c>
      <c r="X21" s="16">
        <v>-27.032599999999999</v>
      </c>
      <c r="Y21" s="16">
        <v>-5.7554099999999995</v>
      </c>
      <c r="Z21" s="16">
        <v>-10.2515</v>
      </c>
      <c r="AA21" s="16">
        <v>-12.6999</v>
      </c>
      <c r="AB21" s="16">
        <v>-3.16777</v>
      </c>
      <c r="AC21" s="16">
        <v>-24.611999999999998</v>
      </c>
      <c r="AD21" s="16">
        <v>-28.077099999999998</v>
      </c>
      <c r="AE21" s="16">
        <v>-12.1576</v>
      </c>
      <c r="AF21" s="16">
        <v>1.7223250000000001</v>
      </c>
      <c r="AG21" s="16">
        <v>-9.7818899999999989</v>
      </c>
      <c r="AH21" s="16">
        <v>3.17</v>
      </c>
      <c r="AI21" s="46"/>
      <c r="AJ21" s="46"/>
      <c r="AK21" s="46"/>
      <c r="AL21" s="46"/>
      <c r="AM21" s="46"/>
      <c r="AN21" s="4"/>
      <c r="AO21" s="4"/>
      <c r="AP21" s="4"/>
      <c r="AQ21" s="4"/>
      <c r="AR21" s="4"/>
      <c r="AS21" s="4"/>
      <c r="AT21" s="4"/>
      <c r="AU21" s="4"/>
      <c r="AV21" s="4"/>
      <c r="AW21" s="4"/>
      <c r="AX21" s="4"/>
      <c r="AY21" s="4"/>
    </row>
    <row r="22" spans="1:51" ht="14.5" x14ac:dyDescent="0.35">
      <c r="A22" s="136">
        <f>YampaRiverInflow.TotalOutflow!A22</f>
        <v>46692</v>
      </c>
      <c r="B22" s="34">
        <v>21.308</v>
      </c>
      <c r="C22" s="12">
        <v>21.308</v>
      </c>
      <c r="D22" s="45">
        <v>21.308</v>
      </c>
      <c r="E22" s="16">
        <v>-7.5486000000000004</v>
      </c>
      <c r="F22" s="16">
        <v>1.3323900000000002</v>
      </c>
      <c r="G22" s="16">
        <v>8.9617099999999983</v>
      </c>
      <c r="H22" s="16">
        <v>4.5023100000000005</v>
      </c>
      <c r="I22" s="16">
        <v>13.97513</v>
      </c>
      <c r="J22" s="16">
        <v>6.8756899999999996</v>
      </c>
      <c r="K22" s="16">
        <v>-37.753900000000002</v>
      </c>
      <c r="L22" s="16">
        <v>12.579600000000001</v>
      </c>
      <c r="M22" s="16">
        <v>4.9528100000000004</v>
      </c>
      <c r="N22" s="16">
        <v>14.292</v>
      </c>
      <c r="O22" s="16">
        <v>10.398250000000001</v>
      </c>
      <c r="P22" s="16">
        <v>14.77266</v>
      </c>
      <c r="Q22" s="16">
        <v>2.89751</v>
      </c>
      <c r="R22" s="16">
        <v>-5.1595500000000003</v>
      </c>
      <c r="S22" s="16">
        <v>8.3595300000000012</v>
      </c>
      <c r="T22" s="16">
        <v>0.24359</v>
      </c>
      <c r="U22" s="16">
        <v>-2.1938</v>
      </c>
      <c r="V22" s="16">
        <v>-8.1242999999999999</v>
      </c>
      <c r="W22" s="16">
        <v>-20.0396</v>
      </c>
      <c r="X22" s="16">
        <v>-7.1350500000000006</v>
      </c>
      <c r="Y22" s="16">
        <v>-4.9749300000000005</v>
      </c>
      <c r="Z22" s="16">
        <v>-2.7747700000000002</v>
      </c>
      <c r="AA22" s="16">
        <v>-5.4642499999999998</v>
      </c>
      <c r="AB22" s="16">
        <v>12.753399999999999</v>
      </c>
      <c r="AC22" s="16">
        <v>1.235026</v>
      </c>
      <c r="AD22" s="16">
        <v>6.9389319999999994</v>
      </c>
      <c r="AE22" s="16">
        <v>-9.7391900000000007</v>
      </c>
      <c r="AF22" s="16">
        <v>26.70477</v>
      </c>
      <c r="AG22" s="16">
        <v>4.1004740000000002</v>
      </c>
      <c r="AH22" s="16">
        <v>8.6760000000000002</v>
      </c>
      <c r="AI22" s="46"/>
      <c r="AJ22" s="46"/>
      <c r="AK22" s="46"/>
      <c r="AL22" s="46"/>
      <c r="AM22" s="46"/>
      <c r="AN22" s="4"/>
      <c r="AO22" s="4"/>
      <c r="AP22" s="4"/>
      <c r="AQ22" s="4"/>
      <c r="AR22" s="4"/>
      <c r="AS22" s="4"/>
      <c r="AT22" s="4"/>
      <c r="AU22" s="4"/>
      <c r="AV22" s="4"/>
      <c r="AW22" s="4"/>
      <c r="AX22" s="4"/>
      <c r="AY22" s="4"/>
    </row>
    <row r="23" spans="1:51" ht="14.5" x14ac:dyDescent="0.35">
      <c r="A23" s="136">
        <f>YampaRiverInflow.TotalOutflow!A23</f>
        <v>46722</v>
      </c>
      <c r="B23" s="34">
        <v>17.788</v>
      </c>
      <c r="C23" s="12">
        <v>17.788</v>
      </c>
      <c r="D23" s="45">
        <v>17.788</v>
      </c>
      <c r="E23" s="16">
        <v>4.6582799999999995</v>
      </c>
      <c r="F23" s="16">
        <v>11.40897</v>
      </c>
      <c r="G23" s="16">
        <v>18.883740000000003</v>
      </c>
      <c r="H23" s="16">
        <v>6.48062</v>
      </c>
      <c r="I23" s="16">
        <v>-1.6886700000000001</v>
      </c>
      <c r="J23" s="16">
        <v>-26.622299999999999</v>
      </c>
      <c r="K23" s="16">
        <v>-69.312100000000001</v>
      </c>
      <c r="L23" s="16">
        <v>30.47054</v>
      </c>
      <c r="M23" s="16">
        <v>12.73404</v>
      </c>
      <c r="N23" s="16">
        <v>16.88007</v>
      </c>
      <c r="O23" s="16">
        <v>5.8597900000000003</v>
      </c>
      <c r="P23" s="16">
        <v>7.4444699999999999</v>
      </c>
      <c r="Q23" s="16">
        <v>33.224269999999997</v>
      </c>
      <c r="R23" s="16">
        <v>12.479979999999999</v>
      </c>
      <c r="S23" s="16">
        <v>17.551400000000001</v>
      </c>
      <c r="T23" s="16">
        <v>6.2706099999999996</v>
      </c>
      <c r="U23" s="16">
        <v>38.814579999999999</v>
      </c>
      <c r="V23" s="16">
        <v>9.5693099999999998</v>
      </c>
      <c r="W23" s="16">
        <v>34.180550000000004</v>
      </c>
      <c r="X23" s="16">
        <v>4.3811200000000001</v>
      </c>
      <c r="Y23" s="16">
        <v>12.84577</v>
      </c>
      <c r="Z23" s="16">
        <v>-9.6169899999999995</v>
      </c>
      <c r="AA23" s="16">
        <v>8.3672789999999999</v>
      </c>
      <c r="AB23" s="16">
        <v>21.699849999999998</v>
      </c>
      <c r="AC23" s="16">
        <v>30.923099999999998</v>
      </c>
      <c r="AD23" s="16">
        <v>2.6434799999999998</v>
      </c>
      <c r="AE23" s="16">
        <v>7.848967</v>
      </c>
      <c r="AF23" s="16">
        <v>2.9376329999999999</v>
      </c>
      <c r="AG23" s="16">
        <v>20.856740000000002</v>
      </c>
      <c r="AH23" s="16">
        <v>18.335000000000001</v>
      </c>
      <c r="AI23" s="46"/>
      <c r="AJ23" s="46"/>
      <c r="AK23" s="46"/>
      <c r="AL23" s="46"/>
      <c r="AM23" s="46"/>
      <c r="AN23" s="4"/>
      <c r="AO23" s="4"/>
      <c r="AP23" s="4"/>
      <c r="AQ23" s="4"/>
      <c r="AR23" s="4"/>
      <c r="AS23" s="4"/>
      <c r="AT23" s="4"/>
      <c r="AU23" s="4"/>
      <c r="AV23" s="4"/>
      <c r="AW23" s="4"/>
      <c r="AX23" s="4"/>
      <c r="AY23" s="4"/>
    </row>
    <row r="24" spans="1:51" ht="14.5" x14ac:dyDescent="0.35">
      <c r="A24" s="136">
        <f>YampaRiverInflow.TotalOutflow!A24</f>
        <v>46753</v>
      </c>
      <c r="B24" s="34">
        <v>1.1200000000000001</v>
      </c>
      <c r="C24" s="12">
        <v>1.1200000000000001</v>
      </c>
      <c r="D24" s="45">
        <v>1.1200000000000001</v>
      </c>
      <c r="E24" s="16">
        <v>33.015449999999994</v>
      </c>
      <c r="F24" s="16">
        <v>-30.712700000000002</v>
      </c>
      <c r="G24" s="16">
        <v>-2.2970100000000002</v>
      </c>
      <c r="H24" s="16">
        <v>-5.6275300000000001</v>
      </c>
      <c r="I24" s="16">
        <v>-64.680900000000008</v>
      </c>
      <c r="J24" s="16">
        <v>-113.199</v>
      </c>
      <c r="K24" s="16">
        <v>36.242400000000004</v>
      </c>
      <c r="L24" s="16">
        <v>-10.6774</v>
      </c>
      <c r="M24" s="16">
        <v>8.1581399999999995</v>
      </c>
      <c r="N24" s="16">
        <v>1.3930199999999999</v>
      </c>
      <c r="O24" s="16">
        <v>10.17</v>
      </c>
      <c r="P24" s="16">
        <v>3.6542600000000003</v>
      </c>
      <c r="Q24" s="16">
        <v>8.1713000000000005</v>
      </c>
      <c r="R24" s="16">
        <v>-29.2118</v>
      </c>
      <c r="S24" s="16">
        <v>-12.4862</v>
      </c>
      <c r="T24" s="16">
        <v>-4.2013100000000003</v>
      </c>
      <c r="U24" s="16">
        <v>-21.987200000000001</v>
      </c>
      <c r="V24" s="16">
        <v>21.381310000000003</v>
      </c>
      <c r="W24" s="16">
        <v>-39.100499999999997</v>
      </c>
      <c r="X24" s="16">
        <v>-31.088799999999999</v>
      </c>
      <c r="Y24" s="16">
        <v>7.3067399999999996</v>
      </c>
      <c r="Z24" s="16">
        <v>-13.319000000000001</v>
      </c>
      <c r="AA24" s="16">
        <v>-6.39839</v>
      </c>
      <c r="AB24" s="16">
        <v>-23.134</v>
      </c>
      <c r="AC24" s="16">
        <v>-29.637900000000002</v>
      </c>
      <c r="AD24" s="16">
        <v>-24.356300000000001</v>
      </c>
      <c r="AE24" s="16">
        <v>-6.12601</v>
      </c>
      <c r="AF24" s="16">
        <v>-35.9651</v>
      </c>
      <c r="AG24" s="16">
        <v>-1.4319999999999999</v>
      </c>
      <c r="AH24" s="16">
        <v>-16.688599999999997</v>
      </c>
      <c r="AI24" s="46"/>
      <c r="AJ24" s="46"/>
      <c r="AK24" s="46"/>
      <c r="AL24" s="46"/>
      <c r="AM24" s="46"/>
      <c r="AN24" s="4"/>
      <c r="AO24" s="4"/>
      <c r="AP24" s="4"/>
      <c r="AQ24" s="4"/>
      <c r="AR24" s="4"/>
      <c r="AS24" s="4"/>
      <c r="AT24" s="4"/>
      <c r="AU24" s="4"/>
      <c r="AV24" s="4"/>
      <c r="AW24" s="4"/>
      <c r="AX24" s="4"/>
      <c r="AY24" s="4"/>
    </row>
    <row r="25" spans="1:51" ht="14.5" x14ac:dyDescent="0.35">
      <c r="A25" s="136">
        <f>YampaRiverInflow.TotalOutflow!A25</f>
        <v>46784</v>
      </c>
      <c r="B25" s="34">
        <v>-29.684000000000001</v>
      </c>
      <c r="C25" s="12">
        <v>-29.684000000000001</v>
      </c>
      <c r="D25" s="45">
        <v>-29.684000000000001</v>
      </c>
      <c r="E25" s="16">
        <v>-17.1022</v>
      </c>
      <c r="F25" s="16">
        <v>-38.901800000000001</v>
      </c>
      <c r="G25" s="16">
        <v>-63.575199999999995</v>
      </c>
      <c r="H25" s="16">
        <v>-26.556999999999999</v>
      </c>
      <c r="I25" s="16">
        <v>-43.0946</v>
      </c>
      <c r="J25" s="16">
        <v>-46.804400000000001</v>
      </c>
      <c r="K25" s="16">
        <v>-20.875299999999999</v>
      </c>
      <c r="L25" s="16">
        <v>-24.3658</v>
      </c>
      <c r="M25" s="16">
        <v>1.18557</v>
      </c>
      <c r="N25" s="16">
        <v>-25.8432</v>
      </c>
      <c r="O25" s="16">
        <v>-4.4762599999999999</v>
      </c>
      <c r="P25" s="16">
        <v>-2.36822</v>
      </c>
      <c r="Q25" s="16">
        <v>5.9079799999999993</v>
      </c>
      <c r="R25" s="16">
        <v>-17.978400000000001</v>
      </c>
      <c r="S25" s="16">
        <v>-35.601699999999994</v>
      </c>
      <c r="T25" s="16">
        <v>-45.1038</v>
      </c>
      <c r="U25" s="16">
        <v>-5.1178299999999997</v>
      </c>
      <c r="V25" s="16">
        <v>-37.283000000000001</v>
      </c>
      <c r="W25" s="16">
        <v>-15.6464</v>
      </c>
      <c r="X25" s="16">
        <v>-40.071800000000003</v>
      </c>
      <c r="Y25" s="16">
        <v>-32.633000000000003</v>
      </c>
      <c r="Z25" s="16">
        <v>-26.703299999999999</v>
      </c>
      <c r="AA25" s="16">
        <v>-28.727499999999999</v>
      </c>
      <c r="AB25" s="16">
        <v>-41.463300000000004</v>
      </c>
      <c r="AC25" s="16">
        <v>-12.364799999999999</v>
      </c>
      <c r="AD25" s="16">
        <v>-17.944700000000001</v>
      </c>
      <c r="AE25" s="16">
        <v>-30.381799999999998</v>
      </c>
      <c r="AF25" s="16">
        <v>-39.880099999999999</v>
      </c>
      <c r="AG25" s="16">
        <v>-13.894</v>
      </c>
      <c r="AH25" s="16">
        <v>-22.5732</v>
      </c>
      <c r="AI25" s="46"/>
      <c r="AJ25" s="46"/>
      <c r="AK25" s="46"/>
      <c r="AL25" s="46"/>
      <c r="AM25" s="46"/>
      <c r="AN25" s="4"/>
      <c r="AO25" s="4"/>
      <c r="AP25" s="4"/>
      <c r="AQ25" s="4"/>
      <c r="AR25" s="4"/>
      <c r="AS25" s="4"/>
      <c r="AT25" s="4"/>
      <c r="AU25" s="4"/>
      <c r="AV25" s="4"/>
      <c r="AW25" s="4"/>
      <c r="AX25" s="4"/>
      <c r="AY25" s="4"/>
    </row>
    <row r="26" spans="1:51" ht="14.5" x14ac:dyDescent="0.35">
      <c r="A26" s="136">
        <f>YampaRiverInflow.TotalOutflow!A26</f>
        <v>46813</v>
      </c>
      <c r="B26" s="34">
        <v>-43.48</v>
      </c>
      <c r="C26" s="12">
        <v>-43.48</v>
      </c>
      <c r="D26" s="45">
        <v>-43.48</v>
      </c>
      <c r="E26" s="16">
        <v>-51.122900000000001</v>
      </c>
      <c r="F26" s="16">
        <v>-40.1935</v>
      </c>
      <c r="G26" s="16">
        <v>-34.902000000000001</v>
      </c>
      <c r="H26" s="16">
        <v>-96.0959</v>
      </c>
      <c r="I26" s="16">
        <v>-38.881300000000003</v>
      </c>
      <c r="J26" s="16">
        <v>-9.1832499999999992</v>
      </c>
      <c r="K26" s="16">
        <v>-13.1533</v>
      </c>
      <c r="L26" s="16">
        <v>-27.913900000000002</v>
      </c>
      <c r="M26" s="16">
        <v>-37.945300000000003</v>
      </c>
      <c r="N26" s="16">
        <v>-37.232500000000002</v>
      </c>
      <c r="O26" s="16">
        <v>-84.1511</v>
      </c>
      <c r="P26" s="16">
        <v>-52.822800000000001</v>
      </c>
      <c r="Q26" s="16">
        <v>-62.375399999999999</v>
      </c>
      <c r="R26" s="16">
        <v>-22.7028</v>
      </c>
      <c r="S26" s="16">
        <v>-24.410799999999998</v>
      </c>
      <c r="T26" s="16">
        <v>-35.779199999999996</v>
      </c>
      <c r="U26" s="16">
        <v>-52.189599999999999</v>
      </c>
      <c r="V26" s="16">
        <v>-44.594099999999997</v>
      </c>
      <c r="W26" s="16">
        <v>-46.276900000000005</v>
      </c>
      <c r="X26" s="16">
        <v>-41.1785</v>
      </c>
      <c r="Y26" s="16">
        <v>-54.098800000000004</v>
      </c>
      <c r="Z26" s="16">
        <v>-94.38669999999999</v>
      </c>
      <c r="AA26" s="16">
        <v>-68.116</v>
      </c>
      <c r="AB26" s="16">
        <v>-21.329699999999999</v>
      </c>
      <c r="AC26" s="16">
        <v>-45.133600000000001</v>
      </c>
      <c r="AD26" s="16">
        <v>-41.103999999999999</v>
      </c>
      <c r="AE26" s="16">
        <v>-52.287500000000001</v>
      </c>
      <c r="AF26" s="16">
        <v>-39.996499999999997</v>
      </c>
      <c r="AG26" s="16">
        <v>-34.947000000000003</v>
      </c>
      <c r="AH26" s="16">
        <v>-9.4451399999999985</v>
      </c>
      <c r="AI26" s="46"/>
      <c r="AJ26" s="46"/>
      <c r="AK26" s="46"/>
      <c r="AL26" s="46"/>
      <c r="AM26" s="46"/>
      <c r="AN26" s="4"/>
      <c r="AO26" s="4"/>
      <c r="AP26" s="4"/>
      <c r="AQ26" s="4"/>
      <c r="AR26" s="4"/>
      <c r="AS26" s="4"/>
      <c r="AT26" s="4"/>
      <c r="AU26" s="4"/>
      <c r="AV26" s="4"/>
      <c r="AW26" s="4"/>
      <c r="AX26" s="4"/>
      <c r="AY26" s="4"/>
    </row>
    <row r="27" spans="1:51" ht="14.5" x14ac:dyDescent="0.35">
      <c r="A27" s="136">
        <f>YampaRiverInflow.TotalOutflow!A27</f>
        <v>46844</v>
      </c>
      <c r="B27" s="34">
        <v>-47.68</v>
      </c>
      <c r="C27" s="12">
        <v>-47.68</v>
      </c>
      <c r="D27" s="45">
        <v>-47.68</v>
      </c>
      <c r="E27" s="16">
        <v>-46.224299999999999</v>
      </c>
      <c r="F27" s="16">
        <v>-45.231099999999998</v>
      </c>
      <c r="G27" s="16">
        <v>-21.337199999999999</v>
      </c>
      <c r="H27" s="16">
        <v>-46.392000000000003</v>
      </c>
      <c r="I27" s="16">
        <v>-46.931699999999999</v>
      </c>
      <c r="J27" s="16">
        <v>-10.3939</v>
      </c>
      <c r="K27" s="16">
        <v>-22.183299999999999</v>
      </c>
      <c r="L27" s="16">
        <v>-50.360900000000001</v>
      </c>
      <c r="M27" s="16">
        <v>-34.244300000000003</v>
      </c>
      <c r="N27" s="16">
        <v>-28.298599999999997</v>
      </c>
      <c r="O27" s="16">
        <v>-23.056999999999999</v>
      </c>
      <c r="P27" s="16">
        <v>-23.6526</v>
      </c>
      <c r="Q27" s="16">
        <v>-18.731300000000001</v>
      </c>
      <c r="R27" s="16">
        <v>-34.493000000000002</v>
      </c>
      <c r="S27" s="16">
        <v>-34.719099999999997</v>
      </c>
      <c r="T27" s="16">
        <v>-39.354300000000002</v>
      </c>
      <c r="U27" s="16">
        <v>-36.816499999999998</v>
      </c>
      <c r="V27" s="16">
        <v>-31.096499999999999</v>
      </c>
      <c r="W27" s="16">
        <v>-26.820700000000002</v>
      </c>
      <c r="X27" s="16">
        <v>-39.596599999999995</v>
      </c>
      <c r="Y27" s="16">
        <v>-38.490600000000001</v>
      </c>
      <c r="Z27" s="16">
        <v>-7.4329700000000001</v>
      </c>
      <c r="AA27" s="16">
        <v>-6.8644499999999997</v>
      </c>
      <c r="AB27" s="16">
        <v>-16.915599999999998</v>
      </c>
      <c r="AC27" s="16">
        <v>-37.536199999999994</v>
      </c>
      <c r="AD27" s="16">
        <v>-51.6753</v>
      </c>
      <c r="AE27" s="16">
        <v>-49.0565</v>
      </c>
      <c r="AF27" s="16">
        <v>3.8323470000000004</v>
      </c>
      <c r="AG27" s="16">
        <v>-59.116</v>
      </c>
      <c r="AH27" s="16">
        <v>-58.070099999999996</v>
      </c>
      <c r="AI27" s="46"/>
      <c r="AJ27" s="46"/>
      <c r="AK27" s="46"/>
      <c r="AL27" s="46"/>
      <c r="AM27" s="46"/>
      <c r="AN27" s="4"/>
      <c r="AO27" s="4"/>
      <c r="AP27" s="4"/>
      <c r="AQ27" s="4"/>
      <c r="AR27" s="4"/>
      <c r="AS27" s="4"/>
      <c r="AT27" s="4"/>
      <c r="AU27" s="4"/>
      <c r="AV27" s="4"/>
      <c r="AW27" s="4"/>
      <c r="AX27" s="4"/>
      <c r="AY27" s="4"/>
    </row>
    <row r="28" spans="1:51" ht="14.5" x14ac:dyDescent="0.35">
      <c r="A28" s="136">
        <f>YampaRiverInflow.TotalOutflow!A28</f>
        <v>46874</v>
      </c>
      <c r="B28" s="34">
        <v>-44.896000000000001</v>
      </c>
      <c r="C28" s="12">
        <v>-44.896000000000001</v>
      </c>
      <c r="D28" s="45">
        <v>-44.896000000000001</v>
      </c>
      <c r="E28" s="16">
        <v>-31.252700000000001</v>
      </c>
      <c r="F28" s="16">
        <v>-147.96199999999999</v>
      </c>
      <c r="G28" s="16">
        <v>-29.909500000000001</v>
      </c>
      <c r="H28" s="16">
        <v>-28.129300000000001</v>
      </c>
      <c r="I28" s="16">
        <v>-49.9146</v>
      </c>
      <c r="J28" s="16">
        <v>-34.603400000000001</v>
      </c>
      <c r="K28" s="16">
        <v>-27.749099999999999</v>
      </c>
      <c r="L28" s="16">
        <v>-15.6434</v>
      </c>
      <c r="M28" s="16">
        <v>-26.480900000000002</v>
      </c>
      <c r="N28" s="16">
        <v>-13.461499999999999</v>
      </c>
      <c r="O28" s="16">
        <v>-3.12216</v>
      </c>
      <c r="P28" s="16">
        <v>-37.49</v>
      </c>
      <c r="Q28" s="16">
        <v>-28.581900000000001</v>
      </c>
      <c r="R28" s="16">
        <v>-34.988099999999996</v>
      </c>
      <c r="S28" s="16">
        <v>-27.610599999999998</v>
      </c>
      <c r="T28" s="16">
        <v>-13.771700000000001</v>
      </c>
      <c r="U28" s="16">
        <v>-19.453499999999998</v>
      </c>
      <c r="V28" s="16">
        <v>-43.834099999999999</v>
      </c>
      <c r="W28" s="16">
        <v>-36.948999999999998</v>
      </c>
      <c r="X28" s="16">
        <v>-18.708599999999997</v>
      </c>
      <c r="Y28" s="16">
        <v>-25.398700000000002</v>
      </c>
      <c r="Z28" s="16">
        <v>-18.684200000000001</v>
      </c>
      <c r="AA28" s="16">
        <v>-10.974200000000002</v>
      </c>
      <c r="AB28" s="16">
        <v>-34.367400000000004</v>
      </c>
      <c r="AC28" s="16">
        <v>-27.658300000000001</v>
      </c>
      <c r="AD28" s="16">
        <v>-22.264099999999999</v>
      </c>
      <c r="AE28" s="16">
        <v>-16.6996</v>
      </c>
      <c r="AF28" s="16">
        <v>-67.282200000000003</v>
      </c>
      <c r="AG28" s="16">
        <v>-19.012</v>
      </c>
      <c r="AH28" s="16">
        <v>-19.098700000000001</v>
      </c>
      <c r="AI28" s="46"/>
      <c r="AJ28" s="46"/>
      <c r="AK28" s="46"/>
      <c r="AL28" s="46"/>
      <c r="AM28" s="46"/>
      <c r="AN28" s="4"/>
      <c r="AO28" s="4"/>
      <c r="AP28" s="4"/>
      <c r="AQ28" s="4"/>
      <c r="AR28" s="4"/>
      <c r="AS28" s="4"/>
      <c r="AT28" s="4"/>
      <c r="AU28" s="4"/>
      <c r="AV28" s="4"/>
      <c r="AW28" s="4"/>
      <c r="AX28" s="4"/>
      <c r="AY28" s="4"/>
    </row>
    <row r="29" spans="1:51" ht="14.5" x14ac:dyDescent="0.35">
      <c r="A29" s="136">
        <f>YampaRiverInflow.TotalOutflow!A29</f>
        <v>46905</v>
      </c>
      <c r="B29" s="34">
        <v>-39.107999999999997</v>
      </c>
      <c r="C29" s="12">
        <v>-39.107999999999997</v>
      </c>
      <c r="D29" s="45">
        <v>-39.107999999999997</v>
      </c>
      <c r="E29" s="16">
        <v>-51.9298</v>
      </c>
      <c r="F29" s="16">
        <v>-183.62299999999999</v>
      </c>
      <c r="G29" s="16">
        <v>-63.558300000000003</v>
      </c>
      <c r="H29" s="16">
        <v>-43.443300000000001</v>
      </c>
      <c r="I29" s="16">
        <v>-78.712100000000007</v>
      </c>
      <c r="J29" s="16">
        <v>-44.4283</v>
      </c>
      <c r="K29" s="16">
        <v>-46.623400000000004</v>
      </c>
      <c r="L29" s="16">
        <v>-26.48</v>
      </c>
      <c r="M29" s="16">
        <v>-49.249099999999999</v>
      </c>
      <c r="N29" s="16">
        <v>-37.820300000000003</v>
      </c>
      <c r="O29" s="16">
        <v>-37.123800000000003</v>
      </c>
      <c r="P29" s="16">
        <v>-46.805699999999995</v>
      </c>
      <c r="Q29" s="16">
        <v>-42.2714</v>
      </c>
      <c r="R29" s="16">
        <v>-36.915500000000002</v>
      </c>
      <c r="S29" s="16">
        <v>-53.137800000000006</v>
      </c>
      <c r="T29" s="16">
        <v>-64.9482</v>
      </c>
      <c r="U29" s="16">
        <v>-25.7806</v>
      </c>
      <c r="V29" s="16">
        <v>-34.943199999999997</v>
      </c>
      <c r="W29" s="16">
        <v>-51.296099999999996</v>
      </c>
      <c r="X29" s="16">
        <v>-57.331800000000001</v>
      </c>
      <c r="Y29" s="16">
        <v>-54.558199999999999</v>
      </c>
      <c r="Z29" s="16">
        <v>-68.587000000000003</v>
      </c>
      <c r="AA29" s="16">
        <v>-37.685099999999998</v>
      </c>
      <c r="AB29" s="16">
        <v>-32.256500000000003</v>
      </c>
      <c r="AC29" s="16">
        <v>-52.228699999999996</v>
      </c>
      <c r="AD29" s="16">
        <v>-55.433399999999999</v>
      </c>
      <c r="AE29" s="16">
        <v>-50.623800000000003</v>
      </c>
      <c r="AF29" s="16">
        <v>-49.755000000000003</v>
      </c>
      <c r="AG29" s="16">
        <v>-57.844000000000001</v>
      </c>
      <c r="AH29" s="16">
        <v>-49.321300000000001</v>
      </c>
      <c r="AI29" s="46"/>
      <c r="AJ29" s="46"/>
      <c r="AK29" s="46"/>
      <c r="AL29" s="46"/>
      <c r="AM29" s="46"/>
      <c r="AN29" s="4"/>
      <c r="AO29" s="4"/>
      <c r="AP29" s="4"/>
      <c r="AQ29" s="4"/>
      <c r="AR29" s="4"/>
      <c r="AS29" s="4"/>
      <c r="AT29" s="4"/>
      <c r="AU29" s="4"/>
      <c r="AV29" s="4"/>
      <c r="AW29" s="4"/>
      <c r="AX29" s="4"/>
      <c r="AY29" s="4"/>
    </row>
    <row r="30" spans="1:51" ht="14.5" x14ac:dyDescent="0.35">
      <c r="A30" s="136">
        <f>YampaRiverInflow.TotalOutflow!A30</f>
        <v>46935</v>
      </c>
      <c r="B30" s="34">
        <v>-23.524999999999999</v>
      </c>
      <c r="C30" s="12">
        <v>-23.524999999999999</v>
      </c>
      <c r="D30" s="45">
        <v>-23.524999999999999</v>
      </c>
      <c r="E30" s="16">
        <v>-48.567099999999996</v>
      </c>
      <c r="F30" s="16">
        <v>-182.99199999999999</v>
      </c>
      <c r="G30" s="16">
        <v>-65.305999999999997</v>
      </c>
      <c r="H30" s="16">
        <v>-37.942</v>
      </c>
      <c r="I30" s="16">
        <v>-73.786799999999999</v>
      </c>
      <c r="J30" s="16">
        <v>-40.766500000000001</v>
      </c>
      <c r="K30" s="16">
        <v>-6.4570799999999995</v>
      </c>
      <c r="L30" s="16">
        <v>-40.478199999999994</v>
      </c>
      <c r="M30" s="16">
        <v>-35.347099999999998</v>
      </c>
      <c r="N30" s="16">
        <v>-30.984200000000001</v>
      </c>
      <c r="O30" s="16">
        <v>-12.644399999999999</v>
      </c>
      <c r="P30" s="16">
        <v>-15.251700000000001</v>
      </c>
      <c r="Q30" s="16">
        <v>-52.766100000000002</v>
      </c>
      <c r="R30" s="16">
        <v>-45.935900000000004</v>
      </c>
      <c r="S30" s="16">
        <v>-47.300400000000003</v>
      </c>
      <c r="T30" s="16">
        <v>-39.221400000000003</v>
      </c>
      <c r="U30" s="16">
        <v>-35.222799999999999</v>
      </c>
      <c r="V30" s="16">
        <v>-42.721499999999999</v>
      </c>
      <c r="W30" s="16">
        <v>-48.900100000000002</v>
      </c>
      <c r="X30" s="16">
        <v>-17.8947</v>
      </c>
      <c r="Y30" s="16">
        <v>-23.696200000000001</v>
      </c>
      <c r="Z30" s="16">
        <v>-7.1829000000000001</v>
      </c>
      <c r="AA30" s="16">
        <v>-15.904399999999999</v>
      </c>
      <c r="AB30" s="16">
        <v>-28.589599999999997</v>
      </c>
      <c r="AC30" s="16">
        <v>-43.727499999999999</v>
      </c>
      <c r="AD30" s="16">
        <v>-35.582300000000004</v>
      </c>
      <c r="AE30" s="16">
        <v>-30.575500000000002</v>
      </c>
      <c r="AF30" s="16">
        <v>-37.180800000000005</v>
      </c>
      <c r="AG30" s="16">
        <v>-48.3</v>
      </c>
      <c r="AH30" s="16">
        <v>-25.503700000000002</v>
      </c>
      <c r="AI30" s="46"/>
      <c r="AJ30" s="46"/>
      <c r="AK30" s="46"/>
      <c r="AL30" s="46"/>
      <c r="AM30" s="46"/>
      <c r="AN30" s="4"/>
      <c r="AO30" s="4"/>
      <c r="AP30" s="4"/>
      <c r="AQ30" s="4"/>
      <c r="AR30" s="4"/>
      <c r="AS30" s="4"/>
      <c r="AT30" s="4"/>
      <c r="AU30" s="4"/>
      <c r="AV30" s="4"/>
      <c r="AW30" s="4"/>
      <c r="AX30" s="4"/>
      <c r="AY30" s="4"/>
    </row>
    <row r="31" spans="1:51" ht="14.5" x14ac:dyDescent="0.35">
      <c r="A31" s="136">
        <f>YampaRiverInflow.TotalOutflow!A31</f>
        <v>46966</v>
      </c>
      <c r="B31" s="34">
        <v>-12.019</v>
      </c>
      <c r="C31" s="12">
        <v>-12.019</v>
      </c>
      <c r="D31" s="45">
        <v>-12.019</v>
      </c>
      <c r="E31" s="16">
        <v>-37.121300000000005</v>
      </c>
      <c r="F31" s="16">
        <v>-39.379899999999999</v>
      </c>
      <c r="G31" s="16">
        <v>-27.815000000000001</v>
      </c>
      <c r="H31" s="16">
        <v>-14.0517</v>
      </c>
      <c r="I31" s="16">
        <v>-65.381299999999996</v>
      </c>
      <c r="J31" s="16">
        <v>-36.5657</v>
      </c>
      <c r="K31" s="16">
        <v>-19.854400000000002</v>
      </c>
      <c r="L31" s="16">
        <v>-3.75305</v>
      </c>
      <c r="M31" s="16">
        <v>-2.8775900000000001</v>
      </c>
      <c r="N31" s="16">
        <v>-12.666399999999999</v>
      </c>
      <c r="O31" s="16">
        <v>-13.9602</v>
      </c>
      <c r="P31" s="16">
        <v>-39.998400000000004</v>
      </c>
      <c r="Q31" s="16">
        <v>7.2850600000000005</v>
      </c>
      <c r="R31" s="16">
        <v>-24.3444</v>
      </c>
      <c r="S31" s="16">
        <v>-33.449400000000004</v>
      </c>
      <c r="T31" s="16">
        <v>-19.831900000000001</v>
      </c>
      <c r="U31" s="16">
        <v>-46.257599999999996</v>
      </c>
      <c r="V31" s="16">
        <v>-32.945300000000003</v>
      </c>
      <c r="W31" s="16">
        <v>-39.458300000000001</v>
      </c>
      <c r="X31" s="16">
        <v>-23.445799999999998</v>
      </c>
      <c r="Y31" s="16">
        <v>-14.442500000000001</v>
      </c>
      <c r="Z31" s="16">
        <v>-5.3147600000000006</v>
      </c>
      <c r="AA31" s="16">
        <v>-20.151</v>
      </c>
      <c r="AB31" s="16">
        <v>-29.148299999999999</v>
      </c>
      <c r="AC31" s="16">
        <v>-33.437899999999999</v>
      </c>
      <c r="AD31" s="16">
        <v>-29.450599999999998</v>
      </c>
      <c r="AE31" s="16">
        <v>-25.803599999999999</v>
      </c>
      <c r="AF31" s="16">
        <v>-58.466900000000003</v>
      </c>
      <c r="AG31" s="16">
        <v>-23.998000000000001</v>
      </c>
      <c r="AH31" s="16">
        <v>5.8436199999999996</v>
      </c>
      <c r="AI31" s="46"/>
      <c r="AJ31" s="46"/>
      <c r="AK31" s="46"/>
      <c r="AL31" s="46"/>
      <c r="AM31" s="46"/>
      <c r="AN31" s="4"/>
      <c r="AO31" s="4"/>
      <c r="AP31" s="4"/>
      <c r="AQ31" s="4"/>
      <c r="AR31" s="4"/>
      <c r="AS31" s="4"/>
      <c r="AT31" s="4"/>
      <c r="AU31" s="4"/>
      <c r="AV31" s="4"/>
      <c r="AW31" s="4"/>
      <c r="AX31" s="4"/>
      <c r="AY31" s="4"/>
    </row>
    <row r="32" spans="1:51" ht="14.5" x14ac:dyDescent="0.35">
      <c r="A32" s="136">
        <f>YampaRiverInflow.TotalOutflow!A32</f>
        <v>46997</v>
      </c>
      <c r="B32" s="34">
        <v>-6.0039999999999996</v>
      </c>
      <c r="C32" s="12">
        <v>-6.0039999999999996</v>
      </c>
      <c r="D32" s="45">
        <v>-6.0039999999999996</v>
      </c>
      <c r="E32" s="16">
        <v>-31.333599999999997</v>
      </c>
      <c r="F32" s="16">
        <v>-19.856300000000001</v>
      </c>
      <c r="G32" s="16">
        <v>-41.415900000000001</v>
      </c>
      <c r="H32" s="16">
        <v>-22.555199999999999</v>
      </c>
      <c r="I32" s="16">
        <v>0.85353000000000001</v>
      </c>
      <c r="J32" s="16">
        <v>-61.966300000000004</v>
      </c>
      <c r="K32" s="16">
        <v>-54.048999999999999</v>
      </c>
      <c r="L32" s="16">
        <v>-27.7121</v>
      </c>
      <c r="M32" s="16">
        <v>-18.022099999999998</v>
      </c>
      <c r="N32" s="16">
        <v>-8.8447199999999988</v>
      </c>
      <c r="O32" s="16">
        <v>-17.9664</v>
      </c>
      <c r="P32" s="16">
        <v>-5.1358199999999998</v>
      </c>
      <c r="Q32" s="16">
        <v>-10.9739</v>
      </c>
      <c r="R32" s="16">
        <v>-32.469799999999999</v>
      </c>
      <c r="S32" s="16">
        <v>-35.090000000000003</v>
      </c>
      <c r="T32" s="16">
        <v>-20.7882</v>
      </c>
      <c r="U32" s="16">
        <v>-50.804099999999998</v>
      </c>
      <c r="V32" s="16">
        <v>-26.487200000000001</v>
      </c>
      <c r="W32" s="16">
        <v>-30.253900000000002</v>
      </c>
      <c r="X32" s="16">
        <v>-43.0578</v>
      </c>
      <c r="Y32" s="16">
        <v>-36.350099999999998</v>
      </c>
      <c r="Z32" s="16">
        <v>-18.872799999999998</v>
      </c>
      <c r="AA32" s="16">
        <v>-16.6816</v>
      </c>
      <c r="AB32" s="16">
        <v>-22.602599999999999</v>
      </c>
      <c r="AC32" s="16">
        <v>-13.866299999999999</v>
      </c>
      <c r="AD32" s="16">
        <v>-20.75</v>
      </c>
      <c r="AE32" s="16">
        <v>-8.9183799999999991</v>
      </c>
      <c r="AF32" s="16">
        <v>-33.353900000000003</v>
      </c>
      <c r="AG32" s="16">
        <v>-15.521000000000001</v>
      </c>
      <c r="AH32" s="16">
        <v>-12.745700000000001</v>
      </c>
      <c r="AI32" s="46"/>
      <c r="AJ32" s="46"/>
      <c r="AK32" s="46"/>
      <c r="AL32" s="46"/>
      <c r="AM32" s="46"/>
      <c r="AN32" s="4"/>
      <c r="AO32" s="4"/>
      <c r="AP32" s="4"/>
      <c r="AQ32" s="4"/>
      <c r="AR32" s="4"/>
      <c r="AS32" s="4"/>
      <c r="AT32" s="4"/>
      <c r="AU32" s="4"/>
      <c r="AV32" s="4"/>
      <c r="AW32" s="4"/>
      <c r="AX32" s="4"/>
      <c r="AY32" s="4"/>
    </row>
    <row r="33" spans="1:51" ht="14.5" x14ac:dyDescent="0.35">
      <c r="A33" s="136">
        <f>YampaRiverInflow.TotalOutflow!A33</f>
        <v>47027</v>
      </c>
      <c r="B33" s="34">
        <v>-4.306</v>
      </c>
      <c r="C33" s="12">
        <v>-4.306</v>
      </c>
      <c r="D33" s="45">
        <v>-4.306</v>
      </c>
      <c r="E33" s="16">
        <v>-8.1872799999999994</v>
      </c>
      <c r="F33" s="16">
        <v>-13.261700000000001</v>
      </c>
      <c r="G33" s="16">
        <v>8.3438300000000005</v>
      </c>
      <c r="H33" s="16">
        <v>1.6283399999999999</v>
      </c>
      <c r="I33" s="16">
        <v>-1.5256099999999999</v>
      </c>
      <c r="J33" s="16">
        <v>0.55819000000000007</v>
      </c>
      <c r="K33" s="16">
        <v>-0.40666000000000002</v>
      </c>
      <c r="L33" s="16">
        <v>-3.3743600000000002</v>
      </c>
      <c r="M33" s="16">
        <v>10.40099</v>
      </c>
      <c r="N33" s="16">
        <v>3.1250999999999998</v>
      </c>
      <c r="O33" s="16">
        <v>0.16553999999999999</v>
      </c>
      <c r="P33" s="16">
        <v>26.085080000000001</v>
      </c>
      <c r="Q33" s="16">
        <v>-4.4398100000000005</v>
      </c>
      <c r="R33" s="16">
        <v>7.4000500000000002</v>
      </c>
      <c r="S33" s="16">
        <v>-11.6661</v>
      </c>
      <c r="T33" s="16">
        <v>-2.7408399999999999</v>
      </c>
      <c r="U33" s="16">
        <v>-4.4333</v>
      </c>
      <c r="V33" s="16">
        <v>-10.0848</v>
      </c>
      <c r="W33" s="16">
        <v>-27.032599999999999</v>
      </c>
      <c r="X33" s="16">
        <v>-5.7554099999999995</v>
      </c>
      <c r="Y33" s="16">
        <v>-10.2515</v>
      </c>
      <c r="Z33" s="16">
        <v>-12.6999</v>
      </c>
      <c r="AA33" s="16">
        <v>-3.16777</v>
      </c>
      <c r="AB33" s="16">
        <v>-24.611999999999998</v>
      </c>
      <c r="AC33" s="16">
        <v>-28.077099999999998</v>
      </c>
      <c r="AD33" s="16">
        <v>-12.1576</v>
      </c>
      <c r="AE33" s="16">
        <v>1.7223250000000001</v>
      </c>
      <c r="AF33" s="16">
        <v>-9.7818899999999989</v>
      </c>
      <c r="AG33" s="16">
        <v>3.17</v>
      </c>
      <c r="AH33" s="16">
        <v>-15.058</v>
      </c>
      <c r="AI33" s="46"/>
      <c r="AJ33" s="46"/>
      <c r="AK33" s="46"/>
      <c r="AL33" s="46"/>
      <c r="AM33" s="46"/>
      <c r="AN33" s="4"/>
      <c r="AO33" s="4"/>
      <c r="AP33" s="4"/>
      <c r="AQ33" s="4"/>
      <c r="AR33" s="4"/>
      <c r="AS33" s="4"/>
      <c r="AT33" s="4"/>
      <c r="AU33" s="4"/>
      <c r="AV33" s="4"/>
      <c r="AW33" s="4"/>
      <c r="AX33" s="4"/>
      <c r="AY33" s="4"/>
    </row>
    <row r="34" spans="1:51" ht="14.5" x14ac:dyDescent="0.35">
      <c r="A34" s="136">
        <f>YampaRiverInflow.TotalOutflow!A34</f>
        <v>47058</v>
      </c>
      <c r="B34" s="34">
        <v>21.308</v>
      </c>
      <c r="C34" s="12">
        <v>21.308</v>
      </c>
      <c r="D34" s="45">
        <v>21.308</v>
      </c>
      <c r="E34" s="16">
        <v>1.3323900000000002</v>
      </c>
      <c r="F34" s="16">
        <v>8.9617099999999983</v>
      </c>
      <c r="G34" s="16">
        <v>4.5023100000000005</v>
      </c>
      <c r="H34" s="16">
        <v>13.97513</v>
      </c>
      <c r="I34" s="16">
        <v>6.8756899999999996</v>
      </c>
      <c r="J34" s="16">
        <v>-37.753900000000002</v>
      </c>
      <c r="K34" s="16">
        <v>12.579600000000001</v>
      </c>
      <c r="L34" s="16">
        <v>4.9528100000000004</v>
      </c>
      <c r="M34" s="16">
        <v>14.292</v>
      </c>
      <c r="N34" s="16">
        <v>10.398250000000001</v>
      </c>
      <c r="O34" s="16">
        <v>14.77266</v>
      </c>
      <c r="P34" s="16">
        <v>2.89751</v>
      </c>
      <c r="Q34" s="16">
        <v>-5.1595500000000003</v>
      </c>
      <c r="R34" s="16">
        <v>8.3595300000000012</v>
      </c>
      <c r="S34" s="16">
        <v>0.24359</v>
      </c>
      <c r="T34" s="16">
        <v>-2.1938</v>
      </c>
      <c r="U34" s="16">
        <v>-8.1242999999999999</v>
      </c>
      <c r="V34" s="16">
        <v>-20.0396</v>
      </c>
      <c r="W34" s="16">
        <v>-7.1350500000000006</v>
      </c>
      <c r="X34" s="16">
        <v>-4.9749300000000005</v>
      </c>
      <c r="Y34" s="16">
        <v>-2.7747700000000002</v>
      </c>
      <c r="Z34" s="16">
        <v>-5.4642499999999998</v>
      </c>
      <c r="AA34" s="16">
        <v>12.753399999999999</v>
      </c>
      <c r="AB34" s="16">
        <v>1.235026</v>
      </c>
      <c r="AC34" s="16">
        <v>6.9389319999999994</v>
      </c>
      <c r="AD34" s="16">
        <v>-9.7391900000000007</v>
      </c>
      <c r="AE34" s="16">
        <v>26.70477</v>
      </c>
      <c r="AF34" s="16">
        <v>4.1004740000000002</v>
      </c>
      <c r="AG34" s="16">
        <v>8.6760000000000002</v>
      </c>
      <c r="AH34" s="16">
        <v>-7.5486000000000004</v>
      </c>
      <c r="AI34" s="46"/>
      <c r="AJ34" s="46"/>
      <c r="AK34" s="46"/>
      <c r="AL34" s="46"/>
      <c r="AM34" s="46"/>
      <c r="AN34" s="4"/>
      <c r="AO34" s="4"/>
      <c r="AP34" s="4"/>
      <c r="AQ34" s="4"/>
      <c r="AR34" s="4"/>
      <c r="AS34" s="4"/>
      <c r="AT34" s="4"/>
      <c r="AU34" s="4"/>
      <c r="AV34" s="4"/>
      <c r="AW34" s="4"/>
      <c r="AX34" s="4"/>
      <c r="AY34" s="4"/>
    </row>
    <row r="35" spans="1:51" ht="14.5" x14ac:dyDescent="0.35">
      <c r="A35" s="136">
        <f>YampaRiverInflow.TotalOutflow!A35</f>
        <v>47088</v>
      </c>
      <c r="B35" s="34">
        <v>17.788</v>
      </c>
      <c r="C35" s="12">
        <v>17.788</v>
      </c>
      <c r="D35" s="45">
        <v>17.788</v>
      </c>
      <c r="E35" s="16">
        <v>11.40897</v>
      </c>
      <c r="F35" s="16">
        <v>18.883740000000003</v>
      </c>
      <c r="G35" s="16">
        <v>6.48062</v>
      </c>
      <c r="H35" s="16">
        <v>-1.6886700000000001</v>
      </c>
      <c r="I35" s="16">
        <v>-26.622299999999999</v>
      </c>
      <c r="J35" s="16">
        <v>-69.312100000000001</v>
      </c>
      <c r="K35" s="16">
        <v>30.47054</v>
      </c>
      <c r="L35" s="16">
        <v>12.73404</v>
      </c>
      <c r="M35" s="16">
        <v>16.88007</v>
      </c>
      <c r="N35" s="16">
        <v>5.8597900000000003</v>
      </c>
      <c r="O35" s="16">
        <v>7.4444699999999999</v>
      </c>
      <c r="P35" s="16">
        <v>33.224269999999997</v>
      </c>
      <c r="Q35" s="16">
        <v>12.479979999999999</v>
      </c>
      <c r="R35" s="16">
        <v>17.551400000000001</v>
      </c>
      <c r="S35" s="16">
        <v>6.2706099999999996</v>
      </c>
      <c r="T35" s="16">
        <v>38.814579999999999</v>
      </c>
      <c r="U35" s="16">
        <v>9.5693099999999998</v>
      </c>
      <c r="V35" s="16">
        <v>34.180550000000004</v>
      </c>
      <c r="W35" s="16">
        <v>4.3811200000000001</v>
      </c>
      <c r="X35" s="16">
        <v>12.84577</v>
      </c>
      <c r="Y35" s="16">
        <v>-9.6169899999999995</v>
      </c>
      <c r="Z35" s="16">
        <v>8.3672789999999999</v>
      </c>
      <c r="AA35" s="16">
        <v>21.699849999999998</v>
      </c>
      <c r="AB35" s="16">
        <v>30.923099999999998</v>
      </c>
      <c r="AC35" s="16">
        <v>2.6434799999999998</v>
      </c>
      <c r="AD35" s="16">
        <v>7.848967</v>
      </c>
      <c r="AE35" s="16">
        <v>2.9376329999999999</v>
      </c>
      <c r="AF35" s="16">
        <v>20.856740000000002</v>
      </c>
      <c r="AG35" s="16">
        <v>18.335000000000001</v>
      </c>
      <c r="AH35" s="16">
        <v>4.6582799999999995</v>
      </c>
      <c r="AI35" s="46"/>
      <c r="AJ35" s="46"/>
      <c r="AK35" s="46"/>
      <c r="AL35" s="46"/>
      <c r="AM35" s="46"/>
      <c r="AN35" s="4"/>
      <c r="AO35" s="4"/>
      <c r="AP35" s="4"/>
      <c r="AQ35" s="4"/>
      <c r="AR35" s="4"/>
      <c r="AS35" s="4"/>
      <c r="AT35" s="4"/>
      <c r="AU35" s="4"/>
      <c r="AV35" s="4"/>
      <c r="AW35" s="4"/>
      <c r="AX35" s="4"/>
      <c r="AY35" s="4"/>
    </row>
    <row r="36" spans="1:51" ht="14.5" x14ac:dyDescent="0.35">
      <c r="A36" s="136">
        <f>YampaRiverInflow.TotalOutflow!A36</f>
        <v>47119</v>
      </c>
      <c r="B36" s="34">
        <v>1.1200000000000001</v>
      </c>
      <c r="C36" s="12">
        <v>1.1200000000000001</v>
      </c>
      <c r="D36" s="45">
        <v>1.1200000000000001</v>
      </c>
      <c r="E36" s="16">
        <v>-30.712700000000002</v>
      </c>
      <c r="F36" s="16">
        <v>-2.2970100000000002</v>
      </c>
      <c r="G36" s="16">
        <v>-5.6275300000000001</v>
      </c>
      <c r="H36" s="16">
        <v>-64.680900000000008</v>
      </c>
      <c r="I36" s="16">
        <v>-113.199</v>
      </c>
      <c r="J36" s="16">
        <v>36.242400000000004</v>
      </c>
      <c r="K36" s="16">
        <v>-10.6774</v>
      </c>
      <c r="L36" s="16">
        <v>8.1581399999999995</v>
      </c>
      <c r="M36" s="16">
        <v>1.3930199999999999</v>
      </c>
      <c r="N36" s="16">
        <v>10.17</v>
      </c>
      <c r="O36" s="16">
        <v>3.6542600000000003</v>
      </c>
      <c r="P36" s="16">
        <v>8.1713000000000005</v>
      </c>
      <c r="Q36" s="16">
        <v>-29.2118</v>
      </c>
      <c r="R36" s="16">
        <v>-12.4862</v>
      </c>
      <c r="S36" s="16">
        <v>-4.2013100000000003</v>
      </c>
      <c r="T36" s="16">
        <v>-21.987200000000001</v>
      </c>
      <c r="U36" s="16">
        <v>21.381310000000003</v>
      </c>
      <c r="V36" s="16">
        <v>-39.100499999999997</v>
      </c>
      <c r="W36" s="16">
        <v>-31.088799999999999</v>
      </c>
      <c r="X36" s="16">
        <v>7.3067399999999996</v>
      </c>
      <c r="Y36" s="16">
        <v>-13.319000000000001</v>
      </c>
      <c r="Z36" s="16">
        <v>-6.39839</v>
      </c>
      <c r="AA36" s="16">
        <v>-23.134</v>
      </c>
      <c r="AB36" s="16">
        <v>-29.637900000000002</v>
      </c>
      <c r="AC36" s="16">
        <v>-24.356300000000001</v>
      </c>
      <c r="AD36" s="16">
        <v>-6.12601</v>
      </c>
      <c r="AE36" s="16">
        <v>-35.9651</v>
      </c>
      <c r="AF36" s="16">
        <v>-1.4319999999999999</v>
      </c>
      <c r="AG36" s="16">
        <v>-16.688599999999997</v>
      </c>
      <c r="AH36" s="16">
        <v>33.015449999999994</v>
      </c>
      <c r="AI36" s="46"/>
      <c r="AJ36" s="46"/>
      <c r="AK36" s="46"/>
      <c r="AL36" s="46"/>
      <c r="AM36" s="46"/>
      <c r="AN36" s="4"/>
      <c r="AO36" s="4"/>
      <c r="AP36" s="4"/>
      <c r="AQ36" s="4"/>
      <c r="AR36" s="4"/>
      <c r="AS36" s="4"/>
      <c r="AT36" s="4"/>
      <c r="AU36" s="4"/>
      <c r="AV36" s="4"/>
      <c r="AW36" s="4"/>
      <c r="AX36" s="4"/>
      <c r="AY36" s="4"/>
    </row>
    <row r="37" spans="1:51" ht="14.5" x14ac:dyDescent="0.35">
      <c r="A37" s="136">
        <f>YampaRiverInflow.TotalOutflow!A37</f>
        <v>47150</v>
      </c>
      <c r="B37" s="34">
        <v>-29.684000000000001</v>
      </c>
      <c r="C37" s="12">
        <v>-29.684000000000001</v>
      </c>
      <c r="D37" s="45">
        <v>-29.684000000000001</v>
      </c>
      <c r="E37" s="16">
        <v>-38.901800000000001</v>
      </c>
      <c r="F37" s="16">
        <v>-63.575199999999995</v>
      </c>
      <c r="G37" s="16">
        <v>-26.556999999999999</v>
      </c>
      <c r="H37" s="16">
        <v>-43.0946</v>
      </c>
      <c r="I37" s="16">
        <v>-46.804400000000001</v>
      </c>
      <c r="J37" s="16">
        <v>-20.875299999999999</v>
      </c>
      <c r="K37" s="16">
        <v>-24.3658</v>
      </c>
      <c r="L37" s="16">
        <v>1.18557</v>
      </c>
      <c r="M37" s="16">
        <v>-25.8432</v>
      </c>
      <c r="N37" s="16">
        <v>-4.4762599999999999</v>
      </c>
      <c r="O37" s="16">
        <v>-2.36822</v>
      </c>
      <c r="P37" s="16">
        <v>5.9079799999999993</v>
      </c>
      <c r="Q37" s="16">
        <v>-17.978400000000001</v>
      </c>
      <c r="R37" s="16">
        <v>-35.601699999999994</v>
      </c>
      <c r="S37" s="16">
        <v>-45.1038</v>
      </c>
      <c r="T37" s="16">
        <v>-5.1178299999999997</v>
      </c>
      <c r="U37" s="16">
        <v>-37.283000000000001</v>
      </c>
      <c r="V37" s="16">
        <v>-15.6464</v>
      </c>
      <c r="W37" s="16">
        <v>-40.071800000000003</v>
      </c>
      <c r="X37" s="16">
        <v>-32.633000000000003</v>
      </c>
      <c r="Y37" s="16">
        <v>-26.703299999999999</v>
      </c>
      <c r="Z37" s="16">
        <v>-28.727499999999999</v>
      </c>
      <c r="AA37" s="16">
        <v>-41.463300000000004</v>
      </c>
      <c r="AB37" s="16">
        <v>-12.364799999999999</v>
      </c>
      <c r="AC37" s="16">
        <v>-17.944700000000001</v>
      </c>
      <c r="AD37" s="16">
        <v>-30.381799999999998</v>
      </c>
      <c r="AE37" s="16">
        <v>-39.880099999999999</v>
      </c>
      <c r="AF37" s="16">
        <v>-13.894</v>
      </c>
      <c r="AG37" s="16">
        <v>-22.5732</v>
      </c>
      <c r="AH37" s="16">
        <v>-17.1022</v>
      </c>
      <c r="AI37" s="46"/>
      <c r="AJ37" s="46"/>
      <c r="AK37" s="46"/>
      <c r="AL37" s="46"/>
      <c r="AM37" s="46"/>
      <c r="AN37" s="4"/>
      <c r="AO37" s="4"/>
      <c r="AP37" s="4"/>
      <c r="AQ37" s="4"/>
      <c r="AR37" s="4"/>
      <c r="AS37" s="4"/>
      <c r="AT37" s="4"/>
      <c r="AU37" s="4"/>
      <c r="AV37" s="4"/>
      <c r="AW37" s="4"/>
      <c r="AX37" s="4"/>
      <c r="AY37" s="4"/>
    </row>
    <row r="38" spans="1:51" ht="14.5" x14ac:dyDescent="0.35">
      <c r="A38" s="136">
        <f>YampaRiverInflow.TotalOutflow!A38</f>
        <v>47178</v>
      </c>
      <c r="B38" s="34">
        <v>-43.48</v>
      </c>
      <c r="C38" s="12">
        <v>-43.48</v>
      </c>
      <c r="D38" s="45">
        <v>-43.48</v>
      </c>
      <c r="E38" s="16">
        <v>-40.1935</v>
      </c>
      <c r="F38" s="16">
        <v>-34.902000000000001</v>
      </c>
      <c r="G38" s="16">
        <v>-96.0959</v>
      </c>
      <c r="H38" s="16">
        <v>-38.881300000000003</v>
      </c>
      <c r="I38" s="16">
        <v>-9.1832499999999992</v>
      </c>
      <c r="J38" s="16">
        <v>-13.1533</v>
      </c>
      <c r="K38" s="16">
        <v>-27.913900000000002</v>
      </c>
      <c r="L38" s="16">
        <v>-37.945300000000003</v>
      </c>
      <c r="M38" s="16">
        <v>-37.232500000000002</v>
      </c>
      <c r="N38" s="16">
        <v>-84.1511</v>
      </c>
      <c r="O38" s="16">
        <v>-52.822800000000001</v>
      </c>
      <c r="P38" s="16">
        <v>-62.375399999999999</v>
      </c>
      <c r="Q38" s="16">
        <v>-22.7028</v>
      </c>
      <c r="R38" s="16">
        <v>-24.410799999999998</v>
      </c>
      <c r="S38" s="16">
        <v>-35.779199999999996</v>
      </c>
      <c r="T38" s="16">
        <v>-52.189599999999999</v>
      </c>
      <c r="U38" s="16">
        <v>-44.594099999999997</v>
      </c>
      <c r="V38" s="16">
        <v>-46.276900000000005</v>
      </c>
      <c r="W38" s="16">
        <v>-41.1785</v>
      </c>
      <c r="X38" s="16">
        <v>-54.098800000000004</v>
      </c>
      <c r="Y38" s="16">
        <v>-94.38669999999999</v>
      </c>
      <c r="Z38" s="16">
        <v>-68.116</v>
      </c>
      <c r="AA38" s="16">
        <v>-21.329699999999999</v>
      </c>
      <c r="AB38" s="16">
        <v>-45.133600000000001</v>
      </c>
      <c r="AC38" s="16">
        <v>-41.103999999999999</v>
      </c>
      <c r="AD38" s="16">
        <v>-52.287500000000001</v>
      </c>
      <c r="AE38" s="16">
        <v>-39.996499999999997</v>
      </c>
      <c r="AF38" s="16">
        <v>-34.947000000000003</v>
      </c>
      <c r="AG38" s="16">
        <v>-9.4451399999999985</v>
      </c>
      <c r="AH38" s="16">
        <v>-51.122900000000001</v>
      </c>
      <c r="AI38" s="46"/>
      <c r="AJ38" s="46"/>
      <c r="AK38" s="46"/>
      <c r="AL38" s="46"/>
      <c r="AM38" s="46"/>
      <c r="AN38" s="4"/>
      <c r="AO38" s="4"/>
      <c r="AP38" s="4"/>
      <c r="AQ38" s="4"/>
      <c r="AR38" s="4"/>
      <c r="AS38" s="4"/>
      <c r="AT38" s="4"/>
      <c r="AU38" s="4"/>
      <c r="AV38" s="4"/>
      <c r="AW38" s="4"/>
      <c r="AX38" s="4"/>
      <c r="AY38" s="4"/>
    </row>
    <row r="39" spans="1:51" ht="14.5" x14ac:dyDescent="0.35">
      <c r="A39" s="136">
        <f>YampaRiverInflow.TotalOutflow!A39</f>
        <v>47209</v>
      </c>
      <c r="B39" s="34">
        <v>-47.68</v>
      </c>
      <c r="C39" s="12">
        <v>-47.68</v>
      </c>
      <c r="D39" s="45">
        <v>-47.68</v>
      </c>
      <c r="E39" s="16">
        <v>-45.231099999999998</v>
      </c>
      <c r="F39" s="16">
        <v>-21.337199999999999</v>
      </c>
      <c r="G39" s="16">
        <v>-46.392000000000003</v>
      </c>
      <c r="H39" s="16">
        <v>-46.931699999999999</v>
      </c>
      <c r="I39" s="16">
        <v>-10.3939</v>
      </c>
      <c r="J39" s="16">
        <v>-22.183299999999999</v>
      </c>
      <c r="K39" s="16">
        <v>-50.360900000000001</v>
      </c>
      <c r="L39" s="16">
        <v>-34.244300000000003</v>
      </c>
      <c r="M39" s="16">
        <v>-28.298599999999997</v>
      </c>
      <c r="N39" s="16">
        <v>-23.056999999999999</v>
      </c>
      <c r="O39" s="16">
        <v>-23.6526</v>
      </c>
      <c r="P39" s="16">
        <v>-18.731300000000001</v>
      </c>
      <c r="Q39" s="16">
        <v>-34.493000000000002</v>
      </c>
      <c r="R39" s="16">
        <v>-34.719099999999997</v>
      </c>
      <c r="S39" s="16">
        <v>-39.354300000000002</v>
      </c>
      <c r="T39" s="16">
        <v>-36.816499999999998</v>
      </c>
      <c r="U39" s="16">
        <v>-31.096499999999999</v>
      </c>
      <c r="V39" s="16">
        <v>-26.820700000000002</v>
      </c>
      <c r="W39" s="16">
        <v>-39.596599999999995</v>
      </c>
      <c r="X39" s="16">
        <v>-38.490600000000001</v>
      </c>
      <c r="Y39" s="16">
        <v>-7.4329700000000001</v>
      </c>
      <c r="Z39" s="16">
        <v>-6.8644499999999997</v>
      </c>
      <c r="AA39" s="16">
        <v>-16.915599999999998</v>
      </c>
      <c r="AB39" s="16">
        <v>-37.536199999999994</v>
      </c>
      <c r="AC39" s="16">
        <v>-51.6753</v>
      </c>
      <c r="AD39" s="16">
        <v>-49.0565</v>
      </c>
      <c r="AE39" s="16">
        <v>3.8323470000000004</v>
      </c>
      <c r="AF39" s="16">
        <v>-59.116</v>
      </c>
      <c r="AG39" s="16">
        <v>-58.070099999999996</v>
      </c>
      <c r="AH39" s="16">
        <v>-46.224299999999999</v>
      </c>
      <c r="AI39" s="46"/>
      <c r="AJ39" s="46"/>
      <c r="AK39" s="46"/>
      <c r="AL39" s="46"/>
      <c r="AM39" s="46"/>
      <c r="AN39" s="4"/>
      <c r="AO39" s="4"/>
      <c r="AP39" s="4"/>
      <c r="AQ39" s="4"/>
      <c r="AR39" s="4"/>
      <c r="AS39" s="4"/>
      <c r="AT39" s="4"/>
      <c r="AU39" s="4"/>
      <c r="AV39" s="4"/>
      <c r="AW39" s="4"/>
      <c r="AX39" s="4"/>
      <c r="AY39" s="4"/>
    </row>
    <row r="40" spans="1:51" ht="14.5" x14ac:dyDescent="0.35">
      <c r="A40" s="136">
        <f>YampaRiverInflow.TotalOutflow!A40</f>
        <v>47239</v>
      </c>
      <c r="B40" s="34">
        <v>-44.896000000000001</v>
      </c>
      <c r="C40" s="12">
        <v>-44.896000000000001</v>
      </c>
      <c r="D40" s="45">
        <v>-44.896000000000001</v>
      </c>
      <c r="E40" s="16">
        <v>-147.96199999999999</v>
      </c>
      <c r="F40" s="16">
        <v>-29.909500000000001</v>
      </c>
      <c r="G40" s="16">
        <v>-28.129300000000001</v>
      </c>
      <c r="H40" s="16">
        <v>-49.9146</v>
      </c>
      <c r="I40" s="16">
        <v>-34.603400000000001</v>
      </c>
      <c r="J40" s="16">
        <v>-27.749099999999999</v>
      </c>
      <c r="K40" s="16">
        <v>-15.6434</v>
      </c>
      <c r="L40" s="16">
        <v>-26.480900000000002</v>
      </c>
      <c r="M40" s="16">
        <v>-13.461499999999999</v>
      </c>
      <c r="N40" s="16">
        <v>-3.12216</v>
      </c>
      <c r="O40" s="16">
        <v>-37.49</v>
      </c>
      <c r="P40" s="16">
        <v>-28.581900000000001</v>
      </c>
      <c r="Q40" s="16">
        <v>-34.988099999999996</v>
      </c>
      <c r="R40" s="16">
        <v>-27.610599999999998</v>
      </c>
      <c r="S40" s="16">
        <v>-13.771700000000001</v>
      </c>
      <c r="T40" s="16">
        <v>-19.453499999999998</v>
      </c>
      <c r="U40" s="16">
        <v>-43.834099999999999</v>
      </c>
      <c r="V40" s="16">
        <v>-36.948999999999998</v>
      </c>
      <c r="W40" s="16">
        <v>-18.708599999999997</v>
      </c>
      <c r="X40" s="16">
        <v>-25.398700000000002</v>
      </c>
      <c r="Y40" s="16">
        <v>-18.684200000000001</v>
      </c>
      <c r="Z40" s="16">
        <v>-10.974200000000002</v>
      </c>
      <c r="AA40" s="16">
        <v>-34.367400000000004</v>
      </c>
      <c r="AB40" s="16">
        <v>-27.658300000000001</v>
      </c>
      <c r="AC40" s="16">
        <v>-22.264099999999999</v>
      </c>
      <c r="AD40" s="16">
        <v>-16.6996</v>
      </c>
      <c r="AE40" s="16">
        <v>-67.282200000000003</v>
      </c>
      <c r="AF40" s="16">
        <v>-19.012</v>
      </c>
      <c r="AG40" s="16">
        <v>-19.098700000000001</v>
      </c>
      <c r="AH40" s="16">
        <v>-31.252700000000001</v>
      </c>
      <c r="AI40" s="46"/>
      <c r="AJ40" s="46"/>
      <c r="AK40" s="46"/>
      <c r="AL40" s="46"/>
      <c r="AM40" s="46"/>
      <c r="AN40" s="4"/>
      <c r="AO40" s="4"/>
      <c r="AP40" s="4"/>
      <c r="AQ40" s="4"/>
      <c r="AR40" s="4"/>
      <c r="AS40" s="4"/>
      <c r="AT40" s="4"/>
      <c r="AU40" s="4"/>
      <c r="AV40" s="4"/>
      <c r="AW40" s="4"/>
      <c r="AX40" s="4"/>
      <c r="AY40" s="4"/>
    </row>
    <row r="41" spans="1:51" ht="14.5" x14ac:dyDescent="0.35">
      <c r="A41" s="136">
        <f>YampaRiverInflow.TotalOutflow!A41</f>
        <v>47270</v>
      </c>
      <c r="B41" s="34">
        <v>-39.107999999999997</v>
      </c>
      <c r="C41" s="12">
        <v>-39.107999999999997</v>
      </c>
      <c r="D41" s="45">
        <v>-39.107999999999997</v>
      </c>
      <c r="E41" s="16">
        <v>-183.62299999999999</v>
      </c>
      <c r="F41" s="16">
        <v>-63.558300000000003</v>
      </c>
      <c r="G41" s="16">
        <v>-43.443300000000001</v>
      </c>
      <c r="H41" s="16">
        <v>-78.712100000000007</v>
      </c>
      <c r="I41" s="16">
        <v>-44.4283</v>
      </c>
      <c r="J41" s="16">
        <v>-46.623400000000004</v>
      </c>
      <c r="K41" s="16">
        <v>-26.48</v>
      </c>
      <c r="L41" s="16">
        <v>-49.249099999999999</v>
      </c>
      <c r="M41" s="16">
        <v>-37.820300000000003</v>
      </c>
      <c r="N41" s="16">
        <v>-37.123800000000003</v>
      </c>
      <c r="O41" s="16">
        <v>-46.805699999999995</v>
      </c>
      <c r="P41" s="16">
        <v>-42.2714</v>
      </c>
      <c r="Q41" s="16">
        <v>-36.915500000000002</v>
      </c>
      <c r="R41" s="16">
        <v>-53.137800000000006</v>
      </c>
      <c r="S41" s="16">
        <v>-64.9482</v>
      </c>
      <c r="T41" s="16">
        <v>-25.7806</v>
      </c>
      <c r="U41" s="16">
        <v>-34.943199999999997</v>
      </c>
      <c r="V41" s="16">
        <v>-51.296099999999996</v>
      </c>
      <c r="W41" s="16">
        <v>-57.331800000000001</v>
      </c>
      <c r="X41" s="16">
        <v>-54.558199999999999</v>
      </c>
      <c r="Y41" s="16">
        <v>-68.587000000000003</v>
      </c>
      <c r="Z41" s="16">
        <v>-37.685099999999998</v>
      </c>
      <c r="AA41" s="16">
        <v>-32.256500000000003</v>
      </c>
      <c r="AB41" s="16">
        <v>-52.228699999999996</v>
      </c>
      <c r="AC41" s="16">
        <v>-55.433399999999999</v>
      </c>
      <c r="AD41" s="16">
        <v>-50.623800000000003</v>
      </c>
      <c r="AE41" s="16">
        <v>-49.755000000000003</v>
      </c>
      <c r="AF41" s="16">
        <v>-57.844000000000001</v>
      </c>
      <c r="AG41" s="16">
        <v>-49.321300000000001</v>
      </c>
      <c r="AH41" s="16">
        <v>-51.9298</v>
      </c>
      <c r="AI41" s="46"/>
      <c r="AJ41" s="46"/>
      <c r="AK41" s="46"/>
      <c r="AL41" s="46"/>
      <c r="AM41" s="46"/>
      <c r="AN41" s="4"/>
      <c r="AO41" s="4"/>
      <c r="AP41" s="4"/>
      <c r="AQ41" s="4"/>
      <c r="AR41" s="4"/>
      <c r="AS41" s="4"/>
      <c r="AT41" s="4"/>
      <c r="AU41" s="4"/>
      <c r="AV41" s="4"/>
      <c r="AW41" s="4"/>
      <c r="AX41" s="4"/>
      <c r="AY41" s="4"/>
    </row>
    <row r="42" spans="1:51" ht="14.5" x14ac:dyDescent="0.35">
      <c r="A42" s="136">
        <f>YampaRiverInflow.TotalOutflow!A42</f>
        <v>47300</v>
      </c>
      <c r="B42" s="34">
        <v>-23.524999999999999</v>
      </c>
      <c r="C42" s="12">
        <v>-23.524999999999999</v>
      </c>
      <c r="D42" s="45">
        <v>-23.524999999999999</v>
      </c>
      <c r="E42" s="16">
        <v>-182.99199999999999</v>
      </c>
      <c r="F42" s="16">
        <v>-65.305999999999997</v>
      </c>
      <c r="G42" s="16">
        <v>-37.942</v>
      </c>
      <c r="H42" s="16">
        <v>-73.786799999999999</v>
      </c>
      <c r="I42" s="16">
        <v>-40.766500000000001</v>
      </c>
      <c r="J42" s="16">
        <v>-6.4570799999999995</v>
      </c>
      <c r="K42" s="16">
        <v>-40.478199999999994</v>
      </c>
      <c r="L42" s="16">
        <v>-35.347099999999998</v>
      </c>
      <c r="M42" s="16">
        <v>-30.984200000000001</v>
      </c>
      <c r="N42" s="16">
        <v>-12.644399999999999</v>
      </c>
      <c r="O42" s="16">
        <v>-15.251700000000001</v>
      </c>
      <c r="P42" s="16">
        <v>-52.766100000000002</v>
      </c>
      <c r="Q42" s="16">
        <v>-45.935900000000004</v>
      </c>
      <c r="R42" s="16">
        <v>-47.300400000000003</v>
      </c>
      <c r="S42" s="16">
        <v>-39.221400000000003</v>
      </c>
      <c r="T42" s="16">
        <v>-35.222799999999999</v>
      </c>
      <c r="U42" s="16">
        <v>-42.721499999999999</v>
      </c>
      <c r="V42" s="16">
        <v>-48.900100000000002</v>
      </c>
      <c r="W42" s="16">
        <v>-17.8947</v>
      </c>
      <c r="X42" s="16">
        <v>-23.696200000000001</v>
      </c>
      <c r="Y42" s="16">
        <v>-7.1829000000000001</v>
      </c>
      <c r="Z42" s="16">
        <v>-15.904399999999999</v>
      </c>
      <c r="AA42" s="16">
        <v>-28.589599999999997</v>
      </c>
      <c r="AB42" s="16">
        <v>-43.727499999999999</v>
      </c>
      <c r="AC42" s="16">
        <v>-35.582300000000004</v>
      </c>
      <c r="AD42" s="16">
        <v>-30.575500000000002</v>
      </c>
      <c r="AE42" s="16">
        <v>-37.180800000000005</v>
      </c>
      <c r="AF42" s="16">
        <v>-48.3</v>
      </c>
      <c r="AG42" s="16">
        <v>-25.503700000000002</v>
      </c>
      <c r="AH42" s="16">
        <v>-48.567099999999996</v>
      </c>
      <c r="AI42" s="46"/>
      <c r="AJ42" s="46"/>
      <c r="AK42" s="46"/>
      <c r="AL42" s="46"/>
      <c r="AM42" s="46"/>
      <c r="AN42" s="4"/>
      <c r="AO42" s="4"/>
      <c r="AP42" s="4"/>
      <c r="AQ42" s="4"/>
      <c r="AR42" s="4"/>
      <c r="AS42" s="4"/>
      <c r="AT42" s="4"/>
      <c r="AU42" s="4"/>
      <c r="AV42" s="4"/>
      <c r="AW42" s="4"/>
      <c r="AX42" s="4"/>
      <c r="AY42" s="4"/>
    </row>
    <row r="43" spans="1:51" ht="14.5" x14ac:dyDescent="0.35">
      <c r="A43" s="136">
        <f>YampaRiverInflow.TotalOutflow!A43</f>
        <v>47331</v>
      </c>
      <c r="B43" s="34">
        <v>-12.019</v>
      </c>
      <c r="C43" s="12">
        <v>-12.019</v>
      </c>
      <c r="D43" s="45">
        <v>-12.019</v>
      </c>
      <c r="E43" s="16">
        <v>-39.379899999999999</v>
      </c>
      <c r="F43" s="16">
        <v>-27.815000000000001</v>
      </c>
      <c r="G43" s="16">
        <v>-14.0517</v>
      </c>
      <c r="H43" s="16">
        <v>-65.381299999999996</v>
      </c>
      <c r="I43" s="16">
        <v>-36.5657</v>
      </c>
      <c r="J43" s="16">
        <v>-19.854400000000002</v>
      </c>
      <c r="K43" s="16">
        <v>-3.75305</v>
      </c>
      <c r="L43" s="16">
        <v>-2.8775900000000001</v>
      </c>
      <c r="M43" s="16">
        <v>-12.666399999999999</v>
      </c>
      <c r="N43" s="16">
        <v>-13.9602</v>
      </c>
      <c r="O43" s="16">
        <v>-39.998400000000004</v>
      </c>
      <c r="P43" s="16">
        <v>7.2850600000000005</v>
      </c>
      <c r="Q43" s="16">
        <v>-24.3444</v>
      </c>
      <c r="R43" s="16">
        <v>-33.449400000000004</v>
      </c>
      <c r="S43" s="16">
        <v>-19.831900000000001</v>
      </c>
      <c r="T43" s="16">
        <v>-46.257599999999996</v>
      </c>
      <c r="U43" s="16">
        <v>-32.945300000000003</v>
      </c>
      <c r="V43" s="16">
        <v>-39.458300000000001</v>
      </c>
      <c r="W43" s="16">
        <v>-23.445799999999998</v>
      </c>
      <c r="X43" s="16">
        <v>-14.442500000000001</v>
      </c>
      <c r="Y43" s="16">
        <v>-5.3147600000000006</v>
      </c>
      <c r="Z43" s="16">
        <v>-20.151</v>
      </c>
      <c r="AA43" s="16">
        <v>-29.148299999999999</v>
      </c>
      <c r="AB43" s="16">
        <v>-33.437899999999999</v>
      </c>
      <c r="AC43" s="16">
        <v>-29.450599999999998</v>
      </c>
      <c r="AD43" s="16">
        <v>-25.803599999999999</v>
      </c>
      <c r="AE43" s="16">
        <v>-58.466900000000003</v>
      </c>
      <c r="AF43" s="16">
        <v>-23.998000000000001</v>
      </c>
      <c r="AG43" s="16">
        <v>5.8436199999999996</v>
      </c>
      <c r="AH43" s="16">
        <v>-37.121300000000005</v>
      </c>
      <c r="AI43" s="46"/>
      <c r="AJ43" s="46"/>
      <c r="AK43" s="46"/>
      <c r="AL43" s="46"/>
      <c r="AM43" s="46"/>
      <c r="AN43" s="4"/>
      <c r="AO43" s="4"/>
      <c r="AP43" s="4"/>
      <c r="AQ43" s="4"/>
      <c r="AR43" s="4"/>
      <c r="AS43" s="4"/>
      <c r="AT43" s="4"/>
      <c r="AU43" s="4"/>
      <c r="AV43" s="4"/>
      <c r="AW43" s="4"/>
      <c r="AX43" s="4"/>
      <c r="AY43" s="4"/>
    </row>
    <row r="44" spans="1:51" ht="14.5" x14ac:dyDescent="0.35">
      <c r="A44" s="136">
        <f>YampaRiverInflow.TotalOutflow!A44</f>
        <v>47362</v>
      </c>
      <c r="B44" s="34">
        <v>-6.0039999999999996</v>
      </c>
      <c r="C44" s="12">
        <v>-6.0039999999999996</v>
      </c>
      <c r="D44" s="45">
        <v>-6.0039999999999996</v>
      </c>
      <c r="E44" s="16">
        <v>-19.856300000000001</v>
      </c>
      <c r="F44" s="16">
        <v>-41.415900000000001</v>
      </c>
      <c r="G44" s="16">
        <v>-22.555199999999999</v>
      </c>
      <c r="H44" s="16">
        <v>0.85353000000000001</v>
      </c>
      <c r="I44" s="16">
        <v>-61.966300000000004</v>
      </c>
      <c r="J44" s="16">
        <v>-54.048999999999999</v>
      </c>
      <c r="K44" s="16">
        <v>-27.7121</v>
      </c>
      <c r="L44" s="16">
        <v>-18.022099999999998</v>
      </c>
      <c r="M44" s="16">
        <v>-8.8447199999999988</v>
      </c>
      <c r="N44" s="16">
        <v>-17.9664</v>
      </c>
      <c r="O44" s="16">
        <v>-5.1358199999999998</v>
      </c>
      <c r="P44" s="16">
        <v>-10.9739</v>
      </c>
      <c r="Q44" s="16">
        <v>-32.469799999999999</v>
      </c>
      <c r="R44" s="16">
        <v>-35.090000000000003</v>
      </c>
      <c r="S44" s="16">
        <v>-20.7882</v>
      </c>
      <c r="T44" s="16">
        <v>-50.804099999999998</v>
      </c>
      <c r="U44" s="16">
        <v>-26.487200000000001</v>
      </c>
      <c r="V44" s="16">
        <v>-30.253900000000002</v>
      </c>
      <c r="W44" s="16">
        <v>-43.0578</v>
      </c>
      <c r="X44" s="16">
        <v>-36.350099999999998</v>
      </c>
      <c r="Y44" s="16">
        <v>-18.872799999999998</v>
      </c>
      <c r="Z44" s="16">
        <v>-16.6816</v>
      </c>
      <c r="AA44" s="16">
        <v>-22.602599999999999</v>
      </c>
      <c r="AB44" s="16">
        <v>-13.866299999999999</v>
      </c>
      <c r="AC44" s="16">
        <v>-20.75</v>
      </c>
      <c r="AD44" s="16">
        <v>-8.9183799999999991</v>
      </c>
      <c r="AE44" s="16">
        <v>-33.353900000000003</v>
      </c>
      <c r="AF44" s="16">
        <v>-15.521000000000001</v>
      </c>
      <c r="AG44" s="16">
        <v>-12.745700000000001</v>
      </c>
      <c r="AH44" s="16">
        <v>-31.333599999999997</v>
      </c>
      <c r="AI44" s="46"/>
      <c r="AJ44" s="46"/>
      <c r="AK44" s="46"/>
      <c r="AL44" s="46"/>
      <c r="AM44" s="46"/>
      <c r="AN44" s="4"/>
      <c r="AO44" s="4"/>
      <c r="AP44" s="4"/>
      <c r="AQ44" s="4"/>
      <c r="AR44" s="4"/>
      <c r="AS44" s="4"/>
      <c r="AT44" s="4"/>
      <c r="AU44" s="4"/>
      <c r="AV44" s="4"/>
      <c r="AW44" s="4"/>
      <c r="AX44" s="4"/>
      <c r="AY44" s="4"/>
    </row>
    <row r="45" spans="1:51" ht="14.5" x14ac:dyDescent="0.35">
      <c r="A45" s="136">
        <f>YampaRiverInflow.TotalOutflow!A45</f>
        <v>47392</v>
      </c>
      <c r="B45" s="34">
        <v>-4.306</v>
      </c>
      <c r="C45" s="12">
        <v>-4.306</v>
      </c>
      <c r="D45" s="45">
        <v>-4.306</v>
      </c>
      <c r="E45" s="16">
        <v>-13.261700000000001</v>
      </c>
      <c r="F45" s="16">
        <v>8.3438300000000005</v>
      </c>
      <c r="G45" s="16">
        <v>1.6283399999999999</v>
      </c>
      <c r="H45" s="16">
        <v>-1.5256099999999999</v>
      </c>
      <c r="I45" s="16">
        <v>0.55819000000000007</v>
      </c>
      <c r="J45" s="16">
        <v>-0.40666000000000002</v>
      </c>
      <c r="K45" s="16">
        <v>-3.3743600000000002</v>
      </c>
      <c r="L45" s="16">
        <v>10.40099</v>
      </c>
      <c r="M45" s="16">
        <v>3.1250999999999998</v>
      </c>
      <c r="N45" s="16">
        <v>0.16553999999999999</v>
      </c>
      <c r="O45" s="16">
        <v>26.085080000000001</v>
      </c>
      <c r="P45" s="16">
        <v>-4.4398100000000005</v>
      </c>
      <c r="Q45" s="16">
        <v>7.4000500000000002</v>
      </c>
      <c r="R45" s="16">
        <v>-11.6661</v>
      </c>
      <c r="S45" s="16">
        <v>-2.7408399999999999</v>
      </c>
      <c r="T45" s="16">
        <v>-4.4333</v>
      </c>
      <c r="U45" s="16">
        <v>-10.0848</v>
      </c>
      <c r="V45" s="16">
        <v>-27.032599999999999</v>
      </c>
      <c r="W45" s="16">
        <v>-5.7554099999999995</v>
      </c>
      <c r="X45" s="16">
        <v>-10.2515</v>
      </c>
      <c r="Y45" s="16">
        <v>-12.6999</v>
      </c>
      <c r="Z45" s="16">
        <v>-3.16777</v>
      </c>
      <c r="AA45" s="16">
        <v>-24.611999999999998</v>
      </c>
      <c r="AB45" s="16">
        <v>-28.077099999999998</v>
      </c>
      <c r="AC45" s="16">
        <v>-12.1576</v>
      </c>
      <c r="AD45" s="16">
        <v>1.7223250000000001</v>
      </c>
      <c r="AE45" s="16">
        <v>-9.7818899999999989</v>
      </c>
      <c r="AF45" s="16">
        <v>3.17</v>
      </c>
      <c r="AG45" s="16">
        <v>-15.058</v>
      </c>
      <c r="AH45" s="16">
        <v>-8.1872799999999994</v>
      </c>
      <c r="AI45" s="46"/>
      <c r="AJ45" s="46"/>
      <c r="AK45" s="46"/>
      <c r="AL45" s="46"/>
      <c r="AM45" s="46"/>
      <c r="AN45" s="4"/>
      <c r="AO45" s="4"/>
      <c r="AP45" s="4"/>
      <c r="AQ45" s="4"/>
      <c r="AR45" s="4"/>
      <c r="AS45" s="4"/>
      <c r="AT45" s="4"/>
      <c r="AU45" s="4"/>
      <c r="AV45" s="4"/>
      <c r="AW45" s="4"/>
      <c r="AX45" s="4"/>
      <c r="AY45" s="4"/>
    </row>
    <row r="46" spans="1:51" ht="14.5" x14ac:dyDescent="0.35">
      <c r="A46" s="136">
        <f>YampaRiverInflow.TotalOutflow!A46</f>
        <v>47423</v>
      </c>
      <c r="B46" s="34">
        <v>21.308</v>
      </c>
      <c r="C46" s="12">
        <v>21.308</v>
      </c>
      <c r="D46" s="45">
        <v>21.308</v>
      </c>
      <c r="E46" s="16">
        <v>8.9617099999999983</v>
      </c>
      <c r="F46" s="16">
        <v>4.5023100000000005</v>
      </c>
      <c r="G46" s="16">
        <v>13.97513</v>
      </c>
      <c r="H46" s="16">
        <v>6.8756899999999996</v>
      </c>
      <c r="I46" s="16">
        <v>-37.753900000000002</v>
      </c>
      <c r="J46" s="16">
        <v>12.579600000000001</v>
      </c>
      <c r="K46" s="16">
        <v>4.9528100000000004</v>
      </c>
      <c r="L46" s="16">
        <v>14.292</v>
      </c>
      <c r="M46" s="16">
        <v>10.398250000000001</v>
      </c>
      <c r="N46" s="16">
        <v>14.77266</v>
      </c>
      <c r="O46" s="16">
        <v>2.89751</v>
      </c>
      <c r="P46" s="16">
        <v>-5.1595500000000003</v>
      </c>
      <c r="Q46" s="16">
        <v>8.3595300000000012</v>
      </c>
      <c r="R46" s="16">
        <v>0.24359</v>
      </c>
      <c r="S46" s="16">
        <v>-2.1938</v>
      </c>
      <c r="T46" s="16">
        <v>-8.1242999999999999</v>
      </c>
      <c r="U46" s="16">
        <v>-20.0396</v>
      </c>
      <c r="V46" s="16">
        <v>-7.1350500000000006</v>
      </c>
      <c r="W46" s="16">
        <v>-4.9749300000000005</v>
      </c>
      <c r="X46" s="16">
        <v>-2.7747700000000002</v>
      </c>
      <c r="Y46" s="16">
        <v>-5.4642499999999998</v>
      </c>
      <c r="Z46" s="16">
        <v>12.753399999999999</v>
      </c>
      <c r="AA46" s="16">
        <v>1.235026</v>
      </c>
      <c r="AB46" s="16">
        <v>6.9389319999999994</v>
      </c>
      <c r="AC46" s="16">
        <v>-9.7391900000000007</v>
      </c>
      <c r="AD46" s="16">
        <v>26.70477</v>
      </c>
      <c r="AE46" s="16">
        <v>4.1004740000000002</v>
      </c>
      <c r="AF46" s="16">
        <v>8.6760000000000002</v>
      </c>
      <c r="AG46" s="16">
        <v>-7.5486000000000004</v>
      </c>
      <c r="AH46" s="16">
        <v>1.3323900000000002</v>
      </c>
      <c r="AI46" s="46"/>
      <c r="AJ46" s="46"/>
      <c r="AK46" s="46"/>
      <c r="AL46" s="46"/>
      <c r="AM46" s="46"/>
      <c r="AN46" s="4"/>
      <c r="AO46" s="4"/>
      <c r="AP46" s="4"/>
      <c r="AQ46" s="4"/>
      <c r="AR46" s="4"/>
      <c r="AS46" s="4"/>
      <c r="AT46" s="4"/>
      <c r="AU46" s="4"/>
      <c r="AV46" s="4"/>
      <c r="AW46" s="4"/>
      <c r="AX46" s="4"/>
      <c r="AY46" s="4"/>
    </row>
    <row r="47" spans="1:51" ht="14.5" x14ac:dyDescent="0.35">
      <c r="A47" s="136">
        <f>YampaRiverInflow.TotalOutflow!A47</f>
        <v>47453</v>
      </c>
      <c r="B47" s="34">
        <v>17.788</v>
      </c>
      <c r="C47" s="12">
        <v>17.788</v>
      </c>
      <c r="D47" s="45">
        <v>17.788</v>
      </c>
      <c r="E47" s="16">
        <v>18.883740000000003</v>
      </c>
      <c r="F47" s="16">
        <v>6.48062</v>
      </c>
      <c r="G47" s="16">
        <v>-1.6886700000000001</v>
      </c>
      <c r="H47" s="16">
        <v>-26.622299999999999</v>
      </c>
      <c r="I47" s="16">
        <v>-69.312100000000001</v>
      </c>
      <c r="J47" s="16">
        <v>30.47054</v>
      </c>
      <c r="K47" s="16">
        <v>12.73404</v>
      </c>
      <c r="L47" s="16">
        <v>16.88007</v>
      </c>
      <c r="M47" s="16">
        <v>5.8597900000000003</v>
      </c>
      <c r="N47" s="16">
        <v>7.4444699999999999</v>
      </c>
      <c r="O47" s="16">
        <v>33.224269999999997</v>
      </c>
      <c r="P47" s="16">
        <v>12.479979999999999</v>
      </c>
      <c r="Q47" s="16">
        <v>17.551400000000001</v>
      </c>
      <c r="R47" s="16">
        <v>6.2706099999999996</v>
      </c>
      <c r="S47" s="16">
        <v>38.814579999999999</v>
      </c>
      <c r="T47" s="16">
        <v>9.5693099999999998</v>
      </c>
      <c r="U47" s="16">
        <v>34.180550000000004</v>
      </c>
      <c r="V47" s="16">
        <v>4.3811200000000001</v>
      </c>
      <c r="W47" s="16">
        <v>12.84577</v>
      </c>
      <c r="X47" s="16">
        <v>-9.6169899999999995</v>
      </c>
      <c r="Y47" s="16">
        <v>8.3672789999999999</v>
      </c>
      <c r="Z47" s="16">
        <v>21.699849999999998</v>
      </c>
      <c r="AA47" s="16">
        <v>30.923099999999998</v>
      </c>
      <c r="AB47" s="16">
        <v>2.6434799999999998</v>
      </c>
      <c r="AC47" s="16">
        <v>7.848967</v>
      </c>
      <c r="AD47" s="16">
        <v>2.9376329999999999</v>
      </c>
      <c r="AE47" s="16">
        <v>20.856740000000002</v>
      </c>
      <c r="AF47" s="16">
        <v>18.335000000000001</v>
      </c>
      <c r="AG47" s="16">
        <v>4.6582799999999995</v>
      </c>
      <c r="AH47" s="16">
        <v>11.40897</v>
      </c>
      <c r="AI47" s="46"/>
      <c r="AJ47" s="46"/>
      <c r="AK47" s="46"/>
      <c r="AL47" s="46"/>
      <c r="AM47" s="46"/>
      <c r="AN47" s="4"/>
      <c r="AO47" s="4"/>
      <c r="AP47" s="4"/>
      <c r="AQ47" s="4"/>
      <c r="AR47" s="4"/>
      <c r="AS47" s="4"/>
      <c r="AT47" s="4"/>
      <c r="AU47" s="4"/>
      <c r="AV47" s="4"/>
      <c r="AW47" s="4"/>
      <c r="AX47" s="4"/>
      <c r="AY47" s="4"/>
    </row>
    <row r="48" spans="1:51" ht="14.5" x14ac:dyDescent="0.35">
      <c r="A48" s="136">
        <f>YampaRiverInflow.TotalOutflow!A48</f>
        <v>47484</v>
      </c>
      <c r="B48" s="34">
        <v>1.1200000000000001</v>
      </c>
      <c r="C48" s="12">
        <v>1.1200000000000001</v>
      </c>
      <c r="D48" s="45">
        <v>1.1200000000000001</v>
      </c>
      <c r="E48" s="16">
        <v>-2.2970100000000002</v>
      </c>
      <c r="F48" s="16">
        <v>-5.6275300000000001</v>
      </c>
      <c r="G48" s="16">
        <v>-64.680900000000008</v>
      </c>
      <c r="H48" s="16">
        <v>-113.199</v>
      </c>
      <c r="I48" s="16">
        <v>36.242400000000004</v>
      </c>
      <c r="J48" s="16">
        <v>-10.6774</v>
      </c>
      <c r="K48" s="16">
        <v>8.1581399999999995</v>
      </c>
      <c r="L48" s="16">
        <v>1.3930199999999999</v>
      </c>
      <c r="M48" s="16">
        <v>10.17</v>
      </c>
      <c r="N48" s="16">
        <v>3.6542600000000003</v>
      </c>
      <c r="O48" s="16">
        <v>8.1713000000000005</v>
      </c>
      <c r="P48" s="16">
        <v>-29.2118</v>
      </c>
      <c r="Q48" s="16">
        <v>-12.4862</v>
      </c>
      <c r="R48" s="16">
        <v>-4.2013100000000003</v>
      </c>
      <c r="S48" s="16">
        <v>-21.987200000000001</v>
      </c>
      <c r="T48" s="16">
        <v>21.381310000000003</v>
      </c>
      <c r="U48" s="16">
        <v>-39.100499999999997</v>
      </c>
      <c r="V48" s="16">
        <v>-31.088799999999999</v>
      </c>
      <c r="W48" s="16">
        <v>7.3067399999999996</v>
      </c>
      <c r="X48" s="16">
        <v>-13.319000000000001</v>
      </c>
      <c r="Y48" s="16">
        <v>-6.39839</v>
      </c>
      <c r="Z48" s="16">
        <v>-23.134</v>
      </c>
      <c r="AA48" s="16">
        <v>-29.637900000000002</v>
      </c>
      <c r="AB48" s="16">
        <v>-24.356300000000001</v>
      </c>
      <c r="AC48" s="16">
        <v>-6.12601</v>
      </c>
      <c r="AD48" s="16">
        <v>-35.9651</v>
      </c>
      <c r="AE48" s="16">
        <v>-1.4319999999999999</v>
      </c>
      <c r="AF48" s="16">
        <v>-16.688599999999997</v>
      </c>
      <c r="AG48" s="16">
        <v>33.015449999999994</v>
      </c>
      <c r="AH48" s="16">
        <v>-30.712700000000002</v>
      </c>
      <c r="AI48" s="46"/>
      <c r="AJ48" s="46"/>
      <c r="AK48" s="46"/>
      <c r="AL48" s="46"/>
      <c r="AM48" s="46"/>
      <c r="AN48" s="4"/>
      <c r="AO48" s="4"/>
      <c r="AP48" s="4"/>
      <c r="AQ48" s="4"/>
      <c r="AR48" s="4"/>
      <c r="AS48" s="4"/>
      <c r="AT48" s="4"/>
      <c r="AU48" s="4"/>
      <c r="AV48" s="4"/>
      <c r="AW48" s="4"/>
      <c r="AX48" s="4"/>
      <c r="AY48" s="4"/>
    </row>
    <row r="49" spans="1:1005" ht="14.5" x14ac:dyDescent="0.35">
      <c r="A49" s="136">
        <f>YampaRiverInflow.TotalOutflow!A49</f>
        <v>47515</v>
      </c>
      <c r="B49" s="34">
        <v>-29.684000000000001</v>
      </c>
      <c r="C49" s="12">
        <v>-29.684000000000001</v>
      </c>
      <c r="D49" s="45">
        <v>-29.684000000000001</v>
      </c>
      <c r="E49" s="16">
        <v>-63.575199999999995</v>
      </c>
      <c r="F49" s="16">
        <v>-26.556999999999999</v>
      </c>
      <c r="G49" s="16">
        <v>-43.0946</v>
      </c>
      <c r="H49" s="16">
        <v>-46.804400000000001</v>
      </c>
      <c r="I49" s="16">
        <v>-20.875299999999999</v>
      </c>
      <c r="J49" s="16">
        <v>-24.3658</v>
      </c>
      <c r="K49" s="16">
        <v>1.18557</v>
      </c>
      <c r="L49" s="16">
        <v>-25.8432</v>
      </c>
      <c r="M49" s="16">
        <v>-4.4762599999999999</v>
      </c>
      <c r="N49" s="16">
        <v>-2.36822</v>
      </c>
      <c r="O49" s="16">
        <v>5.9079799999999993</v>
      </c>
      <c r="P49" s="16">
        <v>-17.978400000000001</v>
      </c>
      <c r="Q49" s="16">
        <v>-35.601699999999994</v>
      </c>
      <c r="R49" s="16">
        <v>-45.1038</v>
      </c>
      <c r="S49" s="16">
        <v>-5.1178299999999997</v>
      </c>
      <c r="T49" s="16">
        <v>-37.283000000000001</v>
      </c>
      <c r="U49" s="16">
        <v>-15.6464</v>
      </c>
      <c r="V49" s="16">
        <v>-40.071800000000003</v>
      </c>
      <c r="W49" s="16">
        <v>-32.633000000000003</v>
      </c>
      <c r="X49" s="16">
        <v>-26.703299999999999</v>
      </c>
      <c r="Y49" s="16">
        <v>-28.727499999999999</v>
      </c>
      <c r="Z49" s="16">
        <v>-41.463300000000004</v>
      </c>
      <c r="AA49" s="16">
        <v>-12.364799999999999</v>
      </c>
      <c r="AB49" s="16">
        <v>-17.944700000000001</v>
      </c>
      <c r="AC49" s="16">
        <v>-30.381799999999998</v>
      </c>
      <c r="AD49" s="16">
        <v>-39.880099999999999</v>
      </c>
      <c r="AE49" s="16">
        <v>-13.894</v>
      </c>
      <c r="AF49" s="16">
        <v>-22.5732</v>
      </c>
      <c r="AG49" s="16">
        <v>-17.1022</v>
      </c>
      <c r="AH49" s="16">
        <v>-38.901800000000001</v>
      </c>
      <c r="AI49" s="46"/>
      <c r="AJ49" s="46"/>
      <c r="AK49" s="46"/>
      <c r="AL49" s="46"/>
      <c r="AM49" s="46"/>
      <c r="AN49" s="4"/>
      <c r="AO49" s="4"/>
      <c r="AP49" s="4"/>
      <c r="AQ49" s="4"/>
      <c r="AR49" s="4"/>
      <c r="AS49" s="4"/>
      <c r="AT49" s="4"/>
      <c r="AU49" s="4"/>
      <c r="AV49" s="4"/>
      <c r="AW49" s="4"/>
      <c r="AX49" s="4"/>
      <c r="AY49" s="4"/>
    </row>
    <row r="50" spans="1:1005" ht="14.5" x14ac:dyDescent="0.35">
      <c r="A50" s="136">
        <f>YampaRiverInflow.TotalOutflow!A50</f>
        <v>47543</v>
      </c>
      <c r="B50" s="34">
        <v>-43.48</v>
      </c>
      <c r="C50" s="12">
        <v>-43.48</v>
      </c>
      <c r="D50" s="45">
        <v>-43.48</v>
      </c>
      <c r="E50" s="16">
        <v>-34.902000000000001</v>
      </c>
      <c r="F50" s="16">
        <v>-96.0959</v>
      </c>
      <c r="G50" s="16">
        <v>-38.881300000000003</v>
      </c>
      <c r="H50" s="16">
        <v>-9.1832499999999992</v>
      </c>
      <c r="I50" s="16">
        <v>-13.1533</v>
      </c>
      <c r="J50" s="16">
        <v>-27.913900000000002</v>
      </c>
      <c r="K50" s="16">
        <v>-37.945300000000003</v>
      </c>
      <c r="L50" s="16">
        <v>-37.232500000000002</v>
      </c>
      <c r="M50" s="16">
        <v>-84.1511</v>
      </c>
      <c r="N50" s="16">
        <v>-52.822800000000001</v>
      </c>
      <c r="O50" s="16">
        <v>-62.375399999999999</v>
      </c>
      <c r="P50" s="16">
        <v>-22.7028</v>
      </c>
      <c r="Q50" s="16">
        <v>-24.410799999999998</v>
      </c>
      <c r="R50" s="16">
        <v>-35.779199999999996</v>
      </c>
      <c r="S50" s="16">
        <v>-52.189599999999999</v>
      </c>
      <c r="T50" s="16">
        <v>-44.594099999999997</v>
      </c>
      <c r="U50" s="16">
        <v>-46.276900000000005</v>
      </c>
      <c r="V50" s="16">
        <v>-41.1785</v>
      </c>
      <c r="W50" s="16">
        <v>-54.098800000000004</v>
      </c>
      <c r="X50" s="16">
        <v>-94.38669999999999</v>
      </c>
      <c r="Y50" s="16">
        <v>-68.116</v>
      </c>
      <c r="Z50" s="16">
        <v>-21.329699999999999</v>
      </c>
      <c r="AA50" s="16">
        <v>-45.133600000000001</v>
      </c>
      <c r="AB50" s="16">
        <v>-41.103999999999999</v>
      </c>
      <c r="AC50" s="16">
        <v>-52.287500000000001</v>
      </c>
      <c r="AD50" s="16">
        <v>-39.996499999999997</v>
      </c>
      <c r="AE50" s="16">
        <v>-34.947000000000003</v>
      </c>
      <c r="AF50" s="16">
        <v>-9.4451399999999985</v>
      </c>
      <c r="AG50" s="16">
        <v>-51.122900000000001</v>
      </c>
      <c r="AH50" s="16">
        <v>-40.1935</v>
      </c>
      <c r="AI50" s="46"/>
      <c r="AJ50" s="46"/>
      <c r="AK50" s="46"/>
      <c r="AL50" s="46"/>
      <c r="AM50" s="46"/>
      <c r="AN50" s="4"/>
      <c r="AO50" s="4"/>
      <c r="AP50" s="4"/>
      <c r="AQ50" s="4"/>
      <c r="AR50" s="4"/>
      <c r="AS50" s="4"/>
      <c r="AT50" s="4"/>
      <c r="AU50" s="4"/>
      <c r="AV50" s="4"/>
      <c r="AW50" s="4"/>
      <c r="AX50" s="4"/>
      <c r="AY50" s="4"/>
    </row>
    <row r="51" spans="1:1005" ht="14.5" x14ac:dyDescent="0.35">
      <c r="A51" s="136">
        <f>YampaRiverInflow.TotalOutflow!A51</f>
        <v>47574</v>
      </c>
      <c r="B51" s="34">
        <v>-47.68</v>
      </c>
      <c r="C51" s="12">
        <v>-47.68</v>
      </c>
      <c r="D51" s="45">
        <v>-47.68</v>
      </c>
      <c r="E51" s="16">
        <v>-21.337199999999999</v>
      </c>
      <c r="F51" s="16">
        <v>-46.392000000000003</v>
      </c>
      <c r="G51" s="16">
        <v>-46.931699999999999</v>
      </c>
      <c r="H51" s="16">
        <v>-10.3939</v>
      </c>
      <c r="I51" s="16">
        <v>-22.183299999999999</v>
      </c>
      <c r="J51" s="16">
        <v>-50.360900000000001</v>
      </c>
      <c r="K51" s="16">
        <v>-34.244300000000003</v>
      </c>
      <c r="L51" s="16">
        <v>-28.298599999999997</v>
      </c>
      <c r="M51" s="16">
        <v>-23.056999999999999</v>
      </c>
      <c r="N51" s="16">
        <v>-23.6526</v>
      </c>
      <c r="O51" s="16">
        <v>-18.731300000000001</v>
      </c>
      <c r="P51" s="16">
        <v>-34.493000000000002</v>
      </c>
      <c r="Q51" s="16">
        <v>-34.719099999999997</v>
      </c>
      <c r="R51" s="16">
        <v>-39.354300000000002</v>
      </c>
      <c r="S51" s="16">
        <v>-36.816499999999998</v>
      </c>
      <c r="T51" s="16">
        <v>-31.096499999999999</v>
      </c>
      <c r="U51" s="16">
        <v>-26.820700000000002</v>
      </c>
      <c r="V51" s="16">
        <v>-39.596599999999995</v>
      </c>
      <c r="W51" s="16">
        <v>-38.490600000000001</v>
      </c>
      <c r="X51" s="16">
        <v>-7.4329700000000001</v>
      </c>
      <c r="Y51" s="16">
        <v>-6.8644499999999997</v>
      </c>
      <c r="Z51" s="16">
        <v>-16.915599999999998</v>
      </c>
      <c r="AA51" s="16">
        <v>-37.536199999999994</v>
      </c>
      <c r="AB51" s="16">
        <v>-51.6753</v>
      </c>
      <c r="AC51" s="16">
        <v>-49.0565</v>
      </c>
      <c r="AD51" s="16">
        <v>3.8323470000000004</v>
      </c>
      <c r="AE51" s="16">
        <v>-59.116</v>
      </c>
      <c r="AF51" s="16">
        <v>-58.070099999999996</v>
      </c>
      <c r="AG51" s="16">
        <v>-46.224299999999999</v>
      </c>
      <c r="AH51" s="16">
        <v>-45.231099999999998</v>
      </c>
      <c r="AI51" s="46"/>
      <c r="AJ51" s="46"/>
      <c r="AK51" s="46"/>
      <c r="AL51" s="46"/>
      <c r="AM51" s="46"/>
      <c r="AN51" s="4"/>
      <c r="AO51" s="4"/>
      <c r="AP51" s="4"/>
      <c r="AQ51" s="4"/>
      <c r="AR51" s="4"/>
      <c r="AS51" s="4"/>
      <c r="AT51" s="4"/>
      <c r="AU51" s="4"/>
      <c r="AV51" s="4"/>
      <c r="AW51" s="4"/>
      <c r="AX51" s="4"/>
      <c r="AY51" s="4"/>
    </row>
    <row r="52" spans="1:1005" ht="14.5" x14ac:dyDescent="0.35">
      <c r="A52" s="136">
        <f>YampaRiverInflow.TotalOutflow!A52</f>
        <v>47604</v>
      </c>
      <c r="B52" s="34">
        <v>-44.896000000000001</v>
      </c>
      <c r="C52" s="12">
        <v>-44.896000000000001</v>
      </c>
      <c r="D52" s="45">
        <v>-44.896000000000001</v>
      </c>
      <c r="E52" s="16">
        <v>-29.909500000000001</v>
      </c>
      <c r="F52" s="16">
        <v>-28.129300000000001</v>
      </c>
      <c r="G52" s="16">
        <v>-49.9146</v>
      </c>
      <c r="H52" s="16">
        <v>-34.603400000000001</v>
      </c>
      <c r="I52" s="16">
        <v>-27.749099999999999</v>
      </c>
      <c r="J52" s="16">
        <v>-15.6434</v>
      </c>
      <c r="K52" s="16">
        <v>-26.480900000000002</v>
      </c>
      <c r="L52" s="16">
        <v>-13.461499999999999</v>
      </c>
      <c r="M52" s="16">
        <v>-3.12216</v>
      </c>
      <c r="N52" s="16">
        <v>-37.49</v>
      </c>
      <c r="O52" s="16">
        <v>-28.581900000000001</v>
      </c>
      <c r="P52" s="16">
        <v>-34.988099999999996</v>
      </c>
      <c r="Q52" s="16">
        <v>-27.610599999999998</v>
      </c>
      <c r="R52" s="16">
        <v>-13.771700000000001</v>
      </c>
      <c r="S52" s="16">
        <v>-19.453499999999998</v>
      </c>
      <c r="T52" s="16">
        <v>-43.834099999999999</v>
      </c>
      <c r="U52" s="16">
        <v>-36.948999999999998</v>
      </c>
      <c r="V52" s="16">
        <v>-18.708599999999997</v>
      </c>
      <c r="W52" s="16">
        <v>-25.398700000000002</v>
      </c>
      <c r="X52" s="16">
        <v>-18.684200000000001</v>
      </c>
      <c r="Y52" s="16">
        <v>-10.974200000000002</v>
      </c>
      <c r="Z52" s="16">
        <v>-34.367400000000004</v>
      </c>
      <c r="AA52" s="16">
        <v>-27.658300000000001</v>
      </c>
      <c r="AB52" s="16">
        <v>-22.264099999999999</v>
      </c>
      <c r="AC52" s="16">
        <v>-16.6996</v>
      </c>
      <c r="AD52" s="16">
        <v>-67.282200000000003</v>
      </c>
      <c r="AE52" s="16">
        <v>-19.012</v>
      </c>
      <c r="AF52" s="16">
        <v>-19.098700000000001</v>
      </c>
      <c r="AG52" s="16">
        <v>-31.252700000000001</v>
      </c>
      <c r="AH52" s="16">
        <v>-147.96199999999999</v>
      </c>
      <c r="AI52" s="46"/>
      <c r="AJ52" s="46"/>
      <c r="AK52" s="46"/>
      <c r="AL52" s="46"/>
      <c r="AM52" s="46"/>
      <c r="AN52" s="4"/>
      <c r="AO52" s="4"/>
      <c r="AP52" s="4"/>
      <c r="AQ52" s="4"/>
      <c r="AR52" s="4"/>
      <c r="AS52" s="4"/>
      <c r="AT52" s="4"/>
      <c r="AU52" s="4"/>
      <c r="AV52" s="4"/>
      <c r="AW52" s="4"/>
      <c r="AX52" s="4"/>
      <c r="AY52" s="4"/>
    </row>
    <row r="53" spans="1:1005" ht="14.5" x14ac:dyDescent="0.35">
      <c r="A53" s="136">
        <f>YampaRiverInflow.TotalOutflow!A53</f>
        <v>47635</v>
      </c>
      <c r="B53" s="34">
        <v>-39.107999999999997</v>
      </c>
      <c r="C53" s="12">
        <v>-39.107999999999997</v>
      </c>
      <c r="D53" s="45">
        <v>-39.107999999999997</v>
      </c>
      <c r="E53" s="16">
        <v>-63.558300000000003</v>
      </c>
      <c r="F53" s="16">
        <v>-43.443300000000001</v>
      </c>
      <c r="G53" s="16">
        <v>-78.712100000000007</v>
      </c>
      <c r="H53" s="16">
        <v>-44.4283</v>
      </c>
      <c r="I53" s="16">
        <v>-46.623400000000004</v>
      </c>
      <c r="J53" s="16">
        <v>-26.48</v>
      </c>
      <c r="K53" s="16">
        <v>-49.249099999999999</v>
      </c>
      <c r="L53" s="16">
        <v>-37.820300000000003</v>
      </c>
      <c r="M53" s="16">
        <v>-37.123800000000003</v>
      </c>
      <c r="N53" s="16">
        <v>-46.805699999999995</v>
      </c>
      <c r="O53" s="16">
        <v>-42.2714</v>
      </c>
      <c r="P53" s="16">
        <v>-36.915500000000002</v>
      </c>
      <c r="Q53" s="16">
        <v>-53.137800000000006</v>
      </c>
      <c r="R53" s="16">
        <v>-64.9482</v>
      </c>
      <c r="S53" s="16">
        <v>-25.7806</v>
      </c>
      <c r="T53" s="16">
        <v>-34.943199999999997</v>
      </c>
      <c r="U53" s="16">
        <v>-51.296099999999996</v>
      </c>
      <c r="V53" s="16">
        <v>-57.331800000000001</v>
      </c>
      <c r="W53" s="16">
        <v>-54.558199999999999</v>
      </c>
      <c r="X53" s="16">
        <v>-68.587000000000003</v>
      </c>
      <c r="Y53" s="16">
        <v>-37.685099999999998</v>
      </c>
      <c r="Z53" s="16">
        <v>-32.256500000000003</v>
      </c>
      <c r="AA53" s="16">
        <v>-52.228699999999996</v>
      </c>
      <c r="AB53" s="16">
        <v>-55.433399999999999</v>
      </c>
      <c r="AC53" s="16">
        <v>-50.623800000000003</v>
      </c>
      <c r="AD53" s="16">
        <v>-49.755000000000003</v>
      </c>
      <c r="AE53" s="16">
        <v>-57.844000000000001</v>
      </c>
      <c r="AF53" s="16">
        <v>-49.321300000000001</v>
      </c>
      <c r="AG53" s="16">
        <v>-51.9298</v>
      </c>
      <c r="AH53" s="16">
        <v>-183.62299999999999</v>
      </c>
      <c r="AI53" s="46"/>
      <c r="AJ53" s="46"/>
      <c r="AK53" s="46"/>
      <c r="AL53" s="46"/>
      <c r="AM53" s="46"/>
      <c r="AN53" s="4"/>
      <c r="AO53" s="4"/>
      <c r="AP53" s="4"/>
      <c r="AQ53" s="4"/>
      <c r="AR53" s="4"/>
      <c r="AS53" s="4"/>
      <c r="AT53" s="4"/>
      <c r="AU53" s="4"/>
      <c r="AV53" s="4"/>
      <c r="AW53" s="4"/>
      <c r="AX53" s="4"/>
      <c r="AY53" s="4"/>
    </row>
    <row r="54" spans="1:1005" ht="14.5" x14ac:dyDescent="0.35">
      <c r="A54" s="136">
        <f>YampaRiverInflow.TotalOutflow!A54</f>
        <v>47665</v>
      </c>
      <c r="B54" s="34">
        <v>-23.524999999999999</v>
      </c>
      <c r="C54" s="12">
        <v>-23.524999999999999</v>
      </c>
      <c r="D54" s="45">
        <v>-23.524999999999999</v>
      </c>
      <c r="E54" s="16">
        <v>-65.305999999999997</v>
      </c>
      <c r="F54" s="16">
        <v>-37.942</v>
      </c>
      <c r="G54" s="16">
        <v>-73.786799999999999</v>
      </c>
      <c r="H54" s="16">
        <v>-40.766500000000001</v>
      </c>
      <c r="I54" s="16">
        <v>-6.4570799999999995</v>
      </c>
      <c r="J54" s="16">
        <v>-40.478199999999994</v>
      </c>
      <c r="K54" s="16">
        <v>-35.347099999999998</v>
      </c>
      <c r="L54" s="16">
        <v>-30.984200000000001</v>
      </c>
      <c r="M54" s="16">
        <v>-12.644399999999999</v>
      </c>
      <c r="N54" s="16">
        <v>-15.251700000000001</v>
      </c>
      <c r="O54" s="16">
        <v>-52.766100000000002</v>
      </c>
      <c r="P54" s="16">
        <v>-45.935900000000004</v>
      </c>
      <c r="Q54" s="16">
        <v>-47.300400000000003</v>
      </c>
      <c r="R54" s="16">
        <v>-39.221400000000003</v>
      </c>
      <c r="S54" s="16">
        <v>-35.222799999999999</v>
      </c>
      <c r="T54" s="16">
        <v>-42.721499999999999</v>
      </c>
      <c r="U54" s="16">
        <v>-48.900100000000002</v>
      </c>
      <c r="V54" s="16">
        <v>-17.8947</v>
      </c>
      <c r="W54" s="16">
        <v>-23.696200000000001</v>
      </c>
      <c r="X54" s="16">
        <v>-7.1829000000000001</v>
      </c>
      <c r="Y54" s="16">
        <v>-15.904399999999999</v>
      </c>
      <c r="Z54" s="16">
        <v>-28.589599999999997</v>
      </c>
      <c r="AA54" s="16">
        <v>-43.727499999999999</v>
      </c>
      <c r="AB54" s="16">
        <v>-35.582300000000004</v>
      </c>
      <c r="AC54" s="16">
        <v>-30.575500000000002</v>
      </c>
      <c r="AD54" s="16">
        <v>-37.180800000000005</v>
      </c>
      <c r="AE54" s="16">
        <v>-48.3</v>
      </c>
      <c r="AF54" s="16">
        <v>-25.503700000000002</v>
      </c>
      <c r="AG54" s="16">
        <v>-48.567099999999996</v>
      </c>
      <c r="AH54" s="16">
        <v>-182.99199999999999</v>
      </c>
      <c r="AI54" s="46"/>
      <c r="AJ54" s="46"/>
      <c r="AK54" s="46"/>
      <c r="AL54" s="46"/>
      <c r="AM54" s="46"/>
      <c r="AN54" s="4"/>
      <c r="AO54" s="4"/>
      <c r="AP54" s="4"/>
      <c r="AQ54" s="4"/>
      <c r="AR54" s="4"/>
      <c r="AS54" s="4"/>
      <c r="AT54" s="4"/>
      <c r="AU54" s="4"/>
      <c r="AV54" s="4"/>
      <c r="AW54" s="4"/>
      <c r="AX54" s="4"/>
      <c r="AY54" s="4"/>
    </row>
    <row r="55" spans="1:1005" ht="14.5" x14ac:dyDescent="0.35">
      <c r="A55" s="136">
        <f>YampaRiverInflow.TotalOutflow!A55</f>
        <v>47696</v>
      </c>
      <c r="B55" s="34">
        <v>-12.019</v>
      </c>
      <c r="C55" s="12">
        <v>-12.019</v>
      </c>
      <c r="D55" s="45">
        <v>-12.019</v>
      </c>
      <c r="E55" s="16">
        <v>-27.815000000000001</v>
      </c>
      <c r="F55" s="16">
        <v>-14.0517</v>
      </c>
      <c r="G55" s="16">
        <v>-65.381299999999996</v>
      </c>
      <c r="H55" s="16">
        <v>-36.5657</v>
      </c>
      <c r="I55" s="16">
        <v>-19.854400000000002</v>
      </c>
      <c r="J55" s="16">
        <v>-3.75305</v>
      </c>
      <c r="K55" s="16">
        <v>-2.8775900000000001</v>
      </c>
      <c r="L55" s="16">
        <v>-12.666399999999999</v>
      </c>
      <c r="M55" s="16">
        <v>-13.9602</v>
      </c>
      <c r="N55" s="16">
        <v>-39.998400000000004</v>
      </c>
      <c r="O55" s="16">
        <v>7.2850600000000005</v>
      </c>
      <c r="P55" s="16">
        <v>-24.3444</v>
      </c>
      <c r="Q55" s="16">
        <v>-33.449400000000004</v>
      </c>
      <c r="R55" s="16">
        <v>-19.831900000000001</v>
      </c>
      <c r="S55" s="16">
        <v>-46.257599999999996</v>
      </c>
      <c r="T55" s="16">
        <v>-32.945300000000003</v>
      </c>
      <c r="U55" s="16">
        <v>-39.458300000000001</v>
      </c>
      <c r="V55" s="16">
        <v>-23.445799999999998</v>
      </c>
      <c r="W55" s="16">
        <v>-14.442500000000001</v>
      </c>
      <c r="X55" s="16">
        <v>-5.3147600000000006</v>
      </c>
      <c r="Y55" s="16">
        <v>-20.151</v>
      </c>
      <c r="Z55" s="16">
        <v>-29.148299999999999</v>
      </c>
      <c r="AA55" s="16">
        <v>-33.437899999999999</v>
      </c>
      <c r="AB55" s="16">
        <v>-29.450599999999998</v>
      </c>
      <c r="AC55" s="16">
        <v>-25.803599999999999</v>
      </c>
      <c r="AD55" s="16">
        <v>-58.466900000000003</v>
      </c>
      <c r="AE55" s="16">
        <v>-23.998000000000001</v>
      </c>
      <c r="AF55" s="16">
        <v>5.8436199999999996</v>
      </c>
      <c r="AG55" s="16">
        <v>-37.121300000000005</v>
      </c>
      <c r="AH55" s="16">
        <v>-39.379899999999999</v>
      </c>
      <c r="AI55" s="46"/>
      <c r="AJ55" s="46"/>
      <c r="AK55" s="46"/>
      <c r="AL55" s="46"/>
      <c r="AM55" s="46"/>
      <c r="AN55" s="4"/>
      <c r="AO55" s="4"/>
      <c r="AP55" s="4"/>
      <c r="AQ55" s="4"/>
      <c r="AR55" s="4"/>
      <c r="AS55" s="4"/>
      <c r="AT55" s="4"/>
      <c r="AU55" s="4"/>
      <c r="AV55" s="4"/>
      <c r="AW55" s="4"/>
      <c r="AX55" s="4"/>
      <c r="AY55" s="4"/>
    </row>
    <row r="56" spans="1:1005" ht="14.5" x14ac:dyDescent="0.35">
      <c r="A56" s="136">
        <f>YampaRiverInflow.TotalOutflow!A56</f>
        <v>47727</v>
      </c>
      <c r="B56" s="34">
        <v>-6.0039999999999996</v>
      </c>
      <c r="C56" s="12">
        <v>-6.0039999999999996</v>
      </c>
      <c r="D56" s="45">
        <v>-6.0039999999999996</v>
      </c>
      <c r="E56" s="16">
        <v>-41.415900000000001</v>
      </c>
      <c r="F56" s="16">
        <v>-22.555199999999999</v>
      </c>
      <c r="G56" s="16">
        <v>0.85353000000000001</v>
      </c>
      <c r="H56" s="16">
        <v>-61.966300000000004</v>
      </c>
      <c r="I56" s="16">
        <v>-54.048999999999999</v>
      </c>
      <c r="J56" s="16">
        <v>-27.7121</v>
      </c>
      <c r="K56" s="16">
        <v>-18.022099999999998</v>
      </c>
      <c r="L56" s="16">
        <v>-8.8447199999999988</v>
      </c>
      <c r="M56" s="16">
        <v>-17.9664</v>
      </c>
      <c r="N56" s="16">
        <v>-5.1358199999999998</v>
      </c>
      <c r="O56" s="16">
        <v>-10.9739</v>
      </c>
      <c r="P56" s="16">
        <v>-32.469799999999999</v>
      </c>
      <c r="Q56" s="16">
        <v>-35.090000000000003</v>
      </c>
      <c r="R56" s="16">
        <v>-20.7882</v>
      </c>
      <c r="S56" s="16">
        <v>-50.804099999999998</v>
      </c>
      <c r="T56" s="16">
        <v>-26.487200000000001</v>
      </c>
      <c r="U56" s="16">
        <v>-30.253900000000002</v>
      </c>
      <c r="V56" s="16">
        <v>-43.0578</v>
      </c>
      <c r="W56" s="16">
        <v>-36.350099999999998</v>
      </c>
      <c r="X56" s="16">
        <v>-18.872799999999998</v>
      </c>
      <c r="Y56" s="16">
        <v>-16.6816</v>
      </c>
      <c r="Z56" s="16">
        <v>-22.602599999999999</v>
      </c>
      <c r="AA56" s="16">
        <v>-13.866299999999999</v>
      </c>
      <c r="AB56" s="16">
        <v>-20.75</v>
      </c>
      <c r="AC56" s="16">
        <v>-8.9183799999999991</v>
      </c>
      <c r="AD56" s="16">
        <v>-33.353900000000003</v>
      </c>
      <c r="AE56" s="16">
        <v>-15.521000000000001</v>
      </c>
      <c r="AF56" s="16">
        <v>-12.745700000000001</v>
      </c>
      <c r="AG56" s="16">
        <v>-31.333599999999997</v>
      </c>
      <c r="AH56" s="16">
        <v>-19.856300000000001</v>
      </c>
      <c r="AI56" s="46"/>
      <c r="AJ56" s="46"/>
      <c r="AK56" s="46"/>
      <c r="AL56" s="46"/>
      <c r="AM56" s="46"/>
      <c r="AN56" s="4"/>
      <c r="AO56" s="4"/>
      <c r="AP56" s="4"/>
      <c r="AQ56" s="4"/>
      <c r="AR56" s="4"/>
      <c r="AS56" s="4"/>
      <c r="AT56" s="4"/>
      <c r="AU56" s="4"/>
      <c r="AV56" s="4"/>
      <c r="AW56" s="4"/>
      <c r="AX56" s="4"/>
      <c r="AY56" s="4"/>
    </row>
    <row r="57" spans="1:1005" ht="14.5" x14ac:dyDescent="0.35">
      <c r="A57" s="136">
        <f>YampaRiverInflow.TotalOutflow!A57</f>
        <v>47757</v>
      </c>
      <c r="B57" s="34">
        <v>-4.306</v>
      </c>
      <c r="C57" s="12">
        <v>-4.306</v>
      </c>
      <c r="D57" s="45">
        <v>-4.306</v>
      </c>
      <c r="E57" s="16">
        <v>8.3438300000000005</v>
      </c>
      <c r="F57" s="16">
        <v>1.6283399999999999</v>
      </c>
      <c r="G57" s="16">
        <v>-1.5256099999999999</v>
      </c>
      <c r="H57" s="16">
        <v>0.55819000000000007</v>
      </c>
      <c r="I57" s="16">
        <v>-0.40666000000000002</v>
      </c>
      <c r="J57" s="16">
        <v>-3.3743600000000002</v>
      </c>
      <c r="K57" s="16">
        <v>10.40099</v>
      </c>
      <c r="L57" s="16">
        <v>3.1250999999999998</v>
      </c>
      <c r="M57" s="16">
        <v>0.16553999999999999</v>
      </c>
      <c r="N57" s="16">
        <v>26.085080000000001</v>
      </c>
      <c r="O57" s="16">
        <v>-4.4398100000000005</v>
      </c>
      <c r="P57" s="16">
        <v>7.4000500000000002</v>
      </c>
      <c r="Q57" s="16">
        <v>-11.6661</v>
      </c>
      <c r="R57" s="16">
        <v>-2.7408399999999999</v>
      </c>
      <c r="S57" s="16">
        <v>-4.4333</v>
      </c>
      <c r="T57" s="16">
        <v>-10.0848</v>
      </c>
      <c r="U57" s="16">
        <v>-27.032599999999999</v>
      </c>
      <c r="V57" s="16">
        <v>-5.7554099999999995</v>
      </c>
      <c r="W57" s="16">
        <v>-10.2515</v>
      </c>
      <c r="X57" s="16">
        <v>-12.6999</v>
      </c>
      <c r="Y57" s="16">
        <v>-3.16777</v>
      </c>
      <c r="Z57" s="16">
        <v>-24.611999999999998</v>
      </c>
      <c r="AA57" s="16">
        <v>-28.077099999999998</v>
      </c>
      <c r="AB57" s="16">
        <v>-12.1576</v>
      </c>
      <c r="AC57" s="16">
        <v>1.7223250000000001</v>
      </c>
      <c r="AD57" s="16">
        <v>-9.7818899999999989</v>
      </c>
      <c r="AE57" s="16">
        <v>3.17</v>
      </c>
      <c r="AF57" s="16">
        <v>-15.058</v>
      </c>
      <c r="AG57" s="16">
        <v>-8.1872799999999994</v>
      </c>
      <c r="AH57" s="16">
        <v>-13.261700000000001</v>
      </c>
      <c r="AI57" s="46"/>
      <c r="AJ57" s="46"/>
      <c r="AK57" s="46"/>
      <c r="AL57" s="46"/>
      <c r="AM57" s="46"/>
      <c r="AN57" s="4"/>
      <c r="AO57" s="4"/>
      <c r="AP57" s="4"/>
      <c r="AQ57" s="4"/>
      <c r="AR57" s="4"/>
      <c r="AS57" s="4"/>
      <c r="AT57" s="4"/>
      <c r="AU57" s="4"/>
      <c r="AV57" s="4"/>
      <c r="AW57" s="4"/>
      <c r="AX57" s="4"/>
      <c r="AY57" s="4"/>
    </row>
    <row r="58" spans="1:1005" ht="14.5" x14ac:dyDescent="0.35">
      <c r="A58" s="136">
        <f>YampaRiverInflow.TotalOutflow!A58</f>
        <v>47788</v>
      </c>
      <c r="B58" s="34">
        <v>21.308</v>
      </c>
      <c r="C58" s="12">
        <v>21.308</v>
      </c>
      <c r="D58" s="45">
        <v>21.308</v>
      </c>
      <c r="E58" s="16">
        <v>4.5023100000000005</v>
      </c>
      <c r="F58" s="16">
        <v>13.97513</v>
      </c>
      <c r="G58" s="16">
        <v>6.8756899999999996</v>
      </c>
      <c r="H58" s="16">
        <v>-37.753900000000002</v>
      </c>
      <c r="I58" s="16">
        <v>12.579600000000001</v>
      </c>
      <c r="J58" s="16">
        <v>4.9528100000000004</v>
      </c>
      <c r="K58" s="16">
        <v>14.292</v>
      </c>
      <c r="L58" s="16">
        <v>10.398250000000001</v>
      </c>
      <c r="M58" s="16">
        <v>14.77266</v>
      </c>
      <c r="N58" s="16">
        <v>2.89751</v>
      </c>
      <c r="O58" s="16">
        <v>-5.1595500000000003</v>
      </c>
      <c r="P58" s="16">
        <v>8.3595300000000012</v>
      </c>
      <c r="Q58" s="16">
        <v>0.24359</v>
      </c>
      <c r="R58" s="16">
        <v>-2.1938</v>
      </c>
      <c r="S58" s="16">
        <v>-8.1242999999999999</v>
      </c>
      <c r="T58" s="16">
        <v>-20.0396</v>
      </c>
      <c r="U58" s="16">
        <v>-7.1350500000000006</v>
      </c>
      <c r="V58" s="16">
        <v>-4.9749300000000005</v>
      </c>
      <c r="W58" s="16">
        <v>-2.7747700000000002</v>
      </c>
      <c r="X58" s="16">
        <v>-5.4642499999999998</v>
      </c>
      <c r="Y58" s="16">
        <v>12.753399999999999</v>
      </c>
      <c r="Z58" s="16">
        <v>1.235026</v>
      </c>
      <c r="AA58" s="16">
        <v>6.9389319999999994</v>
      </c>
      <c r="AB58" s="16">
        <v>-9.7391900000000007</v>
      </c>
      <c r="AC58" s="16">
        <v>26.70477</v>
      </c>
      <c r="AD58" s="16">
        <v>4.1004740000000002</v>
      </c>
      <c r="AE58" s="16">
        <v>8.6760000000000002</v>
      </c>
      <c r="AF58" s="16">
        <v>-7.5486000000000004</v>
      </c>
      <c r="AG58" s="16">
        <v>1.3323900000000002</v>
      </c>
      <c r="AH58" s="16">
        <v>8.9617099999999983</v>
      </c>
      <c r="AI58" s="46"/>
      <c r="AJ58" s="46"/>
      <c r="AK58" s="46"/>
      <c r="AL58" s="46"/>
      <c r="AM58" s="46"/>
      <c r="AN58" s="4"/>
      <c r="AO58" s="4"/>
      <c r="AP58" s="4"/>
      <c r="AQ58" s="4"/>
      <c r="AR58" s="4"/>
      <c r="AS58" s="4"/>
      <c r="AT58" s="4"/>
      <c r="AU58" s="4"/>
      <c r="AV58" s="4"/>
      <c r="AW58" s="4"/>
      <c r="AX58" s="4"/>
      <c r="AY58" s="4"/>
    </row>
    <row r="59" spans="1:1005" ht="14.5" x14ac:dyDescent="0.35">
      <c r="A59" s="136">
        <f>YampaRiverInflow.TotalOutflow!A59</f>
        <v>47818</v>
      </c>
      <c r="B59" s="34">
        <v>17.788</v>
      </c>
      <c r="C59" s="12">
        <v>17.788</v>
      </c>
      <c r="D59" s="45">
        <v>17.788</v>
      </c>
      <c r="E59" s="16">
        <v>6.48062</v>
      </c>
      <c r="F59" s="16">
        <v>-1.6886700000000001</v>
      </c>
      <c r="G59" s="16">
        <v>-26.622299999999999</v>
      </c>
      <c r="H59" s="16">
        <v>-69.312100000000001</v>
      </c>
      <c r="I59" s="16">
        <v>30.47054</v>
      </c>
      <c r="J59" s="16">
        <v>12.73404</v>
      </c>
      <c r="K59" s="16">
        <v>16.88007</v>
      </c>
      <c r="L59" s="16">
        <v>5.8597900000000003</v>
      </c>
      <c r="M59" s="16">
        <v>7.4444699999999999</v>
      </c>
      <c r="N59" s="16">
        <v>33.224269999999997</v>
      </c>
      <c r="O59" s="16">
        <v>12.479979999999999</v>
      </c>
      <c r="P59" s="16">
        <v>17.551400000000001</v>
      </c>
      <c r="Q59" s="16">
        <v>6.2706099999999996</v>
      </c>
      <c r="R59" s="16">
        <v>38.814579999999999</v>
      </c>
      <c r="S59" s="16">
        <v>9.5693099999999998</v>
      </c>
      <c r="T59" s="16">
        <v>34.180550000000004</v>
      </c>
      <c r="U59" s="16">
        <v>4.3811200000000001</v>
      </c>
      <c r="V59" s="16">
        <v>12.84577</v>
      </c>
      <c r="W59" s="16">
        <v>-9.6169899999999995</v>
      </c>
      <c r="X59" s="16">
        <v>8.3672789999999999</v>
      </c>
      <c r="Y59" s="16">
        <v>21.699849999999998</v>
      </c>
      <c r="Z59" s="16">
        <v>30.923099999999998</v>
      </c>
      <c r="AA59" s="16">
        <v>2.6434799999999998</v>
      </c>
      <c r="AB59" s="16">
        <v>7.848967</v>
      </c>
      <c r="AC59" s="16">
        <v>2.9376329999999999</v>
      </c>
      <c r="AD59" s="16">
        <v>20.856740000000002</v>
      </c>
      <c r="AE59" s="16">
        <v>18.335000000000001</v>
      </c>
      <c r="AF59" s="16">
        <v>4.6582799999999995</v>
      </c>
      <c r="AG59" s="16">
        <v>11.40897</v>
      </c>
      <c r="AH59" s="16">
        <v>18.883740000000003</v>
      </c>
      <c r="AI59" s="46"/>
      <c r="AJ59" s="46"/>
      <c r="AK59" s="46"/>
      <c r="AL59" s="46"/>
      <c r="AM59" s="46"/>
      <c r="AN59" s="4"/>
      <c r="AO59" s="4"/>
      <c r="AP59" s="4"/>
      <c r="AQ59" s="4"/>
      <c r="AR59" s="4"/>
      <c r="AS59" s="4"/>
      <c r="AT59" s="4"/>
      <c r="AU59" s="4"/>
      <c r="AV59" s="4"/>
      <c r="AW59" s="4"/>
      <c r="AX59" s="4"/>
      <c r="AY59" s="4"/>
    </row>
    <row r="60" spans="1:1005" ht="14.5" x14ac:dyDescent="0.35">
      <c r="A60" s="136">
        <f>YampaRiverInflow.TotalOutflow!A60</f>
        <v>47849</v>
      </c>
      <c r="B60" s="34">
        <v>1.1200000000000001</v>
      </c>
      <c r="C60" s="12">
        <v>1.1200000000000001</v>
      </c>
      <c r="D60" s="45">
        <v>1.1200000000000001</v>
      </c>
      <c r="E60" s="16">
        <v>-5.6275300000000001</v>
      </c>
      <c r="F60" s="16">
        <v>-64.680900000000008</v>
      </c>
      <c r="G60" s="16">
        <v>-113.199</v>
      </c>
      <c r="H60" s="16">
        <v>36.242400000000004</v>
      </c>
      <c r="I60" s="16">
        <v>-10.6774</v>
      </c>
      <c r="J60" s="16">
        <v>8.1581399999999995</v>
      </c>
      <c r="K60" s="16">
        <v>1.3930199999999999</v>
      </c>
      <c r="L60" s="16">
        <v>10.17</v>
      </c>
      <c r="M60" s="16">
        <v>3.6542600000000003</v>
      </c>
      <c r="N60" s="16">
        <v>8.1713000000000005</v>
      </c>
      <c r="O60" s="16">
        <v>-29.2118</v>
      </c>
      <c r="P60" s="16">
        <v>-12.4862</v>
      </c>
      <c r="Q60" s="16">
        <v>-4.2013100000000003</v>
      </c>
      <c r="R60" s="16">
        <v>-21.987200000000001</v>
      </c>
      <c r="S60" s="16">
        <v>21.381310000000003</v>
      </c>
      <c r="T60" s="16">
        <v>-39.100499999999997</v>
      </c>
      <c r="U60" s="16">
        <v>-31.088799999999999</v>
      </c>
      <c r="V60" s="16">
        <v>7.3067399999999996</v>
      </c>
      <c r="W60" s="16">
        <v>-13.319000000000001</v>
      </c>
      <c r="X60" s="16">
        <v>-6.39839</v>
      </c>
      <c r="Y60" s="16">
        <v>-23.134</v>
      </c>
      <c r="Z60" s="16">
        <v>-29.637900000000002</v>
      </c>
      <c r="AA60" s="16">
        <v>-24.356300000000001</v>
      </c>
      <c r="AB60" s="16">
        <v>-6.12601</v>
      </c>
      <c r="AC60" s="16">
        <v>-35.9651</v>
      </c>
      <c r="AD60" s="16">
        <v>-1.4319999999999999</v>
      </c>
      <c r="AE60" s="16">
        <v>-16.688599999999997</v>
      </c>
      <c r="AF60" s="16">
        <v>33.015449999999994</v>
      </c>
      <c r="AG60" s="16">
        <v>-30.712700000000002</v>
      </c>
      <c r="AH60" s="16">
        <v>-2.2970100000000002</v>
      </c>
      <c r="AI60" s="46"/>
      <c r="AJ60" s="46"/>
      <c r="AK60" s="46"/>
      <c r="AL60" s="46"/>
      <c r="AM60" s="46"/>
      <c r="AN60" s="4"/>
      <c r="AO60" s="4"/>
      <c r="AP60" s="4"/>
      <c r="AQ60" s="4"/>
      <c r="AR60" s="4"/>
      <c r="AS60" s="4"/>
      <c r="AT60" s="4"/>
      <c r="AU60" s="4"/>
      <c r="AV60" s="4"/>
      <c r="AW60" s="4"/>
      <c r="AX60" s="4"/>
      <c r="AY60" s="4"/>
    </row>
    <row r="61" spans="1:1005" ht="14.5" x14ac:dyDescent="0.35">
      <c r="A61" s="136">
        <f>YampaRiverInflow.TotalOutflow!A61</f>
        <v>47880</v>
      </c>
      <c r="B61" s="34">
        <v>-29.684000000000001</v>
      </c>
      <c r="C61" s="12">
        <v>-29.684000000000001</v>
      </c>
      <c r="D61" s="45">
        <v>-29.684000000000001</v>
      </c>
      <c r="E61" s="16">
        <v>-26.556999999999999</v>
      </c>
      <c r="F61" s="16">
        <v>-43.0946</v>
      </c>
      <c r="G61" s="16">
        <v>-46.804400000000001</v>
      </c>
      <c r="H61" s="16">
        <v>-20.875299999999999</v>
      </c>
      <c r="I61" s="16">
        <v>-24.3658</v>
      </c>
      <c r="J61" s="16">
        <v>1.18557</v>
      </c>
      <c r="K61" s="16">
        <v>-25.8432</v>
      </c>
      <c r="L61" s="16">
        <v>-4.4762599999999999</v>
      </c>
      <c r="M61" s="16">
        <v>-2.36822</v>
      </c>
      <c r="N61" s="16">
        <v>5.9079799999999993</v>
      </c>
      <c r="O61" s="16">
        <v>-17.978400000000001</v>
      </c>
      <c r="P61" s="16">
        <v>-35.601699999999994</v>
      </c>
      <c r="Q61" s="16">
        <v>-45.1038</v>
      </c>
      <c r="R61" s="16">
        <v>-5.1178299999999997</v>
      </c>
      <c r="S61" s="16">
        <v>-37.283000000000001</v>
      </c>
      <c r="T61" s="16">
        <v>-15.6464</v>
      </c>
      <c r="U61" s="16">
        <v>-40.071800000000003</v>
      </c>
      <c r="V61" s="16">
        <v>-32.633000000000003</v>
      </c>
      <c r="W61" s="16">
        <v>-26.703299999999999</v>
      </c>
      <c r="X61" s="16">
        <v>-28.727499999999999</v>
      </c>
      <c r="Y61" s="16">
        <v>-41.463300000000004</v>
      </c>
      <c r="Z61" s="16">
        <v>-12.364799999999999</v>
      </c>
      <c r="AA61" s="16">
        <v>-17.944700000000001</v>
      </c>
      <c r="AB61" s="16">
        <v>-30.381799999999998</v>
      </c>
      <c r="AC61" s="16">
        <v>-39.880099999999999</v>
      </c>
      <c r="AD61" s="16">
        <v>-13.894</v>
      </c>
      <c r="AE61" s="16">
        <v>-22.5732</v>
      </c>
      <c r="AF61" s="16">
        <v>-17.1022</v>
      </c>
      <c r="AG61" s="16">
        <v>-38.901800000000001</v>
      </c>
      <c r="AH61" s="16">
        <v>-63.575199999999995</v>
      </c>
      <c r="AI61" s="46"/>
      <c r="AJ61" s="46"/>
      <c r="AK61" s="46"/>
      <c r="AL61" s="46"/>
      <c r="AM61" s="46"/>
      <c r="AN61" s="4"/>
      <c r="AO61" s="4"/>
      <c r="AP61" s="4"/>
      <c r="AQ61" s="4"/>
      <c r="AR61" s="4"/>
      <c r="AS61" s="4"/>
      <c r="AT61" s="4"/>
      <c r="AU61" s="4"/>
      <c r="AV61" s="4"/>
      <c r="AW61" s="4"/>
      <c r="AX61" s="4"/>
      <c r="AY61" s="4"/>
    </row>
    <row r="62" spans="1:1005" ht="14.5" x14ac:dyDescent="0.35">
      <c r="A62" s="136">
        <f>YampaRiverInflow.TotalOutflow!A62</f>
        <v>47908</v>
      </c>
      <c r="B62" s="34">
        <v>-43.48</v>
      </c>
      <c r="C62" s="12">
        <v>-43.48</v>
      </c>
      <c r="D62" s="45">
        <v>-43.48</v>
      </c>
      <c r="E62" s="16">
        <v>-96.0959</v>
      </c>
      <c r="F62" s="16">
        <v>-38.881300000000003</v>
      </c>
      <c r="G62" s="16">
        <v>-9.1832499999999992</v>
      </c>
      <c r="H62" s="16">
        <v>-13.1533</v>
      </c>
      <c r="I62" s="16">
        <v>-27.913900000000002</v>
      </c>
      <c r="J62" s="16">
        <v>-37.945300000000003</v>
      </c>
      <c r="K62" s="16">
        <v>-37.232500000000002</v>
      </c>
      <c r="L62" s="16">
        <v>-84.1511</v>
      </c>
      <c r="M62" s="16">
        <v>-52.822800000000001</v>
      </c>
      <c r="N62" s="16">
        <v>-62.375399999999999</v>
      </c>
      <c r="O62" s="16">
        <v>-22.7028</v>
      </c>
      <c r="P62" s="16">
        <v>-24.410799999999998</v>
      </c>
      <c r="Q62" s="16">
        <v>-35.779199999999996</v>
      </c>
      <c r="R62" s="16">
        <v>-52.189599999999999</v>
      </c>
      <c r="S62" s="16">
        <v>-44.594099999999997</v>
      </c>
      <c r="T62" s="16">
        <v>-46.276900000000005</v>
      </c>
      <c r="U62" s="16">
        <v>-41.1785</v>
      </c>
      <c r="V62" s="16">
        <v>-54.098800000000004</v>
      </c>
      <c r="W62" s="16">
        <v>-94.38669999999999</v>
      </c>
      <c r="X62" s="16">
        <v>-68.116</v>
      </c>
      <c r="Y62" s="16">
        <v>-21.329699999999999</v>
      </c>
      <c r="Z62" s="16">
        <v>-45.133600000000001</v>
      </c>
      <c r="AA62" s="16">
        <v>-41.103999999999999</v>
      </c>
      <c r="AB62" s="16">
        <v>-52.287500000000001</v>
      </c>
      <c r="AC62" s="16">
        <v>-39.996499999999997</v>
      </c>
      <c r="AD62" s="16">
        <v>-34.947000000000003</v>
      </c>
      <c r="AE62" s="16">
        <v>-9.4451399999999985</v>
      </c>
      <c r="AF62" s="16">
        <v>-51.122900000000001</v>
      </c>
      <c r="AG62" s="16">
        <v>-40.1935</v>
      </c>
      <c r="AH62" s="16">
        <v>-34.902000000000001</v>
      </c>
      <c r="AI62" s="46"/>
      <c r="AJ62" s="46"/>
      <c r="AK62" s="46"/>
      <c r="AL62" s="46"/>
      <c r="AM62" s="46"/>
      <c r="AN62" s="4"/>
      <c r="AO62" s="4"/>
      <c r="AP62" s="4"/>
      <c r="AQ62" s="4"/>
      <c r="AR62" s="4"/>
      <c r="AS62" s="4"/>
      <c r="AT62" s="4"/>
      <c r="AU62" s="4"/>
      <c r="AV62" s="4"/>
      <c r="AW62" s="4"/>
      <c r="AX62" s="4"/>
      <c r="AY62" s="4"/>
    </row>
    <row r="63" spans="1:1005" ht="14.5" x14ac:dyDescent="0.35">
      <c r="A63" s="136">
        <f>YampaRiverInflow.TotalOutflow!A63</f>
        <v>47939</v>
      </c>
      <c r="B63" s="34">
        <v>-47.68</v>
      </c>
      <c r="C63" s="12">
        <v>-47.68</v>
      </c>
      <c r="D63" s="45">
        <v>-47.68</v>
      </c>
      <c r="E63" s="16">
        <v>-46.392000000000003</v>
      </c>
      <c r="F63" s="16">
        <v>-46.931699999999999</v>
      </c>
      <c r="G63" s="16">
        <v>-10.3939</v>
      </c>
      <c r="H63" s="16">
        <v>-22.183299999999999</v>
      </c>
      <c r="I63" s="16">
        <v>-50.360900000000001</v>
      </c>
      <c r="J63" s="16">
        <v>-34.244300000000003</v>
      </c>
      <c r="K63" s="16">
        <v>-28.298599999999997</v>
      </c>
      <c r="L63" s="16">
        <v>-23.056999999999999</v>
      </c>
      <c r="M63" s="16">
        <v>-23.6526</v>
      </c>
      <c r="N63" s="16">
        <v>-18.731300000000001</v>
      </c>
      <c r="O63" s="16">
        <v>-34.493000000000002</v>
      </c>
      <c r="P63" s="16">
        <v>-34.719099999999997</v>
      </c>
      <c r="Q63" s="16">
        <v>-39.354300000000002</v>
      </c>
      <c r="R63" s="16">
        <v>-36.816499999999998</v>
      </c>
      <c r="S63" s="16">
        <v>-31.096499999999999</v>
      </c>
      <c r="T63" s="16">
        <v>-26.820700000000002</v>
      </c>
      <c r="U63" s="16">
        <v>-39.596599999999995</v>
      </c>
      <c r="V63" s="16">
        <v>-38.490600000000001</v>
      </c>
      <c r="W63" s="16">
        <v>-7.4329700000000001</v>
      </c>
      <c r="X63" s="16">
        <v>-6.8644499999999997</v>
      </c>
      <c r="Y63" s="16">
        <v>-16.915599999999998</v>
      </c>
      <c r="Z63" s="16">
        <v>-37.536199999999994</v>
      </c>
      <c r="AA63" s="16">
        <v>-51.6753</v>
      </c>
      <c r="AB63" s="16">
        <v>-49.0565</v>
      </c>
      <c r="AC63" s="16">
        <v>3.8323470000000004</v>
      </c>
      <c r="AD63" s="16">
        <v>-59.116</v>
      </c>
      <c r="AE63" s="16">
        <v>-58.070099999999996</v>
      </c>
      <c r="AF63" s="16">
        <v>-46.224299999999999</v>
      </c>
      <c r="AG63" s="16">
        <v>-45.231099999999998</v>
      </c>
      <c r="AH63" s="16">
        <v>-21.337199999999999</v>
      </c>
      <c r="AI63" s="46"/>
      <c r="AJ63" s="46"/>
      <c r="AK63" s="46"/>
      <c r="AL63" s="46"/>
      <c r="AM63" s="46"/>
      <c r="AN63" s="4"/>
      <c r="AO63" s="4"/>
      <c r="AP63" s="4"/>
      <c r="AQ63" s="4"/>
      <c r="AR63" s="4"/>
      <c r="AS63" s="4"/>
      <c r="AT63" s="4"/>
      <c r="AU63" s="4"/>
      <c r="AV63" s="4"/>
      <c r="AW63" s="4"/>
      <c r="AX63" s="4"/>
      <c r="AY63" s="4"/>
    </row>
    <row r="64" spans="1:1005" ht="14.5" x14ac:dyDescent="0.35">
      <c r="A64" s="136">
        <f>YampaRiverInflow.TotalOutflow!A64</f>
        <v>47969</v>
      </c>
      <c r="B64" s="34">
        <v>-44.896000000000001</v>
      </c>
      <c r="C64" s="12">
        <v>-44.896000000000001</v>
      </c>
      <c r="D64" s="45">
        <v>-44.896000000000001</v>
      </c>
      <c r="E64" s="16">
        <v>-28.129300000000001</v>
      </c>
      <c r="F64" s="16">
        <v>-49.9146</v>
      </c>
      <c r="G64" s="16">
        <v>-34.603400000000001</v>
      </c>
      <c r="H64" s="16">
        <v>-27.749099999999999</v>
      </c>
      <c r="I64" s="16">
        <v>-15.6434</v>
      </c>
      <c r="J64" s="16">
        <v>-26.480900000000002</v>
      </c>
      <c r="K64" s="16">
        <v>-13.461499999999999</v>
      </c>
      <c r="L64" s="16">
        <v>-3.12216</v>
      </c>
      <c r="M64" s="16">
        <v>-37.49</v>
      </c>
      <c r="N64" s="16">
        <v>-28.581900000000001</v>
      </c>
      <c r="O64" s="16">
        <v>-34.988099999999996</v>
      </c>
      <c r="P64" s="16">
        <v>-27.610599999999998</v>
      </c>
      <c r="Q64" s="16">
        <v>-13.771700000000001</v>
      </c>
      <c r="R64" s="16">
        <v>-19.453499999999998</v>
      </c>
      <c r="S64" s="16">
        <v>-43.834099999999999</v>
      </c>
      <c r="T64" s="16">
        <v>-36.948999999999998</v>
      </c>
      <c r="U64" s="16">
        <v>-18.708599999999997</v>
      </c>
      <c r="V64" s="16">
        <v>-25.398700000000002</v>
      </c>
      <c r="W64" s="16">
        <v>-18.684200000000001</v>
      </c>
      <c r="X64" s="16">
        <v>-10.974200000000002</v>
      </c>
      <c r="Y64" s="16">
        <v>-34.367400000000004</v>
      </c>
      <c r="Z64" s="16">
        <v>-27.658300000000001</v>
      </c>
      <c r="AA64" s="16">
        <v>-22.264099999999999</v>
      </c>
      <c r="AB64" s="16">
        <v>-16.6996</v>
      </c>
      <c r="AC64" s="16">
        <v>-67.282200000000003</v>
      </c>
      <c r="AD64" s="16">
        <v>-19.012</v>
      </c>
      <c r="AE64" s="16">
        <v>-19.098700000000001</v>
      </c>
      <c r="AF64" s="16">
        <v>-31.252700000000001</v>
      </c>
      <c r="AG64" s="16">
        <v>-147.96199999999999</v>
      </c>
      <c r="AH64" s="16">
        <v>-29.909500000000001</v>
      </c>
      <c r="AI64" s="46"/>
      <c r="AJ64" s="46"/>
      <c r="AK64" s="46"/>
      <c r="AL64" s="46"/>
      <c r="AM64" s="46"/>
      <c r="AN64" s="4"/>
      <c r="AO64" s="4"/>
      <c r="AP64" s="4"/>
      <c r="AQ64" s="4"/>
      <c r="AR64" s="4"/>
      <c r="AS64" s="4"/>
      <c r="AT64" s="4"/>
      <c r="AU64" s="4"/>
      <c r="AV64" s="4"/>
      <c r="AW64" s="4"/>
      <c r="AX64" s="4"/>
      <c r="AY64" s="4"/>
      <c r="ALQ64" t="e">
        <v>#N/A</v>
      </c>
    </row>
    <row r="65" spans="1:1005" ht="14.5" x14ac:dyDescent="0.35">
      <c r="A65" s="136">
        <f>YampaRiverInflow.TotalOutflow!A65</f>
        <v>48000</v>
      </c>
      <c r="B65" s="34">
        <v>-39.107999999999997</v>
      </c>
      <c r="C65" s="12">
        <v>-39.107999999999997</v>
      </c>
      <c r="D65" s="45">
        <v>-39.107999999999997</v>
      </c>
      <c r="E65" s="16">
        <v>-43.443300000000001</v>
      </c>
      <c r="F65" s="16">
        <v>-78.712100000000007</v>
      </c>
      <c r="G65" s="16">
        <v>-44.4283</v>
      </c>
      <c r="H65" s="16">
        <v>-46.623400000000004</v>
      </c>
      <c r="I65" s="16">
        <v>-26.48</v>
      </c>
      <c r="J65" s="16">
        <v>-49.249099999999999</v>
      </c>
      <c r="K65" s="16">
        <v>-37.820300000000003</v>
      </c>
      <c r="L65" s="16">
        <v>-37.123800000000003</v>
      </c>
      <c r="M65" s="16">
        <v>-46.805699999999995</v>
      </c>
      <c r="N65" s="16">
        <v>-42.2714</v>
      </c>
      <c r="O65" s="16">
        <v>-36.915500000000002</v>
      </c>
      <c r="P65" s="16">
        <v>-53.137800000000006</v>
      </c>
      <c r="Q65" s="16">
        <v>-64.9482</v>
      </c>
      <c r="R65" s="16">
        <v>-25.7806</v>
      </c>
      <c r="S65" s="16">
        <v>-34.943199999999997</v>
      </c>
      <c r="T65" s="16">
        <v>-51.296099999999996</v>
      </c>
      <c r="U65" s="16">
        <v>-57.331800000000001</v>
      </c>
      <c r="V65" s="16">
        <v>-54.558199999999999</v>
      </c>
      <c r="W65" s="16">
        <v>-68.587000000000003</v>
      </c>
      <c r="X65" s="16">
        <v>-37.685099999999998</v>
      </c>
      <c r="Y65" s="16">
        <v>-32.256500000000003</v>
      </c>
      <c r="Z65" s="16">
        <v>-52.228699999999996</v>
      </c>
      <c r="AA65" s="16">
        <v>-55.433399999999999</v>
      </c>
      <c r="AB65" s="16">
        <v>-50.623800000000003</v>
      </c>
      <c r="AC65" s="16">
        <v>-49.755000000000003</v>
      </c>
      <c r="AD65" s="16">
        <v>-57.844000000000001</v>
      </c>
      <c r="AE65" s="16">
        <v>-49.321300000000001</v>
      </c>
      <c r="AF65" s="16">
        <v>-51.9298</v>
      </c>
      <c r="AG65" s="16">
        <v>-183.62299999999999</v>
      </c>
      <c r="AH65" s="16">
        <v>-63.558300000000003</v>
      </c>
      <c r="AI65" s="46"/>
      <c r="AJ65" s="46"/>
      <c r="AK65" s="46"/>
      <c r="AL65" s="46"/>
      <c r="AM65" s="46"/>
      <c r="AN65" s="4"/>
      <c r="AO65" s="4"/>
      <c r="AP65" s="4"/>
      <c r="AQ65" s="4"/>
      <c r="AR65" s="4"/>
      <c r="AS65" s="4"/>
      <c r="AT65" s="4"/>
      <c r="AU65" s="4"/>
      <c r="AV65" s="4"/>
      <c r="AW65" s="4"/>
      <c r="AX65" s="4"/>
      <c r="AY65" s="4"/>
      <c r="ALQ65" t="e">
        <v>#N/A</v>
      </c>
    </row>
    <row r="66" spans="1:1005" ht="14.5" x14ac:dyDescent="0.35">
      <c r="A66" s="136">
        <f>YampaRiverInflow.TotalOutflow!A66</f>
        <v>48030</v>
      </c>
      <c r="B66" s="34">
        <v>-23.524999999999999</v>
      </c>
      <c r="C66" s="12">
        <v>-23.524999999999999</v>
      </c>
      <c r="D66" s="45">
        <v>-23.524999999999999</v>
      </c>
      <c r="E66" s="16">
        <v>-37.942</v>
      </c>
      <c r="F66" s="16">
        <v>-73.786799999999999</v>
      </c>
      <c r="G66" s="16">
        <v>-40.766500000000001</v>
      </c>
      <c r="H66" s="16">
        <v>-6.4570799999999995</v>
      </c>
      <c r="I66" s="16">
        <v>-40.478199999999994</v>
      </c>
      <c r="J66" s="16">
        <v>-35.347099999999998</v>
      </c>
      <c r="K66" s="16">
        <v>-30.984200000000001</v>
      </c>
      <c r="L66" s="16">
        <v>-12.644399999999999</v>
      </c>
      <c r="M66" s="16">
        <v>-15.251700000000001</v>
      </c>
      <c r="N66" s="16">
        <v>-52.766100000000002</v>
      </c>
      <c r="O66" s="16">
        <v>-45.935900000000004</v>
      </c>
      <c r="P66" s="16">
        <v>-47.300400000000003</v>
      </c>
      <c r="Q66" s="16">
        <v>-39.221400000000003</v>
      </c>
      <c r="R66" s="16">
        <v>-35.222799999999999</v>
      </c>
      <c r="S66" s="16">
        <v>-42.721499999999999</v>
      </c>
      <c r="T66" s="16">
        <v>-48.900100000000002</v>
      </c>
      <c r="U66" s="16">
        <v>-17.8947</v>
      </c>
      <c r="V66" s="16">
        <v>-23.696200000000001</v>
      </c>
      <c r="W66" s="16">
        <v>-7.1829000000000001</v>
      </c>
      <c r="X66" s="16">
        <v>-15.904399999999999</v>
      </c>
      <c r="Y66" s="16">
        <v>-28.589599999999997</v>
      </c>
      <c r="Z66" s="16">
        <v>-43.727499999999999</v>
      </c>
      <c r="AA66" s="16">
        <v>-35.582300000000004</v>
      </c>
      <c r="AB66" s="16">
        <v>-30.575500000000002</v>
      </c>
      <c r="AC66" s="16">
        <v>-37.180800000000005</v>
      </c>
      <c r="AD66" s="16">
        <v>-48.3</v>
      </c>
      <c r="AE66" s="16">
        <v>-25.503700000000002</v>
      </c>
      <c r="AF66" s="16">
        <v>-48.567099999999996</v>
      </c>
      <c r="AG66" s="16">
        <v>-182.99199999999999</v>
      </c>
      <c r="AH66" s="16">
        <v>-65.305999999999997</v>
      </c>
      <c r="AI66" s="46"/>
      <c r="AJ66" s="46"/>
      <c r="AK66" s="46"/>
      <c r="AL66" s="46"/>
      <c r="AM66" s="46"/>
      <c r="AN66" s="4"/>
      <c r="AO66" s="4"/>
      <c r="AP66" s="4"/>
      <c r="AQ66" s="4"/>
      <c r="AR66" s="4"/>
      <c r="AS66" s="4"/>
      <c r="AT66" s="4"/>
      <c r="AU66" s="4"/>
      <c r="AV66" s="4"/>
      <c r="AW66" s="4"/>
      <c r="AX66" s="4"/>
      <c r="AY66" s="4"/>
      <c r="ALQ66" t="e">
        <v>#N/A</v>
      </c>
    </row>
    <row r="67" spans="1:1005" ht="14.5" x14ac:dyDescent="0.35">
      <c r="A67" s="136">
        <f>YampaRiverInflow.TotalOutflow!A67</f>
        <v>48061</v>
      </c>
      <c r="B67" s="34">
        <v>-12.019</v>
      </c>
      <c r="C67" s="12">
        <v>-12.019</v>
      </c>
      <c r="D67" s="45">
        <v>-12.019</v>
      </c>
      <c r="E67" s="16">
        <v>-14.0517</v>
      </c>
      <c r="F67" s="16">
        <v>-65.381299999999996</v>
      </c>
      <c r="G67" s="16">
        <v>-36.5657</v>
      </c>
      <c r="H67" s="16">
        <v>-19.854400000000002</v>
      </c>
      <c r="I67" s="16">
        <v>-3.75305</v>
      </c>
      <c r="J67" s="16">
        <v>-2.8775900000000001</v>
      </c>
      <c r="K67" s="16">
        <v>-12.666399999999999</v>
      </c>
      <c r="L67" s="16">
        <v>-13.9602</v>
      </c>
      <c r="M67" s="16">
        <v>-39.998400000000004</v>
      </c>
      <c r="N67" s="16">
        <v>7.2850600000000005</v>
      </c>
      <c r="O67" s="16">
        <v>-24.3444</v>
      </c>
      <c r="P67" s="16">
        <v>-33.449400000000004</v>
      </c>
      <c r="Q67" s="16">
        <v>-19.831900000000001</v>
      </c>
      <c r="R67" s="16">
        <v>-46.257599999999996</v>
      </c>
      <c r="S67" s="16">
        <v>-32.945300000000003</v>
      </c>
      <c r="T67" s="16">
        <v>-39.458300000000001</v>
      </c>
      <c r="U67" s="16">
        <v>-23.445799999999998</v>
      </c>
      <c r="V67" s="16">
        <v>-14.442500000000001</v>
      </c>
      <c r="W67" s="16">
        <v>-5.3147600000000006</v>
      </c>
      <c r="X67" s="16">
        <v>-20.151</v>
      </c>
      <c r="Y67" s="16">
        <v>-29.148299999999999</v>
      </c>
      <c r="Z67" s="16">
        <v>-33.437899999999999</v>
      </c>
      <c r="AA67" s="16">
        <v>-29.450599999999998</v>
      </c>
      <c r="AB67" s="16">
        <v>-25.803599999999999</v>
      </c>
      <c r="AC67" s="16">
        <v>-58.466900000000003</v>
      </c>
      <c r="AD67" s="16">
        <v>-23.998000000000001</v>
      </c>
      <c r="AE67" s="16">
        <v>5.8436199999999996</v>
      </c>
      <c r="AF67" s="16">
        <v>-37.121300000000005</v>
      </c>
      <c r="AG67" s="16">
        <v>-39.379899999999999</v>
      </c>
      <c r="AH67" s="16">
        <v>-27.815000000000001</v>
      </c>
      <c r="AI67" s="46"/>
      <c r="AJ67" s="46"/>
      <c r="AK67" s="46"/>
      <c r="AL67" s="46"/>
      <c r="AM67" s="46"/>
      <c r="AN67" s="4"/>
      <c r="AO67" s="4"/>
      <c r="AP67" s="4"/>
      <c r="AQ67" s="4"/>
      <c r="AR67" s="4"/>
      <c r="AS67" s="4"/>
      <c r="AT67" s="4"/>
      <c r="AU67" s="4"/>
      <c r="AV67" s="4"/>
      <c r="AW67" s="4"/>
      <c r="AX67" s="4"/>
      <c r="AY67" s="4"/>
      <c r="ALQ67" t="e">
        <v>#N/A</v>
      </c>
    </row>
    <row r="68" spans="1:1005" ht="14.5" x14ac:dyDescent="0.35">
      <c r="A68" s="136">
        <f>YampaRiverInflow.TotalOutflow!A68</f>
        <v>48092</v>
      </c>
      <c r="B68" s="34">
        <v>-6.0039999999999996</v>
      </c>
      <c r="C68" s="12">
        <v>-6.0039999999999996</v>
      </c>
      <c r="D68" s="45">
        <v>-6.0039999999999996</v>
      </c>
      <c r="E68" s="16">
        <v>-22.555199999999999</v>
      </c>
      <c r="F68" s="16">
        <v>0.85353000000000001</v>
      </c>
      <c r="G68" s="16">
        <v>-61.966300000000004</v>
      </c>
      <c r="H68" s="16">
        <v>-54.048999999999999</v>
      </c>
      <c r="I68" s="16">
        <v>-27.7121</v>
      </c>
      <c r="J68" s="16">
        <v>-18.022099999999998</v>
      </c>
      <c r="K68" s="16">
        <v>-8.8447199999999988</v>
      </c>
      <c r="L68" s="16">
        <v>-17.9664</v>
      </c>
      <c r="M68" s="16">
        <v>-5.1358199999999998</v>
      </c>
      <c r="N68" s="16">
        <v>-10.9739</v>
      </c>
      <c r="O68" s="16">
        <v>-32.469799999999999</v>
      </c>
      <c r="P68" s="16">
        <v>-35.090000000000003</v>
      </c>
      <c r="Q68" s="16">
        <v>-20.7882</v>
      </c>
      <c r="R68" s="16">
        <v>-50.804099999999998</v>
      </c>
      <c r="S68" s="16">
        <v>-26.487200000000001</v>
      </c>
      <c r="T68" s="16">
        <v>-30.253900000000002</v>
      </c>
      <c r="U68" s="16">
        <v>-43.0578</v>
      </c>
      <c r="V68" s="16">
        <v>-36.350099999999998</v>
      </c>
      <c r="W68" s="16">
        <v>-18.872799999999998</v>
      </c>
      <c r="X68" s="16">
        <v>-16.6816</v>
      </c>
      <c r="Y68" s="16">
        <v>-22.602599999999999</v>
      </c>
      <c r="Z68" s="16">
        <v>-13.866299999999999</v>
      </c>
      <c r="AA68" s="16">
        <v>-20.75</v>
      </c>
      <c r="AB68" s="16">
        <v>-8.9183799999999991</v>
      </c>
      <c r="AC68" s="16">
        <v>-33.353900000000003</v>
      </c>
      <c r="AD68" s="16">
        <v>-15.521000000000001</v>
      </c>
      <c r="AE68" s="16">
        <v>-12.745700000000001</v>
      </c>
      <c r="AF68" s="16">
        <v>-31.333599999999997</v>
      </c>
      <c r="AG68" s="16">
        <v>-19.856300000000001</v>
      </c>
      <c r="AH68" s="16">
        <v>-41.415900000000001</v>
      </c>
      <c r="AI68" s="46"/>
      <c r="AJ68" s="46"/>
      <c r="AK68" s="46"/>
      <c r="AL68" s="46"/>
      <c r="AM68" s="46"/>
      <c r="AN68" s="4"/>
      <c r="AO68" s="4"/>
      <c r="AP68" s="4"/>
      <c r="AQ68" s="4"/>
      <c r="AR68" s="4"/>
      <c r="AS68" s="4"/>
      <c r="AT68" s="4"/>
      <c r="AU68" s="4"/>
      <c r="AV68" s="4"/>
      <c r="AW68" s="4"/>
      <c r="AX68" s="4"/>
      <c r="AY68" s="4"/>
      <c r="ALQ68" t="e">
        <v>#N/A</v>
      </c>
    </row>
    <row r="69" spans="1:1005" ht="14.5" x14ac:dyDescent="0.35">
      <c r="A69" s="136"/>
      <c r="B69" s="34"/>
      <c r="C69" s="12"/>
      <c r="D69" s="45"/>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46"/>
      <c r="AJ69" s="46"/>
      <c r="AK69" s="46"/>
      <c r="AL69" s="46"/>
      <c r="AM69" s="46"/>
      <c r="AN69" s="4"/>
      <c r="AO69" s="4"/>
      <c r="AP69" s="4"/>
      <c r="AQ69" s="4"/>
      <c r="AR69" s="4"/>
      <c r="AS69" s="4"/>
      <c r="AT69" s="4"/>
      <c r="AU69" s="4"/>
      <c r="AV69" s="4"/>
      <c r="AW69" s="4"/>
      <c r="AX69" s="4"/>
      <c r="AY69" s="4"/>
      <c r="ALQ69" t="e">
        <v>#N/A</v>
      </c>
    </row>
    <row r="70" spans="1:1005" ht="14.5" x14ac:dyDescent="0.35">
      <c r="A70" s="136"/>
      <c r="B70" s="34"/>
      <c r="C70" s="12"/>
      <c r="D70" s="45"/>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46"/>
      <c r="AJ70" s="46"/>
      <c r="AK70" s="46"/>
      <c r="AL70" s="46"/>
      <c r="AM70" s="46"/>
      <c r="AN70" s="4"/>
      <c r="AO70" s="4"/>
      <c r="AP70" s="4"/>
      <c r="AQ70" s="4"/>
      <c r="AR70" s="4"/>
      <c r="AS70" s="4"/>
      <c r="AT70" s="4"/>
      <c r="AU70" s="4"/>
      <c r="AV70" s="4"/>
      <c r="AW70" s="4"/>
      <c r="AX70" s="4"/>
      <c r="AY70" s="4"/>
      <c r="ALQ70" t="e">
        <v>#N/A</v>
      </c>
    </row>
    <row r="71" spans="1:1005" ht="14.5" x14ac:dyDescent="0.35">
      <c r="A71" s="136"/>
      <c r="B71" s="34"/>
      <c r="C71" s="12"/>
      <c r="D71" s="45"/>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46"/>
      <c r="AJ71" s="46"/>
      <c r="AK71" s="46"/>
      <c r="AL71" s="46"/>
      <c r="AM71" s="46"/>
      <c r="AN71" s="4"/>
      <c r="AO71" s="4"/>
      <c r="AP71" s="4"/>
      <c r="AQ71" s="4"/>
      <c r="AR71" s="4"/>
      <c r="AS71" s="4"/>
      <c r="AT71" s="4"/>
      <c r="AU71" s="4"/>
      <c r="AV71" s="4"/>
      <c r="AW71" s="4"/>
      <c r="AX71" s="4"/>
      <c r="AY71" s="4"/>
      <c r="ALQ71" t="e">
        <v>#N/A</v>
      </c>
    </row>
    <row r="72" spans="1:1005" ht="12.75" customHeight="1" x14ac:dyDescent="0.35">
      <c r="A72" s="136"/>
      <c r="B72" s="33"/>
      <c r="C72" s="8"/>
      <c r="D72" s="11"/>
      <c r="AI72" s="16"/>
      <c r="AJ72" s="16"/>
      <c r="AK72" s="16"/>
      <c r="AL72" s="16"/>
      <c r="AM72" s="16"/>
      <c r="ALQ72" t="e">
        <v>#N/A</v>
      </c>
    </row>
    <row r="73" spans="1:1005" ht="12.75" customHeight="1" x14ac:dyDescent="0.35">
      <c r="A73" s="136"/>
      <c r="B73" s="33"/>
      <c r="C73" s="8"/>
      <c r="D73" s="11"/>
      <c r="E73" s="16"/>
      <c r="AI73" s="16"/>
      <c r="AJ73" s="16"/>
      <c r="AK73" s="16"/>
      <c r="AL73" s="16"/>
      <c r="AM73" s="16"/>
    </row>
    <row r="74" spans="1:1005" ht="12.75" customHeight="1" x14ac:dyDescent="0.35">
      <c r="A74" s="136"/>
      <c r="B74" s="33"/>
      <c r="C74" s="8"/>
      <c r="D74" s="11"/>
      <c r="AI74" s="16"/>
      <c r="AJ74" s="16"/>
      <c r="AK74" s="16"/>
      <c r="AL74" s="16"/>
      <c r="AM74" s="16"/>
    </row>
    <row r="75" spans="1:1005" ht="12.75" customHeight="1" x14ac:dyDescent="0.35">
      <c r="A75" s="136"/>
      <c r="B75" s="33"/>
      <c r="C75" s="8"/>
      <c r="D75" s="11"/>
    </row>
    <row r="76" spans="1:1005" ht="12.75" customHeight="1" x14ac:dyDescent="0.35">
      <c r="A76" s="136"/>
      <c r="B76" s="33"/>
      <c r="C76" s="8"/>
      <c r="D76" s="11"/>
    </row>
    <row r="77" spans="1:1005" ht="12.75" customHeight="1" x14ac:dyDescent="0.35">
      <c r="A77" s="136"/>
      <c r="B77" s="33"/>
      <c r="C77" s="8"/>
      <c r="D77" s="11"/>
    </row>
    <row r="78" spans="1:1005" ht="12.75" customHeight="1" x14ac:dyDescent="0.35">
      <c r="A78" s="136"/>
      <c r="B78" s="33"/>
      <c r="C78" s="8"/>
      <c r="D78" s="11"/>
    </row>
    <row r="79" spans="1:1005" ht="12.75" customHeight="1" x14ac:dyDescent="0.35">
      <c r="A79" s="136"/>
      <c r="B79" s="33"/>
      <c r="C79" s="8"/>
      <c r="D79" s="11"/>
    </row>
    <row r="80" spans="1:1005" ht="12.75" customHeight="1" x14ac:dyDescent="0.35">
      <c r="A80" s="136"/>
      <c r="B80" s="33"/>
      <c r="C80" s="8"/>
      <c r="D80" s="11"/>
    </row>
    <row r="81" spans="1:4" ht="12.75" customHeight="1" x14ac:dyDescent="0.35">
      <c r="A81" s="136"/>
      <c r="B81" s="33"/>
      <c r="C81" s="8"/>
      <c r="D81" s="11"/>
    </row>
    <row r="82" spans="1:4" ht="12.75" customHeight="1" x14ac:dyDescent="0.35">
      <c r="A82" s="136"/>
      <c r="B82" s="33"/>
      <c r="C82" s="8"/>
      <c r="D82" s="11"/>
    </row>
    <row r="83" spans="1:4" ht="12.75" customHeight="1" x14ac:dyDescent="0.35">
      <c r="A83" s="136"/>
      <c r="B83" s="33"/>
      <c r="C83" s="8"/>
      <c r="D83" s="11"/>
    </row>
    <row r="84" spans="1:4" ht="12.75" customHeight="1" x14ac:dyDescent="0.35">
      <c r="A84" s="136"/>
      <c r="B84" s="33"/>
      <c r="C84" s="8"/>
      <c r="D84" s="11"/>
    </row>
  </sheetData>
  <mergeCells count="1">
    <mergeCell ref="B1:AH1"/>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6CF15-086D-4FDA-BA63-88364160E70E}">
  <sheetPr codeName="Sheet29">
    <tabColor rgb="FFFF0000"/>
  </sheetPr>
  <dimension ref="A1:ALQ113"/>
  <sheetViews>
    <sheetView zoomScale="96" zoomScaleNormal="96" workbookViewId="0">
      <selection activeCell="B4" sqref="B4:AZ100"/>
    </sheetView>
  </sheetViews>
  <sheetFormatPr defaultColWidth="18.6328125" defaultRowHeight="12.75" customHeight="1" x14ac:dyDescent="0.35"/>
  <cols>
    <col min="1" max="54" width="9.36328125" customWidth="1"/>
  </cols>
  <sheetData>
    <row r="1" spans="1:44" ht="14.5" x14ac:dyDescent="0.35">
      <c r="A1" s="130"/>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3"/>
      <c r="AJ1" s="3"/>
      <c r="AK1" s="3"/>
      <c r="AL1" s="3"/>
      <c r="AM1" s="3"/>
    </row>
    <row r="2" spans="1:44" ht="14.5" x14ac:dyDescent="0.35">
      <c r="A2" s="130" t="s">
        <v>41</v>
      </c>
      <c r="B2" s="132" t="s">
        <v>0</v>
      </c>
      <c r="C2" s="132" t="s">
        <v>1</v>
      </c>
      <c r="D2" s="132" t="s">
        <v>2</v>
      </c>
      <c r="E2" s="132">
        <v>1991</v>
      </c>
      <c r="F2" s="132">
        <v>1992</v>
      </c>
      <c r="G2" s="132">
        <v>1993</v>
      </c>
      <c r="H2" s="132">
        <v>1994</v>
      </c>
      <c r="I2" s="132">
        <v>1995</v>
      </c>
      <c r="J2" s="132">
        <v>1996</v>
      </c>
      <c r="K2" s="132">
        <v>1997</v>
      </c>
      <c r="L2" s="132">
        <v>1998</v>
      </c>
      <c r="M2" s="132">
        <v>1999</v>
      </c>
      <c r="N2" s="132">
        <v>2000</v>
      </c>
      <c r="O2" s="132">
        <v>2001</v>
      </c>
      <c r="P2" s="132">
        <v>2002</v>
      </c>
      <c r="Q2" s="132">
        <v>2003</v>
      </c>
      <c r="R2" s="132">
        <v>2004</v>
      </c>
      <c r="S2" s="132">
        <v>2005</v>
      </c>
      <c r="T2" s="132">
        <v>2006</v>
      </c>
      <c r="U2" s="132">
        <v>2007</v>
      </c>
      <c r="V2" s="132">
        <v>2008</v>
      </c>
      <c r="W2" s="132">
        <v>2009</v>
      </c>
      <c r="X2" s="132">
        <v>2010</v>
      </c>
      <c r="Y2" s="132">
        <v>2011</v>
      </c>
      <c r="Z2" s="132">
        <v>2012</v>
      </c>
      <c r="AA2" s="132">
        <v>2013</v>
      </c>
      <c r="AB2" s="132">
        <v>2014</v>
      </c>
      <c r="AC2" s="132">
        <v>2015</v>
      </c>
      <c r="AD2" s="132">
        <v>2016</v>
      </c>
      <c r="AE2" s="132">
        <v>2017</v>
      </c>
      <c r="AF2" s="132">
        <v>2018</v>
      </c>
      <c r="AG2" s="132">
        <v>2019</v>
      </c>
      <c r="AH2" s="132">
        <v>2020</v>
      </c>
      <c r="AI2" s="3"/>
      <c r="AJ2" s="3"/>
      <c r="AK2" s="3"/>
      <c r="AL2" s="3"/>
      <c r="AM2" s="3"/>
      <c r="AN2" s="3"/>
      <c r="AO2" s="3"/>
      <c r="AP2" s="3"/>
      <c r="AQ2" s="3"/>
      <c r="AR2" s="3"/>
    </row>
    <row r="3" spans="1:44" ht="14.5" x14ac:dyDescent="0.35">
      <c r="A3" s="134" t="str">
        <f>A2&amp;"_"&amp;"Time"</f>
        <v>DvsToPkr_In_Time</v>
      </c>
      <c r="B3" s="135" t="s">
        <v>3</v>
      </c>
      <c r="C3" s="135" t="s">
        <v>4</v>
      </c>
      <c r="D3" s="135" t="s">
        <v>5</v>
      </c>
      <c r="E3" s="135" t="s">
        <v>6</v>
      </c>
      <c r="F3" s="135" t="s">
        <v>7</v>
      </c>
      <c r="G3" s="135" t="s">
        <v>8</v>
      </c>
      <c r="H3" s="135" t="s">
        <v>9</v>
      </c>
      <c r="I3" s="135" t="s">
        <v>10</v>
      </c>
      <c r="J3" s="135" t="s">
        <v>11</v>
      </c>
      <c r="K3" s="135" t="s">
        <v>12</v>
      </c>
      <c r="L3" s="135" t="s">
        <v>13</v>
      </c>
      <c r="M3" s="135" t="s">
        <v>14</v>
      </c>
      <c r="N3" s="135" t="s">
        <v>15</v>
      </c>
      <c r="O3" s="135" t="s">
        <v>16</v>
      </c>
      <c r="P3" s="135" t="s">
        <v>17</v>
      </c>
      <c r="Q3" s="135" t="s">
        <v>18</v>
      </c>
      <c r="R3" s="135" t="s">
        <v>19</v>
      </c>
      <c r="S3" s="135" t="s">
        <v>20</v>
      </c>
      <c r="T3" s="135" t="s">
        <v>21</v>
      </c>
      <c r="U3" s="135" t="s">
        <v>22</v>
      </c>
      <c r="V3" s="135" t="s">
        <v>23</v>
      </c>
      <c r="W3" s="135" t="s">
        <v>24</v>
      </c>
      <c r="X3" s="135" t="s">
        <v>25</v>
      </c>
      <c r="Y3" s="135" t="s">
        <v>26</v>
      </c>
      <c r="Z3" s="135" t="s">
        <v>27</v>
      </c>
      <c r="AA3" s="135" t="s">
        <v>28</v>
      </c>
      <c r="AB3" s="135" t="s">
        <v>29</v>
      </c>
      <c r="AC3" s="135" t="s">
        <v>30</v>
      </c>
      <c r="AD3" s="135" t="s">
        <v>31</v>
      </c>
      <c r="AE3" s="135" t="s">
        <v>32</v>
      </c>
      <c r="AF3" s="135" t="s">
        <v>33</v>
      </c>
      <c r="AG3" s="135" t="s">
        <v>34</v>
      </c>
      <c r="AH3" s="135" t="s">
        <v>35</v>
      </c>
      <c r="AI3" s="3"/>
      <c r="AJ3" s="3"/>
      <c r="AK3" s="3"/>
      <c r="AL3" s="3"/>
      <c r="AM3" s="3"/>
      <c r="AN3" s="3"/>
      <c r="AO3" s="3"/>
      <c r="AP3" s="3"/>
      <c r="AQ3" s="3"/>
      <c r="AR3" s="3"/>
    </row>
    <row r="4" spans="1:44" ht="14.5" x14ac:dyDescent="0.35">
      <c r="A4" s="137">
        <f>YampaRiverInflow.TotalOutflow!A4</f>
        <v>46143</v>
      </c>
      <c r="B4" s="81">
        <v>5.9089999999999998</v>
      </c>
      <c r="C4" s="82">
        <v>5.9089999999999998</v>
      </c>
      <c r="D4" s="129">
        <v>5.9089999999999998</v>
      </c>
      <c r="E4" s="16">
        <v>42.968969999999999</v>
      </c>
      <c r="F4" s="16">
        <v>42.513599999999997</v>
      </c>
      <c r="G4" s="16">
        <v>61.406080000000003</v>
      </c>
      <c r="H4" s="16">
        <v>156.79035000000002</v>
      </c>
      <c r="I4" s="16">
        <v>38.484410000000004</v>
      </c>
      <c r="J4" s="16">
        <v>26.34796</v>
      </c>
      <c r="K4" s="16">
        <v>25.867759999999997</v>
      </c>
      <c r="L4" s="16">
        <v>34.764309999999995</v>
      </c>
      <c r="M4" s="16">
        <v>25.367919999999998</v>
      </c>
      <c r="N4" s="16">
        <v>-18.437729999999998</v>
      </c>
      <c r="O4" s="16">
        <v>9.6380599999999994</v>
      </c>
      <c r="P4" s="16">
        <v>21.706889999999998</v>
      </c>
      <c r="Q4" s="16">
        <v>18.98912</v>
      </c>
      <c r="R4" s="16">
        <v>6.7455100000000003</v>
      </c>
      <c r="S4" s="16">
        <v>10.561809999999999</v>
      </c>
      <c r="T4" s="16">
        <v>-4.5164900000000001</v>
      </c>
      <c r="U4" s="16">
        <v>13.6478</v>
      </c>
      <c r="V4" s="16">
        <v>14.380700000000001</v>
      </c>
      <c r="W4" s="16">
        <v>20.278509999999997</v>
      </c>
      <c r="X4" s="16">
        <v>24.106630000000003</v>
      </c>
      <c r="Y4" s="16">
        <v>17.297810000000002</v>
      </c>
      <c r="Z4" s="16">
        <v>25.734249999999999</v>
      </c>
      <c r="AA4" s="16">
        <v>20.646380000000001</v>
      </c>
      <c r="AB4" s="16">
        <v>-2.8287300000000002</v>
      </c>
      <c r="AC4" s="16">
        <v>20.732980000000001</v>
      </c>
      <c r="AD4" s="16">
        <v>13.07884</v>
      </c>
      <c r="AE4" s="16">
        <v>22.115179999999999</v>
      </c>
      <c r="AF4" s="16">
        <v>10.55193</v>
      </c>
      <c r="AG4" s="16">
        <v>8.3118600000000011</v>
      </c>
      <c r="AH4" s="16">
        <v>-6.5306800000000003</v>
      </c>
      <c r="AI4" s="16"/>
      <c r="AJ4" s="16"/>
      <c r="AK4" s="16"/>
      <c r="AL4" s="16"/>
      <c r="AM4" s="16"/>
    </row>
    <row r="5" spans="1:44" ht="14.5" x14ac:dyDescent="0.35">
      <c r="A5" s="137">
        <f>YampaRiverInflow.TotalOutflow!A5</f>
        <v>46174</v>
      </c>
      <c r="B5" s="34">
        <v>14.849</v>
      </c>
      <c r="C5" s="12">
        <v>14.849</v>
      </c>
      <c r="D5" s="45">
        <v>14.849</v>
      </c>
      <c r="E5" s="16">
        <v>47.776969999999999</v>
      </c>
      <c r="F5" s="16">
        <v>30.472930000000002</v>
      </c>
      <c r="G5" s="16">
        <v>41.87585</v>
      </c>
      <c r="H5" s="16">
        <v>162.57756000000001</v>
      </c>
      <c r="I5" s="16">
        <v>38.630720000000004</v>
      </c>
      <c r="J5" s="16">
        <v>28.58334</v>
      </c>
      <c r="K5" s="16">
        <v>31.828189999999999</v>
      </c>
      <c r="L5" s="16">
        <v>32.597670000000001</v>
      </c>
      <c r="M5" s="16">
        <v>24.753419999999998</v>
      </c>
      <c r="N5" s="16">
        <v>34.456029999999998</v>
      </c>
      <c r="O5" s="16">
        <v>44.059580000000004</v>
      </c>
      <c r="P5" s="16">
        <v>22.553609999999999</v>
      </c>
      <c r="Q5" s="16">
        <v>11.884649999999999</v>
      </c>
      <c r="R5" s="16">
        <v>3.4337300000000002</v>
      </c>
      <c r="S5" s="16">
        <v>10.73582</v>
      </c>
      <c r="T5" s="16">
        <v>-12.62983</v>
      </c>
      <c r="U5" s="16">
        <v>11.01207</v>
      </c>
      <c r="V5" s="16">
        <v>4.8791199999999995</v>
      </c>
      <c r="W5" s="16">
        <v>20.43703</v>
      </c>
      <c r="X5" s="16">
        <v>23.30864</v>
      </c>
      <c r="Y5" s="16">
        <v>14.64692</v>
      </c>
      <c r="Z5" s="16">
        <v>10.02741</v>
      </c>
      <c r="AA5" s="16">
        <v>15.25596</v>
      </c>
      <c r="AB5" s="16">
        <v>10.849350000000001</v>
      </c>
      <c r="AC5" s="16">
        <v>19.483750000000001</v>
      </c>
      <c r="AD5" s="16">
        <v>18.53059</v>
      </c>
      <c r="AE5" s="16">
        <v>0.33273000000000003</v>
      </c>
      <c r="AF5" s="16">
        <v>6.2228399999999997</v>
      </c>
      <c r="AG5" s="16">
        <v>11.04167</v>
      </c>
      <c r="AH5" s="16">
        <v>-4.7700100000000001</v>
      </c>
      <c r="AI5" s="16"/>
      <c r="AJ5" s="16"/>
      <c r="AK5" s="16"/>
      <c r="AL5" s="16"/>
      <c r="AM5" s="16"/>
    </row>
    <row r="6" spans="1:44" ht="14.5" x14ac:dyDescent="0.35">
      <c r="A6" s="137">
        <f>YampaRiverInflow.TotalOutflow!A6</f>
        <v>46204</v>
      </c>
      <c r="B6" s="34">
        <v>18.539000000000001</v>
      </c>
      <c r="C6" s="12">
        <v>18.539000000000001</v>
      </c>
      <c r="D6" s="45">
        <v>18.539000000000001</v>
      </c>
      <c r="E6" s="16">
        <v>47.549309999999998</v>
      </c>
      <c r="F6" s="16">
        <v>61.744109999999999</v>
      </c>
      <c r="G6" s="16">
        <v>56.986440000000002</v>
      </c>
      <c r="H6" s="16">
        <v>176.79275000000001</v>
      </c>
      <c r="I6" s="16">
        <v>47.455460000000002</v>
      </c>
      <c r="J6" s="16">
        <v>34.655120000000004</v>
      </c>
      <c r="K6" s="16">
        <v>33.561260000000004</v>
      </c>
      <c r="L6" s="16">
        <v>28.150029999999997</v>
      </c>
      <c r="M6" s="16">
        <v>51.289180000000002</v>
      </c>
      <c r="N6" s="16">
        <v>41.384039999999999</v>
      </c>
      <c r="O6" s="16">
        <v>33.49259</v>
      </c>
      <c r="P6" s="16">
        <v>27.52253</v>
      </c>
      <c r="Q6" s="16">
        <v>15.318239999999999</v>
      </c>
      <c r="R6" s="16">
        <v>6.7752799999999995</v>
      </c>
      <c r="S6" s="16">
        <v>10.10783</v>
      </c>
      <c r="T6" s="16">
        <v>4.5903700000000001</v>
      </c>
      <c r="U6" s="16">
        <v>26.346730000000001</v>
      </c>
      <c r="V6" s="16">
        <v>12.034459999999999</v>
      </c>
      <c r="W6" s="16">
        <v>17.305540000000001</v>
      </c>
      <c r="X6" s="16">
        <v>17.516080000000002</v>
      </c>
      <c r="Y6" s="16">
        <v>34.461320000000001</v>
      </c>
      <c r="Z6" s="16">
        <v>45.978550000000006</v>
      </c>
      <c r="AA6" s="16">
        <v>28.134409999999999</v>
      </c>
      <c r="AB6" s="16">
        <v>19.273779999999999</v>
      </c>
      <c r="AC6" s="16">
        <v>17.619880000000002</v>
      </c>
      <c r="AD6" s="16">
        <v>20.370249999999999</v>
      </c>
      <c r="AE6" s="16">
        <v>18.260590000000001</v>
      </c>
      <c r="AF6" s="16">
        <v>20.425439999999998</v>
      </c>
      <c r="AG6" s="16">
        <v>15.59191</v>
      </c>
      <c r="AH6" s="16">
        <v>2.5027699999999999</v>
      </c>
      <c r="AI6" s="16"/>
      <c r="AJ6" s="16"/>
      <c r="AK6" s="16"/>
      <c r="AL6" s="16"/>
      <c r="AM6" s="16"/>
    </row>
    <row r="7" spans="1:44" ht="14.5" x14ac:dyDescent="0.35">
      <c r="A7" s="137">
        <f>YampaRiverInflow.TotalOutflow!A7</f>
        <v>46235</v>
      </c>
      <c r="B7" s="34">
        <v>19.315000000000001</v>
      </c>
      <c r="C7" s="12">
        <v>19.315000000000001</v>
      </c>
      <c r="D7" s="45">
        <v>19.315000000000001</v>
      </c>
      <c r="E7" s="16">
        <v>55.22383</v>
      </c>
      <c r="F7" s="16">
        <v>61.622390000000003</v>
      </c>
      <c r="G7" s="16">
        <v>63.195419999999999</v>
      </c>
      <c r="H7" s="16">
        <v>55.473610000000001</v>
      </c>
      <c r="I7" s="16">
        <v>43.952150000000003</v>
      </c>
      <c r="J7" s="16">
        <v>35.973910000000004</v>
      </c>
      <c r="K7" s="16">
        <v>38.820389999999996</v>
      </c>
      <c r="L7" s="16">
        <v>44.411699999999996</v>
      </c>
      <c r="M7" s="16">
        <v>34.729699999999994</v>
      </c>
      <c r="N7" s="16">
        <v>47.307449999999996</v>
      </c>
      <c r="O7" s="16">
        <v>39.600670000000001</v>
      </c>
      <c r="P7" s="16">
        <v>28.68741</v>
      </c>
      <c r="Q7" s="16">
        <v>23.301560000000002</v>
      </c>
      <c r="R7" s="16">
        <v>11.3675</v>
      </c>
      <c r="S7" s="16">
        <v>31.263090000000002</v>
      </c>
      <c r="T7" s="16">
        <v>3.74146</v>
      </c>
      <c r="U7" s="16">
        <v>14.787049999999999</v>
      </c>
      <c r="V7" s="16">
        <v>25.305250000000001</v>
      </c>
      <c r="W7" s="16">
        <v>24.650939999999999</v>
      </c>
      <c r="X7" s="16">
        <v>21.208159999999999</v>
      </c>
      <c r="Y7" s="16">
        <v>24.72842</v>
      </c>
      <c r="Z7" s="16">
        <v>25.745990000000003</v>
      </c>
      <c r="AA7" s="16">
        <v>37.131620000000005</v>
      </c>
      <c r="AB7" s="16">
        <v>26.087199999999999</v>
      </c>
      <c r="AC7" s="16">
        <v>15.61852</v>
      </c>
      <c r="AD7" s="16">
        <v>22.61469</v>
      </c>
      <c r="AE7" s="16">
        <v>11.924809999999999</v>
      </c>
      <c r="AF7" s="16">
        <v>21.49428</v>
      </c>
      <c r="AG7" s="16">
        <v>15.177059999999999</v>
      </c>
      <c r="AH7" s="16">
        <v>1.5323699999999998</v>
      </c>
      <c r="AI7" s="16"/>
      <c r="AJ7" s="16"/>
      <c r="AK7" s="16"/>
      <c r="AL7" s="16"/>
      <c r="AM7" s="16"/>
    </row>
    <row r="8" spans="1:44" ht="14.5" x14ac:dyDescent="0.35">
      <c r="A8" s="137">
        <f>YampaRiverInflow.TotalOutflow!A8</f>
        <v>46266</v>
      </c>
      <c r="B8" s="34">
        <v>11.255000000000001</v>
      </c>
      <c r="C8" s="12">
        <v>11.255000000000001</v>
      </c>
      <c r="D8" s="45">
        <v>11.255000000000001</v>
      </c>
      <c r="E8" s="16">
        <v>52.201589999999996</v>
      </c>
      <c r="F8" s="16">
        <v>44.243199999999995</v>
      </c>
      <c r="G8" s="16">
        <v>44.78087</v>
      </c>
      <c r="H8" s="16">
        <v>37.592089999999999</v>
      </c>
      <c r="I8" s="16">
        <v>39.71172</v>
      </c>
      <c r="J8" s="16">
        <v>31.901700000000002</v>
      </c>
      <c r="K8" s="16">
        <v>56.052810000000001</v>
      </c>
      <c r="L8" s="16">
        <v>39.031980000000004</v>
      </c>
      <c r="M8" s="16">
        <v>22.410490000000003</v>
      </c>
      <c r="N8" s="16">
        <v>25.424400000000002</v>
      </c>
      <c r="O8" s="16">
        <v>31.6371</v>
      </c>
      <c r="P8" s="16">
        <v>25.40353</v>
      </c>
      <c r="Q8" s="16">
        <v>16.953939999999999</v>
      </c>
      <c r="R8" s="16">
        <v>23.521319999999999</v>
      </c>
      <c r="S8" s="16">
        <v>6.1092299999999993</v>
      </c>
      <c r="T8" s="16">
        <v>5.1206000000000005</v>
      </c>
      <c r="U8" s="16">
        <v>18.619119999999999</v>
      </c>
      <c r="V8" s="16">
        <v>14.416780000000001</v>
      </c>
      <c r="W8" s="16">
        <v>21.239709999999999</v>
      </c>
      <c r="X8" s="16">
        <v>17.404430000000001</v>
      </c>
      <c r="Y8" s="16">
        <v>30.471599999999999</v>
      </c>
      <c r="Z8" s="16">
        <v>31.308349999999997</v>
      </c>
      <c r="AA8" s="16">
        <v>23.010400000000001</v>
      </c>
      <c r="AB8" s="16">
        <v>13.297270000000001</v>
      </c>
      <c r="AC8" s="16">
        <v>19.103159999999999</v>
      </c>
      <c r="AD8" s="16">
        <v>13.49493</v>
      </c>
      <c r="AE8" s="16">
        <v>16.10501</v>
      </c>
      <c r="AF8" s="16">
        <v>9.4053100000000001</v>
      </c>
      <c r="AG8" s="16">
        <v>25.57864</v>
      </c>
      <c r="AH8" s="16">
        <v>3.7597700000000001</v>
      </c>
      <c r="AI8" s="16"/>
      <c r="AJ8" s="16"/>
      <c r="AK8" s="16"/>
      <c r="AL8" s="16"/>
      <c r="AM8" s="16"/>
    </row>
    <row r="9" spans="1:44" ht="14.5" x14ac:dyDescent="0.35">
      <c r="A9" s="137">
        <f>YampaRiverInflow.TotalOutflow!A9</f>
        <v>46296</v>
      </c>
      <c r="B9" s="34">
        <v>17.218</v>
      </c>
      <c r="C9" s="12">
        <v>17.218</v>
      </c>
      <c r="D9" s="45">
        <v>17.218</v>
      </c>
      <c r="E9" s="16">
        <v>41.365470000000002</v>
      </c>
      <c r="F9" s="16">
        <v>43.132330000000003</v>
      </c>
      <c r="G9" s="16">
        <v>33.980839999999993</v>
      </c>
      <c r="H9" s="16">
        <v>41.26681</v>
      </c>
      <c r="I9" s="16">
        <v>29.103630000000003</v>
      </c>
      <c r="J9" s="16">
        <v>25.964269999999999</v>
      </c>
      <c r="K9" s="16">
        <v>17.12565</v>
      </c>
      <c r="L9" s="16">
        <v>46.327440000000003</v>
      </c>
      <c r="M9" s="16">
        <v>-9.2141900000000003</v>
      </c>
      <c r="N9" s="16">
        <v>33.455199999999998</v>
      </c>
      <c r="O9" s="16">
        <v>17.611669999999997</v>
      </c>
      <c r="P9" s="16">
        <v>33.28969</v>
      </c>
      <c r="Q9" s="16">
        <v>9.327</v>
      </c>
      <c r="R9" s="16">
        <v>44.053580000000004</v>
      </c>
      <c r="S9" s="16">
        <v>22.421990000000001</v>
      </c>
      <c r="T9" s="16">
        <v>15.98033</v>
      </c>
      <c r="U9" s="16">
        <v>21.85923</v>
      </c>
      <c r="V9" s="16">
        <v>21.119289999999999</v>
      </c>
      <c r="W9" s="16">
        <v>17.553560000000001</v>
      </c>
      <c r="X9" s="16">
        <v>25.013810000000003</v>
      </c>
      <c r="Y9" s="16">
        <v>30.83512</v>
      </c>
      <c r="Z9" s="16">
        <v>33.816769999999998</v>
      </c>
      <c r="AA9" s="16">
        <v>18.591950000000001</v>
      </c>
      <c r="AB9" s="16">
        <v>16.111409999999999</v>
      </c>
      <c r="AC9" s="16">
        <v>34.134349999999998</v>
      </c>
      <c r="AD9" s="16">
        <v>35.689430000000002</v>
      </c>
      <c r="AE9" s="16">
        <v>9.0004500000000007</v>
      </c>
      <c r="AF9" s="16">
        <v>22.628880000000002</v>
      </c>
      <c r="AG9" s="16">
        <v>18.034800000000001</v>
      </c>
      <c r="AH9" s="16">
        <v>21.008279999999999</v>
      </c>
      <c r="AI9" s="16"/>
      <c r="AJ9" s="16"/>
      <c r="AK9" s="16"/>
      <c r="AL9" s="16"/>
      <c r="AM9" s="16"/>
    </row>
    <row r="10" spans="1:44" ht="14.5" x14ac:dyDescent="0.35">
      <c r="A10" s="137">
        <f>YampaRiverInflow.TotalOutflow!A10</f>
        <v>46327</v>
      </c>
      <c r="B10" s="34">
        <v>15.69</v>
      </c>
      <c r="C10" s="12">
        <v>15.69</v>
      </c>
      <c r="D10" s="45">
        <v>15.69</v>
      </c>
      <c r="E10" s="16">
        <v>40.002600000000001</v>
      </c>
      <c r="F10" s="16">
        <v>31.051959999999998</v>
      </c>
      <c r="G10" s="16">
        <v>21.413790000000002</v>
      </c>
      <c r="H10" s="16">
        <v>37.118040000000001</v>
      </c>
      <c r="I10" s="16">
        <v>31.591099999999997</v>
      </c>
      <c r="J10" s="16">
        <v>21.961970000000001</v>
      </c>
      <c r="K10" s="16">
        <v>34.472559999999994</v>
      </c>
      <c r="L10" s="16">
        <v>17.06053</v>
      </c>
      <c r="M10" s="16">
        <v>26.185509999999997</v>
      </c>
      <c r="N10" s="16">
        <v>0.18277000000000002</v>
      </c>
      <c r="O10" s="16">
        <v>9.8123400000000007</v>
      </c>
      <c r="P10" s="16">
        <v>18.025740000000003</v>
      </c>
      <c r="Q10" s="16">
        <v>18.855130000000003</v>
      </c>
      <c r="R10" s="16">
        <v>52.820480000000003</v>
      </c>
      <c r="S10" s="16">
        <v>26.401889999999998</v>
      </c>
      <c r="T10" s="16">
        <v>7.4708800000000002</v>
      </c>
      <c r="U10" s="16">
        <v>17.074390000000001</v>
      </c>
      <c r="V10" s="16">
        <v>28.747880000000002</v>
      </c>
      <c r="W10" s="16">
        <v>31.614810000000002</v>
      </c>
      <c r="X10" s="16">
        <v>37.705529999999996</v>
      </c>
      <c r="Y10" s="16">
        <v>37.451039999999999</v>
      </c>
      <c r="Z10" s="16">
        <v>26.642310000000002</v>
      </c>
      <c r="AA10" s="16">
        <v>24.678090000000001</v>
      </c>
      <c r="AB10" s="16">
        <v>8.9953899999999987</v>
      </c>
      <c r="AC10" s="16">
        <v>10.980259999999999</v>
      </c>
      <c r="AD10" s="16">
        <v>20.74005</v>
      </c>
      <c r="AE10" s="16">
        <v>12.02684</v>
      </c>
      <c r="AF10" s="16">
        <v>16.101219999999998</v>
      </c>
      <c r="AG10" s="16">
        <v>21.6662</v>
      </c>
      <c r="AH10" s="16">
        <v>20.032019999999999</v>
      </c>
      <c r="AI10" s="16"/>
      <c r="AJ10" s="16"/>
      <c r="AK10" s="16"/>
      <c r="AL10" s="16"/>
      <c r="AM10" s="16"/>
    </row>
    <row r="11" spans="1:44" ht="14.5" x14ac:dyDescent="0.35">
      <c r="A11" s="137">
        <f>YampaRiverInflow.TotalOutflow!A11</f>
        <v>46357</v>
      </c>
      <c r="B11" s="34">
        <v>15.99</v>
      </c>
      <c r="C11" s="12">
        <v>15.99</v>
      </c>
      <c r="D11" s="45">
        <v>15.99</v>
      </c>
      <c r="E11" s="16">
        <v>31.992930000000001</v>
      </c>
      <c r="F11" s="16">
        <v>42.822269999999996</v>
      </c>
      <c r="G11" s="16">
        <v>29.816050000000001</v>
      </c>
      <c r="H11" s="16">
        <v>44.606540000000003</v>
      </c>
      <c r="I11" s="16">
        <v>19.765080000000001</v>
      </c>
      <c r="J11" s="16">
        <v>7.7796599999999998</v>
      </c>
      <c r="K11" s="16">
        <v>13.676959999999999</v>
      </c>
      <c r="L11" s="16">
        <v>23.667650000000002</v>
      </c>
      <c r="M11" s="16">
        <v>37.513860000000001</v>
      </c>
      <c r="N11" s="16">
        <v>34.277999999999999</v>
      </c>
      <c r="O11" s="16">
        <v>20.094150000000003</v>
      </c>
      <c r="P11" s="16">
        <v>16.359249999999999</v>
      </c>
      <c r="Q11" s="16">
        <v>19.779970000000002</v>
      </c>
      <c r="R11" s="16">
        <v>32.128779999999999</v>
      </c>
      <c r="S11" s="16">
        <v>31.08907</v>
      </c>
      <c r="T11" s="16">
        <v>-1.11826</v>
      </c>
      <c r="U11" s="16">
        <v>19.982200000000002</v>
      </c>
      <c r="V11" s="16">
        <v>24.610099999999999</v>
      </c>
      <c r="W11" s="16">
        <v>25.219580000000001</v>
      </c>
      <c r="X11" s="16">
        <v>32.677639999999997</v>
      </c>
      <c r="Y11" s="16">
        <v>27.849769999999999</v>
      </c>
      <c r="Z11" s="16">
        <v>19.783900000000003</v>
      </c>
      <c r="AA11" s="16">
        <v>7.2279200000000001</v>
      </c>
      <c r="AB11" s="16">
        <v>18.567619999999998</v>
      </c>
      <c r="AC11" s="16">
        <v>21.625409999999999</v>
      </c>
      <c r="AD11" s="16">
        <v>25.90841</v>
      </c>
      <c r="AE11" s="16">
        <v>17.129480000000001</v>
      </c>
      <c r="AF11" s="16">
        <v>26.609639999999999</v>
      </c>
      <c r="AG11" s="16">
        <v>19.80631</v>
      </c>
      <c r="AH11" s="16">
        <v>8.9451000000000001</v>
      </c>
      <c r="AI11" s="16"/>
      <c r="AJ11" s="16"/>
      <c r="AK11" s="16"/>
      <c r="AL11" s="16"/>
      <c r="AM11" s="16"/>
    </row>
    <row r="12" spans="1:44" ht="14.5" x14ac:dyDescent="0.35">
      <c r="A12" s="137">
        <f>YampaRiverInflow.TotalOutflow!A12</f>
        <v>46388</v>
      </c>
      <c r="B12" s="34">
        <v>8.0239999999999991</v>
      </c>
      <c r="C12" s="12">
        <v>8.0239999999999991</v>
      </c>
      <c r="D12" s="45">
        <v>8.0239999999999991</v>
      </c>
      <c r="E12" s="16">
        <v>19.730330000000002</v>
      </c>
      <c r="F12" s="16">
        <v>101.48094</v>
      </c>
      <c r="G12" s="16">
        <v>22.186250000000001</v>
      </c>
      <c r="H12" s="16">
        <v>31.44839</v>
      </c>
      <c r="I12" s="16">
        <v>12.870100000000001</v>
      </c>
      <c r="J12" s="16">
        <v>-2.4762600000000003</v>
      </c>
      <c r="K12" s="16">
        <v>17.852400000000003</v>
      </c>
      <c r="L12" s="16">
        <v>41.023440000000001</v>
      </c>
      <c r="M12" s="16">
        <v>32.832380000000001</v>
      </c>
      <c r="N12" s="16">
        <v>37.038040000000002</v>
      </c>
      <c r="O12" s="16">
        <v>4.0773999999999999</v>
      </c>
      <c r="P12" s="16">
        <v>8.4755500000000001</v>
      </c>
      <c r="Q12" s="16">
        <v>7.35494</v>
      </c>
      <c r="R12" s="16">
        <v>137.11972</v>
      </c>
      <c r="S12" s="16">
        <v>5.1303400000000003</v>
      </c>
      <c r="T12" s="16">
        <v>9.6627500000000008</v>
      </c>
      <c r="U12" s="16">
        <v>13.882709999999999</v>
      </c>
      <c r="V12" s="16">
        <v>3.5912800000000002</v>
      </c>
      <c r="W12" s="16">
        <v>41.677339999999994</v>
      </c>
      <c r="X12" s="16">
        <v>7.6143400000000003</v>
      </c>
      <c r="Y12" s="16">
        <v>11.315340000000001</v>
      </c>
      <c r="Z12" s="16">
        <v>17.09442</v>
      </c>
      <c r="AA12" s="16">
        <v>12.350530000000001</v>
      </c>
      <c r="AB12" s="16">
        <v>17.26952</v>
      </c>
      <c r="AC12" s="16">
        <v>26.249689999999998</v>
      </c>
      <c r="AD12" s="16">
        <v>33.221690000000002</v>
      </c>
      <c r="AE12" s="16">
        <v>3.0476799999999997</v>
      </c>
      <c r="AF12" s="16">
        <v>19.352180000000001</v>
      </c>
      <c r="AG12" s="16">
        <v>1.2711300000000001</v>
      </c>
      <c r="AH12" s="16">
        <v>34.924039999999998</v>
      </c>
      <c r="AI12" s="16"/>
      <c r="AJ12" s="16"/>
      <c r="AK12" s="16"/>
      <c r="AL12" s="16"/>
      <c r="AM12" s="16"/>
    </row>
    <row r="13" spans="1:44" ht="14.5" x14ac:dyDescent="0.35">
      <c r="A13" s="137">
        <f>YampaRiverInflow.TotalOutflow!A13</f>
        <v>46419</v>
      </c>
      <c r="B13" s="34">
        <v>1.28</v>
      </c>
      <c r="C13" s="12">
        <v>1.28</v>
      </c>
      <c r="D13" s="45">
        <v>1.28</v>
      </c>
      <c r="E13" s="16">
        <v>31.827650000000002</v>
      </c>
      <c r="F13" s="16">
        <v>223.49723</v>
      </c>
      <c r="G13" s="16">
        <v>12.69018</v>
      </c>
      <c r="H13" s="16">
        <v>90.418979999999991</v>
      </c>
      <c r="I13" s="16">
        <v>14.52515</v>
      </c>
      <c r="J13" s="16">
        <v>22.389509999999998</v>
      </c>
      <c r="K13" s="16">
        <v>37.958120000000001</v>
      </c>
      <c r="L13" s="16">
        <v>22.295439999999999</v>
      </c>
      <c r="M13" s="16">
        <v>16.79486</v>
      </c>
      <c r="N13" s="16">
        <v>22.422799999999999</v>
      </c>
      <c r="O13" s="16">
        <v>6.8791199999999995</v>
      </c>
      <c r="P13" s="16">
        <v>23.193290000000001</v>
      </c>
      <c r="Q13" s="16">
        <v>13.382340000000001</v>
      </c>
      <c r="R13" s="16">
        <v>174.80966000000001</v>
      </c>
      <c r="S13" s="16">
        <v>11.10446</v>
      </c>
      <c r="T13" s="16">
        <v>-5.5345800000000001</v>
      </c>
      <c r="U13" s="16">
        <v>2.9116999999999997</v>
      </c>
      <c r="V13" s="16">
        <v>14.60534</v>
      </c>
      <c r="W13" s="16">
        <v>8.7208299999999994</v>
      </c>
      <c r="X13" s="16">
        <v>14.52425</v>
      </c>
      <c r="Y13" s="16">
        <v>10.423639999999999</v>
      </c>
      <c r="Z13" s="16">
        <v>3.61097</v>
      </c>
      <c r="AA13" s="16">
        <v>19.37181</v>
      </c>
      <c r="AB13" s="16">
        <v>9.0375899999999998</v>
      </c>
      <c r="AC13" s="16">
        <v>9.4203500000000009</v>
      </c>
      <c r="AD13" s="16">
        <v>14.485799999999999</v>
      </c>
      <c r="AE13" s="16">
        <v>2.4660500000000001</v>
      </c>
      <c r="AF13" s="16">
        <v>12.83705</v>
      </c>
      <c r="AG13" s="16">
        <v>-3.5236000000000001</v>
      </c>
      <c r="AH13" s="16">
        <v>48.393839999999997</v>
      </c>
      <c r="AI13" s="16"/>
      <c r="AJ13" s="16"/>
      <c r="AK13" s="16"/>
      <c r="AL13" s="16"/>
      <c r="AM13" s="16"/>
    </row>
    <row r="14" spans="1:44" ht="14.5" x14ac:dyDescent="0.35">
      <c r="A14" s="137">
        <f>YampaRiverInflow.TotalOutflow!A14</f>
        <v>46447</v>
      </c>
      <c r="B14" s="34">
        <v>7.3979999999999997</v>
      </c>
      <c r="C14" s="12">
        <v>7.3979999999999997</v>
      </c>
      <c r="D14" s="45">
        <v>7.3979999999999997</v>
      </c>
      <c r="E14" s="16">
        <v>65.72314999999999</v>
      </c>
      <c r="F14" s="16">
        <v>320.00678000000005</v>
      </c>
      <c r="G14" s="16">
        <v>37.884599999999999</v>
      </c>
      <c r="H14" s="16">
        <v>112.95494000000001</v>
      </c>
      <c r="I14" s="16">
        <v>11.05152</v>
      </c>
      <c r="J14" s="16">
        <v>29.335470000000001</v>
      </c>
      <c r="K14" s="16">
        <v>39.440980000000003</v>
      </c>
      <c r="L14" s="16">
        <v>28.53557</v>
      </c>
      <c r="M14" s="16">
        <v>11.616709999999999</v>
      </c>
      <c r="N14" s="16">
        <v>39.455980000000004</v>
      </c>
      <c r="O14" s="16">
        <v>14.638629999999999</v>
      </c>
      <c r="P14" s="16">
        <v>0.65770000000000006</v>
      </c>
      <c r="Q14" s="16">
        <v>5.9991499999999993</v>
      </c>
      <c r="R14" s="16">
        <v>168.58645999999999</v>
      </c>
      <c r="S14" s="16">
        <v>24.270910000000001</v>
      </c>
      <c r="T14" s="16">
        <v>15.905659999999999</v>
      </c>
      <c r="U14" s="16">
        <v>3.0453899999999998</v>
      </c>
      <c r="V14" s="16">
        <v>10.662570000000001</v>
      </c>
      <c r="W14" s="16">
        <v>54.882220000000004</v>
      </c>
      <c r="X14" s="16">
        <v>5.2403999999999993</v>
      </c>
      <c r="Y14" s="16">
        <v>8.1280900000000003</v>
      </c>
      <c r="Z14" s="16">
        <v>7.5745200000000006</v>
      </c>
      <c r="AA14" s="16">
        <v>-3.1372800000000001</v>
      </c>
      <c r="AB14" s="16">
        <v>2.7688999999999999</v>
      </c>
      <c r="AC14" s="16">
        <v>17.607590000000002</v>
      </c>
      <c r="AD14" s="16">
        <v>10.797639999999999</v>
      </c>
      <c r="AE14" s="16">
        <v>-2.6914400000000001</v>
      </c>
      <c r="AF14" s="16">
        <v>-4.7191800000000006</v>
      </c>
      <c r="AG14" s="16">
        <v>15.227370000000001</v>
      </c>
      <c r="AH14" s="16">
        <v>42.540279999999996</v>
      </c>
      <c r="AI14" s="16"/>
      <c r="AJ14" s="16"/>
      <c r="AK14" s="16"/>
      <c r="AL14" s="16"/>
      <c r="AM14" s="16"/>
    </row>
    <row r="15" spans="1:44" ht="14.5" x14ac:dyDescent="0.35">
      <c r="A15" s="137">
        <f>YampaRiverInflow.TotalOutflow!A15</f>
        <v>46478</v>
      </c>
      <c r="B15" s="34">
        <v>11.433</v>
      </c>
      <c r="C15" s="12">
        <v>11.433</v>
      </c>
      <c r="D15" s="45">
        <v>11.433</v>
      </c>
      <c r="E15" s="16">
        <v>41.32734</v>
      </c>
      <c r="F15" s="16">
        <v>46.897210000000001</v>
      </c>
      <c r="G15" s="16">
        <v>26.37837</v>
      </c>
      <c r="H15" s="16">
        <v>26.40803</v>
      </c>
      <c r="I15" s="16">
        <v>24.875400000000003</v>
      </c>
      <c r="J15" s="16">
        <v>18.278950000000002</v>
      </c>
      <c r="K15" s="16">
        <v>37.051639999999999</v>
      </c>
      <c r="L15" s="16">
        <v>17.816080000000003</v>
      </c>
      <c r="M15" s="16">
        <v>-60.419429999999998</v>
      </c>
      <c r="N15" s="16">
        <v>61.055440000000004</v>
      </c>
      <c r="O15" s="16">
        <v>14.78669</v>
      </c>
      <c r="P15" s="16">
        <v>22.411540000000002</v>
      </c>
      <c r="Q15" s="16">
        <v>12.2781</v>
      </c>
      <c r="R15" s="16">
        <v>16.633849999999999</v>
      </c>
      <c r="S15" s="16">
        <v>14.433149999999999</v>
      </c>
      <c r="T15" s="16">
        <v>15.62908</v>
      </c>
      <c r="U15" s="16">
        <v>11.950719999999999</v>
      </c>
      <c r="V15" s="16">
        <v>15.121379999999998</v>
      </c>
      <c r="W15" s="16">
        <v>34.073339999999995</v>
      </c>
      <c r="X15" s="16">
        <v>18.952660000000002</v>
      </c>
      <c r="Y15" s="16">
        <v>23.953599999999998</v>
      </c>
      <c r="Z15" s="16">
        <v>14.33919</v>
      </c>
      <c r="AA15" s="16">
        <v>23.937049999999999</v>
      </c>
      <c r="AB15" s="16">
        <v>12.696009999999999</v>
      </c>
      <c r="AC15" s="16">
        <v>18.01211</v>
      </c>
      <c r="AD15" s="16">
        <v>12.86886</v>
      </c>
      <c r="AE15" s="16">
        <v>-8.04922</v>
      </c>
      <c r="AF15" s="16">
        <v>5.6169700000000002</v>
      </c>
      <c r="AG15" s="16">
        <v>28.85717</v>
      </c>
      <c r="AH15" s="16">
        <v>70.878419999999991</v>
      </c>
      <c r="AI15" s="16"/>
      <c r="AJ15" s="16"/>
      <c r="AK15" s="16"/>
      <c r="AL15" s="16"/>
      <c r="AM15" s="16"/>
    </row>
    <row r="16" spans="1:44" ht="14.5" x14ac:dyDescent="0.35">
      <c r="A16" s="137">
        <f>YampaRiverInflow.TotalOutflow!A16</f>
        <v>46508</v>
      </c>
      <c r="B16" s="34">
        <v>5.9089999999999998</v>
      </c>
      <c r="C16" s="12">
        <v>5.9089999999999998</v>
      </c>
      <c r="D16" s="45">
        <v>5.9089999999999998</v>
      </c>
      <c r="E16" s="16">
        <v>42.513599999999997</v>
      </c>
      <c r="F16" s="16">
        <v>61.406080000000003</v>
      </c>
      <c r="G16" s="16">
        <v>156.79035000000002</v>
      </c>
      <c r="H16" s="16">
        <v>38.484410000000004</v>
      </c>
      <c r="I16" s="16">
        <v>26.34796</v>
      </c>
      <c r="J16" s="16">
        <v>25.867759999999997</v>
      </c>
      <c r="K16" s="16">
        <v>34.764309999999995</v>
      </c>
      <c r="L16" s="16">
        <v>25.367919999999998</v>
      </c>
      <c r="M16" s="16">
        <v>-18.437729999999998</v>
      </c>
      <c r="N16" s="16">
        <v>9.6380599999999994</v>
      </c>
      <c r="O16" s="16">
        <v>21.706889999999998</v>
      </c>
      <c r="P16" s="16">
        <v>18.98912</v>
      </c>
      <c r="Q16" s="16">
        <v>6.7455100000000003</v>
      </c>
      <c r="R16" s="16">
        <v>10.561809999999999</v>
      </c>
      <c r="S16" s="16">
        <v>-4.5164900000000001</v>
      </c>
      <c r="T16" s="16">
        <v>13.6478</v>
      </c>
      <c r="U16" s="16">
        <v>14.380700000000001</v>
      </c>
      <c r="V16" s="16">
        <v>20.278509999999997</v>
      </c>
      <c r="W16" s="16">
        <v>24.106630000000003</v>
      </c>
      <c r="X16" s="16">
        <v>17.297810000000002</v>
      </c>
      <c r="Y16" s="16">
        <v>25.734249999999999</v>
      </c>
      <c r="Z16" s="16">
        <v>20.646380000000001</v>
      </c>
      <c r="AA16" s="16">
        <v>-2.8287300000000002</v>
      </c>
      <c r="AB16" s="16">
        <v>20.732980000000001</v>
      </c>
      <c r="AC16" s="16">
        <v>13.07884</v>
      </c>
      <c r="AD16" s="16">
        <v>22.115179999999999</v>
      </c>
      <c r="AE16" s="16">
        <v>10.55193</v>
      </c>
      <c r="AF16" s="16">
        <v>8.3118600000000011</v>
      </c>
      <c r="AG16" s="16">
        <v>-6.5306800000000003</v>
      </c>
      <c r="AH16" s="16">
        <v>42.96922</v>
      </c>
      <c r="AI16" s="16"/>
      <c r="AJ16" s="16"/>
      <c r="AK16" s="16"/>
      <c r="AL16" s="16"/>
      <c r="AM16" s="16"/>
    </row>
    <row r="17" spans="1:39" ht="14.5" x14ac:dyDescent="0.35">
      <c r="A17" s="137">
        <f>YampaRiverInflow.TotalOutflow!A17</f>
        <v>46539</v>
      </c>
      <c r="B17" s="34">
        <v>14.849</v>
      </c>
      <c r="C17" s="12">
        <v>14.849</v>
      </c>
      <c r="D17" s="45">
        <v>14.849</v>
      </c>
      <c r="E17" s="16">
        <v>30.472930000000002</v>
      </c>
      <c r="F17" s="16">
        <v>41.87585</v>
      </c>
      <c r="G17" s="16">
        <v>162.57756000000001</v>
      </c>
      <c r="H17" s="16">
        <v>38.630720000000004</v>
      </c>
      <c r="I17" s="16">
        <v>28.58334</v>
      </c>
      <c r="J17" s="16">
        <v>31.828189999999999</v>
      </c>
      <c r="K17" s="16">
        <v>32.597670000000001</v>
      </c>
      <c r="L17" s="16">
        <v>24.753419999999998</v>
      </c>
      <c r="M17" s="16">
        <v>34.456029999999998</v>
      </c>
      <c r="N17" s="16">
        <v>44.059580000000004</v>
      </c>
      <c r="O17" s="16">
        <v>22.553609999999999</v>
      </c>
      <c r="P17" s="16">
        <v>11.884649999999999</v>
      </c>
      <c r="Q17" s="16">
        <v>3.4337300000000002</v>
      </c>
      <c r="R17" s="16">
        <v>10.73582</v>
      </c>
      <c r="S17" s="16">
        <v>-12.62983</v>
      </c>
      <c r="T17" s="16">
        <v>11.01207</v>
      </c>
      <c r="U17" s="16">
        <v>4.8791199999999995</v>
      </c>
      <c r="V17" s="16">
        <v>20.43703</v>
      </c>
      <c r="W17" s="16">
        <v>23.30864</v>
      </c>
      <c r="X17" s="16">
        <v>14.64692</v>
      </c>
      <c r="Y17" s="16">
        <v>10.02741</v>
      </c>
      <c r="Z17" s="16">
        <v>15.25596</v>
      </c>
      <c r="AA17" s="16">
        <v>10.849350000000001</v>
      </c>
      <c r="AB17" s="16">
        <v>19.483750000000001</v>
      </c>
      <c r="AC17" s="16">
        <v>18.53059</v>
      </c>
      <c r="AD17" s="16">
        <v>0.33273000000000003</v>
      </c>
      <c r="AE17" s="16">
        <v>6.2228399999999997</v>
      </c>
      <c r="AF17" s="16">
        <v>11.04167</v>
      </c>
      <c r="AG17" s="16">
        <v>-4.7700100000000001</v>
      </c>
      <c r="AH17" s="16">
        <v>47.769469999999998</v>
      </c>
      <c r="AI17" s="16"/>
      <c r="AJ17" s="16"/>
      <c r="AK17" s="16"/>
      <c r="AL17" s="16"/>
      <c r="AM17" s="16"/>
    </row>
    <row r="18" spans="1:39" ht="14.5" x14ac:dyDescent="0.35">
      <c r="A18" s="137">
        <f>YampaRiverInflow.TotalOutflow!A18</f>
        <v>46569</v>
      </c>
      <c r="B18" s="34">
        <v>18.539000000000001</v>
      </c>
      <c r="C18" s="12">
        <v>18.539000000000001</v>
      </c>
      <c r="D18" s="45">
        <v>18.539000000000001</v>
      </c>
      <c r="E18" s="16">
        <v>61.744109999999999</v>
      </c>
      <c r="F18" s="16">
        <v>56.986440000000002</v>
      </c>
      <c r="G18" s="16">
        <v>176.79275000000001</v>
      </c>
      <c r="H18" s="16">
        <v>47.455460000000002</v>
      </c>
      <c r="I18" s="16">
        <v>34.655120000000004</v>
      </c>
      <c r="J18" s="16">
        <v>33.561260000000004</v>
      </c>
      <c r="K18" s="16">
        <v>28.150029999999997</v>
      </c>
      <c r="L18" s="16">
        <v>51.289180000000002</v>
      </c>
      <c r="M18" s="16">
        <v>41.384039999999999</v>
      </c>
      <c r="N18" s="16">
        <v>33.49259</v>
      </c>
      <c r="O18" s="16">
        <v>27.52253</v>
      </c>
      <c r="P18" s="16">
        <v>15.318239999999999</v>
      </c>
      <c r="Q18" s="16">
        <v>6.7752799999999995</v>
      </c>
      <c r="R18" s="16">
        <v>10.10783</v>
      </c>
      <c r="S18" s="16">
        <v>4.5903700000000001</v>
      </c>
      <c r="T18" s="16">
        <v>26.346730000000001</v>
      </c>
      <c r="U18" s="16">
        <v>12.034459999999999</v>
      </c>
      <c r="V18" s="16">
        <v>17.305540000000001</v>
      </c>
      <c r="W18" s="16">
        <v>17.516080000000002</v>
      </c>
      <c r="X18" s="16">
        <v>34.461320000000001</v>
      </c>
      <c r="Y18" s="16">
        <v>45.978550000000006</v>
      </c>
      <c r="Z18" s="16">
        <v>28.134409999999999</v>
      </c>
      <c r="AA18" s="16">
        <v>19.273779999999999</v>
      </c>
      <c r="AB18" s="16">
        <v>17.619880000000002</v>
      </c>
      <c r="AC18" s="16">
        <v>20.370249999999999</v>
      </c>
      <c r="AD18" s="16">
        <v>18.260590000000001</v>
      </c>
      <c r="AE18" s="16">
        <v>20.425439999999998</v>
      </c>
      <c r="AF18" s="16">
        <v>15.59191</v>
      </c>
      <c r="AG18" s="16">
        <v>2.5027699999999999</v>
      </c>
      <c r="AH18" s="16">
        <v>47.54383</v>
      </c>
      <c r="AI18" s="16"/>
      <c r="AJ18" s="16"/>
      <c r="AK18" s="16"/>
      <c r="AL18" s="16"/>
      <c r="AM18" s="16"/>
    </row>
    <row r="19" spans="1:39" ht="14.5" x14ac:dyDescent="0.35">
      <c r="A19" s="137">
        <f>YampaRiverInflow.TotalOutflow!A19</f>
        <v>46600</v>
      </c>
      <c r="B19" s="34">
        <v>19.315000000000001</v>
      </c>
      <c r="C19" s="12">
        <v>19.315000000000001</v>
      </c>
      <c r="D19" s="45">
        <v>19.315000000000001</v>
      </c>
      <c r="E19" s="16">
        <v>61.622390000000003</v>
      </c>
      <c r="F19" s="16">
        <v>63.195419999999999</v>
      </c>
      <c r="G19" s="16">
        <v>55.473610000000001</v>
      </c>
      <c r="H19" s="16">
        <v>43.952150000000003</v>
      </c>
      <c r="I19" s="16">
        <v>35.973910000000004</v>
      </c>
      <c r="J19" s="16">
        <v>38.820389999999996</v>
      </c>
      <c r="K19" s="16">
        <v>44.411699999999996</v>
      </c>
      <c r="L19" s="16">
        <v>34.729699999999994</v>
      </c>
      <c r="M19" s="16">
        <v>47.307449999999996</v>
      </c>
      <c r="N19" s="16">
        <v>39.600670000000001</v>
      </c>
      <c r="O19" s="16">
        <v>28.68741</v>
      </c>
      <c r="P19" s="16">
        <v>23.301560000000002</v>
      </c>
      <c r="Q19" s="16">
        <v>11.3675</v>
      </c>
      <c r="R19" s="16">
        <v>31.263090000000002</v>
      </c>
      <c r="S19" s="16">
        <v>3.74146</v>
      </c>
      <c r="T19" s="16">
        <v>14.787049999999999</v>
      </c>
      <c r="U19" s="16">
        <v>25.305250000000001</v>
      </c>
      <c r="V19" s="16">
        <v>24.650939999999999</v>
      </c>
      <c r="W19" s="16">
        <v>21.208159999999999</v>
      </c>
      <c r="X19" s="16">
        <v>24.72842</v>
      </c>
      <c r="Y19" s="16">
        <v>25.745990000000003</v>
      </c>
      <c r="Z19" s="16">
        <v>37.131620000000005</v>
      </c>
      <c r="AA19" s="16">
        <v>26.087199999999999</v>
      </c>
      <c r="AB19" s="16">
        <v>15.61852</v>
      </c>
      <c r="AC19" s="16">
        <v>22.61469</v>
      </c>
      <c r="AD19" s="16">
        <v>11.924809999999999</v>
      </c>
      <c r="AE19" s="16">
        <v>21.49428</v>
      </c>
      <c r="AF19" s="16">
        <v>15.177059999999999</v>
      </c>
      <c r="AG19" s="16">
        <v>1.5323699999999998</v>
      </c>
      <c r="AH19" s="16">
        <v>55.200400000000002</v>
      </c>
      <c r="AI19" s="16"/>
      <c r="AJ19" s="16"/>
      <c r="AK19" s="16"/>
      <c r="AL19" s="16"/>
      <c r="AM19" s="16"/>
    </row>
    <row r="20" spans="1:39" ht="14.5" x14ac:dyDescent="0.35">
      <c r="A20" s="137">
        <f>YampaRiverInflow.TotalOutflow!A20</f>
        <v>46631</v>
      </c>
      <c r="B20" s="34">
        <v>11.255000000000001</v>
      </c>
      <c r="C20" s="12">
        <v>11.255000000000001</v>
      </c>
      <c r="D20" s="45">
        <v>11.255000000000001</v>
      </c>
      <c r="E20" s="16">
        <v>44.243199999999995</v>
      </c>
      <c r="F20" s="16">
        <v>44.78087</v>
      </c>
      <c r="G20" s="16">
        <v>37.592089999999999</v>
      </c>
      <c r="H20" s="16">
        <v>39.71172</v>
      </c>
      <c r="I20" s="16">
        <v>31.901700000000002</v>
      </c>
      <c r="J20" s="16">
        <v>56.052810000000001</v>
      </c>
      <c r="K20" s="16">
        <v>39.031980000000004</v>
      </c>
      <c r="L20" s="16">
        <v>22.410490000000003</v>
      </c>
      <c r="M20" s="16">
        <v>25.424400000000002</v>
      </c>
      <c r="N20" s="16">
        <v>31.6371</v>
      </c>
      <c r="O20" s="16">
        <v>25.40353</v>
      </c>
      <c r="P20" s="16">
        <v>16.953939999999999</v>
      </c>
      <c r="Q20" s="16">
        <v>23.521319999999999</v>
      </c>
      <c r="R20" s="16">
        <v>6.1092299999999993</v>
      </c>
      <c r="S20" s="16">
        <v>5.1206000000000005</v>
      </c>
      <c r="T20" s="16">
        <v>18.619119999999999</v>
      </c>
      <c r="U20" s="16">
        <v>14.416780000000001</v>
      </c>
      <c r="V20" s="16">
        <v>21.239709999999999</v>
      </c>
      <c r="W20" s="16">
        <v>17.404430000000001</v>
      </c>
      <c r="X20" s="16">
        <v>30.471599999999999</v>
      </c>
      <c r="Y20" s="16">
        <v>31.308349999999997</v>
      </c>
      <c r="Z20" s="16">
        <v>23.010400000000001</v>
      </c>
      <c r="AA20" s="16">
        <v>13.297270000000001</v>
      </c>
      <c r="AB20" s="16">
        <v>19.103159999999999</v>
      </c>
      <c r="AC20" s="16">
        <v>13.49493</v>
      </c>
      <c r="AD20" s="16">
        <v>16.10501</v>
      </c>
      <c r="AE20" s="16">
        <v>9.4053100000000001</v>
      </c>
      <c r="AF20" s="16">
        <v>25.57864</v>
      </c>
      <c r="AG20" s="16">
        <v>3.7597700000000001</v>
      </c>
      <c r="AH20" s="16">
        <v>52.202289999999998</v>
      </c>
      <c r="AI20" s="16"/>
      <c r="AJ20" s="16"/>
      <c r="AK20" s="16"/>
      <c r="AL20" s="16"/>
      <c r="AM20" s="16"/>
    </row>
    <row r="21" spans="1:39" ht="14.5" x14ac:dyDescent="0.35">
      <c r="A21" s="137">
        <f>YampaRiverInflow.TotalOutflow!A21</f>
        <v>46661</v>
      </c>
      <c r="B21" s="34">
        <v>17.218</v>
      </c>
      <c r="C21" s="12">
        <v>17.218</v>
      </c>
      <c r="D21" s="45">
        <v>17.218</v>
      </c>
      <c r="E21" s="16">
        <v>43.132330000000003</v>
      </c>
      <c r="F21" s="16">
        <v>33.980839999999993</v>
      </c>
      <c r="G21" s="16">
        <v>41.26681</v>
      </c>
      <c r="H21" s="16">
        <v>29.103630000000003</v>
      </c>
      <c r="I21" s="16">
        <v>25.964269999999999</v>
      </c>
      <c r="J21" s="16">
        <v>17.12565</v>
      </c>
      <c r="K21" s="16">
        <v>46.327440000000003</v>
      </c>
      <c r="L21" s="16">
        <v>-9.2141900000000003</v>
      </c>
      <c r="M21" s="16">
        <v>33.455199999999998</v>
      </c>
      <c r="N21" s="16">
        <v>17.611669999999997</v>
      </c>
      <c r="O21" s="16">
        <v>33.28969</v>
      </c>
      <c r="P21" s="16">
        <v>9.327</v>
      </c>
      <c r="Q21" s="16">
        <v>44.053580000000004</v>
      </c>
      <c r="R21" s="16">
        <v>22.421990000000001</v>
      </c>
      <c r="S21" s="16">
        <v>15.98033</v>
      </c>
      <c r="T21" s="16">
        <v>21.85923</v>
      </c>
      <c r="U21" s="16">
        <v>21.119289999999999</v>
      </c>
      <c r="V21" s="16">
        <v>17.553560000000001</v>
      </c>
      <c r="W21" s="16">
        <v>25.013810000000003</v>
      </c>
      <c r="X21" s="16">
        <v>30.83512</v>
      </c>
      <c r="Y21" s="16">
        <v>33.816769999999998</v>
      </c>
      <c r="Z21" s="16">
        <v>18.591950000000001</v>
      </c>
      <c r="AA21" s="16">
        <v>16.111409999999999</v>
      </c>
      <c r="AB21" s="16">
        <v>34.134349999999998</v>
      </c>
      <c r="AC21" s="16">
        <v>35.689430000000002</v>
      </c>
      <c r="AD21" s="16">
        <v>9.0004500000000007</v>
      </c>
      <c r="AE21" s="16">
        <v>22.628880000000002</v>
      </c>
      <c r="AF21" s="16">
        <v>18.034800000000001</v>
      </c>
      <c r="AG21" s="16">
        <v>21.008279999999999</v>
      </c>
      <c r="AH21" s="16">
        <v>41.361400000000003</v>
      </c>
      <c r="AI21" s="16"/>
      <c r="AJ21" s="16"/>
      <c r="AK21" s="16"/>
      <c r="AL21" s="16"/>
      <c r="AM21" s="16"/>
    </row>
    <row r="22" spans="1:39" ht="14.5" x14ac:dyDescent="0.35">
      <c r="A22" s="137">
        <f>YampaRiverInflow.TotalOutflow!A22</f>
        <v>46692</v>
      </c>
      <c r="B22" s="34">
        <v>15.69</v>
      </c>
      <c r="C22" s="12">
        <v>15.69</v>
      </c>
      <c r="D22" s="45">
        <v>15.69</v>
      </c>
      <c r="E22" s="16">
        <v>31.051959999999998</v>
      </c>
      <c r="F22" s="16">
        <v>21.413790000000002</v>
      </c>
      <c r="G22" s="16">
        <v>37.118040000000001</v>
      </c>
      <c r="H22" s="16">
        <v>31.591099999999997</v>
      </c>
      <c r="I22" s="16">
        <v>21.961970000000001</v>
      </c>
      <c r="J22" s="16">
        <v>34.472559999999994</v>
      </c>
      <c r="K22" s="16">
        <v>17.06053</v>
      </c>
      <c r="L22" s="16">
        <v>26.185509999999997</v>
      </c>
      <c r="M22" s="16">
        <v>0.18277000000000002</v>
      </c>
      <c r="N22" s="16">
        <v>9.8123400000000007</v>
      </c>
      <c r="O22" s="16">
        <v>18.025740000000003</v>
      </c>
      <c r="P22" s="16">
        <v>18.855130000000003</v>
      </c>
      <c r="Q22" s="16">
        <v>52.820480000000003</v>
      </c>
      <c r="R22" s="16">
        <v>26.401889999999998</v>
      </c>
      <c r="S22" s="16">
        <v>7.4708800000000002</v>
      </c>
      <c r="T22" s="16">
        <v>17.074390000000001</v>
      </c>
      <c r="U22" s="16">
        <v>28.747880000000002</v>
      </c>
      <c r="V22" s="16">
        <v>31.614810000000002</v>
      </c>
      <c r="W22" s="16">
        <v>37.705529999999996</v>
      </c>
      <c r="X22" s="16">
        <v>37.451039999999999</v>
      </c>
      <c r="Y22" s="16">
        <v>26.642310000000002</v>
      </c>
      <c r="Z22" s="16">
        <v>24.678090000000001</v>
      </c>
      <c r="AA22" s="16">
        <v>8.9953899999999987</v>
      </c>
      <c r="AB22" s="16">
        <v>10.980259999999999</v>
      </c>
      <c r="AC22" s="16">
        <v>20.74005</v>
      </c>
      <c r="AD22" s="16">
        <v>12.02684</v>
      </c>
      <c r="AE22" s="16">
        <v>16.101219999999998</v>
      </c>
      <c r="AF22" s="16">
        <v>21.6662</v>
      </c>
      <c r="AG22" s="16">
        <v>20.032019999999999</v>
      </c>
      <c r="AH22" s="16">
        <v>39.997980000000005</v>
      </c>
      <c r="AI22" s="16"/>
      <c r="AJ22" s="16"/>
      <c r="AK22" s="16"/>
      <c r="AL22" s="16"/>
      <c r="AM22" s="16"/>
    </row>
    <row r="23" spans="1:39" ht="14.5" x14ac:dyDescent="0.35">
      <c r="A23" s="137">
        <f>YampaRiverInflow.TotalOutflow!A23</f>
        <v>46722</v>
      </c>
      <c r="B23" s="34">
        <v>15.99</v>
      </c>
      <c r="C23" s="12">
        <v>15.99</v>
      </c>
      <c r="D23" s="45">
        <v>15.99</v>
      </c>
      <c r="E23" s="16">
        <v>42.822269999999996</v>
      </c>
      <c r="F23" s="16">
        <v>29.816050000000001</v>
      </c>
      <c r="G23" s="16">
        <v>44.606540000000003</v>
      </c>
      <c r="H23" s="16">
        <v>19.765080000000001</v>
      </c>
      <c r="I23" s="16">
        <v>7.7796599999999998</v>
      </c>
      <c r="J23" s="16">
        <v>13.676959999999999</v>
      </c>
      <c r="K23" s="16">
        <v>23.667650000000002</v>
      </c>
      <c r="L23" s="16">
        <v>37.513860000000001</v>
      </c>
      <c r="M23" s="16">
        <v>34.277999999999999</v>
      </c>
      <c r="N23" s="16">
        <v>20.094150000000003</v>
      </c>
      <c r="O23" s="16">
        <v>16.359249999999999</v>
      </c>
      <c r="P23" s="16">
        <v>19.779970000000002</v>
      </c>
      <c r="Q23" s="16">
        <v>32.128779999999999</v>
      </c>
      <c r="R23" s="16">
        <v>31.08907</v>
      </c>
      <c r="S23" s="16">
        <v>-1.11826</v>
      </c>
      <c r="T23" s="16">
        <v>19.982200000000002</v>
      </c>
      <c r="U23" s="16">
        <v>24.610099999999999</v>
      </c>
      <c r="V23" s="16">
        <v>25.219580000000001</v>
      </c>
      <c r="W23" s="16">
        <v>32.677639999999997</v>
      </c>
      <c r="X23" s="16">
        <v>27.849769999999999</v>
      </c>
      <c r="Y23" s="16">
        <v>19.783900000000003</v>
      </c>
      <c r="Z23" s="16">
        <v>7.2279200000000001</v>
      </c>
      <c r="AA23" s="16">
        <v>18.567619999999998</v>
      </c>
      <c r="AB23" s="16">
        <v>21.625409999999999</v>
      </c>
      <c r="AC23" s="16">
        <v>25.90841</v>
      </c>
      <c r="AD23" s="16">
        <v>17.129480000000001</v>
      </c>
      <c r="AE23" s="16">
        <v>26.609639999999999</v>
      </c>
      <c r="AF23" s="16">
        <v>19.80631</v>
      </c>
      <c r="AG23" s="16">
        <v>8.9451000000000001</v>
      </c>
      <c r="AH23" s="16">
        <v>31.987259999999999</v>
      </c>
      <c r="AI23" s="16"/>
      <c r="AJ23" s="16"/>
      <c r="AK23" s="16"/>
      <c r="AL23" s="16"/>
      <c r="AM23" s="16"/>
    </row>
    <row r="24" spans="1:39" ht="14.5" x14ac:dyDescent="0.35">
      <c r="A24" s="137">
        <f>YampaRiverInflow.TotalOutflow!A24</f>
        <v>46753</v>
      </c>
      <c r="B24" s="34">
        <v>8.0239999999999991</v>
      </c>
      <c r="C24" s="12">
        <v>8.0239999999999991</v>
      </c>
      <c r="D24" s="45">
        <v>8.0239999999999991</v>
      </c>
      <c r="E24" s="16">
        <v>101.48094</v>
      </c>
      <c r="F24" s="16">
        <v>22.186250000000001</v>
      </c>
      <c r="G24" s="16">
        <v>31.44839</v>
      </c>
      <c r="H24" s="16">
        <v>12.870100000000001</v>
      </c>
      <c r="I24" s="16">
        <v>-2.4762600000000003</v>
      </c>
      <c r="J24" s="16">
        <v>17.852400000000003</v>
      </c>
      <c r="K24" s="16">
        <v>41.023440000000001</v>
      </c>
      <c r="L24" s="16">
        <v>32.832380000000001</v>
      </c>
      <c r="M24" s="16">
        <v>37.038040000000002</v>
      </c>
      <c r="N24" s="16">
        <v>4.0773999999999999</v>
      </c>
      <c r="O24" s="16">
        <v>8.4755500000000001</v>
      </c>
      <c r="P24" s="16">
        <v>7.35494</v>
      </c>
      <c r="Q24" s="16">
        <v>137.11972</v>
      </c>
      <c r="R24" s="16">
        <v>5.1303400000000003</v>
      </c>
      <c r="S24" s="16">
        <v>9.6627500000000008</v>
      </c>
      <c r="T24" s="16">
        <v>13.882709999999999</v>
      </c>
      <c r="U24" s="16">
        <v>3.5912800000000002</v>
      </c>
      <c r="V24" s="16">
        <v>41.677339999999994</v>
      </c>
      <c r="W24" s="16">
        <v>7.6143400000000003</v>
      </c>
      <c r="X24" s="16">
        <v>11.315340000000001</v>
      </c>
      <c r="Y24" s="16">
        <v>17.09442</v>
      </c>
      <c r="Z24" s="16">
        <v>12.350530000000001</v>
      </c>
      <c r="AA24" s="16">
        <v>17.26952</v>
      </c>
      <c r="AB24" s="16">
        <v>26.249689999999998</v>
      </c>
      <c r="AC24" s="16">
        <v>33.221690000000002</v>
      </c>
      <c r="AD24" s="16">
        <v>3.0476799999999997</v>
      </c>
      <c r="AE24" s="16">
        <v>19.352180000000001</v>
      </c>
      <c r="AF24" s="16">
        <v>1.2711300000000001</v>
      </c>
      <c r="AG24" s="16">
        <v>34.924039999999998</v>
      </c>
      <c r="AH24" s="16">
        <v>19.72597</v>
      </c>
      <c r="AI24" s="16"/>
      <c r="AJ24" s="16"/>
      <c r="AK24" s="16"/>
      <c r="AL24" s="16"/>
      <c r="AM24" s="16"/>
    </row>
    <row r="25" spans="1:39" ht="14.5" x14ac:dyDescent="0.35">
      <c r="A25" s="137">
        <f>YampaRiverInflow.TotalOutflow!A25</f>
        <v>46784</v>
      </c>
      <c r="B25" s="34">
        <v>1.28</v>
      </c>
      <c r="C25" s="12">
        <v>1.28</v>
      </c>
      <c r="D25" s="45">
        <v>1.28</v>
      </c>
      <c r="E25" s="16">
        <v>223.49723</v>
      </c>
      <c r="F25" s="16">
        <v>12.69018</v>
      </c>
      <c r="G25" s="16">
        <v>90.418979999999991</v>
      </c>
      <c r="H25" s="16">
        <v>14.52515</v>
      </c>
      <c r="I25" s="16">
        <v>22.389509999999998</v>
      </c>
      <c r="J25" s="16">
        <v>37.958120000000001</v>
      </c>
      <c r="K25" s="16">
        <v>22.295439999999999</v>
      </c>
      <c r="L25" s="16">
        <v>16.79486</v>
      </c>
      <c r="M25" s="16">
        <v>22.422799999999999</v>
      </c>
      <c r="N25" s="16">
        <v>6.8791199999999995</v>
      </c>
      <c r="O25" s="16">
        <v>23.193290000000001</v>
      </c>
      <c r="P25" s="16">
        <v>13.382340000000001</v>
      </c>
      <c r="Q25" s="16">
        <v>174.80966000000001</v>
      </c>
      <c r="R25" s="16">
        <v>11.10446</v>
      </c>
      <c r="S25" s="16">
        <v>-5.5345800000000001</v>
      </c>
      <c r="T25" s="16">
        <v>2.9116999999999997</v>
      </c>
      <c r="U25" s="16">
        <v>14.60534</v>
      </c>
      <c r="V25" s="16">
        <v>8.7208299999999994</v>
      </c>
      <c r="W25" s="16">
        <v>14.52425</v>
      </c>
      <c r="X25" s="16">
        <v>10.423639999999999</v>
      </c>
      <c r="Y25" s="16">
        <v>3.61097</v>
      </c>
      <c r="Z25" s="16">
        <v>19.37181</v>
      </c>
      <c r="AA25" s="16">
        <v>9.0375899999999998</v>
      </c>
      <c r="AB25" s="16">
        <v>9.4203500000000009</v>
      </c>
      <c r="AC25" s="16">
        <v>14.485799999999999</v>
      </c>
      <c r="AD25" s="16">
        <v>2.4660500000000001</v>
      </c>
      <c r="AE25" s="16">
        <v>12.83705</v>
      </c>
      <c r="AF25" s="16">
        <v>-3.5236000000000001</v>
      </c>
      <c r="AG25" s="16">
        <v>48.393839999999997</v>
      </c>
      <c r="AH25" s="16">
        <v>31.827900000000003</v>
      </c>
      <c r="AI25" s="16"/>
      <c r="AJ25" s="16"/>
      <c r="AK25" s="16"/>
      <c r="AL25" s="16"/>
      <c r="AM25" s="16"/>
    </row>
    <row r="26" spans="1:39" ht="14.5" x14ac:dyDescent="0.35">
      <c r="A26" s="137">
        <f>YampaRiverInflow.TotalOutflow!A26</f>
        <v>46813</v>
      </c>
      <c r="B26" s="34">
        <v>7.3979999999999997</v>
      </c>
      <c r="C26" s="12">
        <v>7.3979999999999997</v>
      </c>
      <c r="D26" s="45">
        <v>7.3979999999999997</v>
      </c>
      <c r="E26" s="16">
        <v>320.00678000000005</v>
      </c>
      <c r="F26" s="16">
        <v>37.884599999999999</v>
      </c>
      <c r="G26" s="16">
        <v>112.95494000000001</v>
      </c>
      <c r="H26" s="16">
        <v>11.05152</v>
      </c>
      <c r="I26" s="16">
        <v>29.335470000000001</v>
      </c>
      <c r="J26" s="16">
        <v>39.440980000000003</v>
      </c>
      <c r="K26" s="16">
        <v>28.53557</v>
      </c>
      <c r="L26" s="16">
        <v>11.616709999999999</v>
      </c>
      <c r="M26" s="16">
        <v>39.455980000000004</v>
      </c>
      <c r="N26" s="16">
        <v>14.638629999999999</v>
      </c>
      <c r="O26" s="16">
        <v>0.65770000000000006</v>
      </c>
      <c r="P26" s="16">
        <v>5.9991499999999993</v>
      </c>
      <c r="Q26" s="16">
        <v>168.58645999999999</v>
      </c>
      <c r="R26" s="16">
        <v>24.270910000000001</v>
      </c>
      <c r="S26" s="16">
        <v>15.905659999999999</v>
      </c>
      <c r="T26" s="16">
        <v>3.0453899999999998</v>
      </c>
      <c r="U26" s="16">
        <v>10.662570000000001</v>
      </c>
      <c r="V26" s="16">
        <v>54.882220000000004</v>
      </c>
      <c r="W26" s="16">
        <v>5.2403999999999993</v>
      </c>
      <c r="X26" s="16">
        <v>8.1280900000000003</v>
      </c>
      <c r="Y26" s="16">
        <v>7.5745200000000006</v>
      </c>
      <c r="Z26" s="16">
        <v>-3.1372800000000001</v>
      </c>
      <c r="AA26" s="16">
        <v>2.7688999999999999</v>
      </c>
      <c r="AB26" s="16">
        <v>17.607590000000002</v>
      </c>
      <c r="AC26" s="16">
        <v>10.797639999999999</v>
      </c>
      <c r="AD26" s="16">
        <v>-2.6914400000000001</v>
      </c>
      <c r="AE26" s="16">
        <v>-4.7191800000000006</v>
      </c>
      <c r="AF26" s="16">
        <v>15.227370000000001</v>
      </c>
      <c r="AG26" s="16">
        <v>42.540279999999996</v>
      </c>
      <c r="AH26" s="16">
        <v>65.722139999999996</v>
      </c>
      <c r="AI26" s="16"/>
      <c r="AJ26" s="16"/>
      <c r="AK26" s="16"/>
      <c r="AL26" s="16"/>
      <c r="AM26" s="16"/>
    </row>
    <row r="27" spans="1:39" ht="14.5" x14ac:dyDescent="0.35">
      <c r="A27" s="137">
        <f>YampaRiverInflow.TotalOutflow!A27</f>
        <v>46844</v>
      </c>
      <c r="B27" s="34">
        <v>11.433</v>
      </c>
      <c r="C27" s="12">
        <v>11.433</v>
      </c>
      <c r="D27" s="45">
        <v>11.433</v>
      </c>
      <c r="E27" s="16">
        <v>46.897210000000001</v>
      </c>
      <c r="F27" s="16">
        <v>26.37837</v>
      </c>
      <c r="G27" s="16">
        <v>26.40803</v>
      </c>
      <c r="H27" s="16">
        <v>24.875400000000003</v>
      </c>
      <c r="I27" s="16">
        <v>18.278950000000002</v>
      </c>
      <c r="J27" s="16">
        <v>37.051639999999999</v>
      </c>
      <c r="K27" s="16">
        <v>17.816080000000003</v>
      </c>
      <c r="L27" s="16">
        <v>-60.419429999999998</v>
      </c>
      <c r="M27" s="16">
        <v>61.055440000000004</v>
      </c>
      <c r="N27" s="16">
        <v>14.78669</v>
      </c>
      <c r="O27" s="16">
        <v>22.411540000000002</v>
      </c>
      <c r="P27" s="16">
        <v>12.2781</v>
      </c>
      <c r="Q27" s="16">
        <v>16.633849999999999</v>
      </c>
      <c r="R27" s="16">
        <v>14.433149999999999</v>
      </c>
      <c r="S27" s="16">
        <v>15.62908</v>
      </c>
      <c r="T27" s="16">
        <v>11.950719999999999</v>
      </c>
      <c r="U27" s="16">
        <v>15.121379999999998</v>
      </c>
      <c r="V27" s="16">
        <v>34.073339999999995</v>
      </c>
      <c r="W27" s="16">
        <v>18.952660000000002</v>
      </c>
      <c r="X27" s="16">
        <v>23.953599999999998</v>
      </c>
      <c r="Y27" s="16">
        <v>14.33919</v>
      </c>
      <c r="Z27" s="16">
        <v>23.937049999999999</v>
      </c>
      <c r="AA27" s="16">
        <v>12.696009999999999</v>
      </c>
      <c r="AB27" s="16">
        <v>18.01211</v>
      </c>
      <c r="AC27" s="16">
        <v>12.86886</v>
      </c>
      <c r="AD27" s="16">
        <v>-8.04922</v>
      </c>
      <c r="AE27" s="16">
        <v>5.6169700000000002</v>
      </c>
      <c r="AF27" s="16">
        <v>28.85717</v>
      </c>
      <c r="AG27" s="16">
        <v>70.878419999999991</v>
      </c>
      <c r="AH27" s="16">
        <v>41.314720000000001</v>
      </c>
      <c r="AI27" s="16"/>
      <c r="AJ27" s="16"/>
      <c r="AK27" s="16"/>
      <c r="AL27" s="16"/>
      <c r="AM27" s="16"/>
    </row>
    <row r="28" spans="1:39" ht="14.5" x14ac:dyDescent="0.35">
      <c r="A28" s="137">
        <f>YampaRiverInflow.TotalOutflow!A28</f>
        <v>46874</v>
      </c>
      <c r="B28" s="34">
        <v>5.9089999999999998</v>
      </c>
      <c r="C28" s="12">
        <v>5.9089999999999998</v>
      </c>
      <c r="D28" s="45">
        <v>5.9089999999999998</v>
      </c>
      <c r="E28" s="16">
        <v>61.406080000000003</v>
      </c>
      <c r="F28" s="16">
        <v>156.79035000000002</v>
      </c>
      <c r="G28" s="16">
        <v>38.484410000000004</v>
      </c>
      <c r="H28" s="16">
        <v>26.34796</v>
      </c>
      <c r="I28" s="16">
        <v>25.867759999999997</v>
      </c>
      <c r="J28" s="16">
        <v>34.764309999999995</v>
      </c>
      <c r="K28" s="16">
        <v>25.367919999999998</v>
      </c>
      <c r="L28" s="16">
        <v>-18.437729999999998</v>
      </c>
      <c r="M28" s="16">
        <v>9.6380599999999994</v>
      </c>
      <c r="N28" s="16">
        <v>21.706889999999998</v>
      </c>
      <c r="O28" s="16">
        <v>18.98912</v>
      </c>
      <c r="P28" s="16">
        <v>6.7455100000000003</v>
      </c>
      <c r="Q28" s="16">
        <v>10.561809999999999</v>
      </c>
      <c r="R28" s="16">
        <v>-4.5164900000000001</v>
      </c>
      <c r="S28" s="16">
        <v>13.6478</v>
      </c>
      <c r="T28" s="16">
        <v>14.380700000000001</v>
      </c>
      <c r="U28" s="16">
        <v>20.278509999999997</v>
      </c>
      <c r="V28" s="16">
        <v>24.106630000000003</v>
      </c>
      <c r="W28" s="16">
        <v>17.297810000000002</v>
      </c>
      <c r="X28" s="16">
        <v>25.734249999999999</v>
      </c>
      <c r="Y28" s="16">
        <v>20.646380000000001</v>
      </c>
      <c r="Z28" s="16">
        <v>-2.8287300000000002</v>
      </c>
      <c r="AA28" s="16">
        <v>20.732980000000001</v>
      </c>
      <c r="AB28" s="16">
        <v>13.07884</v>
      </c>
      <c r="AC28" s="16">
        <v>22.115179999999999</v>
      </c>
      <c r="AD28" s="16">
        <v>10.55193</v>
      </c>
      <c r="AE28" s="16">
        <v>8.3118600000000011</v>
      </c>
      <c r="AF28" s="16">
        <v>-6.5306800000000003</v>
      </c>
      <c r="AG28" s="16">
        <v>42.96922</v>
      </c>
      <c r="AH28" s="16">
        <v>42.513089999999998</v>
      </c>
      <c r="AI28" s="16"/>
      <c r="AJ28" s="16"/>
      <c r="AK28" s="16"/>
      <c r="AL28" s="16"/>
      <c r="AM28" s="16"/>
    </row>
    <row r="29" spans="1:39" ht="14.5" x14ac:dyDescent="0.35">
      <c r="A29" s="137">
        <f>YampaRiverInflow.TotalOutflow!A29</f>
        <v>46905</v>
      </c>
      <c r="B29" s="34">
        <v>14.849</v>
      </c>
      <c r="C29" s="12">
        <v>14.849</v>
      </c>
      <c r="D29" s="45">
        <v>14.849</v>
      </c>
      <c r="E29" s="16">
        <v>41.87585</v>
      </c>
      <c r="F29" s="16">
        <v>162.57756000000001</v>
      </c>
      <c r="G29" s="16">
        <v>38.630720000000004</v>
      </c>
      <c r="H29" s="16">
        <v>28.58334</v>
      </c>
      <c r="I29" s="16">
        <v>31.828189999999999</v>
      </c>
      <c r="J29" s="16">
        <v>32.597670000000001</v>
      </c>
      <c r="K29" s="16">
        <v>24.753419999999998</v>
      </c>
      <c r="L29" s="16">
        <v>34.456029999999998</v>
      </c>
      <c r="M29" s="16">
        <v>44.059580000000004</v>
      </c>
      <c r="N29" s="16">
        <v>22.553609999999999</v>
      </c>
      <c r="O29" s="16">
        <v>11.884649999999999</v>
      </c>
      <c r="P29" s="16">
        <v>3.4337300000000002</v>
      </c>
      <c r="Q29" s="16">
        <v>10.73582</v>
      </c>
      <c r="R29" s="16">
        <v>-12.62983</v>
      </c>
      <c r="S29" s="16">
        <v>11.01207</v>
      </c>
      <c r="T29" s="16">
        <v>4.8791199999999995</v>
      </c>
      <c r="U29" s="16">
        <v>20.43703</v>
      </c>
      <c r="V29" s="16">
        <v>23.30864</v>
      </c>
      <c r="W29" s="16">
        <v>14.64692</v>
      </c>
      <c r="X29" s="16">
        <v>10.02741</v>
      </c>
      <c r="Y29" s="16">
        <v>15.25596</v>
      </c>
      <c r="Z29" s="16">
        <v>10.849350000000001</v>
      </c>
      <c r="AA29" s="16">
        <v>19.483750000000001</v>
      </c>
      <c r="AB29" s="16">
        <v>18.53059</v>
      </c>
      <c r="AC29" s="16">
        <v>0.33273000000000003</v>
      </c>
      <c r="AD29" s="16">
        <v>6.2228399999999997</v>
      </c>
      <c r="AE29" s="16">
        <v>11.04167</v>
      </c>
      <c r="AF29" s="16">
        <v>-4.7700100000000001</v>
      </c>
      <c r="AG29" s="16">
        <v>47.769469999999998</v>
      </c>
      <c r="AH29" s="16">
        <v>30.468389999999999</v>
      </c>
      <c r="AI29" s="16"/>
      <c r="AJ29" s="16"/>
      <c r="AK29" s="16"/>
      <c r="AL29" s="16"/>
      <c r="AM29" s="16"/>
    </row>
    <row r="30" spans="1:39" ht="14.5" x14ac:dyDescent="0.35">
      <c r="A30" s="137">
        <f>YampaRiverInflow.TotalOutflow!A30</f>
        <v>46935</v>
      </c>
      <c r="B30" s="34">
        <v>18.539000000000001</v>
      </c>
      <c r="C30" s="12">
        <v>18.539000000000001</v>
      </c>
      <c r="D30" s="45">
        <v>18.539000000000001</v>
      </c>
      <c r="E30" s="16">
        <v>56.986440000000002</v>
      </c>
      <c r="F30" s="16">
        <v>176.79275000000001</v>
      </c>
      <c r="G30" s="16">
        <v>47.455460000000002</v>
      </c>
      <c r="H30" s="16">
        <v>34.655120000000004</v>
      </c>
      <c r="I30" s="16">
        <v>33.561260000000004</v>
      </c>
      <c r="J30" s="16">
        <v>28.150029999999997</v>
      </c>
      <c r="K30" s="16">
        <v>51.289180000000002</v>
      </c>
      <c r="L30" s="16">
        <v>41.384039999999999</v>
      </c>
      <c r="M30" s="16">
        <v>33.49259</v>
      </c>
      <c r="N30" s="16">
        <v>27.52253</v>
      </c>
      <c r="O30" s="16">
        <v>15.318239999999999</v>
      </c>
      <c r="P30" s="16">
        <v>6.7752799999999995</v>
      </c>
      <c r="Q30" s="16">
        <v>10.10783</v>
      </c>
      <c r="R30" s="16">
        <v>4.5903700000000001</v>
      </c>
      <c r="S30" s="16">
        <v>26.346730000000001</v>
      </c>
      <c r="T30" s="16">
        <v>12.034459999999999</v>
      </c>
      <c r="U30" s="16">
        <v>17.305540000000001</v>
      </c>
      <c r="V30" s="16">
        <v>17.516080000000002</v>
      </c>
      <c r="W30" s="16">
        <v>34.461320000000001</v>
      </c>
      <c r="X30" s="16">
        <v>45.978550000000006</v>
      </c>
      <c r="Y30" s="16">
        <v>28.134409999999999</v>
      </c>
      <c r="Z30" s="16">
        <v>19.273779999999999</v>
      </c>
      <c r="AA30" s="16">
        <v>17.619880000000002</v>
      </c>
      <c r="AB30" s="16">
        <v>20.370249999999999</v>
      </c>
      <c r="AC30" s="16">
        <v>18.260590000000001</v>
      </c>
      <c r="AD30" s="16">
        <v>20.425439999999998</v>
      </c>
      <c r="AE30" s="16">
        <v>15.59191</v>
      </c>
      <c r="AF30" s="16">
        <v>2.5027699999999999</v>
      </c>
      <c r="AG30" s="16">
        <v>47.54383</v>
      </c>
      <c r="AH30" s="16">
        <v>61.736230000000006</v>
      </c>
      <c r="AI30" s="16"/>
      <c r="AJ30" s="16"/>
      <c r="AK30" s="16"/>
      <c r="AL30" s="16"/>
      <c r="AM30" s="16"/>
    </row>
    <row r="31" spans="1:39" ht="14.5" x14ac:dyDescent="0.35">
      <c r="A31" s="137">
        <f>YampaRiverInflow.TotalOutflow!A31</f>
        <v>46966</v>
      </c>
      <c r="B31" s="34">
        <v>19.315000000000001</v>
      </c>
      <c r="C31" s="12">
        <v>19.315000000000001</v>
      </c>
      <c r="D31" s="45">
        <v>19.315000000000001</v>
      </c>
      <c r="E31" s="16">
        <v>63.195419999999999</v>
      </c>
      <c r="F31" s="16">
        <v>55.473610000000001</v>
      </c>
      <c r="G31" s="16">
        <v>43.952150000000003</v>
      </c>
      <c r="H31" s="16">
        <v>35.973910000000004</v>
      </c>
      <c r="I31" s="16">
        <v>38.820389999999996</v>
      </c>
      <c r="J31" s="16">
        <v>44.411699999999996</v>
      </c>
      <c r="K31" s="16">
        <v>34.729699999999994</v>
      </c>
      <c r="L31" s="16">
        <v>47.307449999999996</v>
      </c>
      <c r="M31" s="16">
        <v>39.600670000000001</v>
      </c>
      <c r="N31" s="16">
        <v>28.68741</v>
      </c>
      <c r="O31" s="16">
        <v>23.301560000000002</v>
      </c>
      <c r="P31" s="16">
        <v>11.3675</v>
      </c>
      <c r="Q31" s="16">
        <v>31.263090000000002</v>
      </c>
      <c r="R31" s="16">
        <v>3.74146</v>
      </c>
      <c r="S31" s="16">
        <v>14.787049999999999</v>
      </c>
      <c r="T31" s="16">
        <v>25.305250000000001</v>
      </c>
      <c r="U31" s="16">
        <v>24.650939999999999</v>
      </c>
      <c r="V31" s="16">
        <v>21.208159999999999</v>
      </c>
      <c r="W31" s="16">
        <v>24.72842</v>
      </c>
      <c r="X31" s="16">
        <v>25.745990000000003</v>
      </c>
      <c r="Y31" s="16">
        <v>37.131620000000005</v>
      </c>
      <c r="Z31" s="16">
        <v>26.087199999999999</v>
      </c>
      <c r="AA31" s="16">
        <v>15.61852</v>
      </c>
      <c r="AB31" s="16">
        <v>22.61469</v>
      </c>
      <c r="AC31" s="16">
        <v>11.924809999999999</v>
      </c>
      <c r="AD31" s="16">
        <v>21.49428</v>
      </c>
      <c r="AE31" s="16">
        <v>15.177059999999999</v>
      </c>
      <c r="AF31" s="16">
        <v>1.5323699999999998</v>
      </c>
      <c r="AG31" s="16">
        <v>55.200400000000002</v>
      </c>
      <c r="AH31" s="16">
        <v>61.601279999999996</v>
      </c>
      <c r="AI31" s="16"/>
      <c r="AJ31" s="16"/>
      <c r="AK31" s="16"/>
      <c r="AL31" s="16"/>
      <c r="AM31" s="16"/>
    </row>
    <row r="32" spans="1:39" ht="14.5" x14ac:dyDescent="0.35">
      <c r="A32" s="137">
        <f>YampaRiverInflow.TotalOutflow!A32</f>
        <v>46997</v>
      </c>
      <c r="B32" s="34">
        <v>11.255000000000001</v>
      </c>
      <c r="C32" s="12">
        <v>11.255000000000001</v>
      </c>
      <c r="D32" s="45">
        <v>11.255000000000001</v>
      </c>
      <c r="E32" s="16">
        <v>44.78087</v>
      </c>
      <c r="F32" s="16">
        <v>37.592089999999999</v>
      </c>
      <c r="G32" s="16">
        <v>39.71172</v>
      </c>
      <c r="H32" s="16">
        <v>31.901700000000002</v>
      </c>
      <c r="I32" s="16">
        <v>56.052810000000001</v>
      </c>
      <c r="J32" s="16">
        <v>39.031980000000004</v>
      </c>
      <c r="K32" s="16">
        <v>22.410490000000003</v>
      </c>
      <c r="L32" s="16">
        <v>25.424400000000002</v>
      </c>
      <c r="M32" s="16">
        <v>31.6371</v>
      </c>
      <c r="N32" s="16">
        <v>25.40353</v>
      </c>
      <c r="O32" s="16">
        <v>16.953939999999999</v>
      </c>
      <c r="P32" s="16">
        <v>23.521319999999999</v>
      </c>
      <c r="Q32" s="16">
        <v>6.1092299999999993</v>
      </c>
      <c r="R32" s="16">
        <v>5.1206000000000005</v>
      </c>
      <c r="S32" s="16">
        <v>18.619119999999999</v>
      </c>
      <c r="T32" s="16">
        <v>14.416780000000001</v>
      </c>
      <c r="U32" s="16">
        <v>21.239709999999999</v>
      </c>
      <c r="V32" s="16">
        <v>17.404430000000001</v>
      </c>
      <c r="W32" s="16">
        <v>30.471599999999999</v>
      </c>
      <c r="X32" s="16">
        <v>31.308349999999997</v>
      </c>
      <c r="Y32" s="16">
        <v>23.010400000000001</v>
      </c>
      <c r="Z32" s="16">
        <v>13.297270000000001</v>
      </c>
      <c r="AA32" s="16">
        <v>19.103159999999999</v>
      </c>
      <c r="AB32" s="16">
        <v>13.49493</v>
      </c>
      <c r="AC32" s="16">
        <v>16.10501</v>
      </c>
      <c r="AD32" s="16">
        <v>9.4053100000000001</v>
      </c>
      <c r="AE32" s="16">
        <v>25.57864</v>
      </c>
      <c r="AF32" s="16">
        <v>3.7597700000000001</v>
      </c>
      <c r="AG32" s="16">
        <v>52.202289999999998</v>
      </c>
      <c r="AH32" s="16">
        <v>44.245980000000003</v>
      </c>
      <c r="AI32" s="16"/>
      <c r="AJ32" s="16"/>
      <c r="AK32" s="16"/>
      <c r="AL32" s="16"/>
      <c r="AM32" s="16"/>
    </row>
    <row r="33" spans="1:39" ht="14.5" x14ac:dyDescent="0.35">
      <c r="A33" s="137">
        <f>YampaRiverInflow.TotalOutflow!A33</f>
        <v>47027</v>
      </c>
      <c r="B33" s="34">
        <v>17.218</v>
      </c>
      <c r="C33" s="12">
        <v>17.218</v>
      </c>
      <c r="D33" s="45">
        <v>17.218</v>
      </c>
      <c r="E33" s="16">
        <v>33.980839999999993</v>
      </c>
      <c r="F33" s="16">
        <v>41.26681</v>
      </c>
      <c r="G33" s="16">
        <v>29.103630000000003</v>
      </c>
      <c r="H33" s="16">
        <v>25.964269999999999</v>
      </c>
      <c r="I33" s="16">
        <v>17.12565</v>
      </c>
      <c r="J33" s="16">
        <v>46.327440000000003</v>
      </c>
      <c r="K33" s="16">
        <v>-9.2141900000000003</v>
      </c>
      <c r="L33" s="16">
        <v>33.455199999999998</v>
      </c>
      <c r="M33" s="16">
        <v>17.611669999999997</v>
      </c>
      <c r="N33" s="16">
        <v>33.28969</v>
      </c>
      <c r="O33" s="16">
        <v>9.327</v>
      </c>
      <c r="P33" s="16">
        <v>44.053580000000004</v>
      </c>
      <c r="Q33" s="16">
        <v>22.421990000000001</v>
      </c>
      <c r="R33" s="16">
        <v>15.98033</v>
      </c>
      <c r="S33" s="16">
        <v>21.85923</v>
      </c>
      <c r="T33" s="16">
        <v>21.119289999999999</v>
      </c>
      <c r="U33" s="16">
        <v>17.553560000000001</v>
      </c>
      <c r="V33" s="16">
        <v>25.013810000000003</v>
      </c>
      <c r="W33" s="16">
        <v>30.83512</v>
      </c>
      <c r="X33" s="16">
        <v>33.816769999999998</v>
      </c>
      <c r="Y33" s="16">
        <v>18.591950000000001</v>
      </c>
      <c r="Z33" s="16">
        <v>16.111409999999999</v>
      </c>
      <c r="AA33" s="16">
        <v>34.134349999999998</v>
      </c>
      <c r="AB33" s="16">
        <v>35.689430000000002</v>
      </c>
      <c r="AC33" s="16">
        <v>9.0004500000000007</v>
      </c>
      <c r="AD33" s="16">
        <v>22.628880000000002</v>
      </c>
      <c r="AE33" s="16">
        <v>18.034800000000001</v>
      </c>
      <c r="AF33" s="16">
        <v>21.008279999999999</v>
      </c>
      <c r="AG33" s="16">
        <v>41.361400000000003</v>
      </c>
      <c r="AH33" s="16">
        <v>43.124980000000001</v>
      </c>
      <c r="AI33" s="16"/>
      <c r="AJ33" s="16"/>
      <c r="AK33" s="16"/>
      <c r="AL33" s="16"/>
      <c r="AM33" s="16"/>
    </row>
    <row r="34" spans="1:39" ht="14.5" x14ac:dyDescent="0.35">
      <c r="A34" s="137">
        <f>YampaRiverInflow.TotalOutflow!A34</f>
        <v>47058</v>
      </c>
      <c r="B34" s="34">
        <v>15.69</v>
      </c>
      <c r="C34" s="12">
        <v>15.69</v>
      </c>
      <c r="D34" s="45">
        <v>15.69</v>
      </c>
      <c r="E34" s="16">
        <v>21.413790000000002</v>
      </c>
      <c r="F34" s="16">
        <v>37.118040000000001</v>
      </c>
      <c r="G34" s="16">
        <v>31.591099999999997</v>
      </c>
      <c r="H34" s="16">
        <v>21.961970000000001</v>
      </c>
      <c r="I34" s="16">
        <v>34.472559999999994</v>
      </c>
      <c r="J34" s="16">
        <v>17.06053</v>
      </c>
      <c r="K34" s="16">
        <v>26.185509999999997</v>
      </c>
      <c r="L34" s="16">
        <v>0.18277000000000002</v>
      </c>
      <c r="M34" s="16">
        <v>9.8123400000000007</v>
      </c>
      <c r="N34" s="16">
        <v>18.025740000000003</v>
      </c>
      <c r="O34" s="16">
        <v>18.855130000000003</v>
      </c>
      <c r="P34" s="16">
        <v>52.820480000000003</v>
      </c>
      <c r="Q34" s="16">
        <v>26.401889999999998</v>
      </c>
      <c r="R34" s="16">
        <v>7.4708800000000002</v>
      </c>
      <c r="S34" s="16">
        <v>17.074390000000001</v>
      </c>
      <c r="T34" s="16">
        <v>28.747880000000002</v>
      </c>
      <c r="U34" s="16">
        <v>31.614810000000002</v>
      </c>
      <c r="V34" s="16">
        <v>37.705529999999996</v>
      </c>
      <c r="W34" s="16">
        <v>37.451039999999999</v>
      </c>
      <c r="X34" s="16">
        <v>26.642310000000002</v>
      </c>
      <c r="Y34" s="16">
        <v>24.678090000000001</v>
      </c>
      <c r="Z34" s="16">
        <v>8.9953899999999987</v>
      </c>
      <c r="AA34" s="16">
        <v>10.980259999999999</v>
      </c>
      <c r="AB34" s="16">
        <v>20.74005</v>
      </c>
      <c r="AC34" s="16">
        <v>12.02684</v>
      </c>
      <c r="AD34" s="16">
        <v>16.101219999999998</v>
      </c>
      <c r="AE34" s="16">
        <v>21.6662</v>
      </c>
      <c r="AF34" s="16">
        <v>20.032019999999999</v>
      </c>
      <c r="AG34" s="16">
        <v>39.997980000000005</v>
      </c>
      <c r="AH34" s="16">
        <v>31.045729999999999</v>
      </c>
      <c r="AI34" s="16"/>
      <c r="AJ34" s="16"/>
      <c r="AK34" s="16"/>
      <c r="AL34" s="16"/>
      <c r="AM34" s="16"/>
    </row>
    <row r="35" spans="1:39" ht="14.5" x14ac:dyDescent="0.35">
      <c r="A35" s="137">
        <f>YampaRiverInflow.TotalOutflow!A35</f>
        <v>47088</v>
      </c>
      <c r="B35" s="34">
        <v>15.99</v>
      </c>
      <c r="C35" s="12">
        <v>15.99</v>
      </c>
      <c r="D35" s="45">
        <v>15.99</v>
      </c>
      <c r="E35" s="16">
        <v>29.816050000000001</v>
      </c>
      <c r="F35" s="16">
        <v>44.606540000000003</v>
      </c>
      <c r="G35" s="16">
        <v>19.765080000000001</v>
      </c>
      <c r="H35" s="16">
        <v>7.7796599999999998</v>
      </c>
      <c r="I35" s="16">
        <v>13.676959999999999</v>
      </c>
      <c r="J35" s="16">
        <v>23.667650000000002</v>
      </c>
      <c r="K35" s="16">
        <v>37.513860000000001</v>
      </c>
      <c r="L35" s="16">
        <v>34.277999999999999</v>
      </c>
      <c r="M35" s="16">
        <v>20.094150000000003</v>
      </c>
      <c r="N35" s="16">
        <v>16.359249999999999</v>
      </c>
      <c r="O35" s="16">
        <v>19.779970000000002</v>
      </c>
      <c r="P35" s="16">
        <v>32.128779999999999</v>
      </c>
      <c r="Q35" s="16">
        <v>31.08907</v>
      </c>
      <c r="R35" s="16">
        <v>-1.11826</v>
      </c>
      <c r="S35" s="16">
        <v>19.982200000000002</v>
      </c>
      <c r="T35" s="16">
        <v>24.610099999999999</v>
      </c>
      <c r="U35" s="16">
        <v>25.219580000000001</v>
      </c>
      <c r="V35" s="16">
        <v>32.677639999999997</v>
      </c>
      <c r="W35" s="16">
        <v>27.849769999999999</v>
      </c>
      <c r="X35" s="16">
        <v>19.783900000000003</v>
      </c>
      <c r="Y35" s="16">
        <v>7.2279200000000001</v>
      </c>
      <c r="Z35" s="16">
        <v>18.567619999999998</v>
      </c>
      <c r="AA35" s="16">
        <v>21.625409999999999</v>
      </c>
      <c r="AB35" s="16">
        <v>25.90841</v>
      </c>
      <c r="AC35" s="16">
        <v>17.129480000000001</v>
      </c>
      <c r="AD35" s="16">
        <v>26.609639999999999</v>
      </c>
      <c r="AE35" s="16">
        <v>19.80631</v>
      </c>
      <c r="AF35" s="16">
        <v>8.9451000000000001</v>
      </c>
      <c r="AG35" s="16">
        <v>31.987259999999999</v>
      </c>
      <c r="AH35" s="16">
        <v>42.814999999999998</v>
      </c>
      <c r="AI35" s="16"/>
      <c r="AJ35" s="16"/>
      <c r="AK35" s="16"/>
      <c r="AL35" s="16"/>
      <c r="AM35" s="16"/>
    </row>
    <row r="36" spans="1:39" ht="14.5" x14ac:dyDescent="0.35">
      <c r="A36" s="137">
        <f>YampaRiverInflow.TotalOutflow!A36</f>
        <v>47119</v>
      </c>
      <c r="B36" s="34">
        <v>8.0239999999999991</v>
      </c>
      <c r="C36" s="12">
        <v>8.0239999999999991</v>
      </c>
      <c r="D36" s="45">
        <v>8.0239999999999991</v>
      </c>
      <c r="E36" s="16">
        <v>22.186250000000001</v>
      </c>
      <c r="F36" s="16">
        <v>31.44839</v>
      </c>
      <c r="G36" s="16">
        <v>12.870100000000001</v>
      </c>
      <c r="H36" s="16">
        <v>-2.4762600000000003</v>
      </c>
      <c r="I36" s="16">
        <v>17.852400000000003</v>
      </c>
      <c r="J36" s="16">
        <v>41.023440000000001</v>
      </c>
      <c r="K36" s="16">
        <v>32.832380000000001</v>
      </c>
      <c r="L36" s="16">
        <v>37.038040000000002</v>
      </c>
      <c r="M36" s="16">
        <v>4.0773999999999999</v>
      </c>
      <c r="N36" s="16">
        <v>8.4755500000000001</v>
      </c>
      <c r="O36" s="16">
        <v>7.35494</v>
      </c>
      <c r="P36" s="16">
        <v>137.11972</v>
      </c>
      <c r="Q36" s="16">
        <v>5.1303400000000003</v>
      </c>
      <c r="R36" s="16">
        <v>9.6627500000000008</v>
      </c>
      <c r="S36" s="16">
        <v>13.882709999999999</v>
      </c>
      <c r="T36" s="16">
        <v>3.5912800000000002</v>
      </c>
      <c r="U36" s="16">
        <v>41.677339999999994</v>
      </c>
      <c r="V36" s="16">
        <v>7.6143400000000003</v>
      </c>
      <c r="W36" s="16">
        <v>11.315340000000001</v>
      </c>
      <c r="X36" s="16">
        <v>17.09442</v>
      </c>
      <c r="Y36" s="16">
        <v>12.350530000000001</v>
      </c>
      <c r="Z36" s="16">
        <v>17.26952</v>
      </c>
      <c r="AA36" s="16">
        <v>26.249689999999998</v>
      </c>
      <c r="AB36" s="16">
        <v>33.221690000000002</v>
      </c>
      <c r="AC36" s="16">
        <v>3.0476799999999997</v>
      </c>
      <c r="AD36" s="16">
        <v>19.352180000000001</v>
      </c>
      <c r="AE36" s="16">
        <v>1.2711300000000001</v>
      </c>
      <c r="AF36" s="16">
        <v>34.924039999999998</v>
      </c>
      <c r="AG36" s="16">
        <v>19.72597</v>
      </c>
      <c r="AH36" s="16">
        <v>101.47150999999999</v>
      </c>
      <c r="AI36" s="16"/>
      <c r="AJ36" s="16"/>
      <c r="AK36" s="16"/>
      <c r="AL36" s="16"/>
      <c r="AM36" s="16"/>
    </row>
    <row r="37" spans="1:39" ht="14.5" x14ac:dyDescent="0.35">
      <c r="A37" s="137">
        <f>YampaRiverInflow.TotalOutflow!A37</f>
        <v>47150</v>
      </c>
      <c r="B37" s="34">
        <v>1.28</v>
      </c>
      <c r="C37" s="12">
        <v>1.28</v>
      </c>
      <c r="D37" s="45">
        <v>1.28</v>
      </c>
      <c r="E37" s="16">
        <v>12.69018</v>
      </c>
      <c r="F37" s="16">
        <v>90.418979999999991</v>
      </c>
      <c r="G37" s="16">
        <v>14.52515</v>
      </c>
      <c r="H37" s="16">
        <v>22.389509999999998</v>
      </c>
      <c r="I37" s="16">
        <v>37.958120000000001</v>
      </c>
      <c r="J37" s="16">
        <v>22.295439999999999</v>
      </c>
      <c r="K37" s="16">
        <v>16.79486</v>
      </c>
      <c r="L37" s="16">
        <v>22.422799999999999</v>
      </c>
      <c r="M37" s="16">
        <v>6.8791199999999995</v>
      </c>
      <c r="N37" s="16">
        <v>23.193290000000001</v>
      </c>
      <c r="O37" s="16">
        <v>13.382340000000001</v>
      </c>
      <c r="P37" s="16">
        <v>174.80966000000001</v>
      </c>
      <c r="Q37" s="16">
        <v>11.10446</v>
      </c>
      <c r="R37" s="16">
        <v>-5.5345800000000001</v>
      </c>
      <c r="S37" s="16">
        <v>2.9116999999999997</v>
      </c>
      <c r="T37" s="16">
        <v>14.60534</v>
      </c>
      <c r="U37" s="16">
        <v>8.7208299999999994</v>
      </c>
      <c r="V37" s="16">
        <v>14.52425</v>
      </c>
      <c r="W37" s="16">
        <v>10.423639999999999</v>
      </c>
      <c r="X37" s="16">
        <v>3.61097</v>
      </c>
      <c r="Y37" s="16">
        <v>19.37181</v>
      </c>
      <c r="Z37" s="16">
        <v>9.0375899999999998</v>
      </c>
      <c r="AA37" s="16">
        <v>9.4203500000000009</v>
      </c>
      <c r="AB37" s="16">
        <v>14.485799999999999</v>
      </c>
      <c r="AC37" s="16">
        <v>2.4660500000000001</v>
      </c>
      <c r="AD37" s="16">
        <v>12.83705</v>
      </c>
      <c r="AE37" s="16">
        <v>-3.5236000000000001</v>
      </c>
      <c r="AF37" s="16">
        <v>48.393839999999997</v>
      </c>
      <c r="AG37" s="16">
        <v>31.827900000000003</v>
      </c>
      <c r="AH37" s="16">
        <v>223.49332999999999</v>
      </c>
      <c r="AI37" s="16"/>
      <c r="AJ37" s="16"/>
      <c r="AK37" s="16"/>
      <c r="AL37" s="16"/>
      <c r="AM37" s="16"/>
    </row>
    <row r="38" spans="1:39" ht="14.5" x14ac:dyDescent="0.35">
      <c r="A38" s="137">
        <f>YampaRiverInflow.TotalOutflow!A38</f>
        <v>47178</v>
      </c>
      <c r="B38" s="34">
        <v>7.3979999999999997</v>
      </c>
      <c r="C38" s="12">
        <v>7.3979999999999997</v>
      </c>
      <c r="D38" s="45">
        <v>7.3979999999999997</v>
      </c>
      <c r="E38" s="16">
        <v>37.884599999999999</v>
      </c>
      <c r="F38" s="16">
        <v>112.95494000000001</v>
      </c>
      <c r="G38" s="16">
        <v>11.05152</v>
      </c>
      <c r="H38" s="16">
        <v>29.335470000000001</v>
      </c>
      <c r="I38" s="16">
        <v>39.440980000000003</v>
      </c>
      <c r="J38" s="16">
        <v>28.53557</v>
      </c>
      <c r="K38" s="16">
        <v>11.616709999999999</v>
      </c>
      <c r="L38" s="16">
        <v>39.455980000000004</v>
      </c>
      <c r="M38" s="16">
        <v>14.638629999999999</v>
      </c>
      <c r="N38" s="16">
        <v>0.65770000000000006</v>
      </c>
      <c r="O38" s="16">
        <v>5.9991499999999993</v>
      </c>
      <c r="P38" s="16">
        <v>168.58645999999999</v>
      </c>
      <c r="Q38" s="16">
        <v>24.270910000000001</v>
      </c>
      <c r="R38" s="16">
        <v>15.905659999999999</v>
      </c>
      <c r="S38" s="16">
        <v>3.0453899999999998</v>
      </c>
      <c r="T38" s="16">
        <v>10.662570000000001</v>
      </c>
      <c r="U38" s="16">
        <v>54.882220000000004</v>
      </c>
      <c r="V38" s="16">
        <v>5.2403999999999993</v>
      </c>
      <c r="W38" s="16">
        <v>8.1280900000000003</v>
      </c>
      <c r="X38" s="16">
        <v>7.5745200000000006</v>
      </c>
      <c r="Y38" s="16">
        <v>-3.1372800000000001</v>
      </c>
      <c r="Z38" s="16">
        <v>2.7688999999999999</v>
      </c>
      <c r="AA38" s="16">
        <v>17.607590000000002</v>
      </c>
      <c r="AB38" s="16">
        <v>10.797639999999999</v>
      </c>
      <c r="AC38" s="16">
        <v>-2.6914400000000001</v>
      </c>
      <c r="AD38" s="16">
        <v>-4.7191800000000006</v>
      </c>
      <c r="AE38" s="16">
        <v>15.227370000000001</v>
      </c>
      <c r="AF38" s="16">
        <v>42.540279999999996</v>
      </c>
      <c r="AG38" s="16">
        <v>65.722139999999996</v>
      </c>
      <c r="AH38" s="16">
        <v>320.00659999999999</v>
      </c>
      <c r="AI38" s="16"/>
      <c r="AJ38" s="16"/>
      <c r="AK38" s="16"/>
      <c r="AL38" s="16"/>
      <c r="AM38" s="16"/>
    </row>
    <row r="39" spans="1:39" ht="14.5" x14ac:dyDescent="0.35">
      <c r="A39" s="137">
        <f>YampaRiverInflow.TotalOutflow!A39</f>
        <v>47209</v>
      </c>
      <c r="B39" s="34">
        <v>11.433</v>
      </c>
      <c r="C39" s="12">
        <v>11.433</v>
      </c>
      <c r="D39" s="45">
        <v>11.433</v>
      </c>
      <c r="E39" s="16">
        <v>26.37837</v>
      </c>
      <c r="F39" s="16">
        <v>26.40803</v>
      </c>
      <c r="G39" s="16">
        <v>24.875400000000003</v>
      </c>
      <c r="H39" s="16">
        <v>18.278950000000002</v>
      </c>
      <c r="I39" s="16">
        <v>37.051639999999999</v>
      </c>
      <c r="J39" s="16">
        <v>17.816080000000003</v>
      </c>
      <c r="K39" s="16">
        <v>-60.419429999999998</v>
      </c>
      <c r="L39" s="16">
        <v>61.055440000000004</v>
      </c>
      <c r="M39" s="16">
        <v>14.78669</v>
      </c>
      <c r="N39" s="16">
        <v>22.411540000000002</v>
      </c>
      <c r="O39" s="16">
        <v>12.2781</v>
      </c>
      <c r="P39" s="16">
        <v>16.633849999999999</v>
      </c>
      <c r="Q39" s="16">
        <v>14.433149999999999</v>
      </c>
      <c r="R39" s="16">
        <v>15.62908</v>
      </c>
      <c r="S39" s="16">
        <v>11.950719999999999</v>
      </c>
      <c r="T39" s="16">
        <v>15.121379999999998</v>
      </c>
      <c r="U39" s="16">
        <v>34.073339999999995</v>
      </c>
      <c r="V39" s="16">
        <v>18.952660000000002</v>
      </c>
      <c r="W39" s="16">
        <v>23.953599999999998</v>
      </c>
      <c r="X39" s="16">
        <v>14.33919</v>
      </c>
      <c r="Y39" s="16">
        <v>23.937049999999999</v>
      </c>
      <c r="Z39" s="16">
        <v>12.696009999999999</v>
      </c>
      <c r="AA39" s="16">
        <v>18.01211</v>
      </c>
      <c r="AB39" s="16">
        <v>12.86886</v>
      </c>
      <c r="AC39" s="16">
        <v>-8.04922</v>
      </c>
      <c r="AD39" s="16">
        <v>5.6169700000000002</v>
      </c>
      <c r="AE39" s="16">
        <v>28.85717</v>
      </c>
      <c r="AF39" s="16">
        <v>70.878419999999991</v>
      </c>
      <c r="AG39" s="16">
        <v>41.314720000000001</v>
      </c>
      <c r="AH39" s="16">
        <v>46.898789999999998</v>
      </c>
      <c r="AI39" s="16"/>
      <c r="AJ39" s="16"/>
      <c r="AK39" s="16"/>
      <c r="AL39" s="16"/>
      <c r="AM39" s="16"/>
    </row>
    <row r="40" spans="1:39" ht="14.5" x14ac:dyDescent="0.35">
      <c r="A40" s="137">
        <f>YampaRiverInflow.TotalOutflow!A40</f>
        <v>47239</v>
      </c>
      <c r="B40" s="34">
        <v>5.9089999999999998</v>
      </c>
      <c r="C40" s="12">
        <v>5.9089999999999998</v>
      </c>
      <c r="D40" s="45">
        <v>5.9089999999999998</v>
      </c>
      <c r="E40" s="16">
        <v>156.79035000000002</v>
      </c>
      <c r="F40" s="16">
        <v>38.484410000000004</v>
      </c>
      <c r="G40" s="16">
        <v>26.34796</v>
      </c>
      <c r="H40" s="16">
        <v>25.867759999999997</v>
      </c>
      <c r="I40" s="16">
        <v>34.764309999999995</v>
      </c>
      <c r="J40" s="16">
        <v>25.367919999999998</v>
      </c>
      <c r="K40" s="16">
        <v>-18.437729999999998</v>
      </c>
      <c r="L40" s="16">
        <v>9.6380599999999994</v>
      </c>
      <c r="M40" s="16">
        <v>21.706889999999998</v>
      </c>
      <c r="N40" s="16">
        <v>18.98912</v>
      </c>
      <c r="O40" s="16">
        <v>6.7455100000000003</v>
      </c>
      <c r="P40" s="16">
        <v>10.561809999999999</v>
      </c>
      <c r="Q40" s="16">
        <v>-4.5164900000000001</v>
      </c>
      <c r="R40" s="16">
        <v>13.6478</v>
      </c>
      <c r="S40" s="16">
        <v>14.380700000000001</v>
      </c>
      <c r="T40" s="16">
        <v>20.278509999999997</v>
      </c>
      <c r="U40" s="16">
        <v>24.106630000000003</v>
      </c>
      <c r="V40" s="16">
        <v>17.297810000000002</v>
      </c>
      <c r="W40" s="16">
        <v>25.734249999999999</v>
      </c>
      <c r="X40" s="16">
        <v>20.646380000000001</v>
      </c>
      <c r="Y40" s="16">
        <v>-2.8287300000000002</v>
      </c>
      <c r="Z40" s="16">
        <v>20.732980000000001</v>
      </c>
      <c r="AA40" s="16">
        <v>13.07884</v>
      </c>
      <c r="AB40" s="16">
        <v>22.115179999999999</v>
      </c>
      <c r="AC40" s="16">
        <v>10.55193</v>
      </c>
      <c r="AD40" s="16">
        <v>8.3118600000000011</v>
      </c>
      <c r="AE40" s="16">
        <v>-6.5306800000000003</v>
      </c>
      <c r="AF40" s="16">
        <v>42.96922</v>
      </c>
      <c r="AG40" s="16">
        <v>42.513089999999998</v>
      </c>
      <c r="AH40" s="16">
        <v>61.397860000000001</v>
      </c>
      <c r="AI40" s="16"/>
      <c r="AJ40" s="16"/>
      <c r="AK40" s="16"/>
      <c r="AL40" s="16"/>
      <c r="AM40" s="16"/>
    </row>
    <row r="41" spans="1:39" ht="14.5" x14ac:dyDescent="0.35">
      <c r="A41" s="137">
        <f>YampaRiverInflow.TotalOutflow!A41</f>
        <v>47270</v>
      </c>
      <c r="B41" s="34">
        <v>14.849</v>
      </c>
      <c r="C41" s="12">
        <v>14.849</v>
      </c>
      <c r="D41" s="45">
        <v>14.849</v>
      </c>
      <c r="E41" s="16">
        <v>162.57756000000001</v>
      </c>
      <c r="F41" s="16">
        <v>38.630720000000004</v>
      </c>
      <c r="G41" s="16">
        <v>28.58334</v>
      </c>
      <c r="H41" s="16">
        <v>31.828189999999999</v>
      </c>
      <c r="I41" s="16">
        <v>32.597670000000001</v>
      </c>
      <c r="J41" s="16">
        <v>24.753419999999998</v>
      </c>
      <c r="K41" s="16">
        <v>34.456029999999998</v>
      </c>
      <c r="L41" s="16">
        <v>44.059580000000004</v>
      </c>
      <c r="M41" s="16">
        <v>22.553609999999999</v>
      </c>
      <c r="N41" s="16">
        <v>11.884649999999999</v>
      </c>
      <c r="O41" s="16">
        <v>3.4337300000000002</v>
      </c>
      <c r="P41" s="16">
        <v>10.73582</v>
      </c>
      <c r="Q41" s="16">
        <v>-12.62983</v>
      </c>
      <c r="R41" s="16">
        <v>11.01207</v>
      </c>
      <c r="S41" s="16">
        <v>4.8791199999999995</v>
      </c>
      <c r="T41" s="16">
        <v>20.43703</v>
      </c>
      <c r="U41" s="16">
        <v>23.30864</v>
      </c>
      <c r="V41" s="16">
        <v>14.64692</v>
      </c>
      <c r="W41" s="16">
        <v>10.02741</v>
      </c>
      <c r="X41" s="16">
        <v>15.25596</v>
      </c>
      <c r="Y41" s="16">
        <v>10.849350000000001</v>
      </c>
      <c r="Z41" s="16">
        <v>19.483750000000001</v>
      </c>
      <c r="AA41" s="16">
        <v>18.53059</v>
      </c>
      <c r="AB41" s="16">
        <v>0.33273000000000003</v>
      </c>
      <c r="AC41" s="16">
        <v>6.2228399999999997</v>
      </c>
      <c r="AD41" s="16">
        <v>11.04167</v>
      </c>
      <c r="AE41" s="16">
        <v>-4.7700100000000001</v>
      </c>
      <c r="AF41" s="16">
        <v>47.769469999999998</v>
      </c>
      <c r="AG41" s="16">
        <v>30.468389999999999</v>
      </c>
      <c r="AH41" s="16">
        <v>41.864040000000003</v>
      </c>
      <c r="AI41" s="16"/>
      <c r="AJ41" s="16"/>
      <c r="AK41" s="16"/>
      <c r="AL41" s="16"/>
      <c r="AM41" s="16"/>
    </row>
    <row r="42" spans="1:39" ht="14.5" x14ac:dyDescent="0.35">
      <c r="A42" s="137">
        <f>YampaRiverInflow.TotalOutflow!A42</f>
        <v>47300</v>
      </c>
      <c r="B42" s="34">
        <v>18.539000000000001</v>
      </c>
      <c r="C42" s="12">
        <v>18.539000000000001</v>
      </c>
      <c r="D42" s="45">
        <v>18.539000000000001</v>
      </c>
      <c r="E42" s="16">
        <v>176.79275000000001</v>
      </c>
      <c r="F42" s="16">
        <v>47.455460000000002</v>
      </c>
      <c r="G42" s="16">
        <v>34.655120000000004</v>
      </c>
      <c r="H42" s="16">
        <v>33.561260000000004</v>
      </c>
      <c r="I42" s="16">
        <v>28.150029999999997</v>
      </c>
      <c r="J42" s="16">
        <v>51.289180000000002</v>
      </c>
      <c r="K42" s="16">
        <v>41.384039999999999</v>
      </c>
      <c r="L42" s="16">
        <v>33.49259</v>
      </c>
      <c r="M42" s="16">
        <v>27.52253</v>
      </c>
      <c r="N42" s="16">
        <v>15.318239999999999</v>
      </c>
      <c r="O42" s="16">
        <v>6.7752799999999995</v>
      </c>
      <c r="P42" s="16">
        <v>10.10783</v>
      </c>
      <c r="Q42" s="16">
        <v>4.5903700000000001</v>
      </c>
      <c r="R42" s="16">
        <v>26.346730000000001</v>
      </c>
      <c r="S42" s="16">
        <v>12.034459999999999</v>
      </c>
      <c r="T42" s="16">
        <v>17.305540000000001</v>
      </c>
      <c r="U42" s="16">
        <v>17.516080000000002</v>
      </c>
      <c r="V42" s="16">
        <v>34.461320000000001</v>
      </c>
      <c r="W42" s="16">
        <v>45.978550000000006</v>
      </c>
      <c r="X42" s="16">
        <v>28.134409999999999</v>
      </c>
      <c r="Y42" s="16">
        <v>19.273779999999999</v>
      </c>
      <c r="Z42" s="16">
        <v>17.619880000000002</v>
      </c>
      <c r="AA42" s="16">
        <v>20.370249999999999</v>
      </c>
      <c r="AB42" s="16">
        <v>18.260590000000001</v>
      </c>
      <c r="AC42" s="16">
        <v>20.425439999999998</v>
      </c>
      <c r="AD42" s="16">
        <v>15.59191</v>
      </c>
      <c r="AE42" s="16">
        <v>2.5027699999999999</v>
      </c>
      <c r="AF42" s="16">
        <v>47.54383</v>
      </c>
      <c r="AG42" s="16">
        <v>61.736230000000006</v>
      </c>
      <c r="AH42" s="16">
        <v>56.987910000000007</v>
      </c>
      <c r="AI42" s="16"/>
      <c r="AJ42" s="16"/>
      <c r="AK42" s="16"/>
      <c r="AL42" s="16"/>
      <c r="AM42" s="16"/>
    </row>
    <row r="43" spans="1:39" ht="14.5" x14ac:dyDescent="0.35">
      <c r="A43" s="137">
        <f>YampaRiverInflow.TotalOutflow!A43</f>
        <v>47331</v>
      </c>
      <c r="B43" s="34">
        <v>19.315000000000001</v>
      </c>
      <c r="C43" s="12">
        <v>19.315000000000001</v>
      </c>
      <c r="D43" s="45">
        <v>19.315000000000001</v>
      </c>
      <c r="E43" s="16">
        <v>55.473610000000001</v>
      </c>
      <c r="F43" s="16">
        <v>43.952150000000003</v>
      </c>
      <c r="G43" s="16">
        <v>35.973910000000004</v>
      </c>
      <c r="H43" s="16">
        <v>38.820389999999996</v>
      </c>
      <c r="I43" s="16">
        <v>44.411699999999996</v>
      </c>
      <c r="J43" s="16">
        <v>34.729699999999994</v>
      </c>
      <c r="K43" s="16">
        <v>47.307449999999996</v>
      </c>
      <c r="L43" s="16">
        <v>39.600670000000001</v>
      </c>
      <c r="M43" s="16">
        <v>28.68741</v>
      </c>
      <c r="N43" s="16">
        <v>23.301560000000002</v>
      </c>
      <c r="O43" s="16">
        <v>11.3675</v>
      </c>
      <c r="P43" s="16">
        <v>31.263090000000002</v>
      </c>
      <c r="Q43" s="16">
        <v>3.74146</v>
      </c>
      <c r="R43" s="16">
        <v>14.787049999999999</v>
      </c>
      <c r="S43" s="16">
        <v>25.305250000000001</v>
      </c>
      <c r="T43" s="16">
        <v>24.650939999999999</v>
      </c>
      <c r="U43" s="16">
        <v>21.208159999999999</v>
      </c>
      <c r="V43" s="16">
        <v>24.72842</v>
      </c>
      <c r="W43" s="16">
        <v>25.745990000000003</v>
      </c>
      <c r="X43" s="16">
        <v>37.131620000000005</v>
      </c>
      <c r="Y43" s="16">
        <v>26.087199999999999</v>
      </c>
      <c r="Z43" s="16">
        <v>15.61852</v>
      </c>
      <c r="AA43" s="16">
        <v>22.61469</v>
      </c>
      <c r="AB43" s="16">
        <v>11.924809999999999</v>
      </c>
      <c r="AC43" s="16">
        <v>21.49428</v>
      </c>
      <c r="AD43" s="16">
        <v>15.177059999999999</v>
      </c>
      <c r="AE43" s="16">
        <v>1.5323699999999998</v>
      </c>
      <c r="AF43" s="16">
        <v>55.200400000000002</v>
      </c>
      <c r="AG43" s="16">
        <v>61.601279999999996</v>
      </c>
      <c r="AH43" s="16">
        <v>63.181809999999999</v>
      </c>
      <c r="AI43" s="16"/>
      <c r="AJ43" s="16"/>
      <c r="AK43" s="16"/>
      <c r="AL43" s="16"/>
      <c r="AM43" s="16"/>
    </row>
    <row r="44" spans="1:39" ht="14.5" x14ac:dyDescent="0.35">
      <c r="A44" s="137">
        <f>YampaRiverInflow.TotalOutflow!A44</f>
        <v>47362</v>
      </c>
      <c r="B44" s="34">
        <v>11.255000000000001</v>
      </c>
      <c r="C44" s="12">
        <v>11.255000000000001</v>
      </c>
      <c r="D44" s="45">
        <v>11.255000000000001</v>
      </c>
      <c r="E44" s="16">
        <v>37.592089999999999</v>
      </c>
      <c r="F44" s="16">
        <v>39.71172</v>
      </c>
      <c r="G44" s="16">
        <v>31.901700000000002</v>
      </c>
      <c r="H44" s="16">
        <v>56.052810000000001</v>
      </c>
      <c r="I44" s="16">
        <v>39.031980000000004</v>
      </c>
      <c r="J44" s="16">
        <v>22.410490000000003</v>
      </c>
      <c r="K44" s="16">
        <v>25.424400000000002</v>
      </c>
      <c r="L44" s="16">
        <v>31.6371</v>
      </c>
      <c r="M44" s="16">
        <v>25.40353</v>
      </c>
      <c r="N44" s="16">
        <v>16.953939999999999</v>
      </c>
      <c r="O44" s="16">
        <v>23.521319999999999</v>
      </c>
      <c r="P44" s="16">
        <v>6.1092299999999993</v>
      </c>
      <c r="Q44" s="16">
        <v>5.1206000000000005</v>
      </c>
      <c r="R44" s="16">
        <v>18.619119999999999</v>
      </c>
      <c r="S44" s="16">
        <v>14.416780000000001</v>
      </c>
      <c r="T44" s="16">
        <v>21.239709999999999</v>
      </c>
      <c r="U44" s="16">
        <v>17.404430000000001</v>
      </c>
      <c r="V44" s="16">
        <v>30.471599999999999</v>
      </c>
      <c r="W44" s="16">
        <v>31.308349999999997</v>
      </c>
      <c r="X44" s="16">
        <v>23.010400000000001</v>
      </c>
      <c r="Y44" s="16">
        <v>13.297270000000001</v>
      </c>
      <c r="Z44" s="16">
        <v>19.103159999999999</v>
      </c>
      <c r="AA44" s="16">
        <v>13.49493</v>
      </c>
      <c r="AB44" s="16">
        <v>16.10501</v>
      </c>
      <c r="AC44" s="16">
        <v>9.4053100000000001</v>
      </c>
      <c r="AD44" s="16">
        <v>25.57864</v>
      </c>
      <c r="AE44" s="16">
        <v>3.7597700000000001</v>
      </c>
      <c r="AF44" s="16">
        <v>52.202289999999998</v>
      </c>
      <c r="AG44" s="16">
        <v>44.245980000000003</v>
      </c>
      <c r="AH44" s="16">
        <v>44.766109999999998</v>
      </c>
      <c r="AI44" s="16"/>
      <c r="AJ44" s="16"/>
      <c r="AK44" s="16"/>
      <c r="AL44" s="16"/>
      <c r="AM44" s="16"/>
    </row>
    <row r="45" spans="1:39" ht="14.5" x14ac:dyDescent="0.35">
      <c r="A45" s="137">
        <f>YampaRiverInflow.TotalOutflow!A45</f>
        <v>47392</v>
      </c>
      <c r="B45" s="34">
        <v>17.218</v>
      </c>
      <c r="C45" s="12">
        <v>17.218</v>
      </c>
      <c r="D45" s="45">
        <v>17.218</v>
      </c>
      <c r="E45" s="16">
        <v>41.26681</v>
      </c>
      <c r="F45" s="16">
        <v>29.103630000000003</v>
      </c>
      <c r="G45" s="16">
        <v>25.964269999999999</v>
      </c>
      <c r="H45" s="16">
        <v>17.12565</v>
      </c>
      <c r="I45" s="16">
        <v>46.327440000000003</v>
      </c>
      <c r="J45" s="16">
        <v>-9.2141900000000003</v>
      </c>
      <c r="K45" s="16">
        <v>33.455199999999998</v>
      </c>
      <c r="L45" s="16">
        <v>17.611669999999997</v>
      </c>
      <c r="M45" s="16">
        <v>33.28969</v>
      </c>
      <c r="N45" s="16">
        <v>9.327</v>
      </c>
      <c r="O45" s="16">
        <v>44.053580000000004</v>
      </c>
      <c r="P45" s="16">
        <v>22.421990000000001</v>
      </c>
      <c r="Q45" s="16">
        <v>15.98033</v>
      </c>
      <c r="R45" s="16">
        <v>21.85923</v>
      </c>
      <c r="S45" s="16">
        <v>21.119289999999999</v>
      </c>
      <c r="T45" s="16">
        <v>17.553560000000001</v>
      </c>
      <c r="U45" s="16">
        <v>25.013810000000003</v>
      </c>
      <c r="V45" s="16">
        <v>30.83512</v>
      </c>
      <c r="W45" s="16">
        <v>33.816769999999998</v>
      </c>
      <c r="X45" s="16">
        <v>18.591950000000001</v>
      </c>
      <c r="Y45" s="16">
        <v>16.111409999999999</v>
      </c>
      <c r="Z45" s="16">
        <v>34.134349999999998</v>
      </c>
      <c r="AA45" s="16">
        <v>35.689430000000002</v>
      </c>
      <c r="AB45" s="16">
        <v>9.0004500000000007</v>
      </c>
      <c r="AC45" s="16">
        <v>22.628880000000002</v>
      </c>
      <c r="AD45" s="16">
        <v>18.034800000000001</v>
      </c>
      <c r="AE45" s="16">
        <v>21.008279999999999</v>
      </c>
      <c r="AF45" s="16">
        <v>41.361400000000003</v>
      </c>
      <c r="AG45" s="16">
        <v>43.124980000000001</v>
      </c>
      <c r="AH45" s="16">
        <v>33.977460000000001</v>
      </c>
      <c r="AI45" s="16"/>
      <c r="AJ45" s="16"/>
      <c r="AK45" s="16"/>
      <c r="AL45" s="16"/>
      <c r="AM45" s="16"/>
    </row>
    <row r="46" spans="1:39" ht="14.5" x14ac:dyDescent="0.35">
      <c r="A46" s="137">
        <f>YampaRiverInflow.TotalOutflow!A46</f>
        <v>47423</v>
      </c>
      <c r="B46" s="34">
        <v>15.69</v>
      </c>
      <c r="C46" s="12">
        <v>15.69</v>
      </c>
      <c r="D46" s="45">
        <v>15.69</v>
      </c>
      <c r="E46" s="16">
        <v>37.118040000000001</v>
      </c>
      <c r="F46" s="16">
        <v>31.591099999999997</v>
      </c>
      <c r="G46" s="16">
        <v>21.961970000000001</v>
      </c>
      <c r="H46" s="16">
        <v>34.472559999999994</v>
      </c>
      <c r="I46" s="16">
        <v>17.06053</v>
      </c>
      <c r="J46" s="16">
        <v>26.185509999999997</v>
      </c>
      <c r="K46" s="16">
        <v>0.18277000000000002</v>
      </c>
      <c r="L46" s="16">
        <v>9.8123400000000007</v>
      </c>
      <c r="M46" s="16">
        <v>18.025740000000003</v>
      </c>
      <c r="N46" s="16">
        <v>18.855130000000003</v>
      </c>
      <c r="O46" s="16">
        <v>52.820480000000003</v>
      </c>
      <c r="P46" s="16">
        <v>26.401889999999998</v>
      </c>
      <c r="Q46" s="16">
        <v>7.4708800000000002</v>
      </c>
      <c r="R46" s="16">
        <v>17.074390000000001</v>
      </c>
      <c r="S46" s="16">
        <v>28.747880000000002</v>
      </c>
      <c r="T46" s="16">
        <v>31.614810000000002</v>
      </c>
      <c r="U46" s="16">
        <v>37.705529999999996</v>
      </c>
      <c r="V46" s="16">
        <v>37.451039999999999</v>
      </c>
      <c r="W46" s="16">
        <v>26.642310000000002</v>
      </c>
      <c r="X46" s="16">
        <v>24.678090000000001</v>
      </c>
      <c r="Y46" s="16">
        <v>8.9953899999999987</v>
      </c>
      <c r="Z46" s="16">
        <v>10.980259999999999</v>
      </c>
      <c r="AA46" s="16">
        <v>20.74005</v>
      </c>
      <c r="AB46" s="16">
        <v>12.02684</v>
      </c>
      <c r="AC46" s="16">
        <v>16.101219999999998</v>
      </c>
      <c r="AD46" s="16">
        <v>21.6662</v>
      </c>
      <c r="AE46" s="16">
        <v>20.032019999999999</v>
      </c>
      <c r="AF46" s="16">
        <v>39.997980000000005</v>
      </c>
      <c r="AG46" s="16">
        <v>31.045729999999999</v>
      </c>
      <c r="AH46" s="16">
        <v>21.412279999999999</v>
      </c>
      <c r="AI46" s="16"/>
      <c r="AJ46" s="16"/>
      <c r="AK46" s="16"/>
      <c r="AL46" s="16"/>
      <c r="AM46" s="16"/>
    </row>
    <row r="47" spans="1:39" ht="14.5" x14ac:dyDescent="0.35">
      <c r="A47" s="137">
        <f>YampaRiverInflow.TotalOutflow!A47</f>
        <v>47453</v>
      </c>
      <c r="B47" s="34">
        <v>15.99</v>
      </c>
      <c r="C47" s="12">
        <v>15.99</v>
      </c>
      <c r="D47" s="45">
        <v>15.99</v>
      </c>
      <c r="E47" s="16">
        <v>44.606540000000003</v>
      </c>
      <c r="F47" s="16">
        <v>19.765080000000001</v>
      </c>
      <c r="G47" s="16">
        <v>7.7796599999999998</v>
      </c>
      <c r="H47" s="16">
        <v>13.676959999999999</v>
      </c>
      <c r="I47" s="16">
        <v>23.667650000000002</v>
      </c>
      <c r="J47" s="16">
        <v>37.513860000000001</v>
      </c>
      <c r="K47" s="16">
        <v>34.277999999999999</v>
      </c>
      <c r="L47" s="16">
        <v>20.094150000000003</v>
      </c>
      <c r="M47" s="16">
        <v>16.359249999999999</v>
      </c>
      <c r="N47" s="16">
        <v>19.779970000000002</v>
      </c>
      <c r="O47" s="16">
        <v>32.128779999999999</v>
      </c>
      <c r="P47" s="16">
        <v>31.08907</v>
      </c>
      <c r="Q47" s="16">
        <v>-1.11826</v>
      </c>
      <c r="R47" s="16">
        <v>19.982200000000002</v>
      </c>
      <c r="S47" s="16">
        <v>24.610099999999999</v>
      </c>
      <c r="T47" s="16">
        <v>25.219580000000001</v>
      </c>
      <c r="U47" s="16">
        <v>32.677639999999997</v>
      </c>
      <c r="V47" s="16">
        <v>27.849769999999999</v>
      </c>
      <c r="W47" s="16">
        <v>19.783900000000003</v>
      </c>
      <c r="X47" s="16">
        <v>7.2279200000000001</v>
      </c>
      <c r="Y47" s="16">
        <v>18.567619999999998</v>
      </c>
      <c r="Z47" s="16">
        <v>21.625409999999999</v>
      </c>
      <c r="AA47" s="16">
        <v>25.90841</v>
      </c>
      <c r="AB47" s="16">
        <v>17.129480000000001</v>
      </c>
      <c r="AC47" s="16">
        <v>26.609639999999999</v>
      </c>
      <c r="AD47" s="16">
        <v>19.80631</v>
      </c>
      <c r="AE47" s="16">
        <v>8.9451000000000001</v>
      </c>
      <c r="AF47" s="16">
        <v>31.987259999999999</v>
      </c>
      <c r="AG47" s="16">
        <v>42.814999999999998</v>
      </c>
      <c r="AH47" s="16">
        <v>29.805150000000001</v>
      </c>
      <c r="AI47" s="16"/>
      <c r="AJ47" s="16"/>
      <c r="AK47" s="16"/>
      <c r="AL47" s="16"/>
      <c r="AM47" s="16"/>
    </row>
    <row r="48" spans="1:39" ht="14.5" x14ac:dyDescent="0.35">
      <c r="A48" s="137">
        <f>YampaRiverInflow.TotalOutflow!A48</f>
        <v>47484</v>
      </c>
      <c r="B48" s="34">
        <v>8.0239999999999991</v>
      </c>
      <c r="C48" s="12">
        <v>8.0239999999999991</v>
      </c>
      <c r="D48" s="45">
        <v>8.0239999999999991</v>
      </c>
      <c r="E48" s="16">
        <v>31.44839</v>
      </c>
      <c r="F48" s="16">
        <v>12.870100000000001</v>
      </c>
      <c r="G48" s="16">
        <v>-2.4762600000000003</v>
      </c>
      <c r="H48" s="16">
        <v>17.852400000000003</v>
      </c>
      <c r="I48" s="16">
        <v>41.023440000000001</v>
      </c>
      <c r="J48" s="16">
        <v>32.832380000000001</v>
      </c>
      <c r="K48" s="16">
        <v>37.038040000000002</v>
      </c>
      <c r="L48" s="16">
        <v>4.0773999999999999</v>
      </c>
      <c r="M48" s="16">
        <v>8.4755500000000001</v>
      </c>
      <c r="N48" s="16">
        <v>7.35494</v>
      </c>
      <c r="O48" s="16">
        <v>137.11972</v>
      </c>
      <c r="P48" s="16">
        <v>5.1303400000000003</v>
      </c>
      <c r="Q48" s="16">
        <v>9.6627500000000008</v>
      </c>
      <c r="R48" s="16">
        <v>13.882709999999999</v>
      </c>
      <c r="S48" s="16">
        <v>3.5912800000000002</v>
      </c>
      <c r="T48" s="16">
        <v>41.677339999999994</v>
      </c>
      <c r="U48" s="16">
        <v>7.6143400000000003</v>
      </c>
      <c r="V48" s="16">
        <v>11.315340000000001</v>
      </c>
      <c r="W48" s="16">
        <v>17.09442</v>
      </c>
      <c r="X48" s="16">
        <v>12.350530000000001</v>
      </c>
      <c r="Y48" s="16">
        <v>17.26952</v>
      </c>
      <c r="Z48" s="16">
        <v>26.249689999999998</v>
      </c>
      <c r="AA48" s="16">
        <v>33.221690000000002</v>
      </c>
      <c r="AB48" s="16">
        <v>3.0476799999999997</v>
      </c>
      <c r="AC48" s="16">
        <v>19.352180000000001</v>
      </c>
      <c r="AD48" s="16">
        <v>1.2711300000000001</v>
      </c>
      <c r="AE48" s="16">
        <v>34.924039999999998</v>
      </c>
      <c r="AF48" s="16">
        <v>19.72597</v>
      </c>
      <c r="AG48" s="16">
        <v>101.47150999999999</v>
      </c>
      <c r="AH48" s="16">
        <v>22.186130000000002</v>
      </c>
      <c r="AI48" s="16"/>
      <c r="AJ48" s="16"/>
      <c r="AK48" s="16"/>
      <c r="AL48" s="16"/>
      <c r="AM48" s="16"/>
    </row>
    <row r="49" spans="1:1005" ht="14.5" x14ac:dyDescent="0.35">
      <c r="A49" s="137">
        <f>YampaRiverInflow.TotalOutflow!A49</f>
        <v>47515</v>
      </c>
      <c r="B49" s="34">
        <v>1.28</v>
      </c>
      <c r="C49" s="12">
        <v>1.28</v>
      </c>
      <c r="D49" s="45">
        <v>1.28</v>
      </c>
      <c r="E49" s="16">
        <v>90.418979999999991</v>
      </c>
      <c r="F49" s="16">
        <v>14.52515</v>
      </c>
      <c r="G49" s="16">
        <v>22.389509999999998</v>
      </c>
      <c r="H49" s="16">
        <v>37.958120000000001</v>
      </c>
      <c r="I49" s="16">
        <v>22.295439999999999</v>
      </c>
      <c r="J49" s="16">
        <v>16.79486</v>
      </c>
      <c r="K49" s="16">
        <v>22.422799999999999</v>
      </c>
      <c r="L49" s="16">
        <v>6.8791199999999995</v>
      </c>
      <c r="M49" s="16">
        <v>23.193290000000001</v>
      </c>
      <c r="N49" s="16">
        <v>13.382340000000001</v>
      </c>
      <c r="O49" s="16">
        <v>174.80966000000001</v>
      </c>
      <c r="P49" s="16">
        <v>11.10446</v>
      </c>
      <c r="Q49" s="16">
        <v>-5.5345800000000001</v>
      </c>
      <c r="R49" s="16">
        <v>2.9116999999999997</v>
      </c>
      <c r="S49" s="16">
        <v>14.60534</v>
      </c>
      <c r="T49" s="16">
        <v>8.7208299999999994</v>
      </c>
      <c r="U49" s="16">
        <v>14.52425</v>
      </c>
      <c r="V49" s="16">
        <v>10.423639999999999</v>
      </c>
      <c r="W49" s="16">
        <v>3.61097</v>
      </c>
      <c r="X49" s="16">
        <v>19.37181</v>
      </c>
      <c r="Y49" s="16">
        <v>9.0375899999999998</v>
      </c>
      <c r="Z49" s="16">
        <v>9.4203500000000009</v>
      </c>
      <c r="AA49" s="16">
        <v>14.485799999999999</v>
      </c>
      <c r="AB49" s="16">
        <v>2.4660500000000001</v>
      </c>
      <c r="AC49" s="16">
        <v>12.83705</v>
      </c>
      <c r="AD49" s="16">
        <v>-3.5236000000000001</v>
      </c>
      <c r="AE49" s="16">
        <v>48.393839999999997</v>
      </c>
      <c r="AF49" s="16">
        <v>31.827900000000003</v>
      </c>
      <c r="AG49" s="16">
        <v>223.49332999999999</v>
      </c>
      <c r="AH49" s="16">
        <v>12.69746</v>
      </c>
      <c r="AI49" s="16"/>
      <c r="AJ49" s="16"/>
      <c r="AK49" s="16"/>
      <c r="AL49" s="16"/>
      <c r="AM49" s="16"/>
    </row>
    <row r="50" spans="1:1005" ht="14.5" x14ac:dyDescent="0.35">
      <c r="A50" s="137">
        <f>YampaRiverInflow.TotalOutflow!A50</f>
        <v>47543</v>
      </c>
      <c r="B50" s="34">
        <v>7.3979999999999997</v>
      </c>
      <c r="C50" s="12">
        <v>7.3979999999999997</v>
      </c>
      <c r="D50" s="45">
        <v>7.3979999999999997</v>
      </c>
      <c r="E50" s="16">
        <v>112.95494000000001</v>
      </c>
      <c r="F50" s="16">
        <v>11.05152</v>
      </c>
      <c r="G50" s="16">
        <v>29.335470000000001</v>
      </c>
      <c r="H50" s="16">
        <v>39.440980000000003</v>
      </c>
      <c r="I50" s="16">
        <v>28.53557</v>
      </c>
      <c r="J50" s="16">
        <v>11.616709999999999</v>
      </c>
      <c r="K50" s="16">
        <v>39.455980000000004</v>
      </c>
      <c r="L50" s="16">
        <v>14.638629999999999</v>
      </c>
      <c r="M50" s="16">
        <v>0.65770000000000006</v>
      </c>
      <c r="N50" s="16">
        <v>5.9991499999999993</v>
      </c>
      <c r="O50" s="16">
        <v>168.58645999999999</v>
      </c>
      <c r="P50" s="16">
        <v>24.270910000000001</v>
      </c>
      <c r="Q50" s="16">
        <v>15.905659999999999</v>
      </c>
      <c r="R50" s="16">
        <v>3.0453899999999998</v>
      </c>
      <c r="S50" s="16">
        <v>10.662570000000001</v>
      </c>
      <c r="T50" s="16">
        <v>54.882220000000004</v>
      </c>
      <c r="U50" s="16">
        <v>5.2403999999999993</v>
      </c>
      <c r="V50" s="16">
        <v>8.1280900000000003</v>
      </c>
      <c r="W50" s="16">
        <v>7.5745200000000006</v>
      </c>
      <c r="X50" s="16">
        <v>-3.1372800000000001</v>
      </c>
      <c r="Y50" s="16">
        <v>2.7688999999999999</v>
      </c>
      <c r="Z50" s="16">
        <v>17.607590000000002</v>
      </c>
      <c r="AA50" s="16">
        <v>10.797639999999999</v>
      </c>
      <c r="AB50" s="16">
        <v>-2.6914400000000001</v>
      </c>
      <c r="AC50" s="16">
        <v>-4.7191800000000006</v>
      </c>
      <c r="AD50" s="16">
        <v>15.227370000000001</v>
      </c>
      <c r="AE50" s="16">
        <v>42.540279999999996</v>
      </c>
      <c r="AF50" s="16">
        <v>65.722139999999996</v>
      </c>
      <c r="AG50" s="16">
        <v>320.00659999999999</v>
      </c>
      <c r="AH50" s="16">
        <v>37.874559999999995</v>
      </c>
      <c r="AI50" s="16"/>
      <c r="AJ50" s="16"/>
      <c r="AK50" s="16"/>
      <c r="AL50" s="16"/>
      <c r="AM50" s="16"/>
    </row>
    <row r="51" spans="1:1005" ht="14.5" x14ac:dyDescent="0.35">
      <c r="A51" s="137">
        <f>YampaRiverInflow.TotalOutflow!A51</f>
        <v>47574</v>
      </c>
      <c r="B51" s="34">
        <v>11.433</v>
      </c>
      <c r="C51" s="12">
        <v>11.433</v>
      </c>
      <c r="D51" s="45">
        <v>11.433</v>
      </c>
      <c r="E51" s="16">
        <v>26.40803</v>
      </c>
      <c r="F51" s="16">
        <v>24.875400000000003</v>
      </c>
      <c r="G51" s="16">
        <v>18.278950000000002</v>
      </c>
      <c r="H51" s="16">
        <v>37.051639999999999</v>
      </c>
      <c r="I51" s="16">
        <v>17.816080000000003</v>
      </c>
      <c r="J51" s="16">
        <v>-60.419429999999998</v>
      </c>
      <c r="K51" s="16">
        <v>61.055440000000004</v>
      </c>
      <c r="L51" s="16">
        <v>14.78669</v>
      </c>
      <c r="M51" s="16">
        <v>22.411540000000002</v>
      </c>
      <c r="N51" s="16">
        <v>12.2781</v>
      </c>
      <c r="O51" s="16">
        <v>16.633849999999999</v>
      </c>
      <c r="P51" s="16">
        <v>14.433149999999999</v>
      </c>
      <c r="Q51" s="16">
        <v>15.62908</v>
      </c>
      <c r="R51" s="16">
        <v>11.950719999999999</v>
      </c>
      <c r="S51" s="16">
        <v>15.121379999999998</v>
      </c>
      <c r="T51" s="16">
        <v>34.073339999999995</v>
      </c>
      <c r="U51" s="16">
        <v>18.952660000000002</v>
      </c>
      <c r="V51" s="16">
        <v>23.953599999999998</v>
      </c>
      <c r="W51" s="16">
        <v>14.33919</v>
      </c>
      <c r="X51" s="16">
        <v>23.937049999999999</v>
      </c>
      <c r="Y51" s="16">
        <v>12.696009999999999</v>
      </c>
      <c r="Z51" s="16">
        <v>18.01211</v>
      </c>
      <c r="AA51" s="16">
        <v>12.86886</v>
      </c>
      <c r="AB51" s="16">
        <v>-8.04922</v>
      </c>
      <c r="AC51" s="16">
        <v>5.6169700000000002</v>
      </c>
      <c r="AD51" s="16">
        <v>28.85717</v>
      </c>
      <c r="AE51" s="16">
        <v>70.878419999999991</v>
      </c>
      <c r="AF51" s="16">
        <v>41.314720000000001</v>
      </c>
      <c r="AG51" s="16">
        <v>46.898789999999998</v>
      </c>
      <c r="AH51" s="16">
        <v>26.364360000000001</v>
      </c>
      <c r="AI51" s="16"/>
      <c r="AJ51" s="16"/>
      <c r="AK51" s="16"/>
      <c r="AL51" s="16"/>
      <c r="AM51" s="16"/>
    </row>
    <row r="52" spans="1:1005" ht="14.5" x14ac:dyDescent="0.35">
      <c r="A52" s="137">
        <f>YampaRiverInflow.TotalOutflow!A52</f>
        <v>47604</v>
      </c>
      <c r="B52" s="34">
        <v>5.9089999999999998</v>
      </c>
      <c r="C52" s="12">
        <v>5.9089999999999998</v>
      </c>
      <c r="D52" s="45">
        <v>5.9089999999999998</v>
      </c>
      <c r="E52" s="16">
        <v>38.484410000000004</v>
      </c>
      <c r="F52" s="16">
        <v>26.34796</v>
      </c>
      <c r="G52" s="16">
        <v>25.867759999999997</v>
      </c>
      <c r="H52" s="16">
        <v>34.764309999999995</v>
      </c>
      <c r="I52" s="16">
        <v>25.367919999999998</v>
      </c>
      <c r="J52" s="16">
        <v>-18.437729999999998</v>
      </c>
      <c r="K52" s="16">
        <v>9.6380599999999994</v>
      </c>
      <c r="L52" s="16">
        <v>21.706889999999998</v>
      </c>
      <c r="M52" s="16">
        <v>18.98912</v>
      </c>
      <c r="N52" s="16">
        <v>6.7455100000000003</v>
      </c>
      <c r="O52" s="16">
        <v>10.561809999999999</v>
      </c>
      <c r="P52" s="16">
        <v>-4.5164900000000001</v>
      </c>
      <c r="Q52" s="16">
        <v>13.6478</v>
      </c>
      <c r="R52" s="16">
        <v>14.380700000000001</v>
      </c>
      <c r="S52" s="16">
        <v>20.278509999999997</v>
      </c>
      <c r="T52" s="16">
        <v>24.106630000000003</v>
      </c>
      <c r="U52" s="16">
        <v>17.297810000000002</v>
      </c>
      <c r="V52" s="16">
        <v>25.734249999999999</v>
      </c>
      <c r="W52" s="16">
        <v>20.646380000000001</v>
      </c>
      <c r="X52" s="16">
        <v>-2.8287300000000002</v>
      </c>
      <c r="Y52" s="16">
        <v>20.732980000000001</v>
      </c>
      <c r="Z52" s="16">
        <v>13.07884</v>
      </c>
      <c r="AA52" s="16">
        <v>22.115179999999999</v>
      </c>
      <c r="AB52" s="16">
        <v>10.55193</v>
      </c>
      <c r="AC52" s="16">
        <v>8.3118600000000011</v>
      </c>
      <c r="AD52" s="16">
        <v>-6.5306800000000003</v>
      </c>
      <c r="AE52" s="16">
        <v>42.96922</v>
      </c>
      <c r="AF52" s="16">
        <v>42.513089999999998</v>
      </c>
      <c r="AG52" s="16">
        <v>61.397860000000001</v>
      </c>
      <c r="AH52" s="16">
        <v>156.79410000000001</v>
      </c>
      <c r="AI52" s="16"/>
      <c r="AJ52" s="16"/>
      <c r="AK52" s="16"/>
      <c r="AL52" s="16"/>
      <c r="AM52" s="16"/>
    </row>
    <row r="53" spans="1:1005" ht="14.5" x14ac:dyDescent="0.35">
      <c r="A53" s="137">
        <f>YampaRiverInflow.TotalOutflow!A53</f>
        <v>47635</v>
      </c>
      <c r="B53" s="34">
        <v>14.849</v>
      </c>
      <c r="C53" s="12">
        <v>14.849</v>
      </c>
      <c r="D53" s="45">
        <v>14.849</v>
      </c>
      <c r="E53" s="16">
        <v>38.630720000000004</v>
      </c>
      <c r="F53" s="16">
        <v>28.58334</v>
      </c>
      <c r="G53" s="16">
        <v>31.828189999999999</v>
      </c>
      <c r="H53" s="16">
        <v>32.597670000000001</v>
      </c>
      <c r="I53" s="16">
        <v>24.753419999999998</v>
      </c>
      <c r="J53" s="16">
        <v>34.456029999999998</v>
      </c>
      <c r="K53" s="16">
        <v>44.059580000000004</v>
      </c>
      <c r="L53" s="16">
        <v>22.553609999999999</v>
      </c>
      <c r="M53" s="16">
        <v>11.884649999999999</v>
      </c>
      <c r="N53" s="16">
        <v>3.4337300000000002</v>
      </c>
      <c r="O53" s="16">
        <v>10.73582</v>
      </c>
      <c r="P53" s="16">
        <v>-12.62983</v>
      </c>
      <c r="Q53" s="16">
        <v>11.01207</v>
      </c>
      <c r="R53" s="16">
        <v>4.8791199999999995</v>
      </c>
      <c r="S53" s="16">
        <v>20.43703</v>
      </c>
      <c r="T53" s="16">
        <v>23.30864</v>
      </c>
      <c r="U53" s="16">
        <v>14.64692</v>
      </c>
      <c r="V53" s="16">
        <v>10.02741</v>
      </c>
      <c r="W53" s="16">
        <v>15.25596</v>
      </c>
      <c r="X53" s="16">
        <v>10.849350000000001</v>
      </c>
      <c r="Y53" s="16">
        <v>19.483750000000001</v>
      </c>
      <c r="Z53" s="16">
        <v>18.53059</v>
      </c>
      <c r="AA53" s="16">
        <v>0.33273000000000003</v>
      </c>
      <c r="AB53" s="16">
        <v>6.2228399999999997</v>
      </c>
      <c r="AC53" s="16">
        <v>11.04167</v>
      </c>
      <c r="AD53" s="16">
        <v>-4.7700100000000001</v>
      </c>
      <c r="AE53" s="16">
        <v>47.769469999999998</v>
      </c>
      <c r="AF53" s="16">
        <v>30.468389999999999</v>
      </c>
      <c r="AG53" s="16">
        <v>41.864040000000003</v>
      </c>
      <c r="AH53" s="16">
        <v>162.56730999999999</v>
      </c>
      <c r="AI53" s="16"/>
      <c r="AJ53" s="16"/>
      <c r="AK53" s="16"/>
      <c r="AL53" s="16"/>
      <c r="AM53" s="16"/>
    </row>
    <row r="54" spans="1:1005" ht="14.5" x14ac:dyDescent="0.35">
      <c r="A54" s="137">
        <f>YampaRiverInflow.TotalOutflow!A54</f>
        <v>47665</v>
      </c>
      <c r="B54" s="34">
        <v>18.539000000000001</v>
      </c>
      <c r="C54" s="12">
        <v>18.539000000000001</v>
      </c>
      <c r="D54" s="45">
        <v>18.539000000000001</v>
      </c>
      <c r="E54" s="16">
        <v>47.455460000000002</v>
      </c>
      <c r="F54" s="16">
        <v>34.655120000000004</v>
      </c>
      <c r="G54" s="16">
        <v>33.561260000000004</v>
      </c>
      <c r="H54" s="16">
        <v>28.150029999999997</v>
      </c>
      <c r="I54" s="16">
        <v>51.289180000000002</v>
      </c>
      <c r="J54" s="16">
        <v>41.384039999999999</v>
      </c>
      <c r="K54" s="16">
        <v>33.49259</v>
      </c>
      <c r="L54" s="16">
        <v>27.52253</v>
      </c>
      <c r="M54" s="16">
        <v>15.318239999999999</v>
      </c>
      <c r="N54" s="16">
        <v>6.7752799999999995</v>
      </c>
      <c r="O54" s="16">
        <v>10.10783</v>
      </c>
      <c r="P54" s="16">
        <v>4.5903700000000001</v>
      </c>
      <c r="Q54" s="16">
        <v>26.346730000000001</v>
      </c>
      <c r="R54" s="16">
        <v>12.034459999999999</v>
      </c>
      <c r="S54" s="16">
        <v>17.305540000000001</v>
      </c>
      <c r="T54" s="16">
        <v>17.516080000000002</v>
      </c>
      <c r="U54" s="16">
        <v>34.461320000000001</v>
      </c>
      <c r="V54" s="16">
        <v>45.978550000000006</v>
      </c>
      <c r="W54" s="16">
        <v>28.134409999999999</v>
      </c>
      <c r="X54" s="16">
        <v>19.273779999999999</v>
      </c>
      <c r="Y54" s="16">
        <v>17.619880000000002</v>
      </c>
      <c r="Z54" s="16">
        <v>20.370249999999999</v>
      </c>
      <c r="AA54" s="16">
        <v>18.260590000000001</v>
      </c>
      <c r="AB54" s="16">
        <v>20.425439999999998</v>
      </c>
      <c r="AC54" s="16">
        <v>15.59191</v>
      </c>
      <c r="AD54" s="16">
        <v>2.5027699999999999</v>
      </c>
      <c r="AE54" s="16">
        <v>47.54383</v>
      </c>
      <c r="AF54" s="16">
        <v>61.736230000000006</v>
      </c>
      <c r="AG54" s="16">
        <v>56.987910000000007</v>
      </c>
      <c r="AH54" s="16">
        <v>176.79157000000001</v>
      </c>
      <c r="AI54" s="16"/>
      <c r="AJ54" s="16"/>
      <c r="AK54" s="16"/>
      <c r="AL54" s="16"/>
      <c r="AM54" s="16"/>
    </row>
    <row r="55" spans="1:1005" ht="14.5" x14ac:dyDescent="0.35">
      <c r="A55" s="137">
        <f>YampaRiverInflow.TotalOutflow!A55</f>
        <v>47696</v>
      </c>
      <c r="B55" s="34">
        <v>19.315000000000001</v>
      </c>
      <c r="C55" s="12">
        <v>19.315000000000001</v>
      </c>
      <c r="D55" s="45">
        <v>19.315000000000001</v>
      </c>
      <c r="E55" s="16">
        <v>43.952150000000003</v>
      </c>
      <c r="F55" s="16">
        <v>35.973910000000004</v>
      </c>
      <c r="G55" s="16">
        <v>38.820389999999996</v>
      </c>
      <c r="H55" s="16">
        <v>44.411699999999996</v>
      </c>
      <c r="I55" s="16">
        <v>34.729699999999994</v>
      </c>
      <c r="J55" s="16">
        <v>47.307449999999996</v>
      </c>
      <c r="K55" s="16">
        <v>39.600670000000001</v>
      </c>
      <c r="L55" s="16">
        <v>28.68741</v>
      </c>
      <c r="M55" s="16">
        <v>23.301560000000002</v>
      </c>
      <c r="N55" s="16">
        <v>11.3675</v>
      </c>
      <c r="O55" s="16">
        <v>31.263090000000002</v>
      </c>
      <c r="P55" s="16">
        <v>3.74146</v>
      </c>
      <c r="Q55" s="16">
        <v>14.787049999999999</v>
      </c>
      <c r="R55" s="16">
        <v>25.305250000000001</v>
      </c>
      <c r="S55" s="16">
        <v>24.650939999999999</v>
      </c>
      <c r="T55" s="16">
        <v>21.208159999999999</v>
      </c>
      <c r="U55" s="16">
        <v>24.72842</v>
      </c>
      <c r="V55" s="16">
        <v>25.745990000000003</v>
      </c>
      <c r="W55" s="16">
        <v>37.131620000000005</v>
      </c>
      <c r="X55" s="16">
        <v>26.087199999999999</v>
      </c>
      <c r="Y55" s="16">
        <v>15.61852</v>
      </c>
      <c r="Z55" s="16">
        <v>22.61469</v>
      </c>
      <c r="AA55" s="16">
        <v>11.924809999999999</v>
      </c>
      <c r="AB55" s="16">
        <v>21.49428</v>
      </c>
      <c r="AC55" s="16">
        <v>15.177059999999999</v>
      </c>
      <c r="AD55" s="16">
        <v>1.5323699999999998</v>
      </c>
      <c r="AE55" s="16">
        <v>55.200400000000002</v>
      </c>
      <c r="AF55" s="16">
        <v>61.601279999999996</v>
      </c>
      <c r="AG55" s="16">
        <v>63.181809999999999</v>
      </c>
      <c r="AH55" s="16">
        <v>55.461550000000003</v>
      </c>
      <c r="AI55" s="16"/>
      <c r="AJ55" s="16"/>
      <c r="AK55" s="16"/>
      <c r="AL55" s="16"/>
      <c r="AM55" s="16"/>
    </row>
    <row r="56" spans="1:1005" ht="14.5" x14ac:dyDescent="0.35">
      <c r="A56" s="137">
        <f>YampaRiverInflow.TotalOutflow!A56</f>
        <v>47727</v>
      </c>
      <c r="B56" s="34">
        <v>11.255000000000001</v>
      </c>
      <c r="C56" s="12">
        <v>11.255000000000001</v>
      </c>
      <c r="D56" s="45">
        <v>11.255000000000001</v>
      </c>
      <c r="E56" s="16">
        <v>39.71172</v>
      </c>
      <c r="F56" s="16">
        <v>31.901700000000002</v>
      </c>
      <c r="G56" s="16">
        <v>56.052810000000001</v>
      </c>
      <c r="H56" s="16">
        <v>39.031980000000004</v>
      </c>
      <c r="I56" s="16">
        <v>22.410490000000003</v>
      </c>
      <c r="J56" s="16">
        <v>25.424400000000002</v>
      </c>
      <c r="K56" s="16">
        <v>31.6371</v>
      </c>
      <c r="L56" s="16">
        <v>25.40353</v>
      </c>
      <c r="M56" s="16">
        <v>16.953939999999999</v>
      </c>
      <c r="N56" s="16">
        <v>23.521319999999999</v>
      </c>
      <c r="O56" s="16">
        <v>6.1092299999999993</v>
      </c>
      <c r="P56" s="16">
        <v>5.1206000000000005</v>
      </c>
      <c r="Q56" s="16">
        <v>18.619119999999999</v>
      </c>
      <c r="R56" s="16">
        <v>14.416780000000001</v>
      </c>
      <c r="S56" s="16">
        <v>21.239709999999999</v>
      </c>
      <c r="T56" s="16">
        <v>17.404430000000001</v>
      </c>
      <c r="U56" s="16">
        <v>30.471599999999999</v>
      </c>
      <c r="V56" s="16">
        <v>31.308349999999997</v>
      </c>
      <c r="W56" s="16">
        <v>23.010400000000001</v>
      </c>
      <c r="X56" s="16">
        <v>13.297270000000001</v>
      </c>
      <c r="Y56" s="16">
        <v>19.103159999999999</v>
      </c>
      <c r="Z56" s="16">
        <v>13.49493</v>
      </c>
      <c r="AA56" s="16">
        <v>16.10501</v>
      </c>
      <c r="AB56" s="16">
        <v>9.4053100000000001</v>
      </c>
      <c r="AC56" s="16">
        <v>25.57864</v>
      </c>
      <c r="AD56" s="16">
        <v>3.7597700000000001</v>
      </c>
      <c r="AE56" s="16">
        <v>52.202289999999998</v>
      </c>
      <c r="AF56" s="16">
        <v>44.245980000000003</v>
      </c>
      <c r="AG56" s="16">
        <v>44.766109999999998</v>
      </c>
      <c r="AH56" s="16">
        <v>37.570160000000001</v>
      </c>
      <c r="AI56" s="16"/>
      <c r="AJ56" s="16"/>
      <c r="AK56" s="16"/>
      <c r="AL56" s="16"/>
      <c r="AM56" s="16"/>
    </row>
    <row r="57" spans="1:1005" ht="14.5" x14ac:dyDescent="0.35">
      <c r="A57" s="137">
        <f>YampaRiverInflow.TotalOutflow!A57</f>
        <v>47757</v>
      </c>
      <c r="B57" s="34">
        <v>17.218</v>
      </c>
      <c r="C57" s="12">
        <v>17.218</v>
      </c>
      <c r="D57" s="45">
        <v>17.218</v>
      </c>
      <c r="E57" s="16">
        <v>29.103630000000003</v>
      </c>
      <c r="F57" s="16">
        <v>25.964269999999999</v>
      </c>
      <c r="G57" s="16">
        <v>17.12565</v>
      </c>
      <c r="H57" s="16">
        <v>46.327440000000003</v>
      </c>
      <c r="I57" s="16">
        <v>-9.2141900000000003</v>
      </c>
      <c r="J57" s="16">
        <v>33.455199999999998</v>
      </c>
      <c r="K57" s="16">
        <v>17.611669999999997</v>
      </c>
      <c r="L57" s="16">
        <v>33.28969</v>
      </c>
      <c r="M57" s="16">
        <v>9.327</v>
      </c>
      <c r="N57" s="16">
        <v>44.053580000000004</v>
      </c>
      <c r="O57" s="16">
        <v>22.421990000000001</v>
      </c>
      <c r="P57" s="16">
        <v>15.98033</v>
      </c>
      <c r="Q57" s="16">
        <v>21.85923</v>
      </c>
      <c r="R57" s="16">
        <v>21.119289999999999</v>
      </c>
      <c r="S57" s="16">
        <v>17.553560000000001</v>
      </c>
      <c r="T57" s="16">
        <v>25.013810000000003</v>
      </c>
      <c r="U57" s="16">
        <v>30.83512</v>
      </c>
      <c r="V57" s="16">
        <v>33.816769999999998</v>
      </c>
      <c r="W57" s="16">
        <v>18.591950000000001</v>
      </c>
      <c r="X57" s="16">
        <v>16.111409999999999</v>
      </c>
      <c r="Y57" s="16">
        <v>34.134349999999998</v>
      </c>
      <c r="Z57" s="16">
        <v>35.689430000000002</v>
      </c>
      <c r="AA57" s="16">
        <v>9.0004500000000007</v>
      </c>
      <c r="AB57" s="16">
        <v>22.628880000000002</v>
      </c>
      <c r="AC57" s="16">
        <v>18.034800000000001</v>
      </c>
      <c r="AD57" s="16">
        <v>21.008279999999999</v>
      </c>
      <c r="AE57" s="16">
        <v>41.361400000000003</v>
      </c>
      <c r="AF57" s="16">
        <v>43.124980000000001</v>
      </c>
      <c r="AG57" s="16">
        <v>33.977460000000001</v>
      </c>
      <c r="AH57" s="16">
        <v>41.269359999999999</v>
      </c>
      <c r="AI57" s="16"/>
      <c r="AJ57" s="16"/>
      <c r="AK57" s="16"/>
      <c r="AL57" s="16"/>
      <c r="AM57" s="16"/>
    </row>
    <row r="58" spans="1:1005" ht="14.5" x14ac:dyDescent="0.35">
      <c r="A58" s="137">
        <f>YampaRiverInflow.TotalOutflow!A58</f>
        <v>47788</v>
      </c>
      <c r="B58" s="34">
        <v>15.69</v>
      </c>
      <c r="C58" s="12">
        <v>15.69</v>
      </c>
      <c r="D58" s="45">
        <v>15.69</v>
      </c>
      <c r="E58" s="16">
        <v>31.591099999999997</v>
      </c>
      <c r="F58" s="16">
        <v>21.961970000000001</v>
      </c>
      <c r="G58" s="16">
        <v>34.472559999999994</v>
      </c>
      <c r="H58" s="16">
        <v>17.06053</v>
      </c>
      <c r="I58" s="16">
        <v>26.185509999999997</v>
      </c>
      <c r="J58" s="16">
        <v>0.18277000000000002</v>
      </c>
      <c r="K58" s="16">
        <v>9.8123400000000007</v>
      </c>
      <c r="L58" s="16">
        <v>18.025740000000003</v>
      </c>
      <c r="M58" s="16">
        <v>18.855130000000003</v>
      </c>
      <c r="N58" s="16">
        <v>52.820480000000003</v>
      </c>
      <c r="O58" s="16">
        <v>26.401889999999998</v>
      </c>
      <c r="P58" s="16">
        <v>7.4708800000000002</v>
      </c>
      <c r="Q58" s="16">
        <v>17.074390000000001</v>
      </c>
      <c r="R58" s="16">
        <v>28.747880000000002</v>
      </c>
      <c r="S58" s="16">
        <v>31.614810000000002</v>
      </c>
      <c r="T58" s="16">
        <v>37.705529999999996</v>
      </c>
      <c r="U58" s="16">
        <v>37.451039999999999</v>
      </c>
      <c r="V58" s="16">
        <v>26.642310000000002</v>
      </c>
      <c r="W58" s="16">
        <v>24.678090000000001</v>
      </c>
      <c r="X58" s="16">
        <v>8.9953899999999987</v>
      </c>
      <c r="Y58" s="16">
        <v>10.980259999999999</v>
      </c>
      <c r="Z58" s="16">
        <v>20.74005</v>
      </c>
      <c r="AA58" s="16">
        <v>12.02684</v>
      </c>
      <c r="AB58" s="16">
        <v>16.101219999999998</v>
      </c>
      <c r="AC58" s="16">
        <v>21.6662</v>
      </c>
      <c r="AD58" s="16">
        <v>20.032019999999999</v>
      </c>
      <c r="AE58" s="16">
        <v>39.997980000000005</v>
      </c>
      <c r="AF58" s="16">
        <v>31.045729999999999</v>
      </c>
      <c r="AG58" s="16">
        <v>21.412279999999999</v>
      </c>
      <c r="AH58" s="16">
        <v>37.10445</v>
      </c>
      <c r="AI58" s="16"/>
      <c r="AJ58" s="16"/>
      <c r="AK58" s="16"/>
      <c r="AL58" s="16"/>
      <c r="AM58" s="16"/>
    </row>
    <row r="59" spans="1:1005" ht="14.5" x14ac:dyDescent="0.35">
      <c r="A59" s="137">
        <f>YampaRiverInflow.TotalOutflow!A59</f>
        <v>47818</v>
      </c>
      <c r="B59" s="34">
        <v>15.99</v>
      </c>
      <c r="C59" s="12">
        <v>15.99</v>
      </c>
      <c r="D59" s="45">
        <v>15.99</v>
      </c>
      <c r="E59" s="16">
        <v>19.765080000000001</v>
      </c>
      <c r="F59" s="16">
        <v>7.7796599999999998</v>
      </c>
      <c r="G59" s="16">
        <v>13.676959999999999</v>
      </c>
      <c r="H59" s="16">
        <v>23.667650000000002</v>
      </c>
      <c r="I59" s="16">
        <v>37.513860000000001</v>
      </c>
      <c r="J59" s="16">
        <v>34.277999999999999</v>
      </c>
      <c r="K59" s="16">
        <v>20.094150000000003</v>
      </c>
      <c r="L59" s="16">
        <v>16.359249999999999</v>
      </c>
      <c r="M59" s="16">
        <v>19.779970000000002</v>
      </c>
      <c r="N59" s="16">
        <v>32.128779999999999</v>
      </c>
      <c r="O59" s="16">
        <v>31.08907</v>
      </c>
      <c r="P59" s="16">
        <v>-1.11826</v>
      </c>
      <c r="Q59" s="16">
        <v>19.982200000000002</v>
      </c>
      <c r="R59" s="16">
        <v>24.610099999999999</v>
      </c>
      <c r="S59" s="16">
        <v>25.219580000000001</v>
      </c>
      <c r="T59" s="16">
        <v>32.677639999999997</v>
      </c>
      <c r="U59" s="16">
        <v>27.849769999999999</v>
      </c>
      <c r="V59" s="16">
        <v>19.783900000000003</v>
      </c>
      <c r="W59" s="16">
        <v>7.2279200000000001</v>
      </c>
      <c r="X59" s="16">
        <v>18.567619999999998</v>
      </c>
      <c r="Y59" s="16">
        <v>21.625409999999999</v>
      </c>
      <c r="Z59" s="16">
        <v>25.90841</v>
      </c>
      <c r="AA59" s="16">
        <v>17.129480000000001</v>
      </c>
      <c r="AB59" s="16">
        <v>26.609639999999999</v>
      </c>
      <c r="AC59" s="16">
        <v>19.80631</v>
      </c>
      <c r="AD59" s="16">
        <v>8.9451000000000001</v>
      </c>
      <c r="AE59" s="16">
        <v>31.987259999999999</v>
      </c>
      <c r="AF59" s="16">
        <v>42.814999999999998</v>
      </c>
      <c r="AG59" s="16">
        <v>29.805150000000001</v>
      </c>
      <c r="AH59" s="16">
        <v>44.609569999999998</v>
      </c>
      <c r="AI59" s="16"/>
      <c r="AJ59" s="16"/>
      <c r="AK59" s="16"/>
      <c r="AL59" s="16"/>
      <c r="AM59" s="16"/>
    </row>
    <row r="60" spans="1:1005" ht="14.5" x14ac:dyDescent="0.35">
      <c r="A60" s="137">
        <f>YampaRiverInflow.TotalOutflow!A60</f>
        <v>47849</v>
      </c>
      <c r="B60" s="34">
        <v>8.0239999999999991</v>
      </c>
      <c r="C60" s="12">
        <v>8.0239999999999991</v>
      </c>
      <c r="D60" s="45">
        <v>8.0239999999999991</v>
      </c>
      <c r="E60" s="16">
        <v>12.870100000000001</v>
      </c>
      <c r="F60" s="16">
        <v>-2.4762600000000003</v>
      </c>
      <c r="G60" s="16">
        <v>17.852400000000003</v>
      </c>
      <c r="H60" s="16">
        <v>41.023440000000001</v>
      </c>
      <c r="I60" s="16">
        <v>32.832380000000001</v>
      </c>
      <c r="J60" s="16">
        <v>37.038040000000002</v>
      </c>
      <c r="K60" s="16">
        <v>4.0773999999999999</v>
      </c>
      <c r="L60" s="16">
        <v>8.4755500000000001</v>
      </c>
      <c r="M60" s="16">
        <v>7.35494</v>
      </c>
      <c r="N60" s="16">
        <v>137.11972</v>
      </c>
      <c r="O60" s="16">
        <v>5.1303400000000003</v>
      </c>
      <c r="P60" s="16">
        <v>9.6627500000000008</v>
      </c>
      <c r="Q60" s="16">
        <v>13.882709999999999</v>
      </c>
      <c r="R60" s="16">
        <v>3.5912800000000002</v>
      </c>
      <c r="S60" s="16">
        <v>41.677339999999994</v>
      </c>
      <c r="T60" s="16">
        <v>7.6143400000000003</v>
      </c>
      <c r="U60" s="16">
        <v>11.315340000000001</v>
      </c>
      <c r="V60" s="16">
        <v>17.09442</v>
      </c>
      <c r="W60" s="16">
        <v>12.350530000000001</v>
      </c>
      <c r="X60" s="16">
        <v>17.26952</v>
      </c>
      <c r="Y60" s="16">
        <v>26.249689999999998</v>
      </c>
      <c r="Z60" s="16">
        <v>33.221690000000002</v>
      </c>
      <c r="AA60" s="16">
        <v>3.0476799999999997</v>
      </c>
      <c r="AB60" s="16">
        <v>19.352180000000001</v>
      </c>
      <c r="AC60" s="16">
        <v>1.2711300000000001</v>
      </c>
      <c r="AD60" s="16">
        <v>34.924039999999998</v>
      </c>
      <c r="AE60" s="16">
        <v>19.72597</v>
      </c>
      <c r="AF60" s="16">
        <v>101.47150999999999</v>
      </c>
      <c r="AG60" s="16">
        <v>22.186130000000002</v>
      </c>
      <c r="AH60" s="16">
        <v>31.444290000000002</v>
      </c>
      <c r="AI60" s="16"/>
      <c r="AJ60" s="16"/>
      <c r="AK60" s="16"/>
      <c r="AL60" s="16"/>
      <c r="AM60" s="16"/>
    </row>
    <row r="61" spans="1:1005" ht="14.5" x14ac:dyDescent="0.35">
      <c r="A61" s="137">
        <f>YampaRiverInflow.TotalOutflow!A61</f>
        <v>47880</v>
      </c>
      <c r="B61" s="34">
        <v>1.28</v>
      </c>
      <c r="C61" s="12">
        <v>1.28</v>
      </c>
      <c r="D61" s="45">
        <v>1.28</v>
      </c>
      <c r="E61" s="16">
        <v>14.52515</v>
      </c>
      <c r="F61" s="16">
        <v>22.389509999999998</v>
      </c>
      <c r="G61" s="16">
        <v>37.958120000000001</v>
      </c>
      <c r="H61" s="16">
        <v>22.295439999999999</v>
      </c>
      <c r="I61" s="16">
        <v>16.79486</v>
      </c>
      <c r="J61" s="16">
        <v>22.422799999999999</v>
      </c>
      <c r="K61" s="16">
        <v>6.8791199999999995</v>
      </c>
      <c r="L61" s="16">
        <v>23.193290000000001</v>
      </c>
      <c r="M61" s="16">
        <v>13.382340000000001</v>
      </c>
      <c r="N61" s="16">
        <v>174.80966000000001</v>
      </c>
      <c r="O61" s="16">
        <v>11.10446</v>
      </c>
      <c r="P61" s="16">
        <v>-5.5345800000000001</v>
      </c>
      <c r="Q61" s="16">
        <v>2.9116999999999997</v>
      </c>
      <c r="R61" s="16">
        <v>14.60534</v>
      </c>
      <c r="S61" s="16">
        <v>8.7208299999999994</v>
      </c>
      <c r="T61" s="16">
        <v>14.52425</v>
      </c>
      <c r="U61" s="16">
        <v>10.423639999999999</v>
      </c>
      <c r="V61" s="16">
        <v>3.61097</v>
      </c>
      <c r="W61" s="16">
        <v>19.37181</v>
      </c>
      <c r="X61" s="16">
        <v>9.0375899999999998</v>
      </c>
      <c r="Y61" s="16">
        <v>9.4203500000000009</v>
      </c>
      <c r="Z61" s="16">
        <v>14.485799999999999</v>
      </c>
      <c r="AA61" s="16">
        <v>2.4660500000000001</v>
      </c>
      <c r="AB61" s="16">
        <v>12.83705</v>
      </c>
      <c r="AC61" s="16">
        <v>-3.5236000000000001</v>
      </c>
      <c r="AD61" s="16">
        <v>48.393839999999997</v>
      </c>
      <c r="AE61" s="16">
        <v>31.827900000000003</v>
      </c>
      <c r="AF61" s="16">
        <v>223.49332999999999</v>
      </c>
      <c r="AG61" s="16">
        <v>12.69746</v>
      </c>
      <c r="AH61" s="16">
        <v>90.409829999999999</v>
      </c>
      <c r="AI61" s="16"/>
      <c r="AJ61" s="16"/>
      <c r="AK61" s="16"/>
      <c r="AL61" s="16"/>
      <c r="AM61" s="16"/>
    </row>
    <row r="62" spans="1:1005" ht="14.5" x14ac:dyDescent="0.35">
      <c r="A62" s="137">
        <f>YampaRiverInflow.TotalOutflow!A62</f>
        <v>47908</v>
      </c>
      <c r="B62" s="34">
        <v>7.3979999999999997</v>
      </c>
      <c r="C62" s="12">
        <v>7.3979999999999997</v>
      </c>
      <c r="D62" s="45">
        <v>7.3979999999999997</v>
      </c>
      <c r="E62" s="16">
        <v>11.05152</v>
      </c>
      <c r="F62" s="16">
        <v>29.335470000000001</v>
      </c>
      <c r="G62" s="16">
        <v>39.440980000000003</v>
      </c>
      <c r="H62" s="16">
        <v>28.53557</v>
      </c>
      <c r="I62" s="16">
        <v>11.616709999999999</v>
      </c>
      <c r="J62" s="16">
        <v>39.455980000000004</v>
      </c>
      <c r="K62" s="16">
        <v>14.638629999999999</v>
      </c>
      <c r="L62" s="16">
        <v>0.65770000000000006</v>
      </c>
      <c r="M62" s="16">
        <v>5.9991499999999993</v>
      </c>
      <c r="N62" s="16">
        <v>168.58645999999999</v>
      </c>
      <c r="O62" s="16">
        <v>24.270910000000001</v>
      </c>
      <c r="P62" s="16">
        <v>15.905659999999999</v>
      </c>
      <c r="Q62" s="16">
        <v>3.0453899999999998</v>
      </c>
      <c r="R62" s="16">
        <v>10.662570000000001</v>
      </c>
      <c r="S62" s="16">
        <v>54.882220000000004</v>
      </c>
      <c r="T62" s="16">
        <v>5.2403999999999993</v>
      </c>
      <c r="U62" s="16">
        <v>8.1280900000000003</v>
      </c>
      <c r="V62" s="16">
        <v>7.5745200000000006</v>
      </c>
      <c r="W62" s="16">
        <v>-3.1372800000000001</v>
      </c>
      <c r="X62" s="16">
        <v>2.7688999999999999</v>
      </c>
      <c r="Y62" s="16">
        <v>17.607590000000002</v>
      </c>
      <c r="Z62" s="16">
        <v>10.797639999999999</v>
      </c>
      <c r="AA62" s="16">
        <v>-2.6914400000000001</v>
      </c>
      <c r="AB62" s="16">
        <v>-4.7191800000000006</v>
      </c>
      <c r="AC62" s="16">
        <v>15.227370000000001</v>
      </c>
      <c r="AD62" s="16">
        <v>42.540279999999996</v>
      </c>
      <c r="AE62" s="16">
        <v>65.722139999999996</v>
      </c>
      <c r="AF62" s="16">
        <v>320.00659999999999</v>
      </c>
      <c r="AG62" s="16">
        <v>37.874559999999995</v>
      </c>
      <c r="AH62" s="16">
        <v>112.96099000000001</v>
      </c>
      <c r="AI62" s="16"/>
      <c r="AJ62" s="16"/>
      <c r="AK62" s="16"/>
      <c r="AL62" s="16"/>
      <c r="AM62" s="16"/>
    </row>
    <row r="63" spans="1:1005" ht="14.5" x14ac:dyDescent="0.35">
      <c r="A63" s="137">
        <f>YampaRiverInflow.TotalOutflow!A63</f>
        <v>47939</v>
      </c>
      <c r="B63" s="34">
        <v>11.433</v>
      </c>
      <c r="C63" s="12">
        <v>11.433</v>
      </c>
      <c r="D63" s="45">
        <v>11.433</v>
      </c>
      <c r="E63" s="16">
        <v>24.875400000000003</v>
      </c>
      <c r="F63" s="16">
        <v>18.278950000000002</v>
      </c>
      <c r="G63" s="16">
        <v>37.051639999999999</v>
      </c>
      <c r="H63" s="16">
        <v>17.816080000000003</v>
      </c>
      <c r="I63" s="16">
        <v>-60.419429999999998</v>
      </c>
      <c r="J63" s="16">
        <v>61.055440000000004</v>
      </c>
      <c r="K63" s="16">
        <v>14.78669</v>
      </c>
      <c r="L63" s="16">
        <v>22.411540000000002</v>
      </c>
      <c r="M63" s="16">
        <v>12.2781</v>
      </c>
      <c r="N63" s="16">
        <v>16.633849999999999</v>
      </c>
      <c r="O63" s="16">
        <v>14.433149999999999</v>
      </c>
      <c r="P63" s="16">
        <v>15.62908</v>
      </c>
      <c r="Q63" s="16">
        <v>11.950719999999999</v>
      </c>
      <c r="R63" s="16">
        <v>15.121379999999998</v>
      </c>
      <c r="S63" s="16">
        <v>34.073339999999995</v>
      </c>
      <c r="T63" s="16">
        <v>18.952660000000002</v>
      </c>
      <c r="U63" s="16">
        <v>23.953599999999998</v>
      </c>
      <c r="V63" s="16">
        <v>14.33919</v>
      </c>
      <c r="W63" s="16">
        <v>23.937049999999999</v>
      </c>
      <c r="X63" s="16">
        <v>12.696009999999999</v>
      </c>
      <c r="Y63" s="16">
        <v>18.01211</v>
      </c>
      <c r="Z63" s="16">
        <v>12.86886</v>
      </c>
      <c r="AA63" s="16">
        <v>-8.04922</v>
      </c>
      <c r="AB63" s="16">
        <v>5.6169700000000002</v>
      </c>
      <c r="AC63" s="16">
        <v>28.85717</v>
      </c>
      <c r="AD63" s="16">
        <v>70.878419999999991</v>
      </c>
      <c r="AE63" s="16">
        <v>41.314720000000001</v>
      </c>
      <c r="AF63" s="16">
        <v>46.898789999999998</v>
      </c>
      <c r="AG63" s="16">
        <v>26.364360000000001</v>
      </c>
      <c r="AH63" s="16">
        <v>26.398060000000001</v>
      </c>
      <c r="AI63" s="16"/>
      <c r="AJ63" s="16"/>
      <c r="AK63" s="16"/>
      <c r="AL63" s="16"/>
      <c r="AM63" s="16"/>
    </row>
    <row r="64" spans="1:1005" ht="14.5" x14ac:dyDescent="0.35">
      <c r="A64" s="137">
        <f>YampaRiverInflow.TotalOutflow!A64</f>
        <v>47969</v>
      </c>
      <c r="B64" s="34">
        <v>5.9089999999999998</v>
      </c>
      <c r="C64" s="12">
        <v>5.9089999999999998</v>
      </c>
      <c r="D64" s="45">
        <v>5.9089999999999998</v>
      </c>
      <c r="E64" s="16">
        <v>26.34796</v>
      </c>
      <c r="F64" s="16">
        <v>25.867759999999997</v>
      </c>
      <c r="G64" s="16">
        <v>34.764309999999995</v>
      </c>
      <c r="H64" s="16">
        <v>25.367919999999998</v>
      </c>
      <c r="I64" s="16">
        <v>-18.437729999999998</v>
      </c>
      <c r="J64" s="16">
        <v>9.6380599999999994</v>
      </c>
      <c r="K64" s="16">
        <v>21.706889999999998</v>
      </c>
      <c r="L64" s="16">
        <v>18.98912</v>
      </c>
      <c r="M64" s="16">
        <v>6.7455100000000003</v>
      </c>
      <c r="N64" s="16">
        <v>10.561809999999999</v>
      </c>
      <c r="O64" s="16">
        <v>-4.5164900000000001</v>
      </c>
      <c r="P64" s="16">
        <v>13.6478</v>
      </c>
      <c r="Q64" s="16">
        <v>14.380700000000001</v>
      </c>
      <c r="R64" s="16">
        <v>20.278509999999997</v>
      </c>
      <c r="S64" s="16">
        <v>24.106630000000003</v>
      </c>
      <c r="T64" s="16">
        <v>17.297810000000002</v>
      </c>
      <c r="U64" s="16">
        <v>25.734249999999999</v>
      </c>
      <c r="V64" s="16">
        <v>20.646380000000001</v>
      </c>
      <c r="W64" s="16">
        <v>-2.8287300000000002</v>
      </c>
      <c r="X64" s="16">
        <v>20.732980000000001</v>
      </c>
      <c r="Y64" s="16">
        <v>13.07884</v>
      </c>
      <c r="Z64" s="16">
        <v>22.115179999999999</v>
      </c>
      <c r="AA64" s="16">
        <v>10.55193</v>
      </c>
      <c r="AB64" s="16">
        <v>8.3118600000000011</v>
      </c>
      <c r="AC64" s="16">
        <v>-6.5306800000000003</v>
      </c>
      <c r="AD64" s="16">
        <v>42.96922</v>
      </c>
      <c r="AE64" s="16">
        <v>42.513089999999998</v>
      </c>
      <c r="AF64" s="16">
        <v>61.397860000000001</v>
      </c>
      <c r="AG64" s="16">
        <v>156.79410000000001</v>
      </c>
      <c r="AH64" s="16">
        <v>38.484809999999996</v>
      </c>
      <c r="AI64" s="16"/>
      <c r="AJ64" s="16"/>
      <c r="AK64" s="16"/>
      <c r="AL64" s="16"/>
      <c r="AM64" s="16"/>
      <c r="ALQ64" t="e">
        <v>#N/A</v>
      </c>
    </row>
    <row r="65" spans="1:1005" ht="14.5" x14ac:dyDescent="0.35">
      <c r="A65" s="137">
        <f>YampaRiverInflow.TotalOutflow!A65</f>
        <v>48000</v>
      </c>
      <c r="B65" s="34">
        <v>14.849</v>
      </c>
      <c r="C65" s="12">
        <v>14.849</v>
      </c>
      <c r="D65" s="45">
        <v>14.849</v>
      </c>
      <c r="E65" s="16">
        <v>28.58334</v>
      </c>
      <c r="F65" s="16">
        <v>31.828189999999999</v>
      </c>
      <c r="G65" s="16">
        <v>32.597670000000001</v>
      </c>
      <c r="H65" s="16">
        <v>24.753419999999998</v>
      </c>
      <c r="I65" s="16">
        <v>34.456029999999998</v>
      </c>
      <c r="J65" s="16">
        <v>44.059580000000004</v>
      </c>
      <c r="K65" s="16">
        <v>22.553609999999999</v>
      </c>
      <c r="L65" s="16">
        <v>11.884649999999999</v>
      </c>
      <c r="M65" s="16">
        <v>3.4337300000000002</v>
      </c>
      <c r="N65" s="16">
        <v>10.73582</v>
      </c>
      <c r="O65" s="16">
        <v>-12.62983</v>
      </c>
      <c r="P65" s="16">
        <v>11.01207</v>
      </c>
      <c r="Q65" s="16">
        <v>4.8791199999999995</v>
      </c>
      <c r="R65" s="16">
        <v>20.43703</v>
      </c>
      <c r="S65" s="16">
        <v>23.30864</v>
      </c>
      <c r="T65" s="16">
        <v>14.64692</v>
      </c>
      <c r="U65" s="16">
        <v>10.02741</v>
      </c>
      <c r="V65" s="16">
        <v>15.25596</v>
      </c>
      <c r="W65" s="16">
        <v>10.849350000000001</v>
      </c>
      <c r="X65" s="16">
        <v>19.483750000000001</v>
      </c>
      <c r="Y65" s="16">
        <v>18.53059</v>
      </c>
      <c r="Z65" s="16">
        <v>0.33273000000000003</v>
      </c>
      <c r="AA65" s="16">
        <v>6.2228399999999997</v>
      </c>
      <c r="AB65" s="16">
        <v>11.04167</v>
      </c>
      <c r="AC65" s="16">
        <v>-4.7700100000000001</v>
      </c>
      <c r="AD65" s="16">
        <v>47.769469999999998</v>
      </c>
      <c r="AE65" s="16">
        <v>30.468389999999999</v>
      </c>
      <c r="AF65" s="16">
        <v>41.864040000000003</v>
      </c>
      <c r="AG65" s="16">
        <v>162.56730999999999</v>
      </c>
      <c r="AH65" s="16">
        <v>38.62424</v>
      </c>
      <c r="AI65" s="16"/>
      <c r="AJ65" s="16"/>
      <c r="AK65" s="16"/>
      <c r="AL65" s="16"/>
      <c r="AM65" s="16"/>
      <c r="ALQ65" t="e">
        <v>#N/A</v>
      </c>
    </row>
    <row r="66" spans="1:1005" ht="14.5" x14ac:dyDescent="0.35">
      <c r="A66" s="137">
        <f>YampaRiverInflow.TotalOutflow!A66</f>
        <v>48030</v>
      </c>
      <c r="B66" s="34">
        <v>18.539000000000001</v>
      </c>
      <c r="C66" s="12">
        <v>18.539000000000001</v>
      </c>
      <c r="D66" s="45">
        <v>18.539000000000001</v>
      </c>
      <c r="E66" s="16">
        <v>34.655120000000004</v>
      </c>
      <c r="F66" s="16">
        <v>33.561260000000004</v>
      </c>
      <c r="G66" s="16">
        <v>28.150029999999997</v>
      </c>
      <c r="H66" s="16">
        <v>51.289180000000002</v>
      </c>
      <c r="I66" s="16">
        <v>41.384039999999999</v>
      </c>
      <c r="J66" s="16">
        <v>33.49259</v>
      </c>
      <c r="K66" s="16">
        <v>27.52253</v>
      </c>
      <c r="L66" s="16">
        <v>15.318239999999999</v>
      </c>
      <c r="M66" s="16">
        <v>6.7752799999999995</v>
      </c>
      <c r="N66" s="16">
        <v>10.10783</v>
      </c>
      <c r="O66" s="16">
        <v>4.5903700000000001</v>
      </c>
      <c r="P66" s="16">
        <v>26.346730000000001</v>
      </c>
      <c r="Q66" s="16">
        <v>12.034459999999999</v>
      </c>
      <c r="R66" s="16">
        <v>17.305540000000001</v>
      </c>
      <c r="S66" s="16">
        <v>17.516080000000002</v>
      </c>
      <c r="T66" s="16">
        <v>34.461320000000001</v>
      </c>
      <c r="U66" s="16">
        <v>45.978550000000006</v>
      </c>
      <c r="V66" s="16">
        <v>28.134409999999999</v>
      </c>
      <c r="W66" s="16">
        <v>19.273779999999999</v>
      </c>
      <c r="X66" s="16">
        <v>17.619880000000002</v>
      </c>
      <c r="Y66" s="16">
        <v>20.370249999999999</v>
      </c>
      <c r="Z66" s="16">
        <v>18.260590000000001</v>
      </c>
      <c r="AA66" s="16">
        <v>20.425439999999998</v>
      </c>
      <c r="AB66" s="16">
        <v>15.59191</v>
      </c>
      <c r="AC66" s="16">
        <v>2.5027699999999999</v>
      </c>
      <c r="AD66" s="16">
        <v>47.54383</v>
      </c>
      <c r="AE66" s="16">
        <v>61.736230000000006</v>
      </c>
      <c r="AF66" s="16">
        <v>56.987910000000007</v>
      </c>
      <c r="AG66" s="16">
        <v>176.79157000000001</v>
      </c>
      <c r="AH66" s="16">
        <v>47.437570000000001</v>
      </c>
      <c r="AI66" s="16"/>
      <c r="AJ66" s="16"/>
      <c r="AK66" s="16"/>
      <c r="AL66" s="16"/>
      <c r="AM66" s="16"/>
      <c r="ALQ66" t="e">
        <v>#N/A</v>
      </c>
    </row>
    <row r="67" spans="1:1005" ht="14.5" x14ac:dyDescent="0.35">
      <c r="A67" s="137">
        <f>YampaRiverInflow.TotalOutflow!A67</f>
        <v>48061</v>
      </c>
      <c r="B67" s="34">
        <v>19.315000000000001</v>
      </c>
      <c r="C67" s="12">
        <v>19.315000000000001</v>
      </c>
      <c r="D67" s="45">
        <v>19.315000000000001</v>
      </c>
      <c r="E67" s="16">
        <v>35.973910000000004</v>
      </c>
      <c r="F67" s="16">
        <v>38.820389999999996</v>
      </c>
      <c r="G67" s="16">
        <v>44.411699999999996</v>
      </c>
      <c r="H67" s="16">
        <v>34.729699999999994</v>
      </c>
      <c r="I67" s="16">
        <v>47.307449999999996</v>
      </c>
      <c r="J67" s="16">
        <v>39.600670000000001</v>
      </c>
      <c r="K67" s="16">
        <v>28.68741</v>
      </c>
      <c r="L67" s="16">
        <v>23.301560000000002</v>
      </c>
      <c r="M67" s="16">
        <v>11.3675</v>
      </c>
      <c r="N67" s="16">
        <v>31.263090000000002</v>
      </c>
      <c r="O67" s="16">
        <v>3.74146</v>
      </c>
      <c r="P67" s="16">
        <v>14.787049999999999</v>
      </c>
      <c r="Q67" s="16">
        <v>25.305250000000001</v>
      </c>
      <c r="R67" s="16">
        <v>24.650939999999999</v>
      </c>
      <c r="S67" s="16">
        <v>21.208159999999999</v>
      </c>
      <c r="T67" s="16">
        <v>24.72842</v>
      </c>
      <c r="U67" s="16">
        <v>25.745990000000003</v>
      </c>
      <c r="V67" s="16">
        <v>37.131620000000005</v>
      </c>
      <c r="W67" s="16">
        <v>26.087199999999999</v>
      </c>
      <c r="X67" s="16">
        <v>15.61852</v>
      </c>
      <c r="Y67" s="16">
        <v>22.61469</v>
      </c>
      <c r="Z67" s="16">
        <v>11.924809999999999</v>
      </c>
      <c r="AA67" s="16">
        <v>21.49428</v>
      </c>
      <c r="AB67" s="16">
        <v>15.177059999999999</v>
      </c>
      <c r="AC67" s="16">
        <v>1.5323699999999998</v>
      </c>
      <c r="AD67" s="16">
        <v>55.200400000000002</v>
      </c>
      <c r="AE67" s="16">
        <v>61.601279999999996</v>
      </c>
      <c r="AF67" s="16">
        <v>63.181809999999999</v>
      </c>
      <c r="AG67" s="16">
        <v>55.461550000000003</v>
      </c>
      <c r="AH67" s="16">
        <v>43.947000000000003</v>
      </c>
      <c r="AI67" s="16"/>
      <c r="AJ67" s="16"/>
      <c r="AK67" s="16"/>
      <c r="AL67" s="16"/>
      <c r="AM67" s="16"/>
      <c r="ALQ67" t="e">
        <v>#N/A</v>
      </c>
    </row>
    <row r="68" spans="1:1005" ht="14.5" x14ac:dyDescent="0.35">
      <c r="A68" s="137">
        <f>YampaRiverInflow.TotalOutflow!A68</f>
        <v>48092</v>
      </c>
      <c r="B68" s="34">
        <v>11.255000000000001</v>
      </c>
      <c r="C68" s="12">
        <v>11.255000000000001</v>
      </c>
      <c r="D68" s="45">
        <v>11.255000000000001</v>
      </c>
      <c r="E68" s="16">
        <v>31.901700000000002</v>
      </c>
      <c r="F68" s="16">
        <v>56.052810000000001</v>
      </c>
      <c r="G68" s="16">
        <v>39.031980000000004</v>
      </c>
      <c r="H68" s="16">
        <v>22.410490000000003</v>
      </c>
      <c r="I68" s="16">
        <v>25.424400000000002</v>
      </c>
      <c r="J68" s="16">
        <v>31.6371</v>
      </c>
      <c r="K68" s="16">
        <v>25.40353</v>
      </c>
      <c r="L68" s="16">
        <v>16.953939999999999</v>
      </c>
      <c r="M68" s="16">
        <v>23.521319999999999</v>
      </c>
      <c r="N68" s="16">
        <v>6.1092299999999993</v>
      </c>
      <c r="O68" s="16">
        <v>5.1206000000000005</v>
      </c>
      <c r="P68" s="16">
        <v>18.619119999999999</v>
      </c>
      <c r="Q68" s="16">
        <v>14.416780000000001</v>
      </c>
      <c r="R68" s="16">
        <v>21.239709999999999</v>
      </c>
      <c r="S68" s="16">
        <v>17.404430000000001</v>
      </c>
      <c r="T68" s="16">
        <v>30.471599999999999</v>
      </c>
      <c r="U68" s="16">
        <v>31.308349999999997</v>
      </c>
      <c r="V68" s="16">
        <v>23.010400000000001</v>
      </c>
      <c r="W68" s="16">
        <v>13.297270000000001</v>
      </c>
      <c r="X68" s="16">
        <v>19.103159999999999</v>
      </c>
      <c r="Y68" s="16">
        <v>13.49493</v>
      </c>
      <c r="Z68" s="16">
        <v>16.10501</v>
      </c>
      <c r="AA68" s="16">
        <v>9.4053100000000001</v>
      </c>
      <c r="AB68" s="16">
        <v>25.57864</v>
      </c>
      <c r="AC68" s="16">
        <v>3.7597700000000001</v>
      </c>
      <c r="AD68" s="16">
        <v>52.202289999999998</v>
      </c>
      <c r="AE68" s="16">
        <v>44.245980000000003</v>
      </c>
      <c r="AF68" s="16">
        <v>44.766109999999998</v>
      </c>
      <c r="AG68" s="16">
        <v>37.570160000000001</v>
      </c>
      <c r="AH68" s="16">
        <v>39.705730000000003</v>
      </c>
      <c r="AI68" s="16"/>
      <c r="AJ68" s="16"/>
      <c r="AK68" s="16"/>
      <c r="AL68" s="16"/>
      <c r="AM68" s="16"/>
      <c r="ALQ68" t="e">
        <v>#N/A</v>
      </c>
    </row>
    <row r="69" spans="1:1005" ht="14.5" x14ac:dyDescent="0.35">
      <c r="A69" s="137"/>
      <c r="B69" s="34"/>
      <c r="C69" s="12"/>
      <c r="D69" s="45"/>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LQ69" t="e">
        <v>#N/A</v>
      </c>
    </row>
    <row r="70" spans="1:1005" ht="14.5" x14ac:dyDescent="0.35">
      <c r="A70" s="137"/>
      <c r="B70" s="34"/>
      <c r="C70" s="12"/>
      <c r="D70" s="45"/>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LQ70" t="e">
        <v>#N/A</v>
      </c>
    </row>
    <row r="71" spans="1:1005" ht="14.5" x14ac:dyDescent="0.35">
      <c r="A71" s="137"/>
      <c r="B71" s="34"/>
      <c r="C71" s="12"/>
      <c r="D71" s="45"/>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LQ71" t="e">
        <v>#N/A</v>
      </c>
    </row>
    <row r="72" spans="1:1005" ht="12.75" customHeight="1" x14ac:dyDescent="0.35">
      <c r="A72" s="137"/>
      <c r="B72" s="33"/>
      <c r="C72" s="8"/>
      <c r="D72" s="11"/>
      <c r="AI72" s="16"/>
      <c r="AJ72" s="16"/>
      <c r="AK72" s="16"/>
      <c r="AL72" s="16"/>
      <c r="AM72" s="16"/>
      <c r="ALQ72" t="e">
        <v>#N/A</v>
      </c>
    </row>
    <row r="73" spans="1:1005" ht="12.75" customHeight="1" x14ac:dyDescent="0.35">
      <c r="A73" s="137"/>
      <c r="B73" s="33"/>
      <c r="C73" s="8"/>
      <c r="D73" s="11"/>
      <c r="E73" s="16"/>
      <c r="AI73" s="16"/>
      <c r="AJ73" s="16"/>
      <c r="AK73" s="16"/>
      <c r="AL73" s="16"/>
      <c r="AM73" s="16"/>
    </row>
    <row r="74" spans="1:1005" ht="12.75" customHeight="1" x14ac:dyDescent="0.35">
      <c r="A74" s="137"/>
      <c r="B74" s="33"/>
      <c r="C74" s="8"/>
      <c r="D74" s="11"/>
      <c r="AI74" s="16"/>
      <c r="AJ74" s="16"/>
      <c r="AK74" s="16"/>
      <c r="AL74" s="16"/>
      <c r="AM74" s="16"/>
    </row>
    <row r="75" spans="1:1005" ht="12.75" customHeight="1" x14ac:dyDescent="0.35">
      <c r="A75" s="137"/>
      <c r="B75" s="33"/>
      <c r="C75" s="8"/>
      <c r="D75" s="11"/>
      <c r="AI75" s="16"/>
      <c r="AJ75" s="16"/>
      <c r="AK75" s="16"/>
      <c r="AL75" s="16"/>
      <c r="AM75" s="16"/>
    </row>
    <row r="76" spans="1:1005" ht="12.75" customHeight="1" x14ac:dyDescent="0.35">
      <c r="A76" s="137"/>
      <c r="B76" s="33"/>
      <c r="C76" s="8"/>
      <c r="D76" s="11"/>
      <c r="AI76" s="16"/>
      <c r="AJ76" s="16"/>
      <c r="AK76" s="16"/>
      <c r="AL76" s="16"/>
      <c r="AM76" s="16"/>
    </row>
    <row r="77" spans="1:1005" ht="12.75" customHeight="1" x14ac:dyDescent="0.35">
      <c r="A77" s="137"/>
      <c r="B77" s="33"/>
      <c r="C77" s="8"/>
      <c r="D77" s="11"/>
      <c r="AI77" s="16"/>
      <c r="AJ77" s="16"/>
      <c r="AK77" s="16"/>
      <c r="AL77" s="16"/>
      <c r="AM77" s="16"/>
    </row>
    <row r="78" spans="1:1005" ht="12.75" customHeight="1" x14ac:dyDescent="0.35">
      <c r="A78" s="137"/>
      <c r="B78" s="33"/>
      <c r="C78" s="8"/>
      <c r="D78" s="11"/>
      <c r="AI78" s="16"/>
      <c r="AJ78" s="16"/>
      <c r="AK78" s="16"/>
      <c r="AL78" s="16"/>
      <c r="AM78" s="16"/>
    </row>
    <row r="79" spans="1:1005" ht="12.75" customHeight="1" x14ac:dyDescent="0.35">
      <c r="A79" s="137"/>
      <c r="B79" s="33"/>
      <c r="C79" s="8"/>
      <c r="D79" s="11"/>
      <c r="AI79" s="16"/>
      <c r="AJ79" s="16"/>
      <c r="AK79" s="16"/>
      <c r="AL79" s="16"/>
      <c r="AM79" s="16"/>
    </row>
    <row r="80" spans="1:1005" ht="12.75" customHeight="1" x14ac:dyDescent="0.35">
      <c r="A80" s="137"/>
      <c r="B80" s="33"/>
      <c r="C80" s="8"/>
      <c r="D80" s="11"/>
      <c r="AI80" s="16"/>
      <c r="AJ80" s="16"/>
      <c r="AK80" s="16"/>
      <c r="AL80" s="16"/>
      <c r="AM80" s="16"/>
    </row>
    <row r="81" spans="1:39" ht="12.75" customHeight="1" x14ac:dyDescent="0.35">
      <c r="A81" s="137"/>
      <c r="B81" s="33"/>
      <c r="C81" s="8"/>
      <c r="D81" s="11"/>
      <c r="AI81" s="16"/>
      <c r="AJ81" s="16"/>
      <c r="AK81" s="16"/>
      <c r="AL81" s="16"/>
      <c r="AM81" s="16"/>
    </row>
    <row r="82" spans="1:39" ht="12.75" customHeight="1" x14ac:dyDescent="0.35">
      <c r="A82" s="137"/>
      <c r="B82" s="33"/>
      <c r="C82" s="8"/>
      <c r="D82" s="11"/>
      <c r="AI82" s="16"/>
      <c r="AJ82" s="16"/>
      <c r="AK82" s="16"/>
      <c r="AL82" s="16"/>
      <c r="AM82" s="16"/>
    </row>
    <row r="83" spans="1:39" ht="12.75" customHeight="1" x14ac:dyDescent="0.35">
      <c r="A83" s="137"/>
      <c r="B83" s="33"/>
      <c r="C83" s="8"/>
      <c r="D83" s="11"/>
      <c r="AI83" s="16"/>
      <c r="AJ83" s="16"/>
      <c r="AK83" s="16"/>
      <c r="AL83" s="16"/>
      <c r="AM83" s="16"/>
    </row>
    <row r="84" spans="1:39" ht="12.75" customHeight="1" x14ac:dyDescent="0.35">
      <c r="A84" s="137"/>
      <c r="B84" s="33"/>
      <c r="C84" s="8"/>
      <c r="D84" s="11"/>
      <c r="AI84" s="16"/>
      <c r="AJ84" s="16"/>
      <c r="AK84" s="16"/>
      <c r="AL84" s="16"/>
      <c r="AM84" s="16"/>
    </row>
    <row r="85" spans="1:39" ht="12.75" customHeight="1" x14ac:dyDescent="0.35">
      <c r="AI85" s="16"/>
      <c r="AJ85" s="16"/>
      <c r="AK85" s="16"/>
      <c r="AL85" s="16"/>
      <c r="AM85" s="16"/>
    </row>
    <row r="86" spans="1:39" ht="12.75" customHeight="1" x14ac:dyDescent="0.35">
      <c r="AI86" s="16"/>
      <c r="AJ86" s="16"/>
      <c r="AK86" s="16"/>
      <c r="AL86" s="16"/>
      <c r="AM86" s="16"/>
    </row>
    <row r="87" spans="1:39" ht="12.75" customHeight="1" x14ac:dyDescent="0.35">
      <c r="AI87" s="16"/>
      <c r="AJ87" s="16"/>
      <c r="AK87" s="16"/>
      <c r="AL87" s="16"/>
      <c r="AM87" s="16"/>
    </row>
    <row r="88" spans="1:39" ht="12.75" customHeight="1" x14ac:dyDescent="0.35">
      <c r="AI88" s="16"/>
      <c r="AJ88" s="16"/>
      <c r="AK88" s="16"/>
      <c r="AL88" s="16"/>
      <c r="AM88" s="16"/>
    </row>
    <row r="89" spans="1:39" ht="12.75" customHeight="1" x14ac:dyDescent="0.35">
      <c r="AI89" s="16"/>
      <c r="AJ89" s="16"/>
      <c r="AK89" s="16"/>
      <c r="AL89" s="16"/>
      <c r="AM89" s="16"/>
    </row>
    <row r="90" spans="1:39" ht="12.75" customHeight="1" x14ac:dyDescent="0.35">
      <c r="AI90" s="16"/>
      <c r="AJ90" s="16"/>
      <c r="AK90" s="16"/>
      <c r="AL90" s="16"/>
      <c r="AM90" s="16"/>
    </row>
    <row r="91" spans="1:39" ht="12.75" customHeight="1" x14ac:dyDescent="0.35">
      <c r="AI91" s="16"/>
      <c r="AJ91" s="16"/>
      <c r="AK91" s="16"/>
      <c r="AL91" s="16"/>
      <c r="AM91" s="16"/>
    </row>
    <row r="92" spans="1:39" ht="12.75" customHeight="1" x14ac:dyDescent="0.35">
      <c r="AI92" s="16"/>
      <c r="AJ92" s="16"/>
      <c r="AK92" s="16"/>
      <c r="AL92" s="16"/>
      <c r="AM92" s="16"/>
    </row>
    <row r="93" spans="1:39" ht="12.75" customHeight="1" x14ac:dyDescent="0.35">
      <c r="AI93" s="16"/>
      <c r="AJ93" s="16"/>
      <c r="AK93" s="16"/>
      <c r="AL93" s="16"/>
      <c r="AM93" s="16"/>
    </row>
    <row r="94" spans="1:39" ht="12.75" customHeight="1" x14ac:dyDescent="0.35">
      <c r="AI94" s="16"/>
      <c r="AJ94" s="16"/>
      <c r="AK94" s="16"/>
      <c r="AL94" s="16"/>
      <c r="AM94" s="16"/>
    </row>
    <row r="95" spans="1:39" ht="12.75" customHeight="1" x14ac:dyDescent="0.35">
      <c r="AI95" s="16"/>
      <c r="AJ95" s="16"/>
      <c r="AK95" s="16"/>
      <c r="AL95" s="16"/>
      <c r="AM95" s="16"/>
    </row>
    <row r="96" spans="1:39" ht="12.75" customHeight="1" x14ac:dyDescent="0.35">
      <c r="AI96" s="16"/>
      <c r="AJ96" s="16"/>
      <c r="AK96" s="16"/>
      <c r="AL96" s="16"/>
      <c r="AM96" s="16"/>
    </row>
    <row r="97" spans="35:39" ht="12.75" customHeight="1" x14ac:dyDescent="0.35">
      <c r="AI97" s="16"/>
      <c r="AJ97" s="16"/>
      <c r="AK97" s="16"/>
      <c r="AL97" s="16"/>
      <c r="AM97" s="16"/>
    </row>
    <row r="98" spans="35:39" ht="12.75" customHeight="1" x14ac:dyDescent="0.35">
      <c r="AI98" s="16"/>
      <c r="AJ98" s="16"/>
      <c r="AK98" s="16"/>
      <c r="AL98" s="16"/>
      <c r="AM98" s="16"/>
    </row>
    <row r="99" spans="35:39" ht="12.75" customHeight="1" x14ac:dyDescent="0.35">
      <c r="AI99" s="16"/>
      <c r="AJ99" s="16"/>
      <c r="AK99" s="16"/>
      <c r="AL99" s="16"/>
      <c r="AM99" s="16"/>
    </row>
    <row r="100" spans="35:39" ht="12.75" customHeight="1" x14ac:dyDescent="0.35">
      <c r="AI100" s="16"/>
      <c r="AJ100" s="16"/>
      <c r="AK100" s="16"/>
      <c r="AL100" s="16"/>
      <c r="AM100" s="16"/>
    </row>
    <row r="101" spans="35:39" ht="12.75" customHeight="1" x14ac:dyDescent="0.35">
      <c r="AI101" s="16"/>
      <c r="AJ101" s="16"/>
      <c r="AK101" s="16"/>
      <c r="AL101" s="16"/>
      <c r="AM101" s="16"/>
    </row>
    <row r="102" spans="35:39" ht="12.75" customHeight="1" x14ac:dyDescent="0.35">
      <c r="AI102" s="16"/>
      <c r="AJ102" s="16"/>
      <c r="AK102" s="16"/>
      <c r="AL102" s="16"/>
      <c r="AM102" s="16"/>
    </row>
    <row r="103" spans="35:39" ht="12.75" customHeight="1" x14ac:dyDescent="0.35">
      <c r="AI103" s="16"/>
      <c r="AJ103" s="16"/>
      <c r="AK103" s="16"/>
      <c r="AL103" s="16"/>
      <c r="AM103" s="16"/>
    </row>
    <row r="104" spans="35:39" ht="12.75" customHeight="1" x14ac:dyDescent="0.35">
      <c r="AI104" s="16"/>
      <c r="AJ104" s="16"/>
      <c r="AK104" s="16"/>
      <c r="AL104" s="16"/>
      <c r="AM104" s="16"/>
    </row>
    <row r="105" spans="35:39" ht="12.75" customHeight="1" x14ac:dyDescent="0.35">
      <c r="AI105" s="16"/>
      <c r="AJ105" s="16"/>
      <c r="AK105" s="16"/>
      <c r="AL105" s="16"/>
      <c r="AM105" s="16"/>
    </row>
    <row r="106" spans="35:39" ht="12.75" customHeight="1" x14ac:dyDescent="0.35">
      <c r="AI106" s="16"/>
      <c r="AJ106" s="16"/>
      <c r="AK106" s="16"/>
      <c r="AL106" s="16"/>
      <c r="AM106" s="16"/>
    </row>
    <row r="107" spans="35:39" ht="12.75" customHeight="1" x14ac:dyDescent="0.35">
      <c r="AI107" s="16"/>
      <c r="AJ107" s="16"/>
      <c r="AK107" s="16"/>
      <c r="AL107" s="16"/>
      <c r="AM107" s="16"/>
    </row>
    <row r="108" spans="35:39" ht="12.75" customHeight="1" x14ac:dyDescent="0.35">
      <c r="AI108" s="16"/>
      <c r="AJ108" s="16"/>
      <c r="AK108" s="16"/>
      <c r="AL108" s="16"/>
      <c r="AM108" s="16"/>
    </row>
    <row r="109" spans="35:39" ht="12.75" customHeight="1" x14ac:dyDescent="0.35">
      <c r="AI109" s="16"/>
      <c r="AJ109" s="16"/>
      <c r="AK109" s="16"/>
      <c r="AL109" s="16"/>
      <c r="AM109" s="16"/>
    </row>
    <row r="110" spans="35:39" ht="12.75" customHeight="1" x14ac:dyDescent="0.35">
      <c r="AI110" s="16"/>
      <c r="AJ110" s="16"/>
      <c r="AK110" s="16"/>
      <c r="AL110" s="16"/>
      <c r="AM110" s="16"/>
    </row>
    <row r="111" spans="35:39" ht="12.75" customHeight="1" x14ac:dyDescent="0.35">
      <c r="AI111" s="16"/>
      <c r="AJ111" s="16"/>
      <c r="AK111" s="16"/>
      <c r="AL111" s="16"/>
      <c r="AM111" s="16"/>
    </row>
    <row r="112" spans="35:39" ht="12.75" customHeight="1" x14ac:dyDescent="0.35">
      <c r="AI112" s="16"/>
      <c r="AJ112" s="16"/>
      <c r="AK112" s="16"/>
      <c r="AL112" s="16"/>
      <c r="AM112" s="16"/>
    </row>
    <row r="113" spans="35:39" ht="12.75" customHeight="1" x14ac:dyDescent="0.35">
      <c r="AI113" s="16"/>
      <c r="AJ113" s="16"/>
      <c r="AK113" s="16"/>
      <c r="AL113" s="16"/>
      <c r="AM113" s="16"/>
    </row>
  </sheetData>
  <mergeCells count="1">
    <mergeCell ref="B1:AH1"/>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A477D-C24F-4EB0-B99B-851F0E6F5B16}">
  <sheetPr codeName="Sheet20">
    <tabColor rgb="FF8DD3C7"/>
  </sheetPr>
  <dimension ref="A1:BG194"/>
  <sheetViews>
    <sheetView workbookViewId="0">
      <selection activeCell="A4" sqref="A4:A71"/>
    </sheetView>
  </sheetViews>
  <sheetFormatPr defaultColWidth="18.6328125" defaultRowHeight="12.75" customHeight="1" x14ac:dyDescent="0.35"/>
  <cols>
    <col min="1" max="4" width="7.54296875" style="3" customWidth="1"/>
    <col min="5" max="5" width="9.36328125" style="4" customWidth="1"/>
    <col min="6" max="30" width="8" style="4" customWidth="1"/>
    <col min="31" max="31" width="8" style="4" bestFit="1" customWidth="1"/>
    <col min="32" max="32" width="6.54296875" style="4" bestFit="1" customWidth="1"/>
    <col min="33" max="59" width="8.6328125" style="4" customWidth="1"/>
    <col min="60" max="16384" width="18.6328125" style="4"/>
  </cols>
  <sheetData>
    <row r="1" spans="1:59" ht="14.5" x14ac:dyDescent="0.35">
      <c r="A1" s="138"/>
      <c r="B1" s="139" t="s">
        <v>42</v>
      </c>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row>
    <row r="2" spans="1:59" s="3" customFormat="1" ht="14.5" x14ac:dyDescent="0.35">
      <c r="A2" s="138"/>
      <c r="B2" s="140" t="s">
        <v>0</v>
      </c>
      <c r="C2" s="140" t="s">
        <v>1</v>
      </c>
      <c r="D2" s="140" t="s">
        <v>2</v>
      </c>
      <c r="E2" s="140">
        <v>1991</v>
      </c>
      <c r="F2" s="140">
        <v>1992</v>
      </c>
      <c r="G2" s="140">
        <v>1993</v>
      </c>
      <c r="H2" s="140">
        <v>1994</v>
      </c>
      <c r="I2" s="140">
        <v>1995</v>
      </c>
      <c r="J2" s="140">
        <v>1996</v>
      </c>
      <c r="K2" s="140">
        <v>1997</v>
      </c>
      <c r="L2" s="140">
        <v>1998</v>
      </c>
      <c r="M2" s="140">
        <v>1999</v>
      </c>
      <c r="N2" s="140">
        <v>2000</v>
      </c>
      <c r="O2" s="140">
        <v>2001</v>
      </c>
      <c r="P2" s="140">
        <v>2002</v>
      </c>
      <c r="Q2" s="140">
        <v>2003</v>
      </c>
      <c r="R2" s="140">
        <v>2004</v>
      </c>
      <c r="S2" s="140">
        <v>2005</v>
      </c>
      <c r="T2" s="140">
        <v>2006</v>
      </c>
      <c r="U2" s="140">
        <v>2007</v>
      </c>
      <c r="V2" s="140">
        <v>2008</v>
      </c>
      <c r="W2" s="140">
        <v>2009</v>
      </c>
      <c r="X2" s="140">
        <v>2010</v>
      </c>
      <c r="Y2" s="3">
        <v>2011</v>
      </c>
      <c r="Z2" s="3">
        <v>2012</v>
      </c>
      <c r="AA2" s="3">
        <v>2013</v>
      </c>
      <c r="AB2" s="3">
        <v>2014</v>
      </c>
      <c r="AC2" s="3">
        <v>2015</v>
      </c>
      <c r="AD2" s="3">
        <v>2016</v>
      </c>
      <c r="AE2" s="3">
        <v>2017</v>
      </c>
      <c r="AF2" s="3">
        <v>2018</v>
      </c>
      <c r="AG2" s="3">
        <v>2019</v>
      </c>
      <c r="AH2" s="3">
        <v>2020</v>
      </c>
      <c r="AI2" s="3">
        <v>2021</v>
      </c>
      <c r="AJ2" s="3">
        <v>2022</v>
      </c>
      <c r="AK2" s="3">
        <v>2023</v>
      </c>
      <c r="AL2" s="3">
        <v>2024</v>
      </c>
      <c r="AM2" s="3">
        <v>2025</v>
      </c>
      <c r="AN2" s="3">
        <v>2026</v>
      </c>
      <c r="AO2" s="3">
        <v>2027</v>
      </c>
      <c r="AP2" s="3">
        <v>2028</v>
      </c>
      <c r="AQ2" s="3">
        <v>2029</v>
      </c>
      <c r="AR2" s="3">
        <v>2030</v>
      </c>
      <c r="AS2" s="3">
        <v>2031</v>
      </c>
      <c r="AT2" s="3">
        <v>2032</v>
      </c>
      <c r="AU2" s="3">
        <v>2033</v>
      </c>
      <c r="AV2" s="3">
        <v>2034</v>
      </c>
      <c r="AW2" s="3">
        <v>2035</v>
      </c>
      <c r="AX2" s="3">
        <v>2036</v>
      </c>
      <c r="AY2" s="3">
        <v>2037</v>
      </c>
      <c r="AZ2" s="3">
        <v>2038</v>
      </c>
      <c r="BA2" s="3">
        <v>2039</v>
      </c>
      <c r="BB2" s="3">
        <v>2040</v>
      </c>
      <c r="BC2" s="3">
        <v>2041</v>
      </c>
      <c r="BD2" s="3">
        <v>2042</v>
      </c>
      <c r="BE2" s="3">
        <v>2043</v>
      </c>
      <c r="BF2" s="3">
        <v>2044</v>
      </c>
      <c r="BG2" s="3">
        <v>2045</v>
      </c>
    </row>
    <row r="3" spans="1:59" s="3" customFormat="1" ht="14.5" x14ac:dyDescent="0.35">
      <c r="A3" s="141"/>
      <c r="B3" s="142" t="s">
        <v>3</v>
      </c>
      <c r="C3" s="142" t="s">
        <v>4</v>
      </c>
      <c r="D3" s="142" t="s">
        <v>5</v>
      </c>
      <c r="E3" s="142" t="s">
        <v>6</v>
      </c>
      <c r="F3" s="142" t="s">
        <v>7</v>
      </c>
      <c r="G3" s="142" t="s">
        <v>8</v>
      </c>
      <c r="H3" s="142" t="s">
        <v>9</v>
      </c>
      <c r="I3" s="142" t="s">
        <v>10</v>
      </c>
      <c r="J3" s="142" t="s">
        <v>11</v>
      </c>
      <c r="K3" s="142" t="s">
        <v>12</v>
      </c>
      <c r="L3" s="142" t="s">
        <v>13</v>
      </c>
      <c r="M3" s="142" t="s">
        <v>14</v>
      </c>
      <c r="N3" s="142" t="s">
        <v>15</v>
      </c>
      <c r="O3" s="142" t="s">
        <v>16</v>
      </c>
      <c r="P3" s="142" t="s">
        <v>17</v>
      </c>
      <c r="Q3" s="142" t="s">
        <v>18</v>
      </c>
      <c r="R3" s="142" t="s">
        <v>19</v>
      </c>
      <c r="S3" s="142" t="s">
        <v>20</v>
      </c>
      <c r="T3" s="142" t="s">
        <v>21</v>
      </c>
      <c r="U3" s="142" t="s">
        <v>22</v>
      </c>
      <c r="V3" s="142" t="s">
        <v>23</v>
      </c>
      <c r="W3" s="142" t="s">
        <v>24</v>
      </c>
      <c r="X3" s="142" t="s">
        <v>25</v>
      </c>
      <c r="Y3" s="142" t="s">
        <v>26</v>
      </c>
      <c r="Z3" s="142" t="s">
        <v>27</v>
      </c>
      <c r="AA3" s="142" t="s">
        <v>28</v>
      </c>
      <c r="AB3" s="142" t="s">
        <v>29</v>
      </c>
      <c r="AC3" s="142" t="s">
        <v>30</v>
      </c>
      <c r="AD3" s="142" t="s">
        <v>31</v>
      </c>
      <c r="AE3" s="142" t="s">
        <v>32</v>
      </c>
      <c r="AF3" s="142" t="s">
        <v>33</v>
      </c>
      <c r="AG3" s="142" t="s">
        <v>34</v>
      </c>
      <c r="AH3" s="142" t="s">
        <v>35</v>
      </c>
      <c r="AI3" s="3" t="s">
        <v>43</v>
      </c>
      <c r="AJ3" s="3" t="s">
        <v>44</v>
      </c>
      <c r="AK3" s="3" t="s">
        <v>45</v>
      </c>
      <c r="AL3" s="3" t="s">
        <v>46</v>
      </c>
      <c r="AM3" s="3" t="s">
        <v>47</v>
      </c>
      <c r="AN3" s="3" t="s">
        <v>48</v>
      </c>
      <c r="AO3" s="3" t="s">
        <v>49</v>
      </c>
      <c r="AP3" s="3" t="s">
        <v>50</v>
      </c>
      <c r="AQ3" s="3" t="s">
        <v>51</v>
      </c>
      <c r="AR3" s="3" t="s">
        <v>52</v>
      </c>
      <c r="AS3" s="3" t="s">
        <v>53</v>
      </c>
      <c r="AT3" s="3" t="s">
        <v>54</v>
      </c>
      <c r="AU3" s="3" t="s">
        <v>55</v>
      </c>
      <c r="AV3" s="3" t="s">
        <v>56</v>
      </c>
      <c r="AW3" s="3" t="s">
        <v>57</v>
      </c>
      <c r="AX3" s="3" t="s">
        <v>58</v>
      </c>
      <c r="AY3" s="3" t="s">
        <v>59</v>
      </c>
      <c r="AZ3" s="3" t="s">
        <v>60</v>
      </c>
      <c r="BA3" s="3" t="s">
        <v>61</v>
      </c>
      <c r="BB3" s="3" t="s">
        <v>62</v>
      </c>
      <c r="BC3" s="3" t="s">
        <v>63</v>
      </c>
      <c r="BD3" s="3" t="s">
        <v>64</v>
      </c>
      <c r="BE3" s="3" t="s">
        <v>65</v>
      </c>
      <c r="BF3" s="3" t="s">
        <v>66</v>
      </c>
      <c r="BG3" s="3" t="s">
        <v>67</v>
      </c>
    </row>
    <row r="4" spans="1:59" ht="14.5" x14ac:dyDescent="0.35">
      <c r="A4" s="143">
        <f>PowellInflow.Unregulated!A4</f>
        <v>46143</v>
      </c>
      <c r="B4">
        <v>1</v>
      </c>
      <c r="C4">
        <v>1</v>
      </c>
      <c r="D4">
        <v>1</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row>
    <row r="5" spans="1:59" ht="14.5" x14ac:dyDescent="0.35">
      <c r="A5" s="143">
        <f>PowellInflow.Unregulated!A5</f>
        <v>46174</v>
      </c>
      <c r="B5">
        <v>1</v>
      </c>
      <c r="C5">
        <v>1</v>
      </c>
      <c r="D5">
        <v>1</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row>
    <row r="6" spans="1:59" ht="14.5" x14ac:dyDescent="0.35">
      <c r="A6" s="143">
        <f>PowellInflow.Unregulated!A6</f>
        <v>46204</v>
      </c>
      <c r="B6">
        <v>1</v>
      </c>
      <c r="C6">
        <v>1</v>
      </c>
      <c r="D6">
        <v>1</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row>
    <row r="7" spans="1:59" ht="14.5" x14ac:dyDescent="0.35">
      <c r="A7" s="143">
        <f>PowellInflow.Unregulated!A7</f>
        <v>46235</v>
      </c>
      <c r="B7">
        <v>1</v>
      </c>
      <c r="C7">
        <v>1</v>
      </c>
      <c r="D7">
        <v>1</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row>
    <row r="8" spans="1:59" ht="14.5" x14ac:dyDescent="0.35">
      <c r="A8" s="143">
        <f>PowellInflow.Unregulated!A8</f>
        <v>46266</v>
      </c>
      <c r="B8">
        <v>1</v>
      </c>
      <c r="C8">
        <v>1</v>
      </c>
      <c r="D8">
        <v>1</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row>
    <row r="9" spans="1:59" ht="14.5" x14ac:dyDescent="0.35">
      <c r="A9" s="143">
        <f>PowellInflow.Unregulated!A9</f>
        <v>46296</v>
      </c>
      <c r="B9">
        <v>1</v>
      </c>
      <c r="C9">
        <v>1</v>
      </c>
      <c r="D9">
        <v>1</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row>
    <row r="10" spans="1:59" ht="14.5" x14ac:dyDescent="0.35">
      <c r="A10" s="143">
        <f>PowellInflow.Unregulated!A10</f>
        <v>46327</v>
      </c>
      <c r="B10">
        <v>1</v>
      </c>
      <c r="C10">
        <v>1</v>
      </c>
      <c r="D10">
        <v>1</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row>
    <row r="11" spans="1:59" ht="14.5" x14ac:dyDescent="0.35">
      <c r="A11" s="143">
        <f>PowellInflow.Unregulated!A11</f>
        <v>46357</v>
      </c>
      <c r="B11">
        <v>1</v>
      </c>
      <c r="C11">
        <v>1</v>
      </c>
      <c r="D11">
        <v>1</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row>
    <row r="12" spans="1:59" ht="14.5" x14ac:dyDescent="0.35">
      <c r="A12" s="143">
        <f>PowellInflow.Unregulated!A12</f>
        <v>46388</v>
      </c>
      <c r="B12">
        <v>1</v>
      </c>
      <c r="C12">
        <v>1</v>
      </c>
      <c r="D12">
        <v>1</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row>
    <row r="13" spans="1:59" ht="14.5" x14ac:dyDescent="0.35">
      <c r="A13" s="143">
        <f>PowellInflow.Unregulated!A13</f>
        <v>46419</v>
      </c>
      <c r="B13">
        <v>1</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row>
    <row r="14" spans="1:59" ht="14.5" x14ac:dyDescent="0.35">
      <c r="A14" s="143">
        <f>PowellInflow.Unregulated!A14</f>
        <v>46447</v>
      </c>
      <c r="B14">
        <v>1</v>
      </c>
      <c r="C14">
        <v>1</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row>
    <row r="15" spans="1:59" ht="14.5" x14ac:dyDescent="0.35">
      <c r="A15" s="143">
        <f>PowellInflow.Unregulated!A15</f>
        <v>46478</v>
      </c>
      <c r="B15">
        <v>1</v>
      </c>
      <c r="C15">
        <v>1</v>
      </c>
      <c r="D15">
        <v>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row>
    <row r="16" spans="1:59" ht="14.5" x14ac:dyDescent="0.35">
      <c r="A16" s="143">
        <f>PowellInflow.Unregulated!A16</f>
        <v>46508</v>
      </c>
      <c r="B16">
        <v>1</v>
      </c>
      <c r="C16">
        <v>1</v>
      </c>
      <c r="D16">
        <v>1</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row>
    <row r="17" spans="1:59" ht="14.5" x14ac:dyDescent="0.35">
      <c r="A17" s="143">
        <f>PowellInflow.Unregulated!A17</f>
        <v>46539</v>
      </c>
      <c r="B17">
        <v>1</v>
      </c>
      <c r="C17">
        <v>1</v>
      </c>
      <c r="D17">
        <v>1</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row>
    <row r="18" spans="1:59" ht="14.5" x14ac:dyDescent="0.35">
      <c r="A18" s="143">
        <f>PowellInflow.Unregulated!A18</f>
        <v>46569</v>
      </c>
      <c r="B18">
        <v>1</v>
      </c>
      <c r="C18">
        <v>1</v>
      </c>
      <c r="D18">
        <v>1</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row>
    <row r="19" spans="1:59" ht="14.5" x14ac:dyDescent="0.35">
      <c r="A19" s="143">
        <f>PowellInflow.Unregulated!A19</f>
        <v>46600</v>
      </c>
      <c r="B19">
        <v>1</v>
      </c>
      <c r="C19">
        <v>1</v>
      </c>
      <c r="D19">
        <v>1</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row>
    <row r="20" spans="1:59" ht="14.5" x14ac:dyDescent="0.35">
      <c r="A20" s="143">
        <f>PowellInflow.Unregulated!A20</f>
        <v>46631</v>
      </c>
      <c r="B20">
        <v>1</v>
      </c>
      <c r="C20">
        <v>1</v>
      </c>
      <c r="D20">
        <v>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row>
    <row r="21" spans="1:59" ht="14.5" x14ac:dyDescent="0.35">
      <c r="A21" s="143">
        <f>PowellInflow.Unregulated!A21</f>
        <v>46661</v>
      </c>
      <c r="B21">
        <v>1</v>
      </c>
      <c r="C21">
        <v>1</v>
      </c>
      <c r="D21">
        <v>1</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row>
    <row r="22" spans="1:59" ht="14.5" x14ac:dyDescent="0.35">
      <c r="A22" s="143">
        <f>PowellInflow.Unregulated!A22</f>
        <v>46692</v>
      </c>
      <c r="B22">
        <v>1</v>
      </c>
      <c r="C22">
        <v>1</v>
      </c>
      <c r="D22">
        <v>1</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row>
    <row r="23" spans="1:59" ht="14.5" x14ac:dyDescent="0.35">
      <c r="A23" s="143">
        <f>PowellInflow.Unregulated!A23</f>
        <v>46722</v>
      </c>
      <c r="B23">
        <v>1</v>
      </c>
      <c r="C23">
        <v>1</v>
      </c>
      <c r="D23">
        <v>1</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row>
    <row r="24" spans="1:59" ht="14.5" x14ac:dyDescent="0.35">
      <c r="A24" s="143">
        <f>PowellInflow.Unregulated!A24</f>
        <v>46753</v>
      </c>
      <c r="B24">
        <v>1</v>
      </c>
      <c r="C24">
        <v>1</v>
      </c>
      <c r="D24">
        <v>1</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row>
    <row r="25" spans="1:59" ht="14.5" x14ac:dyDescent="0.35">
      <c r="A25" s="143">
        <f>PowellInflow.Unregulated!A25</f>
        <v>46784</v>
      </c>
      <c r="B25">
        <v>1</v>
      </c>
      <c r="C25">
        <v>1</v>
      </c>
      <c r="D25">
        <v>1</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row>
    <row r="26" spans="1:59" ht="14.5" x14ac:dyDescent="0.35">
      <c r="A26" s="143">
        <f>PowellInflow.Unregulated!A26</f>
        <v>46813</v>
      </c>
      <c r="B26">
        <v>1</v>
      </c>
      <c r="C26">
        <v>1</v>
      </c>
      <c r="D26">
        <v>1</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row>
    <row r="27" spans="1:59" ht="14.5" x14ac:dyDescent="0.35">
      <c r="A27" s="143">
        <f>PowellInflow.Unregulated!A27</f>
        <v>46844</v>
      </c>
      <c r="B27">
        <v>1</v>
      </c>
      <c r="C27">
        <v>1</v>
      </c>
      <c r="D27">
        <v>1</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row>
    <row r="28" spans="1:59" ht="14.5" x14ac:dyDescent="0.35">
      <c r="A28" s="143">
        <f>PowellInflow.Unregulated!A28</f>
        <v>46874</v>
      </c>
      <c r="B28">
        <v>1</v>
      </c>
      <c r="C28">
        <v>1</v>
      </c>
      <c r="D28">
        <v>1</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row>
    <row r="29" spans="1:59" ht="14.5" x14ac:dyDescent="0.35">
      <c r="A29" s="143">
        <f>PowellInflow.Unregulated!A29</f>
        <v>46905</v>
      </c>
      <c r="B29">
        <v>1</v>
      </c>
      <c r="C29">
        <v>1</v>
      </c>
      <c r="D29">
        <v>1</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row>
    <row r="30" spans="1:59" ht="14.5" x14ac:dyDescent="0.35">
      <c r="A30" s="143">
        <f>PowellInflow.Unregulated!A30</f>
        <v>46935</v>
      </c>
      <c r="B30">
        <v>1</v>
      </c>
      <c r="C30">
        <v>1</v>
      </c>
      <c r="D30">
        <v>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row>
    <row r="31" spans="1:59" ht="14.5" x14ac:dyDescent="0.35">
      <c r="A31" s="143">
        <f>PowellInflow.Unregulated!A31</f>
        <v>46966</v>
      </c>
      <c r="B31">
        <v>1</v>
      </c>
      <c r="C31">
        <v>1</v>
      </c>
      <c r="D31">
        <v>1</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row>
    <row r="32" spans="1:59" ht="14.5" x14ac:dyDescent="0.35">
      <c r="A32" s="143">
        <f>PowellInflow.Unregulated!A32</f>
        <v>46997</v>
      </c>
      <c r="B32">
        <v>1</v>
      </c>
      <c r="C32">
        <v>1</v>
      </c>
      <c r="D32">
        <v>1</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row>
    <row r="33" spans="1:59" ht="14.5" x14ac:dyDescent="0.35">
      <c r="A33" s="143">
        <f>PowellInflow.Unregulated!A33</f>
        <v>47027</v>
      </c>
      <c r="B33">
        <v>1</v>
      </c>
      <c r="C33">
        <v>1</v>
      </c>
      <c r="D33">
        <v>1</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row>
    <row r="34" spans="1:59" ht="14.5" x14ac:dyDescent="0.35">
      <c r="A34" s="143">
        <f>PowellInflow.Unregulated!A34</f>
        <v>47058</v>
      </c>
      <c r="B34">
        <v>1</v>
      </c>
      <c r="C34">
        <v>1</v>
      </c>
      <c r="D34">
        <v>1</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row>
    <row r="35" spans="1:59" ht="14.5" x14ac:dyDescent="0.35">
      <c r="A35" s="143">
        <f>PowellInflow.Unregulated!A35</f>
        <v>47088</v>
      </c>
      <c r="B35">
        <v>1</v>
      </c>
      <c r="C35">
        <v>1</v>
      </c>
      <c r="D35">
        <v>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row>
    <row r="36" spans="1:59" ht="14.5" x14ac:dyDescent="0.35">
      <c r="A36" s="143">
        <f>PowellInflow.Unregulated!A36</f>
        <v>47119</v>
      </c>
      <c r="B36">
        <v>1</v>
      </c>
      <c r="C36">
        <v>1</v>
      </c>
      <c r="D36">
        <v>1</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row>
    <row r="37" spans="1:59" ht="14.5" x14ac:dyDescent="0.35">
      <c r="A37" s="143">
        <f>PowellInflow.Unregulated!A37</f>
        <v>47150</v>
      </c>
      <c r="B37">
        <v>1</v>
      </c>
      <c r="C37">
        <v>1</v>
      </c>
      <c r="D37">
        <v>1</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row>
    <row r="38" spans="1:59" ht="14.5" x14ac:dyDescent="0.35">
      <c r="A38" s="143">
        <f>PowellInflow.Unregulated!A38</f>
        <v>47178</v>
      </c>
      <c r="B38">
        <v>1</v>
      </c>
      <c r="C38">
        <v>1</v>
      </c>
      <c r="D38">
        <v>1</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row>
    <row r="39" spans="1:59" ht="14.5" x14ac:dyDescent="0.35">
      <c r="A39" s="143">
        <f>PowellInflow.Unregulated!A39</f>
        <v>47209</v>
      </c>
      <c r="B39">
        <v>1</v>
      </c>
      <c r="C39">
        <v>1</v>
      </c>
      <c r="D39">
        <v>1</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row>
    <row r="40" spans="1:59" ht="14.5" x14ac:dyDescent="0.35">
      <c r="A40" s="143">
        <f>PowellInflow.Unregulated!A40</f>
        <v>47239</v>
      </c>
      <c r="B40">
        <v>1</v>
      </c>
      <c r="C40">
        <v>1</v>
      </c>
      <c r="D40">
        <v>1</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row>
    <row r="41" spans="1:59" ht="14.5" x14ac:dyDescent="0.35">
      <c r="A41" s="143">
        <f>PowellInflow.Unregulated!A41</f>
        <v>47270</v>
      </c>
      <c r="B41">
        <v>1</v>
      </c>
      <c r="C41">
        <v>1</v>
      </c>
      <c r="D41">
        <v>1</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row>
    <row r="42" spans="1:59" ht="14.5" x14ac:dyDescent="0.35">
      <c r="A42" s="143">
        <f>PowellInflow.Unregulated!A42</f>
        <v>47300</v>
      </c>
      <c r="B42">
        <v>1</v>
      </c>
      <c r="C42">
        <v>1</v>
      </c>
      <c r="D42">
        <v>1</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row>
    <row r="43" spans="1:59" ht="14.5" x14ac:dyDescent="0.35">
      <c r="A43" s="143">
        <f>PowellInflow.Unregulated!A43</f>
        <v>47331</v>
      </c>
      <c r="B43">
        <v>1</v>
      </c>
      <c r="C43">
        <v>1</v>
      </c>
      <c r="D43">
        <v>1</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row>
    <row r="44" spans="1:59" ht="14.5" x14ac:dyDescent="0.35">
      <c r="A44" s="143">
        <f>PowellInflow.Unregulated!A44</f>
        <v>47362</v>
      </c>
      <c r="B44">
        <v>1</v>
      </c>
      <c r="C44">
        <v>1</v>
      </c>
      <c r="D44">
        <v>1</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row>
    <row r="45" spans="1:59" ht="14.5" x14ac:dyDescent="0.35">
      <c r="A45" s="143">
        <f>PowellInflow.Unregulated!A45</f>
        <v>47392</v>
      </c>
      <c r="B45">
        <v>1</v>
      </c>
      <c r="C45">
        <v>1</v>
      </c>
      <c r="D45">
        <v>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row>
    <row r="46" spans="1:59" ht="14.5" x14ac:dyDescent="0.35">
      <c r="A46" s="143">
        <f>PowellInflow.Unregulated!A46</f>
        <v>47423</v>
      </c>
      <c r="B46">
        <v>1</v>
      </c>
      <c r="C46">
        <v>1</v>
      </c>
      <c r="D46">
        <v>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row>
    <row r="47" spans="1:59" ht="14.5" x14ac:dyDescent="0.35">
      <c r="A47" s="143">
        <f>PowellInflow.Unregulated!A47</f>
        <v>47453</v>
      </c>
      <c r="B47">
        <v>1</v>
      </c>
      <c r="C47">
        <v>1</v>
      </c>
      <c r="D47">
        <v>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row>
    <row r="48" spans="1:59" ht="14.5" x14ac:dyDescent="0.35">
      <c r="A48" s="143">
        <f>PowellInflow.Unregulated!A48</f>
        <v>47484</v>
      </c>
      <c r="B48">
        <v>1</v>
      </c>
      <c r="C48">
        <v>1</v>
      </c>
      <c r="D48">
        <v>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row>
    <row r="49" spans="1:59" ht="14.5" x14ac:dyDescent="0.35">
      <c r="A49" s="143">
        <f>PowellInflow.Unregulated!A49</f>
        <v>47515</v>
      </c>
      <c r="B49">
        <v>1</v>
      </c>
      <c r="C49">
        <v>1</v>
      </c>
      <c r="D49">
        <v>1</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row>
    <row r="50" spans="1:59" ht="14.5" x14ac:dyDescent="0.35">
      <c r="A50" s="143">
        <f>PowellInflow.Unregulated!A50</f>
        <v>47543</v>
      </c>
      <c r="B50">
        <v>1</v>
      </c>
      <c r="C50">
        <v>1</v>
      </c>
      <c r="D50">
        <v>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row>
    <row r="51" spans="1:59" ht="14.5" x14ac:dyDescent="0.35">
      <c r="A51" s="143">
        <f>PowellInflow.Unregulated!A51</f>
        <v>47574</v>
      </c>
      <c r="B51">
        <v>1</v>
      </c>
      <c r="C51">
        <v>1</v>
      </c>
      <c r="D51">
        <v>1</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row>
    <row r="52" spans="1:59" ht="14.5" x14ac:dyDescent="0.35">
      <c r="A52" s="143">
        <f>PowellInflow.Unregulated!A52</f>
        <v>47604</v>
      </c>
      <c r="B52">
        <v>1</v>
      </c>
      <c r="C52">
        <v>1</v>
      </c>
      <c r="D52">
        <v>1</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row>
    <row r="53" spans="1:59" ht="14.5" x14ac:dyDescent="0.35">
      <c r="A53" s="143">
        <f>PowellInflow.Unregulated!A53</f>
        <v>47635</v>
      </c>
      <c r="B53">
        <v>1</v>
      </c>
      <c r="C53">
        <v>1</v>
      </c>
      <c r="D53">
        <v>1</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row>
    <row r="54" spans="1:59" ht="14.5" x14ac:dyDescent="0.35">
      <c r="A54" s="143">
        <f>PowellInflow.Unregulated!A54</f>
        <v>47665</v>
      </c>
      <c r="B54">
        <v>1</v>
      </c>
      <c r="C54">
        <v>1</v>
      </c>
      <c r="D54">
        <v>1</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row>
    <row r="55" spans="1:59" ht="14.5" x14ac:dyDescent="0.35">
      <c r="A55" s="143">
        <f>PowellInflow.Unregulated!A55</f>
        <v>47696</v>
      </c>
      <c r="B55">
        <v>1</v>
      </c>
      <c r="C55">
        <v>1</v>
      </c>
      <c r="D55">
        <v>1</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row>
    <row r="56" spans="1:59" ht="14.5" x14ac:dyDescent="0.35">
      <c r="A56" s="143">
        <f>PowellInflow.Unregulated!A56</f>
        <v>47727</v>
      </c>
      <c r="B56">
        <v>1</v>
      </c>
      <c r="C56">
        <v>1</v>
      </c>
      <c r="D56">
        <v>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row>
    <row r="57" spans="1:59" ht="14.5" x14ac:dyDescent="0.35">
      <c r="A57" s="143">
        <f>PowellInflow.Unregulated!A57</f>
        <v>47757</v>
      </c>
      <c r="B57">
        <v>1</v>
      </c>
      <c r="C57">
        <v>1</v>
      </c>
      <c r="D57">
        <v>1</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row>
    <row r="58" spans="1:59" ht="14.5" x14ac:dyDescent="0.35">
      <c r="A58" s="143">
        <f>PowellInflow.Unregulated!A58</f>
        <v>47788</v>
      </c>
      <c r="B58">
        <v>1</v>
      </c>
      <c r="C58">
        <v>1</v>
      </c>
      <c r="D58">
        <v>1</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row>
    <row r="59" spans="1:59" ht="14.5" x14ac:dyDescent="0.35">
      <c r="A59" s="143">
        <f>PowellInflow.Unregulated!A59</f>
        <v>47818</v>
      </c>
      <c r="B59">
        <v>1</v>
      </c>
      <c r="C59">
        <v>1</v>
      </c>
      <c r="D59">
        <v>1</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row>
    <row r="60" spans="1:59" ht="14.5" x14ac:dyDescent="0.35">
      <c r="A60" s="143">
        <f>PowellInflow.Unregulated!A60</f>
        <v>47849</v>
      </c>
      <c r="B60">
        <v>1</v>
      </c>
      <c r="C60">
        <v>1</v>
      </c>
      <c r="D60">
        <v>1</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row>
    <row r="61" spans="1:59" ht="14.5" x14ac:dyDescent="0.35">
      <c r="A61" s="143">
        <f>PowellInflow.Unregulated!A61</f>
        <v>47880</v>
      </c>
      <c r="B61">
        <v>1</v>
      </c>
      <c r="C61">
        <v>1</v>
      </c>
      <c r="D61">
        <v>1</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row>
    <row r="62" spans="1:59" ht="14.5" x14ac:dyDescent="0.35">
      <c r="A62" s="143">
        <f>PowellInflow.Unregulated!A62</f>
        <v>47908</v>
      </c>
      <c r="B62">
        <v>1</v>
      </c>
      <c r="C62">
        <v>1</v>
      </c>
      <c r="D62">
        <v>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row>
    <row r="63" spans="1:59" ht="14.5" x14ac:dyDescent="0.35">
      <c r="A63" s="143">
        <f>PowellInflow.Unregulated!A63</f>
        <v>47939</v>
      </c>
      <c r="B63">
        <v>1</v>
      </c>
      <c r="C63">
        <v>1</v>
      </c>
      <c r="D63">
        <v>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row>
    <row r="64" spans="1:59" ht="14.5" x14ac:dyDescent="0.35">
      <c r="A64" s="143">
        <f>PowellInflow.Unregulated!A64</f>
        <v>47969</v>
      </c>
      <c r="B64">
        <v>1</v>
      </c>
      <c r="C64">
        <v>1</v>
      </c>
      <c r="D64">
        <v>1</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row>
    <row r="65" spans="1:59" ht="14.5" x14ac:dyDescent="0.35">
      <c r="A65" s="143">
        <f>PowellInflow.Unregulated!A65</f>
        <v>48000</v>
      </c>
      <c r="B65">
        <v>1</v>
      </c>
      <c r="C65">
        <v>1</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row>
    <row r="66" spans="1:59" ht="14.5" x14ac:dyDescent="0.35">
      <c r="A66" s="143">
        <f>PowellInflow.Unregulated!A66</f>
        <v>48030</v>
      </c>
      <c r="B66">
        <v>1</v>
      </c>
      <c r="C66">
        <v>1</v>
      </c>
      <c r="D66">
        <v>1</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row>
    <row r="67" spans="1:59" ht="14.5" x14ac:dyDescent="0.35">
      <c r="A67" s="143">
        <f>PowellInflow.Unregulated!A67</f>
        <v>48061</v>
      </c>
      <c r="B67">
        <v>1</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row>
    <row r="68" spans="1:59" ht="14.5" x14ac:dyDescent="0.35">
      <c r="A68" s="143">
        <f>PowellInflow.Unregulated!A68</f>
        <v>48092</v>
      </c>
      <c r="B68">
        <v>1</v>
      </c>
      <c r="C68">
        <v>1</v>
      </c>
      <c r="D68">
        <v>1</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row>
    <row r="69" spans="1:59" ht="14.5" x14ac:dyDescent="0.35">
      <c r="A69" s="143">
        <f>PowellInflow.Unregulated!A69</f>
        <v>0</v>
      </c>
      <c r="B69">
        <v>1</v>
      </c>
      <c r="C69">
        <v>1</v>
      </c>
      <c r="D69">
        <v>1</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row>
    <row r="70" spans="1:59" ht="14.5" x14ac:dyDescent="0.35">
      <c r="A70" s="143">
        <f>PowellInflow.Unregulated!A70</f>
        <v>0</v>
      </c>
      <c r="B70">
        <v>1</v>
      </c>
      <c r="C70">
        <v>1</v>
      </c>
      <c r="D70">
        <v>1</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row>
    <row r="71" spans="1:59" ht="14.5" x14ac:dyDescent="0.35">
      <c r="A71" s="143">
        <f>PowellInflow.Unregulated!A71</f>
        <v>0</v>
      </c>
      <c r="B71">
        <v>1</v>
      </c>
      <c r="C71">
        <v>1</v>
      </c>
      <c r="D71">
        <v>1</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row>
    <row r="72" spans="1:59" ht="14.5" x14ac:dyDescent="0.35">
      <c r="A72" s="143">
        <f>PowellInflow.Unregulated!A72</f>
        <v>0</v>
      </c>
      <c r="B72">
        <v>1</v>
      </c>
      <c r="C72">
        <v>1</v>
      </c>
      <c r="D72">
        <v>1</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row>
    <row r="73" spans="1:59" ht="14.5" x14ac:dyDescent="0.35">
      <c r="A73" s="143">
        <f>PowellInflow.Unregulated!A73</f>
        <v>0</v>
      </c>
      <c r="B73">
        <v>1</v>
      </c>
      <c r="C73">
        <v>1</v>
      </c>
      <c r="D73">
        <v>1</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row>
    <row r="74" spans="1:59" ht="14.5" x14ac:dyDescent="0.35">
      <c r="A74" s="143">
        <f>PowellInflow.Unregulated!A74</f>
        <v>0</v>
      </c>
      <c r="B74">
        <v>1</v>
      </c>
      <c r="C74">
        <v>1</v>
      </c>
      <c r="D74">
        <v>1</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row>
    <row r="75" spans="1:59" ht="14.5" x14ac:dyDescent="0.35">
      <c r="A75" s="143">
        <f>PowellInflow.Unregulated!A75</f>
        <v>0</v>
      </c>
      <c r="B75">
        <v>1</v>
      </c>
      <c r="C75">
        <v>1</v>
      </c>
      <c r="D75">
        <v>1</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row>
    <row r="76" spans="1:59" ht="14.5" x14ac:dyDescent="0.35">
      <c r="A76" s="143">
        <f>PowellInflow.Unregulated!A76</f>
        <v>0</v>
      </c>
      <c r="B76">
        <v>1</v>
      </c>
      <c r="C76">
        <v>1</v>
      </c>
      <c r="D76">
        <v>1</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row>
    <row r="77" spans="1:59" ht="14.5" x14ac:dyDescent="0.35">
      <c r="A77" s="143">
        <f>PowellInflow.Unregulated!A77</f>
        <v>0</v>
      </c>
      <c r="B77">
        <v>1</v>
      </c>
      <c r="C77">
        <v>1</v>
      </c>
      <c r="D77">
        <v>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row>
    <row r="78" spans="1:59" ht="14.5" x14ac:dyDescent="0.35">
      <c r="A78" s="143">
        <f>PowellInflow.Unregulated!A78</f>
        <v>0</v>
      </c>
      <c r="B78">
        <v>1</v>
      </c>
      <c r="C78">
        <v>1</v>
      </c>
      <c r="D78">
        <v>1</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row>
    <row r="79" spans="1:59" ht="14.5" x14ac:dyDescent="0.35">
      <c r="A79" s="143">
        <f>PowellInflow.Unregulated!A79</f>
        <v>0</v>
      </c>
      <c r="B79">
        <v>1</v>
      </c>
      <c r="C79">
        <v>1</v>
      </c>
      <c r="D79">
        <v>1</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row>
    <row r="80" spans="1:59" ht="14.5" x14ac:dyDescent="0.35">
      <c r="A80" s="143">
        <f>PowellInflow.Unregulated!A80</f>
        <v>0</v>
      </c>
      <c r="B80">
        <v>1</v>
      </c>
      <c r="C80">
        <v>1</v>
      </c>
      <c r="D80">
        <v>1</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row>
    <row r="81" spans="1:59" ht="14.5" x14ac:dyDescent="0.35">
      <c r="A81" s="35"/>
      <c r="B81">
        <v>1</v>
      </c>
      <c r="C81">
        <v>1</v>
      </c>
      <c r="D81">
        <v>1</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row>
    <row r="82" spans="1:59" ht="14.5" x14ac:dyDescent="0.35">
      <c r="A82" s="35"/>
      <c r="B82">
        <v>1</v>
      </c>
      <c r="C82">
        <v>1</v>
      </c>
      <c r="D82">
        <v>1</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row>
    <row r="83" spans="1:59" ht="14.5" x14ac:dyDescent="0.35">
      <c r="A83" s="35"/>
      <c r="B83">
        <v>1</v>
      </c>
      <c r="C83">
        <v>1</v>
      </c>
      <c r="D83">
        <v>1</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row>
    <row r="84" spans="1:59" ht="14.5" x14ac:dyDescent="0.35">
      <c r="A84" s="35"/>
      <c r="B84">
        <v>1</v>
      </c>
      <c r="C84">
        <v>1</v>
      </c>
      <c r="D84">
        <v>1</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row>
    <row r="85" spans="1:59" ht="14.5" x14ac:dyDescent="0.35">
      <c r="A85" s="35"/>
      <c r="B85">
        <v>1</v>
      </c>
      <c r="C85">
        <v>1</v>
      </c>
      <c r="D85">
        <v>1</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row>
    <row r="86" spans="1:59" ht="14.5" x14ac:dyDescent="0.35">
      <c r="A86" s="35"/>
      <c r="B86">
        <v>1</v>
      </c>
      <c r="C86">
        <v>1</v>
      </c>
      <c r="D86">
        <v>1</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row>
    <row r="87" spans="1:59" ht="14.5" x14ac:dyDescent="0.35">
      <c r="A87" s="35"/>
      <c r="B87">
        <v>1</v>
      </c>
      <c r="C87">
        <v>1</v>
      </c>
      <c r="D87">
        <v>1</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row>
    <row r="88" spans="1:59" ht="14.5" x14ac:dyDescent="0.35">
      <c r="A88" s="35"/>
      <c r="B88">
        <v>1</v>
      </c>
      <c r="C88">
        <v>1</v>
      </c>
      <c r="D88">
        <v>1</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row>
    <row r="89" spans="1:59" ht="14.5" x14ac:dyDescent="0.35">
      <c r="A89" s="35"/>
      <c r="B89">
        <v>1</v>
      </c>
      <c r="C89">
        <v>1</v>
      </c>
      <c r="D89">
        <v>1</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row>
    <row r="90" spans="1:59" ht="14.5" x14ac:dyDescent="0.35">
      <c r="A90" s="35"/>
      <c r="B90">
        <v>1</v>
      </c>
      <c r="C90">
        <v>1</v>
      </c>
      <c r="D90">
        <v>1</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row>
    <row r="91" spans="1:59" ht="14.5" x14ac:dyDescent="0.35">
      <c r="A91" s="35"/>
      <c r="B91">
        <v>1</v>
      </c>
      <c r="C91">
        <v>1</v>
      </c>
      <c r="D91">
        <v>1</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row>
    <row r="92" spans="1:59" ht="14.5" x14ac:dyDescent="0.35">
      <c r="A92" s="35"/>
      <c r="B92">
        <v>1</v>
      </c>
      <c r="C92">
        <v>1</v>
      </c>
      <c r="D92">
        <v>1</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row>
    <row r="93" spans="1:59" ht="14.5" x14ac:dyDescent="0.35">
      <c r="A93" s="35"/>
      <c r="B93">
        <v>1</v>
      </c>
      <c r="C93">
        <v>1</v>
      </c>
      <c r="D93">
        <v>1</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row>
    <row r="94" spans="1:59" ht="14.5" x14ac:dyDescent="0.35">
      <c r="A94" s="35"/>
      <c r="B94">
        <v>1</v>
      </c>
      <c r="C94">
        <v>1</v>
      </c>
      <c r="D94">
        <v>1</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row>
    <row r="95" spans="1:59" ht="14.5" x14ac:dyDescent="0.35">
      <c r="A95" s="35"/>
      <c r="B95">
        <v>1</v>
      </c>
      <c r="C95">
        <v>1</v>
      </c>
      <c r="D95">
        <v>1</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row>
    <row r="96" spans="1:59" ht="14.5" x14ac:dyDescent="0.35">
      <c r="A96" s="35"/>
      <c r="B96">
        <v>1</v>
      </c>
      <c r="C96">
        <v>1</v>
      </c>
      <c r="D96">
        <v>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row>
    <row r="97" spans="1:59" ht="14.5" x14ac:dyDescent="0.35">
      <c r="A97" s="35"/>
      <c r="B97">
        <v>1</v>
      </c>
      <c r="C97">
        <v>1</v>
      </c>
      <c r="D97">
        <v>1</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row>
    <row r="98" spans="1:59" ht="14.5" x14ac:dyDescent="0.35">
      <c r="A98" s="35"/>
      <c r="B98">
        <v>1</v>
      </c>
      <c r="C98">
        <v>1</v>
      </c>
      <c r="D98">
        <v>1</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row>
    <row r="99" spans="1:59" ht="14.5" x14ac:dyDescent="0.35">
      <c r="A99" s="35"/>
      <c r="B99">
        <v>1</v>
      </c>
      <c r="C99">
        <v>1</v>
      </c>
      <c r="D99">
        <v>1</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row>
    <row r="100" spans="1:59" ht="14.5" x14ac:dyDescent="0.35">
      <c r="A100" s="35"/>
      <c r="B100">
        <v>1</v>
      </c>
      <c r="C100">
        <v>1</v>
      </c>
      <c r="D100">
        <v>1</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row>
    <row r="101" spans="1:59" ht="14.5" x14ac:dyDescent="0.35">
      <c r="A101" s="35"/>
      <c r="B101">
        <v>1</v>
      </c>
      <c r="C101">
        <v>1</v>
      </c>
      <c r="D101">
        <v>1</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row>
    <row r="102" spans="1:59" ht="14.5" x14ac:dyDescent="0.35">
      <c r="A102" s="35"/>
      <c r="B102">
        <v>1</v>
      </c>
      <c r="C102">
        <v>1</v>
      </c>
      <c r="D102">
        <v>1</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row>
    <row r="103" spans="1:59" ht="14.5" x14ac:dyDescent="0.35">
      <c r="A103" s="35"/>
      <c r="B103">
        <v>1</v>
      </c>
      <c r="C103">
        <v>1</v>
      </c>
      <c r="D103">
        <v>1</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row>
    <row r="104" spans="1:59" ht="14.5" x14ac:dyDescent="0.35">
      <c r="A104" s="35"/>
      <c r="B104">
        <v>1</v>
      </c>
      <c r="C104">
        <v>1</v>
      </c>
      <c r="D104">
        <v>1</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row>
    <row r="105" spans="1:59" ht="14.5" x14ac:dyDescent="0.35">
      <c r="A105" s="35"/>
      <c r="B105">
        <v>1</v>
      </c>
      <c r="C105">
        <v>1</v>
      </c>
      <c r="D105">
        <v>1</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row>
    <row r="106" spans="1:59" ht="14.5" x14ac:dyDescent="0.35">
      <c r="A106" s="35"/>
      <c r="B106">
        <v>1</v>
      </c>
      <c r="C106">
        <v>1</v>
      </c>
      <c r="D106">
        <v>1</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row>
    <row r="107" spans="1:59" ht="14.5" x14ac:dyDescent="0.35">
      <c r="A107" s="35"/>
      <c r="B107">
        <v>1</v>
      </c>
      <c r="C107">
        <v>1</v>
      </c>
      <c r="D107">
        <v>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row>
    <row r="108" spans="1:59" ht="14.5" x14ac:dyDescent="0.35">
      <c r="A108" s="35"/>
      <c r="B108">
        <v>1</v>
      </c>
      <c r="C108">
        <v>1</v>
      </c>
      <c r="D108">
        <v>1</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row>
    <row r="109" spans="1:59" ht="14.5" x14ac:dyDescent="0.35">
      <c r="A109" s="35"/>
      <c r="B109">
        <v>1</v>
      </c>
      <c r="C109">
        <v>1</v>
      </c>
      <c r="D109">
        <v>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row>
    <row r="110" spans="1:59" ht="14.5" x14ac:dyDescent="0.35">
      <c r="A110" s="35"/>
      <c r="B110">
        <v>1</v>
      </c>
      <c r="C110">
        <v>1</v>
      </c>
      <c r="D110">
        <v>1</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row>
    <row r="111" spans="1:59" ht="14.5" x14ac:dyDescent="0.35">
      <c r="A111" s="35"/>
      <c r="B111">
        <v>1</v>
      </c>
      <c r="C111">
        <v>1</v>
      </c>
      <c r="D111">
        <v>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row>
    <row r="112" spans="1:59" ht="14.5" x14ac:dyDescent="0.35">
      <c r="A112" s="35"/>
      <c r="B112">
        <v>1</v>
      </c>
      <c r="C112">
        <v>1</v>
      </c>
      <c r="D112">
        <v>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row>
    <row r="113" spans="1:59" ht="14.5" x14ac:dyDescent="0.35">
      <c r="A113" s="35"/>
      <c r="B113">
        <v>1</v>
      </c>
      <c r="C113">
        <v>1</v>
      </c>
      <c r="D113">
        <v>1</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row>
    <row r="114" spans="1:59" ht="14.5" x14ac:dyDescent="0.35">
      <c r="A114" s="35"/>
      <c r="B114">
        <v>1</v>
      </c>
      <c r="C114">
        <v>1</v>
      </c>
      <c r="D114">
        <v>1</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row>
    <row r="115" spans="1:59" ht="14.5" x14ac:dyDescent="0.35">
      <c r="A115" s="35"/>
      <c r="B115">
        <v>1</v>
      </c>
      <c r="C115">
        <v>1</v>
      </c>
      <c r="D115">
        <v>1</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row>
    <row r="116" spans="1:59" ht="14.5" x14ac:dyDescent="0.35">
      <c r="A116" s="35"/>
      <c r="B116">
        <v>1</v>
      </c>
      <c r="C116">
        <v>1</v>
      </c>
      <c r="D116">
        <v>1</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row>
    <row r="117" spans="1:59" ht="14.5" x14ac:dyDescent="0.35">
      <c r="A117" s="35"/>
      <c r="B117">
        <v>1</v>
      </c>
      <c r="C117">
        <v>1</v>
      </c>
      <c r="D117">
        <v>1</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row>
    <row r="118" spans="1:59" ht="14.5" x14ac:dyDescent="0.35">
      <c r="A118" s="35"/>
      <c r="B118">
        <v>1</v>
      </c>
      <c r="C118">
        <v>1</v>
      </c>
      <c r="D118">
        <v>1</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row>
    <row r="119" spans="1:59" ht="14.5" x14ac:dyDescent="0.35">
      <c r="A119" s="35"/>
      <c r="B119">
        <v>1</v>
      </c>
      <c r="C119">
        <v>1</v>
      </c>
      <c r="D119">
        <v>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row>
    <row r="120" spans="1:59" ht="14.5" x14ac:dyDescent="0.35">
      <c r="A120" s="35"/>
      <c r="B120">
        <v>1</v>
      </c>
      <c r="C120">
        <v>1</v>
      </c>
      <c r="D120">
        <v>1</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row>
    <row r="121" spans="1:59" ht="14.5" x14ac:dyDescent="0.35">
      <c r="A121" s="35"/>
      <c r="B121">
        <v>1</v>
      </c>
      <c r="C121">
        <v>1</v>
      </c>
      <c r="D121">
        <v>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row>
    <row r="122" spans="1:59" ht="14.5" x14ac:dyDescent="0.35">
      <c r="A122" s="35"/>
      <c r="B122">
        <v>1</v>
      </c>
      <c r="C122">
        <v>1</v>
      </c>
      <c r="D122">
        <v>1</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row>
    <row r="123" spans="1:59" ht="14.5" x14ac:dyDescent="0.35">
      <c r="A123" s="35"/>
      <c r="B123">
        <v>1</v>
      </c>
      <c r="C123">
        <v>1</v>
      </c>
      <c r="D123">
        <v>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row>
    <row r="124" spans="1:59" ht="14.5" x14ac:dyDescent="0.35">
      <c r="A124" s="35"/>
      <c r="B124">
        <v>1</v>
      </c>
      <c r="C124">
        <v>1</v>
      </c>
      <c r="D124">
        <v>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row>
    <row r="125" spans="1:59" ht="14.5" x14ac:dyDescent="0.35">
      <c r="A125" s="35"/>
      <c r="B125">
        <v>1</v>
      </c>
      <c r="C125">
        <v>1</v>
      </c>
      <c r="D125">
        <v>1</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row>
    <row r="126" spans="1:59" ht="14.5" x14ac:dyDescent="0.35">
      <c r="A126" s="35"/>
      <c r="B126">
        <v>1</v>
      </c>
      <c r="C126">
        <v>1</v>
      </c>
      <c r="D126">
        <v>1</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row>
    <row r="127" spans="1:59" ht="14.5" x14ac:dyDescent="0.35">
      <c r="A127" s="35"/>
      <c r="B127">
        <v>1</v>
      </c>
      <c r="C127">
        <v>1</v>
      </c>
      <c r="D127">
        <v>1</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row>
    <row r="128" spans="1:59" ht="14.5" x14ac:dyDescent="0.35">
      <c r="A128" s="35"/>
      <c r="B128">
        <v>1</v>
      </c>
      <c r="C128">
        <v>1</v>
      </c>
      <c r="D128">
        <v>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row>
    <row r="129" spans="1:59" ht="14.5" x14ac:dyDescent="0.35">
      <c r="A129" s="35"/>
      <c r="B129">
        <v>1</v>
      </c>
      <c r="C129">
        <v>1</v>
      </c>
      <c r="D129">
        <v>1</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row>
    <row r="130" spans="1:59" ht="14.5" x14ac:dyDescent="0.35">
      <c r="A130" s="35"/>
      <c r="B130">
        <v>1</v>
      </c>
      <c r="C130">
        <v>1</v>
      </c>
      <c r="D130">
        <v>1</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row>
    <row r="131" spans="1:59" ht="14.5" x14ac:dyDescent="0.35">
      <c r="A131" s="35"/>
      <c r="B131">
        <v>1</v>
      </c>
      <c r="C131">
        <v>1</v>
      </c>
      <c r="D131">
        <v>1</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row>
    <row r="132" spans="1:59" ht="14.5" x14ac:dyDescent="0.35">
      <c r="A132" s="35"/>
      <c r="B132">
        <v>1</v>
      </c>
      <c r="C132">
        <v>1</v>
      </c>
      <c r="D132">
        <v>1</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row>
    <row r="133" spans="1:59" ht="14.5" x14ac:dyDescent="0.35">
      <c r="A133" s="35"/>
      <c r="B133">
        <v>1</v>
      </c>
      <c r="C133">
        <v>1</v>
      </c>
      <c r="D133">
        <v>1</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row>
    <row r="134" spans="1:59" ht="14.5" x14ac:dyDescent="0.35">
      <c r="A134" s="35"/>
      <c r="B134">
        <v>1</v>
      </c>
      <c r="C134">
        <v>1</v>
      </c>
      <c r="D134">
        <v>1</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row>
    <row r="135" spans="1:59" ht="14.5" x14ac:dyDescent="0.35">
      <c r="A135" s="35"/>
      <c r="B135">
        <v>1</v>
      </c>
      <c r="C135">
        <v>1</v>
      </c>
      <c r="D135">
        <v>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row>
    <row r="136" spans="1:59" ht="14.5" x14ac:dyDescent="0.35">
      <c r="A136" s="35"/>
      <c r="B136">
        <v>1</v>
      </c>
      <c r="C136">
        <v>1</v>
      </c>
      <c r="D136">
        <v>1</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row>
    <row r="137" spans="1:59" ht="14.5" x14ac:dyDescent="0.35">
      <c r="A137" s="35"/>
      <c r="B137">
        <v>1</v>
      </c>
      <c r="C137">
        <v>1</v>
      </c>
      <c r="D137">
        <v>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row>
    <row r="138" spans="1:59" ht="14.5" x14ac:dyDescent="0.35">
      <c r="A138" s="35"/>
      <c r="B138">
        <v>1</v>
      </c>
      <c r="C138">
        <v>1</v>
      </c>
      <c r="D138">
        <v>1</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row>
    <row r="139" spans="1:59" ht="14.5" x14ac:dyDescent="0.35">
      <c r="A139" s="35"/>
      <c r="B139">
        <v>1</v>
      </c>
      <c r="C139">
        <v>1</v>
      </c>
      <c r="D139">
        <v>1</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row>
    <row r="140" spans="1:59" ht="14.5" x14ac:dyDescent="0.35">
      <c r="A140" s="35"/>
      <c r="B140">
        <v>1</v>
      </c>
      <c r="C140">
        <v>1</v>
      </c>
      <c r="D140">
        <v>1</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row>
    <row r="141" spans="1:59" ht="14.5" x14ac:dyDescent="0.35">
      <c r="A141" s="35"/>
      <c r="B141">
        <v>1</v>
      </c>
      <c r="C141">
        <v>1</v>
      </c>
      <c r="D141">
        <v>1</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row>
    <row r="142" spans="1:59" ht="14.5" x14ac:dyDescent="0.35">
      <c r="A142" s="35"/>
      <c r="B142">
        <v>1</v>
      </c>
      <c r="C142">
        <v>1</v>
      </c>
      <c r="D142">
        <v>1</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row>
    <row r="143" spans="1:59" ht="14.5" x14ac:dyDescent="0.35">
      <c r="A143" s="35"/>
      <c r="B143">
        <v>1</v>
      </c>
      <c r="C143">
        <v>1</v>
      </c>
      <c r="D143">
        <v>1</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row>
    <row r="144" spans="1:59" ht="14.5" x14ac:dyDescent="0.35">
      <c r="A144" s="35"/>
      <c r="B144">
        <v>1</v>
      </c>
      <c r="C144">
        <v>1</v>
      </c>
      <c r="D144">
        <v>1</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row>
    <row r="145" spans="1:59" ht="14.5" x14ac:dyDescent="0.35">
      <c r="A145" s="35"/>
      <c r="B145">
        <v>1</v>
      </c>
      <c r="C145">
        <v>1</v>
      </c>
      <c r="D145">
        <v>1</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row>
    <row r="146" spans="1:59" ht="14.5" x14ac:dyDescent="0.35">
      <c r="A146" s="35"/>
      <c r="B146">
        <v>1</v>
      </c>
      <c r="C146">
        <v>1</v>
      </c>
      <c r="D146">
        <v>1</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row>
    <row r="147" spans="1:59" ht="14.5" x14ac:dyDescent="0.35">
      <c r="A147" s="35"/>
      <c r="B147">
        <v>1</v>
      </c>
      <c r="C147">
        <v>1</v>
      </c>
      <c r="D147">
        <v>1</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row>
    <row r="148" spans="1:59" ht="14.5" x14ac:dyDescent="0.35">
      <c r="A148" s="35"/>
      <c r="B148">
        <v>1</v>
      </c>
      <c r="C148">
        <v>1</v>
      </c>
      <c r="D148">
        <v>1</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row>
    <row r="149" spans="1:59" ht="14.5" x14ac:dyDescent="0.35">
      <c r="A149" s="35"/>
      <c r="B149">
        <v>1</v>
      </c>
      <c r="C149">
        <v>1</v>
      </c>
      <c r="D149">
        <v>1</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row>
    <row r="150" spans="1:59" ht="14.5" x14ac:dyDescent="0.35">
      <c r="A150" s="35"/>
      <c r="B150">
        <v>1</v>
      </c>
      <c r="C150">
        <v>1</v>
      </c>
      <c r="D150">
        <v>1</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row>
    <row r="151" spans="1:59" ht="14.5" x14ac:dyDescent="0.35">
      <c r="A151" s="35"/>
      <c r="B151">
        <v>1</v>
      </c>
      <c r="C151">
        <v>1</v>
      </c>
      <c r="D151">
        <v>1</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row>
    <row r="152" spans="1:59" ht="14.5" x14ac:dyDescent="0.35">
      <c r="A152" s="35"/>
      <c r="B152">
        <v>1</v>
      </c>
      <c r="C152">
        <v>1</v>
      </c>
      <c r="D152">
        <v>1</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row>
    <row r="153" spans="1:59" ht="14.5" x14ac:dyDescent="0.35">
      <c r="A153" s="35"/>
      <c r="B153">
        <v>1</v>
      </c>
      <c r="C153">
        <v>1</v>
      </c>
      <c r="D153">
        <v>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row>
    <row r="154" spans="1:59" ht="14.5" x14ac:dyDescent="0.35">
      <c r="A154" s="35"/>
      <c r="B154">
        <v>1</v>
      </c>
      <c r="C154">
        <v>1</v>
      </c>
      <c r="D154">
        <v>1</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row>
    <row r="155" spans="1:59" ht="14.5" x14ac:dyDescent="0.35">
      <c r="A155" s="35"/>
      <c r="B155">
        <v>1</v>
      </c>
      <c r="C155">
        <v>1</v>
      </c>
      <c r="D155">
        <v>1</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row>
    <row r="156" spans="1:59" ht="14.5" x14ac:dyDescent="0.35">
      <c r="A156" s="35"/>
      <c r="B156">
        <v>1</v>
      </c>
      <c r="C156">
        <v>1</v>
      </c>
      <c r="D156">
        <v>1</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row>
    <row r="157" spans="1:59" ht="14.5" x14ac:dyDescent="0.35">
      <c r="A157" s="35"/>
      <c r="B157">
        <v>1</v>
      </c>
      <c r="C157">
        <v>1</v>
      </c>
      <c r="D157">
        <v>1</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row>
    <row r="158" spans="1:59" ht="14.5" x14ac:dyDescent="0.35">
      <c r="A158" s="35"/>
      <c r="B158">
        <v>1</v>
      </c>
      <c r="C158">
        <v>1</v>
      </c>
      <c r="D158">
        <v>1</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row>
    <row r="159" spans="1:59" ht="14.5" x14ac:dyDescent="0.35">
      <c r="A159" s="35"/>
      <c r="B159">
        <v>1</v>
      </c>
      <c r="C159">
        <v>1</v>
      </c>
      <c r="D159">
        <v>1</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row>
    <row r="160" spans="1:59" ht="14.5" x14ac:dyDescent="0.35">
      <c r="A160" s="35"/>
      <c r="B160">
        <v>1</v>
      </c>
      <c r="C160">
        <v>1</v>
      </c>
      <c r="D160">
        <v>1</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row>
    <row r="161" spans="1:59" ht="14.5" x14ac:dyDescent="0.35">
      <c r="A161" s="35"/>
      <c r="B161">
        <v>1</v>
      </c>
      <c r="C161">
        <v>1</v>
      </c>
      <c r="D161">
        <v>1</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row>
    <row r="162" spans="1:59" ht="14.5" x14ac:dyDescent="0.35">
      <c r="A162" s="35"/>
      <c r="B162">
        <v>1</v>
      </c>
      <c r="C162">
        <v>1</v>
      </c>
      <c r="D162">
        <v>1</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row>
    <row r="163" spans="1:59" ht="14.5" x14ac:dyDescent="0.35">
      <c r="A163" s="35"/>
      <c r="B163">
        <v>1</v>
      </c>
      <c r="C163">
        <v>1</v>
      </c>
      <c r="D163">
        <v>1</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row>
    <row r="164" spans="1:59" ht="14.5" x14ac:dyDescent="0.35">
      <c r="A164" s="35"/>
      <c r="B164">
        <v>1</v>
      </c>
      <c r="C164">
        <v>1</v>
      </c>
      <c r="D164">
        <v>1</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row>
    <row r="165" spans="1:59" ht="14.5" x14ac:dyDescent="0.35">
      <c r="A165" s="35"/>
      <c r="B165">
        <v>1</v>
      </c>
      <c r="C165">
        <v>1</v>
      </c>
      <c r="D165">
        <v>1</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row>
    <row r="166" spans="1:59" ht="14.5" x14ac:dyDescent="0.35">
      <c r="A166" s="35"/>
      <c r="B166">
        <v>1</v>
      </c>
      <c r="C166">
        <v>1</v>
      </c>
      <c r="D166">
        <v>1</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row>
    <row r="167" spans="1:59" ht="14.5" x14ac:dyDescent="0.35">
      <c r="A167" s="35"/>
      <c r="B167">
        <v>1</v>
      </c>
      <c r="C167">
        <v>1</v>
      </c>
      <c r="D167">
        <v>1</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row>
    <row r="168" spans="1:59" ht="14.5" x14ac:dyDescent="0.35">
      <c r="A168" s="35"/>
      <c r="B168">
        <v>1</v>
      </c>
      <c r="C168">
        <v>1</v>
      </c>
      <c r="D168">
        <v>1</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row>
    <row r="169" spans="1:59" ht="14.5" x14ac:dyDescent="0.35">
      <c r="A169" s="35"/>
      <c r="B169">
        <v>1</v>
      </c>
      <c r="C169">
        <v>1</v>
      </c>
      <c r="D169">
        <v>1</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row>
    <row r="170" spans="1:59" ht="14.5" x14ac:dyDescent="0.35">
      <c r="A170" s="35"/>
      <c r="B170">
        <v>1</v>
      </c>
      <c r="C170">
        <v>1</v>
      </c>
      <c r="D170">
        <v>1</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row>
    <row r="171" spans="1:59" ht="14.5" x14ac:dyDescent="0.35">
      <c r="A171" s="35"/>
      <c r="B171">
        <v>1</v>
      </c>
      <c r="C171">
        <v>1</v>
      </c>
      <c r="D171">
        <v>1</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row>
    <row r="172" spans="1:59" ht="14.5" x14ac:dyDescent="0.35">
      <c r="A172" s="35"/>
      <c r="B172">
        <v>1</v>
      </c>
      <c r="C172">
        <v>1</v>
      </c>
      <c r="D172">
        <v>1</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row>
    <row r="173" spans="1:59" ht="14.5" x14ac:dyDescent="0.35">
      <c r="A173" s="35"/>
      <c r="B173">
        <v>1</v>
      </c>
      <c r="C173">
        <v>1</v>
      </c>
      <c r="D173">
        <v>1</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row>
    <row r="174" spans="1:59" ht="14.5" x14ac:dyDescent="0.35">
      <c r="A174" s="35"/>
      <c r="B174">
        <v>1</v>
      </c>
      <c r="C174">
        <v>1</v>
      </c>
      <c r="D174">
        <v>1</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row>
    <row r="175" spans="1:59" ht="14.5" x14ac:dyDescent="0.35">
      <c r="A175" s="35"/>
      <c r="B175">
        <v>1</v>
      </c>
      <c r="C175">
        <v>1</v>
      </c>
      <c r="D175">
        <v>1</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row>
    <row r="176" spans="1:59" ht="14.5" x14ac:dyDescent="0.35">
      <c r="A176" s="35"/>
      <c r="B176">
        <v>1</v>
      </c>
      <c r="C176">
        <v>1</v>
      </c>
      <c r="D176">
        <v>1</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row>
    <row r="177" spans="1:59" ht="14.5" x14ac:dyDescent="0.35">
      <c r="A177" s="35"/>
      <c r="B177">
        <v>1</v>
      </c>
      <c r="C177">
        <v>1</v>
      </c>
      <c r="D177">
        <v>1</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row>
    <row r="178" spans="1:59" ht="14.5" x14ac:dyDescent="0.35">
      <c r="A178" s="35"/>
      <c r="B178">
        <v>1</v>
      </c>
      <c r="C178">
        <v>1</v>
      </c>
      <c r="D178">
        <v>1</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row>
    <row r="179" spans="1:59" ht="14.5" x14ac:dyDescent="0.35">
      <c r="A179" s="35"/>
      <c r="B179">
        <v>1</v>
      </c>
      <c r="C179">
        <v>1</v>
      </c>
      <c r="D179">
        <v>1</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row>
    <row r="180" spans="1:59" ht="14.5" x14ac:dyDescent="0.35">
      <c r="A180" s="35"/>
      <c r="B180">
        <v>1</v>
      </c>
      <c r="C180">
        <v>1</v>
      </c>
      <c r="D180">
        <v>1</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row>
    <row r="181" spans="1:59" ht="14.5" x14ac:dyDescent="0.35">
      <c r="A181" s="35"/>
      <c r="B181">
        <v>1</v>
      </c>
      <c r="C181">
        <v>1</v>
      </c>
      <c r="D181">
        <v>1</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row>
    <row r="182" spans="1:59" ht="14.5" x14ac:dyDescent="0.35">
      <c r="A182" s="35"/>
      <c r="B182">
        <v>1</v>
      </c>
      <c r="C182">
        <v>1</v>
      </c>
      <c r="D182">
        <v>1</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row>
    <row r="183" spans="1:59" ht="14.5" x14ac:dyDescent="0.35">
      <c r="A183" s="35"/>
      <c r="B183">
        <v>1</v>
      </c>
      <c r="C183">
        <v>1</v>
      </c>
      <c r="D183">
        <v>1</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row>
    <row r="184" spans="1:59" ht="14.5" x14ac:dyDescent="0.35">
      <c r="A184" s="35"/>
      <c r="B184">
        <v>1</v>
      </c>
      <c r="C184">
        <v>1</v>
      </c>
      <c r="D184">
        <v>1</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row>
    <row r="185" spans="1:59" ht="14.5" x14ac:dyDescent="0.35">
      <c r="A185" s="35"/>
      <c r="B185">
        <v>1</v>
      </c>
      <c r="C185">
        <v>1</v>
      </c>
      <c r="D185">
        <v>1</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row>
    <row r="186" spans="1:59" ht="14.5" x14ac:dyDescent="0.35">
      <c r="A186" s="35"/>
      <c r="B186">
        <v>1</v>
      </c>
      <c r="C186">
        <v>1</v>
      </c>
      <c r="D186">
        <v>1</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row>
    <row r="187" spans="1:59" ht="14.5" x14ac:dyDescent="0.35">
      <c r="A187" s="35"/>
      <c r="B187">
        <v>1</v>
      </c>
      <c r="C187">
        <v>1</v>
      </c>
      <c r="D187">
        <v>1</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row>
    <row r="188" spans="1:59" ht="14.5" x14ac:dyDescent="0.35">
      <c r="A188" s="35"/>
      <c r="B188">
        <v>1</v>
      </c>
      <c r="C188">
        <v>1</v>
      </c>
      <c r="D188">
        <v>1</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row>
    <row r="189" spans="1:59" ht="14.5" x14ac:dyDescent="0.35">
      <c r="A189" s="35"/>
      <c r="B189">
        <v>1</v>
      </c>
      <c r="C189">
        <v>1</v>
      </c>
      <c r="D189">
        <v>1</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row>
    <row r="190" spans="1:59" ht="14.5" x14ac:dyDescent="0.35">
      <c r="A190" s="35"/>
      <c r="B190">
        <v>1</v>
      </c>
      <c r="C190">
        <v>1</v>
      </c>
      <c r="D190">
        <v>1</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row>
    <row r="191" spans="1:59" ht="14.5" x14ac:dyDescent="0.35">
      <c r="A191" s="35"/>
      <c r="B191">
        <v>1</v>
      </c>
      <c r="C191">
        <v>1</v>
      </c>
      <c r="D191">
        <v>1</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row>
    <row r="192" spans="1:59" ht="14.5" x14ac:dyDescent="0.35">
      <c r="A192" s="35"/>
      <c r="B192">
        <v>1</v>
      </c>
      <c r="C192">
        <v>1</v>
      </c>
      <c r="D192">
        <v>1</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row>
    <row r="193" spans="1:59" ht="14.5" x14ac:dyDescent="0.35">
      <c r="A193" s="35"/>
      <c r="B193">
        <v>1</v>
      </c>
      <c r="C193">
        <v>1</v>
      </c>
      <c r="D193">
        <v>1</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row>
    <row r="194" spans="1:59" ht="14.5" x14ac:dyDescent="0.35">
      <c r="A194" s="35"/>
      <c r="B194">
        <v>1</v>
      </c>
      <c r="C194">
        <v>1</v>
      </c>
      <c r="D194">
        <v>1</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row>
  </sheetData>
  <mergeCells count="1">
    <mergeCell ref="B1:AH1"/>
  </mergeCells>
  <pageMargins left="0.7" right="0.7" top="0.75" bottom="0.75" header="0.3" footer="0.3"/>
  <pageSetup orientation="portrait"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732F5-40CB-4B2D-9F60-4BCD3EFEEED6}">
  <sheetPr codeName="Sheet35">
    <tabColor theme="5" tint="0.59999389629810485"/>
  </sheetPr>
  <dimension ref="A2:AH9"/>
  <sheetViews>
    <sheetView topLeftCell="G1" workbookViewId="0">
      <selection activeCell="A4" sqref="A4:A71"/>
    </sheetView>
  </sheetViews>
  <sheetFormatPr defaultRowHeight="14.5" x14ac:dyDescent="0.35"/>
  <cols>
    <col min="1" max="1" width="10.54296875" bestFit="1" customWidth="1"/>
  </cols>
  <sheetData>
    <row r="2" spans="1:34" x14ac:dyDescent="0.35">
      <c r="A2" s="144" t="s">
        <v>68</v>
      </c>
      <c r="B2" t="s">
        <v>1</v>
      </c>
      <c r="C2" t="s">
        <v>0</v>
      </c>
      <c r="D2" t="s">
        <v>2</v>
      </c>
      <c r="E2">
        <v>1991</v>
      </c>
      <c r="F2">
        <v>1992</v>
      </c>
      <c r="G2">
        <v>1993</v>
      </c>
      <c r="H2">
        <v>1994</v>
      </c>
      <c r="I2">
        <v>1995</v>
      </c>
      <c r="J2">
        <v>1996</v>
      </c>
      <c r="K2">
        <v>1997</v>
      </c>
      <c r="L2">
        <v>1998</v>
      </c>
      <c r="M2">
        <v>1999</v>
      </c>
      <c r="N2">
        <v>2000</v>
      </c>
      <c r="O2">
        <v>2001</v>
      </c>
      <c r="P2">
        <v>2002</v>
      </c>
      <c r="Q2">
        <v>2003</v>
      </c>
      <c r="R2">
        <v>2004</v>
      </c>
      <c r="S2">
        <v>2005</v>
      </c>
      <c r="T2">
        <v>2006</v>
      </c>
      <c r="U2">
        <v>2007</v>
      </c>
      <c r="V2">
        <v>2008</v>
      </c>
      <c r="W2">
        <v>2009</v>
      </c>
      <c r="X2">
        <v>2010</v>
      </c>
      <c r="Y2">
        <v>2011</v>
      </c>
      <c r="Z2">
        <v>2012</v>
      </c>
      <c r="AA2">
        <v>2013</v>
      </c>
      <c r="AB2">
        <v>2014</v>
      </c>
      <c r="AC2">
        <v>2015</v>
      </c>
      <c r="AD2">
        <v>2016</v>
      </c>
      <c r="AE2">
        <v>2017</v>
      </c>
      <c r="AF2">
        <v>2018</v>
      </c>
      <c r="AG2">
        <v>2019</v>
      </c>
      <c r="AH2">
        <v>2020</v>
      </c>
    </row>
    <row r="3" spans="1:34" x14ac:dyDescent="0.35">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row>
    <row r="4" spans="1:34" x14ac:dyDescent="0.35">
      <c r="A4" s="145">
        <f>DATE(YEAR(DONOTCHANGE!A4),1,1)</f>
        <v>46023</v>
      </c>
      <c r="B4">
        <v>3</v>
      </c>
      <c r="C4">
        <v>3</v>
      </c>
      <c r="D4">
        <v>3</v>
      </c>
      <c r="E4">
        <v>1</v>
      </c>
      <c r="F4">
        <v>1</v>
      </c>
      <c r="G4">
        <v>4</v>
      </c>
      <c r="H4">
        <v>1</v>
      </c>
      <c r="I4">
        <v>5</v>
      </c>
      <c r="J4">
        <v>5</v>
      </c>
      <c r="K4">
        <v>5</v>
      </c>
      <c r="L4">
        <v>5</v>
      </c>
      <c r="M4">
        <v>5</v>
      </c>
      <c r="N4">
        <v>4</v>
      </c>
      <c r="O4">
        <v>2</v>
      </c>
      <c r="P4">
        <v>2</v>
      </c>
      <c r="Q4">
        <v>4</v>
      </c>
      <c r="R4">
        <v>3</v>
      </c>
      <c r="S4">
        <v>4</v>
      </c>
      <c r="T4">
        <v>5</v>
      </c>
      <c r="U4">
        <v>2</v>
      </c>
      <c r="V4">
        <v>1</v>
      </c>
      <c r="W4">
        <v>2</v>
      </c>
      <c r="X4">
        <v>3</v>
      </c>
      <c r="Y4">
        <v>5</v>
      </c>
      <c r="Z4">
        <v>3</v>
      </c>
      <c r="AA4">
        <v>2</v>
      </c>
      <c r="AB4">
        <v>1</v>
      </c>
      <c r="AC4">
        <v>1</v>
      </c>
      <c r="AD4">
        <v>3</v>
      </c>
      <c r="AE4">
        <v>5</v>
      </c>
      <c r="AF4">
        <v>3</v>
      </c>
      <c r="AG4">
        <v>5</v>
      </c>
      <c r="AH4">
        <v>2</v>
      </c>
    </row>
    <row r="5" spans="1:34" x14ac:dyDescent="0.35">
      <c r="A5" s="145">
        <f>DATE(YEAR(A4)+1,1,1)</f>
        <v>46388</v>
      </c>
      <c r="B5">
        <v>3</v>
      </c>
      <c r="C5">
        <v>3</v>
      </c>
      <c r="D5">
        <v>3</v>
      </c>
      <c r="E5">
        <v>1</v>
      </c>
      <c r="F5">
        <v>4</v>
      </c>
      <c r="G5">
        <v>1</v>
      </c>
      <c r="H5">
        <v>5</v>
      </c>
      <c r="I5">
        <v>5</v>
      </c>
      <c r="J5">
        <v>5</v>
      </c>
      <c r="K5">
        <v>5</v>
      </c>
      <c r="L5">
        <v>5</v>
      </c>
      <c r="M5">
        <v>4</v>
      </c>
      <c r="N5">
        <v>2</v>
      </c>
      <c r="O5">
        <v>2</v>
      </c>
      <c r="P5">
        <v>4</v>
      </c>
      <c r="Q5">
        <v>3</v>
      </c>
      <c r="R5">
        <v>4</v>
      </c>
      <c r="S5">
        <v>5</v>
      </c>
      <c r="T5">
        <v>2</v>
      </c>
      <c r="U5">
        <v>1</v>
      </c>
      <c r="V5">
        <v>2</v>
      </c>
      <c r="W5">
        <v>3</v>
      </c>
      <c r="X5">
        <v>5</v>
      </c>
      <c r="Y5">
        <v>3</v>
      </c>
      <c r="Z5">
        <v>2</v>
      </c>
      <c r="AA5">
        <v>1</v>
      </c>
      <c r="AB5">
        <v>1</v>
      </c>
      <c r="AC5">
        <v>3</v>
      </c>
      <c r="AD5">
        <v>5</v>
      </c>
      <c r="AE5">
        <v>3</v>
      </c>
      <c r="AF5">
        <v>5</v>
      </c>
      <c r="AG5">
        <v>2</v>
      </c>
      <c r="AH5">
        <v>1</v>
      </c>
    </row>
    <row r="6" spans="1:34" x14ac:dyDescent="0.35">
      <c r="A6" s="145">
        <f t="shared" ref="A6:A9" si="0">DATE(YEAR(A5)+1,1,1)</f>
        <v>46753</v>
      </c>
      <c r="B6">
        <v>3</v>
      </c>
      <c r="C6">
        <v>3</v>
      </c>
      <c r="D6">
        <v>3</v>
      </c>
      <c r="E6">
        <v>4</v>
      </c>
      <c r="F6">
        <v>1</v>
      </c>
      <c r="G6">
        <v>5</v>
      </c>
      <c r="H6">
        <v>5</v>
      </c>
      <c r="I6">
        <v>5</v>
      </c>
      <c r="J6">
        <v>5</v>
      </c>
      <c r="K6">
        <v>5</v>
      </c>
      <c r="L6">
        <v>4</v>
      </c>
      <c r="M6">
        <v>2</v>
      </c>
      <c r="N6">
        <v>2</v>
      </c>
      <c r="O6">
        <v>4</v>
      </c>
      <c r="P6">
        <v>3</v>
      </c>
      <c r="Q6">
        <v>4</v>
      </c>
      <c r="R6">
        <v>5</v>
      </c>
      <c r="S6">
        <v>2</v>
      </c>
      <c r="T6">
        <v>1</v>
      </c>
      <c r="U6">
        <v>2</v>
      </c>
      <c r="V6">
        <v>3</v>
      </c>
      <c r="W6">
        <v>5</v>
      </c>
      <c r="X6">
        <v>3</v>
      </c>
      <c r="Y6">
        <v>2</v>
      </c>
      <c r="Z6">
        <v>1</v>
      </c>
      <c r="AA6">
        <v>1</v>
      </c>
      <c r="AB6">
        <v>3</v>
      </c>
      <c r="AC6">
        <v>5</v>
      </c>
      <c r="AD6">
        <v>3</v>
      </c>
      <c r="AE6">
        <v>5</v>
      </c>
      <c r="AF6">
        <v>2</v>
      </c>
      <c r="AG6">
        <v>1</v>
      </c>
      <c r="AH6">
        <v>1</v>
      </c>
    </row>
    <row r="7" spans="1:34" x14ac:dyDescent="0.35">
      <c r="A7" s="145">
        <f t="shared" si="0"/>
        <v>47119</v>
      </c>
      <c r="B7">
        <v>3</v>
      </c>
      <c r="C7">
        <v>3</v>
      </c>
      <c r="D7">
        <v>3</v>
      </c>
      <c r="E7">
        <v>1</v>
      </c>
      <c r="F7">
        <v>5</v>
      </c>
      <c r="G7">
        <v>5</v>
      </c>
      <c r="H7">
        <v>5</v>
      </c>
      <c r="I7">
        <v>5</v>
      </c>
      <c r="J7">
        <v>5</v>
      </c>
      <c r="K7">
        <v>4</v>
      </c>
      <c r="L7">
        <v>2</v>
      </c>
      <c r="M7">
        <v>2</v>
      </c>
      <c r="N7">
        <v>4</v>
      </c>
      <c r="O7">
        <v>3</v>
      </c>
      <c r="P7">
        <v>4</v>
      </c>
      <c r="Q7">
        <v>5</v>
      </c>
      <c r="R7">
        <v>2</v>
      </c>
      <c r="S7">
        <v>1</v>
      </c>
      <c r="T7">
        <v>2</v>
      </c>
      <c r="U7">
        <v>3</v>
      </c>
      <c r="V7">
        <v>5</v>
      </c>
      <c r="W7">
        <v>3</v>
      </c>
      <c r="X7">
        <v>2</v>
      </c>
      <c r="Y7">
        <v>1</v>
      </c>
      <c r="Z7">
        <v>1</v>
      </c>
      <c r="AA7">
        <v>3</v>
      </c>
      <c r="AB7">
        <v>5</v>
      </c>
      <c r="AC7">
        <v>3</v>
      </c>
      <c r="AD7">
        <v>5</v>
      </c>
      <c r="AE7">
        <v>2</v>
      </c>
      <c r="AF7">
        <v>1</v>
      </c>
      <c r="AG7">
        <v>1</v>
      </c>
      <c r="AH7">
        <v>4</v>
      </c>
    </row>
    <row r="8" spans="1:34" x14ac:dyDescent="0.35">
      <c r="A8" s="145">
        <f t="shared" si="0"/>
        <v>47484</v>
      </c>
      <c r="B8">
        <v>3</v>
      </c>
      <c r="C8">
        <v>3</v>
      </c>
      <c r="D8">
        <v>3</v>
      </c>
      <c r="E8">
        <v>5</v>
      </c>
      <c r="F8">
        <v>5</v>
      </c>
      <c r="G8">
        <v>5</v>
      </c>
      <c r="H8">
        <v>5</v>
      </c>
      <c r="I8">
        <v>5</v>
      </c>
      <c r="J8">
        <v>4</v>
      </c>
      <c r="K8">
        <v>2</v>
      </c>
      <c r="L8">
        <v>2</v>
      </c>
      <c r="M8">
        <v>4</v>
      </c>
      <c r="N8">
        <v>3</v>
      </c>
      <c r="O8">
        <v>4</v>
      </c>
      <c r="P8">
        <v>5</v>
      </c>
      <c r="Q8">
        <v>2</v>
      </c>
      <c r="R8">
        <v>1</v>
      </c>
      <c r="S8">
        <v>2</v>
      </c>
      <c r="T8">
        <v>3</v>
      </c>
      <c r="U8">
        <v>5</v>
      </c>
      <c r="V8">
        <v>3</v>
      </c>
      <c r="W8">
        <v>2</v>
      </c>
      <c r="X8">
        <v>1</v>
      </c>
      <c r="Y8">
        <v>1</v>
      </c>
      <c r="Z8">
        <v>3</v>
      </c>
      <c r="AA8">
        <v>5</v>
      </c>
      <c r="AB8">
        <v>3</v>
      </c>
      <c r="AC8">
        <v>5</v>
      </c>
      <c r="AD8">
        <v>2</v>
      </c>
      <c r="AE8">
        <v>1</v>
      </c>
      <c r="AF8">
        <v>1</v>
      </c>
      <c r="AG8">
        <v>4</v>
      </c>
      <c r="AH8">
        <v>1</v>
      </c>
    </row>
    <row r="9" spans="1:34" x14ac:dyDescent="0.35">
      <c r="A9" s="145">
        <f t="shared" si="0"/>
        <v>47849</v>
      </c>
      <c r="B9">
        <v>3</v>
      </c>
      <c r="C9">
        <v>3</v>
      </c>
      <c r="D9">
        <v>3</v>
      </c>
      <c r="E9">
        <v>5</v>
      </c>
      <c r="F9">
        <v>5</v>
      </c>
      <c r="G9">
        <v>5</v>
      </c>
      <c r="H9">
        <v>5</v>
      </c>
      <c r="I9">
        <v>4</v>
      </c>
      <c r="J9">
        <v>2</v>
      </c>
      <c r="K9">
        <v>2</v>
      </c>
      <c r="L9">
        <v>4</v>
      </c>
      <c r="M9">
        <v>3</v>
      </c>
      <c r="N9">
        <v>4</v>
      </c>
      <c r="O9">
        <v>5</v>
      </c>
      <c r="P9">
        <v>2</v>
      </c>
      <c r="Q9">
        <v>1</v>
      </c>
      <c r="R9">
        <v>2</v>
      </c>
      <c r="S9">
        <v>3</v>
      </c>
      <c r="T9">
        <v>5</v>
      </c>
      <c r="U9">
        <v>3</v>
      </c>
      <c r="V9">
        <v>2</v>
      </c>
      <c r="W9">
        <v>1</v>
      </c>
      <c r="X9">
        <v>1</v>
      </c>
      <c r="Y9">
        <v>3</v>
      </c>
      <c r="Z9">
        <v>5</v>
      </c>
      <c r="AA9">
        <v>3</v>
      </c>
      <c r="AB9">
        <v>5</v>
      </c>
      <c r="AC9">
        <v>2</v>
      </c>
      <c r="AD9">
        <v>1</v>
      </c>
      <c r="AE9">
        <v>1</v>
      </c>
      <c r="AF9">
        <v>4</v>
      </c>
      <c r="AG9">
        <v>1</v>
      </c>
      <c r="AH9">
        <v>5</v>
      </c>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785</vt:i4>
      </vt:variant>
    </vt:vector>
  </HeadingPairs>
  <TitlesOfParts>
    <vt:vector size="806" baseType="lpstr">
      <vt:lpstr>BlueMesaInflow.Unregulated</vt:lpstr>
      <vt:lpstr>CrystalInflow.Unregulated</vt:lpstr>
      <vt:lpstr>Fontenelle.Inflow</vt:lpstr>
      <vt:lpstr>PowellInflow.Unregulated</vt:lpstr>
      <vt:lpstr>FlamingGorgeInflow.Unregulated</vt:lpstr>
      <vt:lpstr>MorrowPointInflow.Unregulated</vt:lpstr>
      <vt:lpstr>NavajoInflow.ModUnregulated</vt:lpstr>
      <vt:lpstr>TaylorPark.Inflow</vt:lpstr>
      <vt:lpstr>Vallecito.Inflow</vt:lpstr>
      <vt:lpstr>YampaRiverInflow.TotalOutflow</vt:lpstr>
      <vt:lpstr>AnimasRiverTotalOutflow</vt:lpstr>
      <vt:lpstr>GainsCrystalToGJ</vt:lpstr>
      <vt:lpstr>PowellToMeadGainsGrandCanyon</vt:lpstr>
      <vt:lpstr>PowellToMeadGainsAboveHoover</vt:lpstr>
      <vt:lpstr>PowellToMeadGainsAbvLeesFerry</vt:lpstr>
      <vt:lpstr>GainsImpToNIB</vt:lpstr>
      <vt:lpstr>GainsAboveDavis</vt:lpstr>
      <vt:lpstr>GainsPkrToImp</vt:lpstr>
      <vt:lpstr>GainsAboveParker</vt:lpstr>
      <vt:lpstr>DONOTCHANGE</vt:lpstr>
      <vt:lpstr>SacWYTypeDes</vt:lpstr>
      <vt:lpstr>ARFN5_IN_1991</vt:lpstr>
      <vt:lpstr>ARFN5_IN_1992</vt:lpstr>
      <vt:lpstr>ARFN5_IN_1993</vt:lpstr>
      <vt:lpstr>ARFN5_IN_1994</vt:lpstr>
      <vt:lpstr>ARFN5_IN_1995</vt:lpstr>
      <vt:lpstr>ARFN5_IN_1996</vt:lpstr>
      <vt:lpstr>ARFN5_IN_1997</vt:lpstr>
      <vt:lpstr>ARFN5_IN_1998</vt:lpstr>
      <vt:lpstr>ARFN5_IN_1999</vt:lpstr>
      <vt:lpstr>ARFN5_IN_2000</vt:lpstr>
      <vt:lpstr>ARFN5_IN_2001</vt:lpstr>
      <vt:lpstr>ARFN5_IN_2002</vt:lpstr>
      <vt:lpstr>ARFN5_IN_2003</vt:lpstr>
      <vt:lpstr>ARFN5_IN_2004</vt:lpstr>
      <vt:lpstr>ARFN5_IN_2005</vt:lpstr>
      <vt:lpstr>ARFN5_IN_2006</vt:lpstr>
      <vt:lpstr>ARFN5_IN_2007</vt:lpstr>
      <vt:lpstr>ARFN5_IN_2008</vt:lpstr>
      <vt:lpstr>ARFN5_IN_2009</vt:lpstr>
      <vt:lpstr>ARFN5_IN_2010</vt:lpstr>
      <vt:lpstr>ARFN5_IN_2011</vt:lpstr>
      <vt:lpstr>ARFN5_IN_2012</vt:lpstr>
      <vt:lpstr>ARFN5_IN_2013</vt:lpstr>
      <vt:lpstr>ARFN5_IN_2014</vt:lpstr>
      <vt:lpstr>ARFN5_IN_2015</vt:lpstr>
      <vt:lpstr>ARFN5_IN_2016</vt:lpstr>
      <vt:lpstr>ARFN5_IN_2017</vt:lpstr>
      <vt:lpstr>ARFN5_IN_2018</vt:lpstr>
      <vt:lpstr>ARFN5_IN_2019</vt:lpstr>
      <vt:lpstr>ARFN5_IN_2020</vt:lpstr>
      <vt:lpstr>ARFN5_IN_2021</vt:lpstr>
      <vt:lpstr>ARFN5_IN_2022</vt:lpstr>
      <vt:lpstr>ARFN5_IN_2023</vt:lpstr>
      <vt:lpstr>ARFN5_IN_2024</vt:lpstr>
      <vt:lpstr>ARFN5_IN_2025</vt:lpstr>
      <vt:lpstr>ARFN5_IN_2026</vt:lpstr>
      <vt:lpstr>ARFN5_IN_2027</vt:lpstr>
      <vt:lpstr>ARFN5_IN_2028</vt:lpstr>
      <vt:lpstr>ARFN5_IN_2029</vt:lpstr>
      <vt:lpstr>ARFN5_IN_Max</vt:lpstr>
      <vt:lpstr>ARFN5_IN_Min</vt:lpstr>
      <vt:lpstr>ARFN5_IN_Most</vt:lpstr>
      <vt:lpstr>ARFN5_IN_TIME</vt:lpstr>
      <vt:lpstr>BlwImpGainsAbvDavis</vt:lpstr>
      <vt:lpstr>BMESA_IN_1991</vt:lpstr>
      <vt:lpstr>BMESA_IN_1992</vt:lpstr>
      <vt:lpstr>BMESA_IN_1993</vt:lpstr>
      <vt:lpstr>BMESA_IN_1994</vt:lpstr>
      <vt:lpstr>BMESA_IN_1995</vt:lpstr>
      <vt:lpstr>BMESA_IN_1996</vt:lpstr>
      <vt:lpstr>BMESA_IN_1997</vt:lpstr>
      <vt:lpstr>BMESA_IN_1998</vt:lpstr>
      <vt:lpstr>BMESA_IN_1999</vt:lpstr>
      <vt:lpstr>BMESA_IN_2000</vt:lpstr>
      <vt:lpstr>BMESA_IN_2001</vt:lpstr>
      <vt:lpstr>BMESA_IN_2002</vt:lpstr>
      <vt:lpstr>BMESA_IN_2003</vt:lpstr>
      <vt:lpstr>BMESA_IN_2004</vt:lpstr>
      <vt:lpstr>BMESA_IN_2005</vt:lpstr>
      <vt:lpstr>BMESA_IN_2006</vt:lpstr>
      <vt:lpstr>BMESA_IN_2007</vt:lpstr>
      <vt:lpstr>BMESA_IN_2008</vt:lpstr>
      <vt:lpstr>BMESA_IN_2009</vt:lpstr>
      <vt:lpstr>BMESA_IN_2010</vt:lpstr>
      <vt:lpstr>BMESA_IN_2011</vt:lpstr>
      <vt:lpstr>BMESA_IN_2012</vt:lpstr>
      <vt:lpstr>BMESA_IN_2013</vt:lpstr>
      <vt:lpstr>BMESA_IN_2014</vt:lpstr>
      <vt:lpstr>BMESA_IN_2015</vt:lpstr>
      <vt:lpstr>BMESA_IN_2016</vt:lpstr>
      <vt:lpstr>BMESA_IN_2017</vt:lpstr>
      <vt:lpstr>BMESA_IN_2018</vt:lpstr>
      <vt:lpstr>BMESA_IN_2019</vt:lpstr>
      <vt:lpstr>BMESA_IN_2020</vt:lpstr>
      <vt:lpstr>BMESA_IN_2021</vt:lpstr>
      <vt:lpstr>BMESA_IN_2022</vt:lpstr>
      <vt:lpstr>BMESA_IN_2023</vt:lpstr>
      <vt:lpstr>BMESA_IN_2024</vt:lpstr>
      <vt:lpstr>BMESA_IN_2025</vt:lpstr>
      <vt:lpstr>BMESA_IN_2026</vt:lpstr>
      <vt:lpstr>BMESA_IN_2027</vt:lpstr>
      <vt:lpstr>BMESA_IN_2028</vt:lpstr>
      <vt:lpstr>BMESA_IN_2029</vt:lpstr>
      <vt:lpstr>BMESA_IN_Max</vt:lpstr>
      <vt:lpstr>BMESA_IN_Min</vt:lpstr>
      <vt:lpstr>BMESA_IN_Most</vt:lpstr>
      <vt:lpstr>BMESA_IN_TIME</vt:lpstr>
      <vt:lpstr>CRYST_IN_1991</vt:lpstr>
      <vt:lpstr>CRYST_IN_1992</vt:lpstr>
      <vt:lpstr>CRYST_IN_1993</vt:lpstr>
      <vt:lpstr>CRYST_IN_1994</vt:lpstr>
      <vt:lpstr>CRYST_IN_1995</vt:lpstr>
      <vt:lpstr>CRYST_IN_1996</vt:lpstr>
      <vt:lpstr>CRYST_IN_1997</vt:lpstr>
      <vt:lpstr>CRYST_IN_1998</vt:lpstr>
      <vt:lpstr>CRYST_IN_1999</vt:lpstr>
      <vt:lpstr>CRYST_IN_2000</vt:lpstr>
      <vt:lpstr>CRYST_IN_2001</vt:lpstr>
      <vt:lpstr>CRYST_IN_2002</vt:lpstr>
      <vt:lpstr>CRYST_IN_2003</vt:lpstr>
      <vt:lpstr>CRYST_IN_2004</vt:lpstr>
      <vt:lpstr>CRYST_IN_2005</vt:lpstr>
      <vt:lpstr>CRYST_IN_2006</vt:lpstr>
      <vt:lpstr>CRYST_IN_2007</vt:lpstr>
      <vt:lpstr>CRYST_IN_2008</vt:lpstr>
      <vt:lpstr>CRYST_IN_2009</vt:lpstr>
      <vt:lpstr>CRYST_IN_2010</vt:lpstr>
      <vt:lpstr>CRYST_IN_2011</vt:lpstr>
      <vt:lpstr>CRYST_IN_2012</vt:lpstr>
      <vt:lpstr>CRYST_IN_2013</vt:lpstr>
      <vt:lpstr>CRYST_IN_2014</vt:lpstr>
      <vt:lpstr>CRYST_IN_2015</vt:lpstr>
      <vt:lpstr>CRYST_IN_2016</vt:lpstr>
      <vt:lpstr>CRYST_IN_2017</vt:lpstr>
      <vt:lpstr>CRYST_IN_2018</vt:lpstr>
      <vt:lpstr>CRYST_IN_2019</vt:lpstr>
      <vt:lpstr>CRYST_IN_2020</vt:lpstr>
      <vt:lpstr>CRYST_IN_2021</vt:lpstr>
      <vt:lpstr>CRYST_IN_2022</vt:lpstr>
      <vt:lpstr>CRYST_IN_2023</vt:lpstr>
      <vt:lpstr>CRYST_IN_2024</vt:lpstr>
      <vt:lpstr>CRYST_IN_2025</vt:lpstr>
      <vt:lpstr>CRYST_IN_2026</vt:lpstr>
      <vt:lpstr>CRYST_IN_2027</vt:lpstr>
      <vt:lpstr>CRYST_IN_2028</vt:lpstr>
      <vt:lpstr>CRYST_IN_2029</vt:lpstr>
      <vt:lpstr>CRYST_IN_Max</vt:lpstr>
      <vt:lpstr>CRYST_IN_Min</vt:lpstr>
      <vt:lpstr>CRYST_IN_Most</vt:lpstr>
      <vt:lpstr>CRYST_IN_TIME</vt:lpstr>
      <vt:lpstr>DvsToPkr_In_1991</vt:lpstr>
      <vt:lpstr>DvsToPkr_In_1992</vt:lpstr>
      <vt:lpstr>DvsToPkr_In_1993</vt:lpstr>
      <vt:lpstr>DvsToPkr_In_1994</vt:lpstr>
      <vt:lpstr>DvsToPkr_In_1995</vt:lpstr>
      <vt:lpstr>DvsToPkr_In_1996</vt:lpstr>
      <vt:lpstr>DvsToPkr_In_1997</vt:lpstr>
      <vt:lpstr>DvsToPkr_In_1998</vt:lpstr>
      <vt:lpstr>DvsToPkr_In_1999</vt:lpstr>
      <vt:lpstr>DvsToPkr_In_2000</vt:lpstr>
      <vt:lpstr>DvsToPkr_In_2001</vt:lpstr>
      <vt:lpstr>DvsToPkr_In_2002</vt:lpstr>
      <vt:lpstr>DvsToPkr_In_2003</vt:lpstr>
      <vt:lpstr>DvsToPkr_In_2004</vt:lpstr>
      <vt:lpstr>DvsToPkr_In_2005</vt:lpstr>
      <vt:lpstr>DvsToPkr_In_2006</vt:lpstr>
      <vt:lpstr>DvsToPkr_In_2007</vt:lpstr>
      <vt:lpstr>DvsToPkr_In_2008</vt:lpstr>
      <vt:lpstr>DvsToPkr_In_2009</vt:lpstr>
      <vt:lpstr>DvsToPkr_In_2010</vt:lpstr>
      <vt:lpstr>DvsToPkr_In_2011</vt:lpstr>
      <vt:lpstr>DvsToPkr_In_2012</vt:lpstr>
      <vt:lpstr>DvsToPkr_In_2013</vt:lpstr>
      <vt:lpstr>DvsToPkr_In_2014</vt:lpstr>
      <vt:lpstr>DvsToPkr_In_2015</vt:lpstr>
      <vt:lpstr>DvsToPkr_In_2016</vt:lpstr>
      <vt:lpstr>DvsToPkr_In_2017</vt:lpstr>
      <vt:lpstr>DvsToPkr_In_2018</vt:lpstr>
      <vt:lpstr>DvsToPkr_In_2019</vt:lpstr>
      <vt:lpstr>DvsToPkr_In_2020</vt:lpstr>
      <vt:lpstr>DvsToPkr_In_Max</vt:lpstr>
      <vt:lpstr>DvsToPkr_In_Min</vt:lpstr>
      <vt:lpstr>DvsToPkr_In_Most</vt:lpstr>
      <vt:lpstr>DvsToPkr_In_Time</vt:lpstr>
      <vt:lpstr>FGORG_IN_1991</vt:lpstr>
      <vt:lpstr>FGORG_IN_1992</vt:lpstr>
      <vt:lpstr>FGORG_IN_1993</vt:lpstr>
      <vt:lpstr>FGORG_IN_1994</vt:lpstr>
      <vt:lpstr>FGORG_IN_1995</vt:lpstr>
      <vt:lpstr>FGORG_IN_1996</vt:lpstr>
      <vt:lpstr>FGORG_IN_1997</vt:lpstr>
      <vt:lpstr>FGORG_IN_1998</vt:lpstr>
      <vt:lpstr>FGORG_IN_1999</vt:lpstr>
      <vt:lpstr>FGORG_IN_2000</vt:lpstr>
      <vt:lpstr>FGORG_IN_2001</vt:lpstr>
      <vt:lpstr>FGORG_IN_2002</vt:lpstr>
      <vt:lpstr>FGORG_IN_2003</vt:lpstr>
      <vt:lpstr>FGORG_IN_2004</vt:lpstr>
      <vt:lpstr>FGORG_IN_2005</vt:lpstr>
      <vt:lpstr>FGORG_IN_2006</vt:lpstr>
      <vt:lpstr>FGORG_IN_2007</vt:lpstr>
      <vt:lpstr>FGORG_IN_2008</vt:lpstr>
      <vt:lpstr>FGORG_IN_2009</vt:lpstr>
      <vt:lpstr>FGORG_IN_2010</vt:lpstr>
      <vt:lpstr>FGORG_IN_2011</vt:lpstr>
      <vt:lpstr>FGORG_IN_2012</vt:lpstr>
      <vt:lpstr>FGORG_IN_2013</vt:lpstr>
      <vt:lpstr>FGORG_IN_2014</vt:lpstr>
      <vt:lpstr>FGORG_IN_2015</vt:lpstr>
      <vt:lpstr>FGORG_IN_2016</vt:lpstr>
      <vt:lpstr>FGORG_IN_2017</vt:lpstr>
      <vt:lpstr>FGORG_IN_2018</vt:lpstr>
      <vt:lpstr>FGORG_IN_2019</vt:lpstr>
      <vt:lpstr>FGORG_IN_2020</vt:lpstr>
      <vt:lpstr>FGORG_IN_2021</vt:lpstr>
      <vt:lpstr>FGORG_IN_2022</vt:lpstr>
      <vt:lpstr>FGORG_IN_2023</vt:lpstr>
      <vt:lpstr>FGORG_IN_2024</vt:lpstr>
      <vt:lpstr>FGORG_IN_2025</vt:lpstr>
      <vt:lpstr>FGORG_IN_2026</vt:lpstr>
      <vt:lpstr>FGORG_IN_2027</vt:lpstr>
      <vt:lpstr>FGORG_IN_2028</vt:lpstr>
      <vt:lpstr>FGORG_IN_2029</vt:lpstr>
      <vt:lpstr>FGORG_IN_Max</vt:lpstr>
      <vt:lpstr>FGORG_IN_Min</vt:lpstr>
      <vt:lpstr>FGORG_IN_Most</vt:lpstr>
      <vt:lpstr>FGORG_IN_TIME</vt:lpstr>
      <vt:lpstr>FONTE_IN_1991</vt:lpstr>
      <vt:lpstr>FONTE_IN_1992</vt:lpstr>
      <vt:lpstr>FONTE_IN_1993</vt:lpstr>
      <vt:lpstr>FONTE_IN_1994</vt:lpstr>
      <vt:lpstr>FONTE_IN_1995</vt:lpstr>
      <vt:lpstr>FONTE_IN_1996</vt:lpstr>
      <vt:lpstr>FONTE_IN_1997</vt:lpstr>
      <vt:lpstr>FONTE_IN_1998</vt:lpstr>
      <vt:lpstr>FONTE_IN_1999</vt:lpstr>
      <vt:lpstr>FONTE_IN_2000</vt:lpstr>
      <vt:lpstr>FONTE_IN_2001</vt:lpstr>
      <vt:lpstr>FONTE_IN_2002</vt:lpstr>
      <vt:lpstr>FONTE_IN_2003</vt:lpstr>
      <vt:lpstr>FONTE_IN_2004</vt:lpstr>
      <vt:lpstr>FONTE_IN_2005</vt:lpstr>
      <vt:lpstr>FONTE_IN_2006</vt:lpstr>
      <vt:lpstr>FONTE_IN_2007</vt:lpstr>
      <vt:lpstr>FONTE_IN_2008</vt:lpstr>
      <vt:lpstr>FONTE_IN_2009</vt:lpstr>
      <vt:lpstr>FONTE_IN_2010</vt:lpstr>
      <vt:lpstr>FONTE_IN_2011</vt:lpstr>
      <vt:lpstr>FONTE_IN_2012</vt:lpstr>
      <vt:lpstr>FONTE_IN_2013</vt:lpstr>
      <vt:lpstr>FONTE_IN_2014</vt:lpstr>
      <vt:lpstr>FONTE_IN_2015</vt:lpstr>
      <vt:lpstr>FONTE_IN_2016</vt:lpstr>
      <vt:lpstr>FONTE_IN_2017</vt:lpstr>
      <vt:lpstr>FONTE_IN_2018</vt:lpstr>
      <vt:lpstr>FONTE_IN_2019</vt:lpstr>
      <vt:lpstr>FONTE_IN_2020</vt:lpstr>
      <vt:lpstr>FONTE_IN_2021</vt:lpstr>
      <vt:lpstr>FONTE_IN_2022</vt:lpstr>
      <vt:lpstr>FONTE_IN_2023</vt:lpstr>
      <vt:lpstr>FONTE_IN_2024</vt:lpstr>
      <vt:lpstr>FONTE_IN_2025</vt:lpstr>
      <vt:lpstr>FONTE_IN_2026</vt:lpstr>
      <vt:lpstr>FONTE_IN_2027</vt:lpstr>
      <vt:lpstr>FONTE_IN_2028</vt:lpstr>
      <vt:lpstr>FONTE_IN_2029</vt:lpstr>
      <vt:lpstr>FONTE_IN_Max</vt:lpstr>
      <vt:lpstr>FONTE_IN_Min</vt:lpstr>
      <vt:lpstr>FONTE_IN_Most</vt:lpstr>
      <vt:lpstr>FONTE_IN_TIME</vt:lpstr>
      <vt:lpstr>HvrToDvs_In_1991</vt:lpstr>
      <vt:lpstr>HvrToDvs_In_1992</vt:lpstr>
      <vt:lpstr>HvrToDvs_In_1993</vt:lpstr>
      <vt:lpstr>HvrToDvs_In_1994</vt:lpstr>
      <vt:lpstr>HvrToDvs_In_1995</vt:lpstr>
      <vt:lpstr>HvrToDvs_In_1996</vt:lpstr>
      <vt:lpstr>HvrToDvs_In_1997</vt:lpstr>
      <vt:lpstr>HvrToDvs_In_1998</vt:lpstr>
      <vt:lpstr>HvrToDvs_In_1999</vt:lpstr>
      <vt:lpstr>HvrToDvs_In_2000</vt:lpstr>
      <vt:lpstr>HvrToDvs_In_2001</vt:lpstr>
      <vt:lpstr>HvrToDvs_In_2002</vt:lpstr>
      <vt:lpstr>HvrToDvs_In_2003</vt:lpstr>
      <vt:lpstr>HvrToDvs_In_2004</vt:lpstr>
      <vt:lpstr>HvrToDvs_In_2005</vt:lpstr>
      <vt:lpstr>HvrToDvs_In_2006</vt:lpstr>
      <vt:lpstr>HvrToDvs_In_2007</vt:lpstr>
      <vt:lpstr>HvrToDvs_In_2008</vt:lpstr>
      <vt:lpstr>HvrToDvs_In_2009</vt:lpstr>
      <vt:lpstr>HvrToDvs_In_2010</vt:lpstr>
      <vt:lpstr>HvrToDvs_In_2011</vt:lpstr>
      <vt:lpstr>HvrToDvs_In_2012</vt:lpstr>
      <vt:lpstr>HvrToDvs_In_2013</vt:lpstr>
      <vt:lpstr>HvrToDvs_In_2014</vt:lpstr>
      <vt:lpstr>HvrToDvs_In_2015</vt:lpstr>
      <vt:lpstr>HvrToDvs_In_2016</vt:lpstr>
      <vt:lpstr>HvrToDvs_In_2017</vt:lpstr>
      <vt:lpstr>HvrToDvs_In_2018</vt:lpstr>
      <vt:lpstr>HvrToDvs_In_2019</vt:lpstr>
      <vt:lpstr>HvrToDvs_In_2020</vt:lpstr>
      <vt:lpstr>HvrToDvs_In_Max</vt:lpstr>
      <vt:lpstr>HvrToDvs_In_Min</vt:lpstr>
      <vt:lpstr>HvrToDvs_In_Most</vt:lpstr>
      <vt:lpstr>HvrToDvs_In_Time</vt:lpstr>
      <vt:lpstr>ImpToMex_In_1991</vt:lpstr>
      <vt:lpstr>ImpToMex_In_1992</vt:lpstr>
      <vt:lpstr>ImpToMex_In_1993</vt:lpstr>
      <vt:lpstr>ImpToMex_In_1994</vt:lpstr>
      <vt:lpstr>ImpToMex_In_1995</vt:lpstr>
      <vt:lpstr>ImpToMex_In_1996</vt:lpstr>
      <vt:lpstr>ImpToMex_In_1997</vt:lpstr>
      <vt:lpstr>ImpToMex_In_1998</vt:lpstr>
      <vt:lpstr>ImpToMex_In_1999</vt:lpstr>
      <vt:lpstr>ImpToMex_In_2000</vt:lpstr>
      <vt:lpstr>ImpToMex_In_2001</vt:lpstr>
      <vt:lpstr>ImpToMex_In_2002</vt:lpstr>
      <vt:lpstr>ImpToMex_In_2003</vt:lpstr>
      <vt:lpstr>ImpToMex_In_2004</vt:lpstr>
      <vt:lpstr>ImpToMex_In_2005</vt:lpstr>
      <vt:lpstr>ImpToMex_In_2006</vt:lpstr>
      <vt:lpstr>ImpToMex_In_2007</vt:lpstr>
      <vt:lpstr>ImpToMex_In_2008</vt:lpstr>
      <vt:lpstr>ImpToMex_In_2009</vt:lpstr>
      <vt:lpstr>ImpToMex_In_2010</vt:lpstr>
      <vt:lpstr>ImpToMex_In_2011</vt:lpstr>
      <vt:lpstr>ImpToMex_In_2012</vt:lpstr>
      <vt:lpstr>ImpToMex_In_2013</vt:lpstr>
      <vt:lpstr>ImpToMex_In_2014</vt:lpstr>
      <vt:lpstr>ImpToMex_In_2015</vt:lpstr>
      <vt:lpstr>ImpToMex_In_2016</vt:lpstr>
      <vt:lpstr>ImpToMex_In_2017</vt:lpstr>
      <vt:lpstr>ImpToMex_In_2018</vt:lpstr>
      <vt:lpstr>ImpToMex_In_2019</vt:lpstr>
      <vt:lpstr>ImpToMex_In_2020</vt:lpstr>
      <vt:lpstr>ImpToMex_In_Max</vt:lpstr>
      <vt:lpstr>ImpToMex_In_Min</vt:lpstr>
      <vt:lpstr>ImpToMex_In_Most</vt:lpstr>
      <vt:lpstr>ImpToMex_In_Time</vt:lpstr>
      <vt:lpstr>MPOIN_IN_1991</vt:lpstr>
      <vt:lpstr>MPOIN_IN_1992</vt:lpstr>
      <vt:lpstr>MPOIN_IN_1993</vt:lpstr>
      <vt:lpstr>MPOIN_IN_1994</vt:lpstr>
      <vt:lpstr>MPOIN_IN_1995</vt:lpstr>
      <vt:lpstr>MPOIN_IN_1996</vt:lpstr>
      <vt:lpstr>MPOIN_IN_1997</vt:lpstr>
      <vt:lpstr>MPOIN_IN_1998</vt:lpstr>
      <vt:lpstr>MPOIN_IN_1999</vt:lpstr>
      <vt:lpstr>MPOIN_IN_2000</vt:lpstr>
      <vt:lpstr>MPOIN_IN_2001</vt:lpstr>
      <vt:lpstr>MPOIN_IN_2002</vt:lpstr>
      <vt:lpstr>MPOIN_IN_2003</vt:lpstr>
      <vt:lpstr>MPOIN_IN_2004</vt:lpstr>
      <vt:lpstr>MPOIN_IN_2005</vt:lpstr>
      <vt:lpstr>MPOIN_IN_2006</vt:lpstr>
      <vt:lpstr>MPOIN_IN_2007</vt:lpstr>
      <vt:lpstr>MPOIN_IN_2008</vt:lpstr>
      <vt:lpstr>MPOIN_IN_2009</vt:lpstr>
      <vt:lpstr>MPOIN_IN_2010</vt:lpstr>
      <vt:lpstr>MPOIN_IN_2011</vt:lpstr>
      <vt:lpstr>MPOIN_IN_2012</vt:lpstr>
      <vt:lpstr>MPOIN_IN_2013</vt:lpstr>
      <vt:lpstr>MPOIN_IN_2014</vt:lpstr>
      <vt:lpstr>MPOIN_IN_2015</vt:lpstr>
      <vt:lpstr>MPOIN_IN_2016</vt:lpstr>
      <vt:lpstr>MPOIN_IN_2017</vt:lpstr>
      <vt:lpstr>MPOIN_IN_2018</vt:lpstr>
      <vt:lpstr>MPOIN_IN_2019</vt:lpstr>
      <vt:lpstr>MPOIN_IN_2020</vt:lpstr>
      <vt:lpstr>MPOIN_IN_2021</vt:lpstr>
      <vt:lpstr>MPOIN_IN_2022</vt:lpstr>
      <vt:lpstr>MPOIN_IN_2023</vt:lpstr>
      <vt:lpstr>MPOIN_IN_2024</vt:lpstr>
      <vt:lpstr>MPOIN_IN_2025</vt:lpstr>
      <vt:lpstr>MPOIN_IN_2026</vt:lpstr>
      <vt:lpstr>MPOIN_IN_2027</vt:lpstr>
      <vt:lpstr>MPOIN_IN_2028</vt:lpstr>
      <vt:lpstr>MPOIN_IN_2029</vt:lpstr>
      <vt:lpstr>MPOIN_IN_Max</vt:lpstr>
      <vt:lpstr>MPOIN_IN_Min</vt:lpstr>
      <vt:lpstr>MPOIN_IN_Most</vt:lpstr>
      <vt:lpstr>MPOIN_IN_TIME</vt:lpstr>
      <vt:lpstr>NAVAJ_IN_1991</vt:lpstr>
      <vt:lpstr>NAVAJ_IN_1992</vt:lpstr>
      <vt:lpstr>NAVAJ_IN_1993</vt:lpstr>
      <vt:lpstr>NAVAJ_IN_1994</vt:lpstr>
      <vt:lpstr>NAVAJ_IN_1995</vt:lpstr>
      <vt:lpstr>NAVAJ_IN_1996</vt:lpstr>
      <vt:lpstr>NAVAJ_IN_1997</vt:lpstr>
      <vt:lpstr>NAVAJ_IN_1998</vt:lpstr>
      <vt:lpstr>NAVAJ_IN_1999</vt:lpstr>
      <vt:lpstr>NAVAJ_IN_2000</vt:lpstr>
      <vt:lpstr>NAVAJ_IN_2001</vt:lpstr>
      <vt:lpstr>NAVAJ_IN_2002</vt:lpstr>
      <vt:lpstr>NAVAJ_IN_2003</vt:lpstr>
      <vt:lpstr>NAVAJ_IN_2004</vt:lpstr>
      <vt:lpstr>NAVAJ_IN_2005</vt:lpstr>
      <vt:lpstr>NAVAJ_IN_2006</vt:lpstr>
      <vt:lpstr>NAVAJ_IN_2007</vt:lpstr>
      <vt:lpstr>NAVAJ_IN_2008</vt:lpstr>
      <vt:lpstr>NAVAJ_IN_2009</vt:lpstr>
      <vt:lpstr>NAVAJ_IN_2010</vt:lpstr>
      <vt:lpstr>NAVAJ_IN_2011</vt:lpstr>
      <vt:lpstr>NAVAJ_IN_2012</vt:lpstr>
      <vt:lpstr>NAVAJ_IN_2013</vt:lpstr>
      <vt:lpstr>NAVAJ_IN_2014</vt:lpstr>
      <vt:lpstr>NAVAJ_IN_2015</vt:lpstr>
      <vt:lpstr>NAVAJ_IN_2016</vt:lpstr>
      <vt:lpstr>NAVAJ_IN_2017</vt:lpstr>
      <vt:lpstr>NAVAJ_IN_2018</vt:lpstr>
      <vt:lpstr>NAVAJ_IN_2019</vt:lpstr>
      <vt:lpstr>NAVAJ_IN_2020</vt:lpstr>
      <vt:lpstr>NAVAJ_IN_2021</vt:lpstr>
      <vt:lpstr>NAVAJ_IN_2022</vt:lpstr>
      <vt:lpstr>NAVAJ_IN_2023</vt:lpstr>
      <vt:lpstr>NAVAJ_IN_2024</vt:lpstr>
      <vt:lpstr>NAVAJ_IN_2025</vt:lpstr>
      <vt:lpstr>NAVAJ_IN_2026</vt:lpstr>
      <vt:lpstr>NAVAJ_IN_2027</vt:lpstr>
      <vt:lpstr>NAVAJ_IN_2028</vt:lpstr>
      <vt:lpstr>NAVAJ_IN_2029</vt:lpstr>
      <vt:lpstr>NAVAJ_IN_Max</vt:lpstr>
      <vt:lpstr>NAVAJ_IN_Min</vt:lpstr>
      <vt:lpstr>NAVAJ_IN_Most</vt:lpstr>
      <vt:lpstr>NAVAJ_IN_TIME</vt:lpstr>
      <vt:lpstr>NFTOF_IN_1991</vt:lpstr>
      <vt:lpstr>NFTOF_IN_1992</vt:lpstr>
      <vt:lpstr>NFTOF_IN_1993</vt:lpstr>
      <vt:lpstr>NFTOF_IN_1994</vt:lpstr>
      <vt:lpstr>NFTOF_IN_1995</vt:lpstr>
      <vt:lpstr>NFTOF_IN_1996</vt:lpstr>
      <vt:lpstr>NFTOF_IN_1997</vt:lpstr>
      <vt:lpstr>NFTOF_IN_1998</vt:lpstr>
      <vt:lpstr>NFTOF_IN_1999</vt:lpstr>
      <vt:lpstr>NFTOF_IN_2000</vt:lpstr>
      <vt:lpstr>NFTOF_IN_2001</vt:lpstr>
      <vt:lpstr>NFTOF_IN_2002</vt:lpstr>
      <vt:lpstr>NFTOF_IN_2003</vt:lpstr>
      <vt:lpstr>NFTOF_IN_2004</vt:lpstr>
      <vt:lpstr>NFTOF_IN_2005</vt:lpstr>
      <vt:lpstr>NFTOF_IN_2006</vt:lpstr>
      <vt:lpstr>NFTOF_IN_2007</vt:lpstr>
      <vt:lpstr>NFTOF_IN_2008</vt:lpstr>
      <vt:lpstr>NFTOF_IN_2009</vt:lpstr>
      <vt:lpstr>NFTOF_IN_2010</vt:lpstr>
      <vt:lpstr>NFTOF_IN_2011</vt:lpstr>
      <vt:lpstr>NFTOF_IN_2012</vt:lpstr>
      <vt:lpstr>NFTOF_IN_2013</vt:lpstr>
      <vt:lpstr>NFTOF_IN_2014</vt:lpstr>
      <vt:lpstr>NFTOF_IN_2015</vt:lpstr>
      <vt:lpstr>NFTOF_IN_2016</vt:lpstr>
      <vt:lpstr>NFTOF_IN_2017</vt:lpstr>
      <vt:lpstr>NFTOF_IN_2018</vt:lpstr>
      <vt:lpstr>NFTOF_IN_2019</vt:lpstr>
      <vt:lpstr>NFTOF_IN_2020</vt:lpstr>
      <vt:lpstr>NFTOF_IN_2021</vt:lpstr>
      <vt:lpstr>NFTOF_IN_2022</vt:lpstr>
      <vt:lpstr>NFTOF_IN_2023</vt:lpstr>
      <vt:lpstr>NFTOF_IN_2024</vt:lpstr>
      <vt:lpstr>NFTOF_IN_2025</vt:lpstr>
      <vt:lpstr>NFTOF_IN_2026</vt:lpstr>
      <vt:lpstr>NFTOF_IN_2027</vt:lpstr>
      <vt:lpstr>NFTOF_IN_2028</vt:lpstr>
      <vt:lpstr>NFTOF_IN_2029</vt:lpstr>
      <vt:lpstr>NFTOF_IN_Max</vt:lpstr>
      <vt:lpstr>NFTOF_IN_Min</vt:lpstr>
      <vt:lpstr>NFTOF_IN_Most</vt:lpstr>
      <vt:lpstr>NFTOF_IN_Time</vt:lpstr>
      <vt:lpstr>PkrToImp_In_1991</vt:lpstr>
      <vt:lpstr>PkrToImp_In_1992</vt:lpstr>
      <vt:lpstr>PkrToImp_In_1993</vt:lpstr>
      <vt:lpstr>PkrToImp_In_1994</vt:lpstr>
      <vt:lpstr>PkrToImp_In_1995</vt:lpstr>
      <vt:lpstr>PkrToImp_In_1996</vt:lpstr>
      <vt:lpstr>PkrToImp_In_1997</vt:lpstr>
      <vt:lpstr>PkrToImp_In_1998</vt:lpstr>
      <vt:lpstr>PkrToImp_In_1999</vt:lpstr>
      <vt:lpstr>PkrToImp_In_2000</vt:lpstr>
      <vt:lpstr>PkrToImp_In_2001</vt:lpstr>
      <vt:lpstr>PkrToImp_In_2002</vt:lpstr>
      <vt:lpstr>PkrToImp_In_2003</vt:lpstr>
      <vt:lpstr>PkrToImp_In_2004</vt:lpstr>
      <vt:lpstr>PkrToImp_In_2005</vt:lpstr>
      <vt:lpstr>PkrToImp_In_2006</vt:lpstr>
      <vt:lpstr>PkrToImp_In_2007</vt:lpstr>
      <vt:lpstr>PkrToImp_In_2008</vt:lpstr>
      <vt:lpstr>PkrToImp_In_2009</vt:lpstr>
      <vt:lpstr>PkrToImp_In_2010</vt:lpstr>
      <vt:lpstr>PkrToImp_In_2011</vt:lpstr>
      <vt:lpstr>PkrToImp_In_2012</vt:lpstr>
      <vt:lpstr>PkrToImp_In_2013</vt:lpstr>
      <vt:lpstr>PkrToImp_In_2014</vt:lpstr>
      <vt:lpstr>PkrToImp_In_2015</vt:lpstr>
      <vt:lpstr>PkrToImp_In_2016</vt:lpstr>
      <vt:lpstr>PkrToImp_In_2017</vt:lpstr>
      <vt:lpstr>PkrToImp_In_2018</vt:lpstr>
      <vt:lpstr>PkrToImp_In_2019</vt:lpstr>
      <vt:lpstr>PkrToImp_In_2020</vt:lpstr>
      <vt:lpstr>PkrToImp_In_Max</vt:lpstr>
      <vt:lpstr>PkrToImp_In_Min</vt:lpstr>
      <vt:lpstr>PkrToImp_In_Most</vt:lpstr>
      <vt:lpstr>PkrToImp_In_Time</vt:lpstr>
      <vt:lpstr>POWEL_IN_1991</vt:lpstr>
      <vt:lpstr>POWEL_IN_1992</vt:lpstr>
      <vt:lpstr>POWEL_IN_1993</vt:lpstr>
      <vt:lpstr>POWEL_IN_1994</vt:lpstr>
      <vt:lpstr>POWEL_IN_1995</vt:lpstr>
      <vt:lpstr>POWEL_IN_1996</vt:lpstr>
      <vt:lpstr>POWEL_IN_1997</vt:lpstr>
      <vt:lpstr>POWEL_IN_1998</vt:lpstr>
      <vt:lpstr>POWEL_IN_1999</vt:lpstr>
      <vt:lpstr>POWEL_IN_2000</vt:lpstr>
      <vt:lpstr>POWEL_IN_2001</vt:lpstr>
      <vt:lpstr>POWEL_IN_2002</vt:lpstr>
      <vt:lpstr>POWEL_IN_2003</vt:lpstr>
      <vt:lpstr>POWEL_IN_2004</vt:lpstr>
      <vt:lpstr>POWEL_IN_2005</vt:lpstr>
      <vt:lpstr>POWEL_IN_2006</vt:lpstr>
      <vt:lpstr>POWEL_IN_2007</vt:lpstr>
      <vt:lpstr>POWEL_IN_2008</vt:lpstr>
      <vt:lpstr>POWEL_IN_2009</vt:lpstr>
      <vt:lpstr>POWEL_IN_2010</vt:lpstr>
      <vt:lpstr>POWEL_IN_2011</vt:lpstr>
      <vt:lpstr>POWEL_IN_2012</vt:lpstr>
      <vt:lpstr>POWEL_IN_2013</vt:lpstr>
      <vt:lpstr>POWEL_IN_2014</vt:lpstr>
      <vt:lpstr>POWEL_IN_2015</vt:lpstr>
      <vt:lpstr>POWEL_IN_2016</vt:lpstr>
      <vt:lpstr>POWEL_IN_2017</vt:lpstr>
      <vt:lpstr>POWEL_IN_2018</vt:lpstr>
      <vt:lpstr>POWEL_IN_2019</vt:lpstr>
      <vt:lpstr>POWEL_IN_2020</vt:lpstr>
      <vt:lpstr>POWEL_IN_2021</vt:lpstr>
      <vt:lpstr>POWEL_IN_2022</vt:lpstr>
      <vt:lpstr>POWEL_IN_2023</vt:lpstr>
      <vt:lpstr>POWEL_IN_2024</vt:lpstr>
      <vt:lpstr>POWEL_IN_2025</vt:lpstr>
      <vt:lpstr>POWEL_IN_2026</vt:lpstr>
      <vt:lpstr>POWEL_IN_2027</vt:lpstr>
      <vt:lpstr>POWEL_IN_2028</vt:lpstr>
      <vt:lpstr>POWEL_IN_2029</vt:lpstr>
      <vt:lpstr>POWEL_IN_Max</vt:lpstr>
      <vt:lpstr>POWEL_IN_Min</vt:lpstr>
      <vt:lpstr>POWEL_IN_Most</vt:lpstr>
      <vt:lpstr>POWEL_IN_TIME</vt:lpstr>
      <vt:lpstr>PTMGAL_IN_1991</vt:lpstr>
      <vt:lpstr>PTMGAL_IN_1992</vt:lpstr>
      <vt:lpstr>PTMGAL_IN_1993</vt:lpstr>
      <vt:lpstr>PTMGAL_IN_1994</vt:lpstr>
      <vt:lpstr>PTMGAL_IN_1995</vt:lpstr>
      <vt:lpstr>PTMGAL_IN_1996</vt:lpstr>
      <vt:lpstr>PTMGAL_IN_1997</vt:lpstr>
      <vt:lpstr>PTMGAL_IN_1998</vt:lpstr>
      <vt:lpstr>PTMGAL_IN_1999</vt:lpstr>
      <vt:lpstr>PTMGAL_IN_2000</vt:lpstr>
      <vt:lpstr>PTMGAL_IN_2001</vt:lpstr>
      <vt:lpstr>PTMGAL_IN_2002</vt:lpstr>
      <vt:lpstr>PTMGAL_IN_2003</vt:lpstr>
      <vt:lpstr>PTMGAL_IN_2004</vt:lpstr>
      <vt:lpstr>PTMGAL_IN_2005</vt:lpstr>
      <vt:lpstr>PTMGAL_IN_2006</vt:lpstr>
      <vt:lpstr>PTMGAL_IN_2007</vt:lpstr>
      <vt:lpstr>PTMGAL_IN_2008</vt:lpstr>
      <vt:lpstr>PTMGAL_IN_2009</vt:lpstr>
      <vt:lpstr>PTMGAL_IN_2010</vt:lpstr>
      <vt:lpstr>PTMGAL_IN_2011</vt:lpstr>
      <vt:lpstr>PTMGAL_IN_2012</vt:lpstr>
      <vt:lpstr>PTMGAL_IN_2013</vt:lpstr>
      <vt:lpstr>PTMGAL_IN_2014</vt:lpstr>
      <vt:lpstr>PTMGAL_IN_2015</vt:lpstr>
      <vt:lpstr>PTMGAL_IN_2016</vt:lpstr>
      <vt:lpstr>PTMGAL_IN_2017</vt:lpstr>
      <vt:lpstr>PTMGAL_IN_2018</vt:lpstr>
      <vt:lpstr>PTMGAL_IN_2019</vt:lpstr>
      <vt:lpstr>PTMGAL_IN_2020</vt:lpstr>
      <vt:lpstr>PTMGAL_IN_2021</vt:lpstr>
      <vt:lpstr>PTMGAL_IN_2022</vt:lpstr>
      <vt:lpstr>PTMGAL_IN_2023</vt:lpstr>
      <vt:lpstr>PTMGAL_IN_2024</vt:lpstr>
      <vt:lpstr>PTMGAL_IN_2025</vt:lpstr>
      <vt:lpstr>PTMGAL_IN_2026</vt:lpstr>
      <vt:lpstr>PTMGAL_IN_2027</vt:lpstr>
      <vt:lpstr>PTMGAL_IN_2028</vt:lpstr>
      <vt:lpstr>PTMGAL_IN_2029</vt:lpstr>
      <vt:lpstr>PTMGAL_IN_Max</vt:lpstr>
      <vt:lpstr>PTMGAL_IN_Min</vt:lpstr>
      <vt:lpstr>PTMGAL_IN_Most</vt:lpstr>
      <vt:lpstr>PTMGAL_IN_Time</vt:lpstr>
      <vt:lpstr>PTMGC_IN_1991</vt:lpstr>
      <vt:lpstr>PTMGC_IN_1992</vt:lpstr>
      <vt:lpstr>PTMGC_IN_1993</vt:lpstr>
      <vt:lpstr>PTMGC_IN_1994</vt:lpstr>
      <vt:lpstr>PTMGC_IN_1995</vt:lpstr>
      <vt:lpstr>PTMGC_IN_1996</vt:lpstr>
      <vt:lpstr>PTMGC_IN_1997</vt:lpstr>
      <vt:lpstr>PTMGC_IN_1998</vt:lpstr>
      <vt:lpstr>PTMGC_IN_1999</vt:lpstr>
      <vt:lpstr>PTMGC_IN_2000</vt:lpstr>
      <vt:lpstr>PTMGC_IN_2001</vt:lpstr>
      <vt:lpstr>PTMGC_IN_2002</vt:lpstr>
      <vt:lpstr>PTMGC_IN_2003</vt:lpstr>
      <vt:lpstr>PTMGC_IN_2004</vt:lpstr>
      <vt:lpstr>PTMGC_IN_2005</vt:lpstr>
      <vt:lpstr>PTMGC_IN_2006</vt:lpstr>
      <vt:lpstr>PTMGC_IN_2007</vt:lpstr>
      <vt:lpstr>PTMGC_IN_2008</vt:lpstr>
      <vt:lpstr>PTMGC_IN_2009</vt:lpstr>
      <vt:lpstr>PTMGC_IN_2010</vt:lpstr>
      <vt:lpstr>PTMGC_IN_2011</vt:lpstr>
      <vt:lpstr>PTMGC_IN_2012</vt:lpstr>
      <vt:lpstr>PTMGC_IN_2013</vt:lpstr>
      <vt:lpstr>PTMGC_IN_2014</vt:lpstr>
      <vt:lpstr>PTMGC_IN_2015</vt:lpstr>
      <vt:lpstr>PTMGC_IN_2016</vt:lpstr>
      <vt:lpstr>PTMGC_IN_2017</vt:lpstr>
      <vt:lpstr>PTMGC_IN_2018</vt:lpstr>
      <vt:lpstr>PTMGC_IN_2019</vt:lpstr>
      <vt:lpstr>PTMGC_IN_2020</vt:lpstr>
      <vt:lpstr>PTMGC_IN_2021</vt:lpstr>
      <vt:lpstr>PTMGC_IN_2022</vt:lpstr>
      <vt:lpstr>PTMGC_IN_2023</vt:lpstr>
      <vt:lpstr>PTMGC_IN_2024</vt:lpstr>
      <vt:lpstr>PTMGC_IN_2025</vt:lpstr>
      <vt:lpstr>PTMGC_IN_2026</vt:lpstr>
      <vt:lpstr>PTMGC_IN_2027</vt:lpstr>
      <vt:lpstr>PTMGC_IN_2028</vt:lpstr>
      <vt:lpstr>PTMGC_IN_2029</vt:lpstr>
      <vt:lpstr>PTMGC_IN_Max</vt:lpstr>
      <vt:lpstr>PTMGC_IN_Min</vt:lpstr>
      <vt:lpstr>PTMGC_IN_Most</vt:lpstr>
      <vt:lpstr>PTMGC_IN_Time</vt:lpstr>
      <vt:lpstr>PTMGH_IN_1991</vt:lpstr>
      <vt:lpstr>PTMGH_IN_1992</vt:lpstr>
      <vt:lpstr>PTMGH_IN_1993</vt:lpstr>
      <vt:lpstr>PTMGH_IN_1994</vt:lpstr>
      <vt:lpstr>PTMGH_IN_1995</vt:lpstr>
      <vt:lpstr>PTMGH_IN_1996</vt:lpstr>
      <vt:lpstr>PTMGH_IN_1997</vt:lpstr>
      <vt:lpstr>PTMGH_IN_1998</vt:lpstr>
      <vt:lpstr>PTMGH_IN_1999</vt:lpstr>
      <vt:lpstr>PTMGH_IN_2000</vt:lpstr>
      <vt:lpstr>PTMGH_IN_2001</vt:lpstr>
      <vt:lpstr>PTMGH_IN_2002</vt:lpstr>
      <vt:lpstr>PTMGH_IN_2003</vt:lpstr>
      <vt:lpstr>PTMGH_IN_2004</vt:lpstr>
      <vt:lpstr>PTMGH_IN_2005</vt:lpstr>
      <vt:lpstr>PTMGH_IN_2006</vt:lpstr>
      <vt:lpstr>PTMGH_IN_2007</vt:lpstr>
      <vt:lpstr>PTMGH_IN_2008</vt:lpstr>
      <vt:lpstr>PTMGH_IN_2009</vt:lpstr>
      <vt:lpstr>PTMGH_IN_2010</vt:lpstr>
      <vt:lpstr>PTMGH_IN_2011</vt:lpstr>
      <vt:lpstr>PTMGH_IN_2012</vt:lpstr>
      <vt:lpstr>PTMGH_IN_2013</vt:lpstr>
      <vt:lpstr>PTMGH_IN_2014</vt:lpstr>
      <vt:lpstr>PTMGH_IN_2015</vt:lpstr>
      <vt:lpstr>PTMGH_IN_2016</vt:lpstr>
      <vt:lpstr>PTMGH_IN_2017</vt:lpstr>
      <vt:lpstr>PTMGH_IN_2018</vt:lpstr>
      <vt:lpstr>PTMGH_IN_2019</vt:lpstr>
      <vt:lpstr>PTMGH_IN_2020</vt:lpstr>
      <vt:lpstr>PTMGH_IN_2021</vt:lpstr>
      <vt:lpstr>PTMGH_IN_2022</vt:lpstr>
      <vt:lpstr>PTMGH_IN_2023</vt:lpstr>
      <vt:lpstr>PTMGH_IN_2024</vt:lpstr>
      <vt:lpstr>PTMGH_IN_2025</vt:lpstr>
      <vt:lpstr>PTMGH_IN_2026</vt:lpstr>
      <vt:lpstr>PTMGH_IN_2027</vt:lpstr>
      <vt:lpstr>PTMGH_IN_2028</vt:lpstr>
      <vt:lpstr>PTMGH_IN_2029</vt:lpstr>
      <vt:lpstr>PTMGH_IN_Max</vt:lpstr>
      <vt:lpstr>PTMGH_IN_Min</vt:lpstr>
      <vt:lpstr>PTMGH_IN_Most</vt:lpstr>
      <vt:lpstr>PTMGH_IN_Time</vt:lpstr>
      <vt:lpstr>TPARK_IN_1991</vt:lpstr>
      <vt:lpstr>TPARK_IN_1992</vt:lpstr>
      <vt:lpstr>TPARK_IN_1993</vt:lpstr>
      <vt:lpstr>TPARK_IN_1994</vt:lpstr>
      <vt:lpstr>TPARK_IN_1995</vt:lpstr>
      <vt:lpstr>TPARK_IN_1996</vt:lpstr>
      <vt:lpstr>TPARK_IN_1997</vt:lpstr>
      <vt:lpstr>TPARK_IN_1998</vt:lpstr>
      <vt:lpstr>TPARK_IN_1999</vt:lpstr>
      <vt:lpstr>TPARK_IN_2000</vt:lpstr>
      <vt:lpstr>TPARK_IN_2001</vt:lpstr>
      <vt:lpstr>TPARK_IN_2002</vt:lpstr>
      <vt:lpstr>TPARK_IN_2003</vt:lpstr>
      <vt:lpstr>TPARK_IN_2004</vt:lpstr>
      <vt:lpstr>TPARK_IN_2005</vt:lpstr>
      <vt:lpstr>TPARK_IN_2006</vt:lpstr>
      <vt:lpstr>TPARK_IN_2007</vt:lpstr>
      <vt:lpstr>TPARK_IN_2008</vt:lpstr>
      <vt:lpstr>TPARK_IN_2009</vt:lpstr>
      <vt:lpstr>TPARK_IN_2010</vt:lpstr>
      <vt:lpstr>TPARK_IN_2011</vt:lpstr>
      <vt:lpstr>TPARK_IN_2012</vt:lpstr>
      <vt:lpstr>TPARK_IN_2013</vt:lpstr>
      <vt:lpstr>TPARK_IN_2014</vt:lpstr>
      <vt:lpstr>TPARK_IN_2015</vt:lpstr>
      <vt:lpstr>TPARK_IN_2016</vt:lpstr>
      <vt:lpstr>TPARK_IN_2017</vt:lpstr>
      <vt:lpstr>TPARK_IN_2018</vt:lpstr>
      <vt:lpstr>TPARK_IN_2019</vt:lpstr>
      <vt:lpstr>TPARK_IN_2020</vt:lpstr>
      <vt:lpstr>TPARK_IN_2021</vt:lpstr>
      <vt:lpstr>TPARK_IN_2022</vt:lpstr>
      <vt:lpstr>TPARK_IN_2023</vt:lpstr>
      <vt:lpstr>TPARK_IN_2024</vt:lpstr>
      <vt:lpstr>TPARK_IN_2025</vt:lpstr>
      <vt:lpstr>TPARK_IN_2026</vt:lpstr>
      <vt:lpstr>TPARK_IN_2027</vt:lpstr>
      <vt:lpstr>TPARK_IN_2028</vt:lpstr>
      <vt:lpstr>TPARK_IN_2029</vt:lpstr>
      <vt:lpstr>TPARK_IN_Max</vt:lpstr>
      <vt:lpstr>TPARK_IN_Min</vt:lpstr>
      <vt:lpstr>TPARK_IN_Most</vt:lpstr>
      <vt:lpstr>TPARK_IN_TIME</vt:lpstr>
      <vt:lpstr>VALLE_IN_1991</vt:lpstr>
      <vt:lpstr>VALLE_IN_1992</vt:lpstr>
      <vt:lpstr>VALLE_IN_1993</vt:lpstr>
      <vt:lpstr>VALLE_IN_1994</vt:lpstr>
      <vt:lpstr>VALLE_IN_1995</vt:lpstr>
      <vt:lpstr>VALLE_IN_1996</vt:lpstr>
      <vt:lpstr>VALLE_IN_1997</vt:lpstr>
      <vt:lpstr>VALLE_IN_1998</vt:lpstr>
      <vt:lpstr>VALLE_IN_1999</vt:lpstr>
      <vt:lpstr>VALLE_IN_2000</vt:lpstr>
      <vt:lpstr>VALLE_IN_2001</vt:lpstr>
      <vt:lpstr>VALLE_IN_2002</vt:lpstr>
      <vt:lpstr>VALLE_IN_2003</vt:lpstr>
      <vt:lpstr>VALLE_IN_2004</vt:lpstr>
      <vt:lpstr>VALLE_IN_2005</vt:lpstr>
      <vt:lpstr>VALLE_IN_2006</vt:lpstr>
      <vt:lpstr>VALLE_IN_2007</vt:lpstr>
      <vt:lpstr>VALLE_IN_2008</vt:lpstr>
      <vt:lpstr>VALLE_IN_2009</vt:lpstr>
      <vt:lpstr>VALLE_IN_2010</vt:lpstr>
      <vt:lpstr>VALLE_IN_2011</vt:lpstr>
      <vt:lpstr>VALLE_IN_2012</vt:lpstr>
      <vt:lpstr>VALLE_IN_2013</vt:lpstr>
      <vt:lpstr>VALLE_IN_2014</vt:lpstr>
      <vt:lpstr>VALLE_IN_2015</vt:lpstr>
      <vt:lpstr>VALLE_IN_2016</vt:lpstr>
      <vt:lpstr>VALLE_IN_2017</vt:lpstr>
      <vt:lpstr>VALLE_IN_2018</vt:lpstr>
      <vt:lpstr>VALLE_IN_2019</vt:lpstr>
      <vt:lpstr>VALLE_IN_2020</vt:lpstr>
      <vt:lpstr>VALLE_IN_2021</vt:lpstr>
      <vt:lpstr>VALLE_IN_2022</vt:lpstr>
      <vt:lpstr>VALLE_IN_2023</vt:lpstr>
      <vt:lpstr>VALLE_IN_2024</vt:lpstr>
      <vt:lpstr>VALLE_IN_2025</vt:lpstr>
      <vt:lpstr>VALLE_IN_2026</vt:lpstr>
      <vt:lpstr>VALLE_IN_2027</vt:lpstr>
      <vt:lpstr>VALLE_IN_2028</vt:lpstr>
      <vt:lpstr>VALLE_IN_2029</vt:lpstr>
      <vt:lpstr>VALLE_IN_Max</vt:lpstr>
      <vt:lpstr>VALLE_IN_Min</vt:lpstr>
      <vt:lpstr>VALLE_IN_Most</vt:lpstr>
      <vt:lpstr>VALLE_IN_TIME</vt:lpstr>
      <vt:lpstr>YRITO_IN_1991</vt:lpstr>
      <vt:lpstr>YRITO_IN_1992</vt:lpstr>
      <vt:lpstr>YRITO_IN_1993</vt:lpstr>
      <vt:lpstr>YRITO_IN_1994</vt:lpstr>
      <vt:lpstr>YRITO_IN_1995</vt:lpstr>
      <vt:lpstr>YRITO_IN_1996</vt:lpstr>
      <vt:lpstr>YRITO_IN_1997</vt:lpstr>
      <vt:lpstr>YRITO_IN_1998</vt:lpstr>
      <vt:lpstr>YRITO_IN_1999</vt:lpstr>
      <vt:lpstr>YRITO_IN_2000</vt:lpstr>
      <vt:lpstr>YRITO_IN_2001</vt:lpstr>
      <vt:lpstr>YRITO_IN_2002</vt:lpstr>
      <vt:lpstr>YRITO_IN_2003</vt:lpstr>
      <vt:lpstr>YRITO_IN_2004</vt:lpstr>
      <vt:lpstr>YRITO_IN_2005</vt:lpstr>
      <vt:lpstr>YRITO_IN_2006</vt:lpstr>
      <vt:lpstr>YRITO_IN_2007</vt:lpstr>
      <vt:lpstr>YRITO_IN_2008</vt:lpstr>
      <vt:lpstr>YRITO_IN_2009</vt:lpstr>
      <vt:lpstr>YRITO_IN_2010</vt:lpstr>
      <vt:lpstr>YRITO_IN_2011</vt:lpstr>
      <vt:lpstr>YRITO_IN_2012</vt:lpstr>
      <vt:lpstr>YRITO_IN_2013</vt:lpstr>
      <vt:lpstr>YRITO_IN_2014</vt:lpstr>
      <vt:lpstr>YRITO_IN_2015</vt:lpstr>
      <vt:lpstr>YRITO_IN_2016</vt:lpstr>
      <vt:lpstr>YRITO_IN_2017</vt:lpstr>
      <vt:lpstr>YRITO_IN_2018</vt:lpstr>
      <vt:lpstr>YRITO_IN_2019</vt:lpstr>
      <vt:lpstr>YRITO_IN_2020</vt:lpstr>
      <vt:lpstr>YRITO_IN_2021</vt:lpstr>
      <vt:lpstr>YRITO_IN_2022</vt:lpstr>
      <vt:lpstr>YRITO_IN_2023</vt:lpstr>
      <vt:lpstr>YRITO_IN_2024</vt:lpstr>
      <vt:lpstr>YRITO_IN_2025</vt:lpstr>
      <vt:lpstr>YRITO_IN_2026</vt:lpstr>
      <vt:lpstr>YRITO_IN_2027</vt:lpstr>
      <vt:lpstr>YRITO_IN_2028</vt:lpstr>
      <vt:lpstr>YRITO_IN_2029</vt:lpstr>
      <vt:lpstr>AnimasRiverTotalOutflow!YRITO_IN_Max</vt:lpstr>
      <vt:lpstr>YRITO_IN_Max</vt:lpstr>
      <vt:lpstr>AnimasRiverTotalOutflow!YRITO_IN_Min</vt:lpstr>
      <vt:lpstr>YRITO_IN_Min</vt:lpstr>
      <vt:lpstr>AnimasRiverTotalOutflow!YRITO_IN_Most</vt:lpstr>
      <vt:lpstr>YRITO_IN_Most</vt:lpstr>
      <vt:lpstr>YRITO_IN_TIME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Thomas C</dc:creator>
  <cp:lastModifiedBy>Ashley, Thomas C</cp:lastModifiedBy>
  <dcterms:created xsi:type="dcterms:W3CDTF">2026-05-12T22:07:36Z</dcterms:created>
  <dcterms:modified xsi:type="dcterms:W3CDTF">2026-05-12T22:07:38Z</dcterms:modified>
</cp:coreProperties>
</file>