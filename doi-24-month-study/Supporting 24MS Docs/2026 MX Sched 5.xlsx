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metadata.xml" ContentType="application/vnd.openxmlformats-officedocument.spreadsheetml.sheetMetadata+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N:\D4000\COM420\WATERUSE\24MS Assumptions\4200-4600 Coordination Calls\2026\05 May\"/>
    </mc:Choice>
  </mc:AlternateContent>
  <xr:revisionPtr revIDLastSave="0" documentId="8_{3B77900E-EC25-4D04-80D9-C1B950DC0558}" xr6:coauthVersionLast="47" xr6:coauthVersionMax="47" xr10:uidLastSave="{00000000-0000-0000-0000-000000000000}"/>
  <bookViews>
    <workbookView xWindow="28680" yWindow="-120" windowWidth="29040" windowHeight="15720" xr2:uid="{9C3C1E6C-A1AB-412D-863D-86D422DC2554}"/>
  </bookViews>
  <sheets>
    <sheet name="LetterEnclosure" sheetId="1" r:id="rId1"/>
  </sheets>
  <definedNames>
    <definedName name="_xlnm.Print_Area" localSheetId="0">LetterEnclosure!$B$4:$V$36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2" i="1" l="1"/>
  <c r="U71" i="1"/>
  <c r="E59" i="1" a="1"/>
  <c r="D66" i="1" a="1"/>
  <c r="E69" i="1" a="1"/>
  <c r="D67" i="1" a="1"/>
  <c r="E63" i="1" a="1"/>
  <c r="D56" i="1" a="1"/>
  <c r="D63" i="1" a="1"/>
  <c r="E62" i="1" a="1"/>
  <c r="E55" i="1" a="1"/>
  <c r="E66" i="1" a="1"/>
  <c r="D59" i="1" a="1"/>
  <c r="D55" i="1" a="1"/>
  <c r="D62" i="1" a="1"/>
  <c r="D60" i="1" a="1"/>
  <c r="E57" i="1" a="1"/>
  <c r="E68" i="1" a="1"/>
  <c r="D68" i="1" a="1"/>
  <c r="D61" i="1" a="1"/>
  <c r="E60" i="1" a="1"/>
  <c r="D65" i="1" a="1"/>
  <c r="E58" i="1" a="1"/>
  <c r="E64" i="1" a="1"/>
  <c r="D58" i="1" a="1"/>
  <c r="D64" i="1" a="1"/>
  <c r="E56" i="1" a="1"/>
  <c r="D69" i="1" a="1"/>
  <c r="D57" i="1" a="1"/>
  <c r="E61" i="1" a="1"/>
  <c r="E67" i="1" a="1"/>
  <c r="E65" i="1" a="1"/>
  <c r="E65" i="1" l="1"/>
  <c r="E67" i="1"/>
  <c r="E61" i="1"/>
  <c r="D57" i="1"/>
  <c r="D69" i="1"/>
  <c r="E56" i="1"/>
  <c r="D64" i="1"/>
  <c r="D58" i="1"/>
  <c r="E64" i="1"/>
  <c r="E58" i="1"/>
  <c r="D65" i="1"/>
  <c r="E60" i="1"/>
  <c r="D61" i="1"/>
  <c r="D68" i="1"/>
  <c r="E68" i="1"/>
  <c r="E57" i="1"/>
  <c r="D60" i="1"/>
  <c r="D62" i="1"/>
  <c r="D55" i="1"/>
  <c r="U56" i="1" s="1"/>
  <c r="D59" i="1"/>
  <c r="E66" i="1"/>
  <c r="E55" i="1"/>
  <c r="E62" i="1"/>
  <c r="D63" i="1"/>
  <c r="D56" i="1"/>
  <c r="E63" i="1"/>
  <c r="D67" i="1"/>
  <c r="E69" i="1"/>
  <c r="D66" i="1"/>
  <c r="E59" i="1"/>
  <c r="U60" i="1" l="1"/>
  <c r="B45" i="1"/>
  <c r="U69" i="1"/>
  <c r="B43" i="1"/>
  <c r="U67" i="1"/>
  <c r="U63" i="1"/>
  <c r="B39" i="1"/>
  <c r="U61" i="1"/>
  <c r="B37" i="1"/>
  <c r="U62" i="1"/>
  <c r="B38" i="1"/>
  <c r="U66" i="1"/>
  <c r="B42" i="1"/>
  <c r="U59" i="1"/>
  <c r="U65" i="1"/>
  <c r="B41" i="1"/>
  <c r="B44" i="1"/>
  <c r="U68" i="1"/>
  <c r="B46" i="1"/>
  <c r="U70" i="1"/>
  <c r="U58" i="1"/>
  <c r="U57" i="1"/>
  <c r="U64" i="1"/>
  <c r="B40" i="1"/>
  <c r="AD22" i="1" l="1"/>
  <c r="AB22" i="1"/>
  <c r="AC22" i="1"/>
  <c r="AA22" i="1"/>
  <c r="AB30" i="1" l="1"/>
  <c r="AB31" i="1"/>
  <c r="Z26" i="1" l="1"/>
  <c r="Z22" i="1"/>
  <c r="AE2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<sst xmlns="http://schemas.openxmlformats.org/spreadsheetml/2006/main" count="89" uniqueCount="69">
  <si>
    <t>Conversion Factor</t>
  </si>
  <si>
    <t>Calendar Year 2026 Colorado River Water Deliveries for Mexico</t>
  </si>
  <si>
    <t xml:space="preserve">&lt;== The Schedule Date is the date of schedule included as the attachment to the incoming letter. Do not enter it here. Enter it under "Schedule Date" and it will populate automatically. </t>
  </si>
  <si>
    <t xml:space="preserve">Add footnote to each month that the schedule modifies.  Update print area. </t>
  </si>
  <si>
    <r>
      <t>Mexico's Requested Deliveries at Northerly International Boundary</t>
    </r>
    <r>
      <rPr>
        <vertAlign val="superscript"/>
        <sz val="11"/>
        <rFont val="Arial"/>
        <family val="2"/>
      </rPr>
      <t>a</t>
    </r>
  </si>
  <si>
    <t>Mexico's Requested Deliveries at Land Boundary near San Luis, Sonora</t>
  </si>
  <si>
    <r>
      <t>Diversions at Parker Dam to Effect Tijuana Emergency Deliveries in Accordance with 
Minute 327</t>
    </r>
    <r>
      <rPr>
        <vertAlign val="superscript"/>
        <sz val="11"/>
        <rFont val="Arial"/>
        <family val="2"/>
      </rPr>
      <t>b</t>
    </r>
    <r>
      <rPr>
        <sz val="11"/>
        <rFont val="Arial"/>
        <family val="2"/>
      </rPr>
      <t xml:space="preserve"> </t>
    </r>
  </si>
  <si>
    <t>Total Delivery to Mexico
(Col. 1+2+3)</t>
  </si>
  <si>
    <r>
      <t>Creation of Mexico's Recoverable Water Savings That Contribute to the Binational Water Scarcity Contigency Plan in Accordance with Minute 323</t>
    </r>
    <r>
      <rPr>
        <vertAlign val="superscript"/>
        <sz val="11"/>
        <rFont val="Arial"/>
        <family val="2"/>
      </rPr>
      <t>c</t>
    </r>
    <r>
      <rPr>
        <sz val="11"/>
        <rFont val="Arial"/>
        <family val="2"/>
      </rPr>
      <t xml:space="preserve"> and the 
2019 and 2021 Joint Reports</t>
    </r>
    <r>
      <rPr>
        <vertAlign val="superscript"/>
        <sz val="11"/>
        <rFont val="Arial"/>
        <family val="2"/>
      </rPr>
      <t>e</t>
    </r>
  </si>
  <si>
    <r>
      <t>Water Deferred for 
Creation of Mexico's 
Water Reserve in Accordance with Minute 323</t>
    </r>
    <r>
      <rPr>
        <vertAlign val="superscript"/>
        <sz val="11"/>
        <rFont val="Arial"/>
        <family val="2"/>
      </rPr>
      <t>c</t>
    </r>
  </si>
  <si>
    <r>
      <t>Water Deferred for Mexico's Water Reserve in Accordance with 
Minute No. 330</t>
    </r>
    <r>
      <rPr>
        <vertAlign val="superscript"/>
        <sz val="11"/>
        <rFont val="Arial"/>
        <family val="2"/>
      </rPr>
      <t>f</t>
    </r>
  </si>
  <si>
    <r>
      <t>Water Deferred for System Water in Accordance with Minute No. 330</t>
    </r>
    <r>
      <rPr>
        <vertAlign val="superscript"/>
        <sz val="11"/>
        <rFont val="Arial"/>
        <family val="2"/>
      </rPr>
      <t>f</t>
    </r>
  </si>
  <si>
    <r>
      <t>Deliveries from Mexico's Water Reserve in Accordance with Minute 323</t>
    </r>
    <r>
      <rPr>
        <vertAlign val="superscript"/>
        <sz val="11"/>
        <rFont val="Arial"/>
        <family val="2"/>
      </rPr>
      <t>c,e</t>
    </r>
  </si>
  <si>
    <r>
      <t>Total to Mexico in Satisfaction of Treaty Requirements</t>
    </r>
    <r>
      <rPr>
        <vertAlign val="superscript"/>
        <sz val="11"/>
        <rFont val="Arial"/>
        <family val="2"/>
      </rPr>
      <t>g,h</t>
    </r>
    <r>
      <rPr>
        <sz val="11"/>
        <rFont val="Arial"/>
        <family val="2"/>
      </rPr>
      <t xml:space="preserve">
(Col. 4+5+6+7+8-9)</t>
    </r>
  </si>
  <si>
    <t>(1)</t>
  </si>
  <si>
    <t>(2)</t>
  </si>
  <si>
    <t>(3)</t>
  </si>
  <si>
    <t>(4)</t>
  </si>
  <si>
    <t>(5)</t>
  </si>
  <si>
    <t>(6)</t>
  </si>
  <si>
    <t>(7)</t>
  </si>
  <si>
    <t>(8)</t>
  </si>
  <si>
    <t>(9)</t>
  </si>
  <si>
    <t>(10)</t>
  </si>
  <si>
    <t>Month</t>
  </si>
  <si>
    <t>AF</t>
  </si>
  <si>
    <t>CM</t>
  </si>
  <si>
    <t>January</t>
  </si>
  <si>
    <r>
      <t>February</t>
    </r>
    <r>
      <rPr>
        <vertAlign val="superscript"/>
        <sz val="11"/>
        <color theme="1"/>
        <rFont val="Arial"/>
        <family val="2"/>
      </rPr>
      <t>1</t>
    </r>
  </si>
  <si>
    <t>Reclamation (Paul) will then:</t>
  </si>
  <si>
    <t>1) Update this spreadsheet, numbers and footnotes.</t>
  </si>
  <si>
    <r>
      <t>March</t>
    </r>
    <r>
      <rPr>
        <vertAlign val="superscript"/>
        <sz val="11"/>
        <color theme="1"/>
        <rFont val="Arial"/>
        <family val="2"/>
      </rPr>
      <t>1</t>
    </r>
  </si>
  <si>
    <t>2) Update Mexico.xls if the total delivery changes,</t>
  </si>
  <si>
    <r>
      <t>April</t>
    </r>
    <r>
      <rPr>
        <vertAlign val="superscript"/>
        <sz val="11"/>
        <color theme="1"/>
        <rFont val="Arial"/>
        <family val="2"/>
      </rPr>
      <t>1,2</t>
    </r>
  </si>
  <si>
    <t>3) Send a letter to IBWC with cc to state directors,</t>
  </si>
  <si>
    <r>
      <t>May</t>
    </r>
    <r>
      <rPr>
        <vertAlign val="superscript"/>
        <sz val="11"/>
        <color theme="1"/>
        <rFont val="Arial"/>
        <family val="2"/>
      </rPr>
      <t>1,3</t>
    </r>
  </si>
  <si>
    <t xml:space="preserve">4) Send the new schedule to 4600 Schedulers (via email to Operations Group). </t>
  </si>
  <si>
    <r>
      <t>June</t>
    </r>
    <r>
      <rPr>
        <vertAlign val="superscript"/>
        <sz val="11"/>
        <color theme="1"/>
        <rFont val="Arial"/>
        <family val="2"/>
      </rPr>
      <t>1,3,4</t>
    </r>
  </si>
  <si>
    <t>5) Make appropriate adjustments to Dec[yy].xlsx</t>
  </si>
  <si>
    <r>
      <t>July</t>
    </r>
    <r>
      <rPr>
        <vertAlign val="superscript"/>
        <sz val="11"/>
        <color theme="1"/>
        <rFont val="Arial"/>
        <family val="2"/>
      </rPr>
      <t>1</t>
    </r>
  </si>
  <si>
    <r>
      <t>August</t>
    </r>
    <r>
      <rPr>
        <vertAlign val="superscript"/>
        <sz val="11"/>
        <color theme="1"/>
        <rFont val="Arial"/>
        <family val="2"/>
      </rPr>
      <t>1</t>
    </r>
  </si>
  <si>
    <r>
      <t>September</t>
    </r>
    <r>
      <rPr>
        <vertAlign val="superscript"/>
        <sz val="11"/>
        <color theme="1"/>
        <rFont val="Arial"/>
        <family val="2"/>
      </rPr>
      <t>1,4</t>
    </r>
  </si>
  <si>
    <t>October</t>
  </si>
  <si>
    <t>November</t>
  </si>
  <si>
    <r>
      <t>December</t>
    </r>
    <r>
      <rPr>
        <vertAlign val="superscript"/>
        <sz val="11"/>
        <color theme="1"/>
        <rFont val="Arial"/>
        <family val="2"/>
      </rPr>
      <t>2,3</t>
    </r>
  </si>
  <si>
    <t xml:space="preserve">Check: </t>
  </si>
  <si>
    <t>Total</t>
  </si>
  <si>
    <t>Total NIB</t>
  </si>
  <si>
    <t>Total SIB</t>
  </si>
  <si>
    <t>Total TJ</t>
  </si>
  <si>
    <t>DownDel</t>
  </si>
  <si>
    <t>a/ Volumes include deliveries from Mexico's Water Reserve as shown in Column 7.</t>
  </si>
  <si>
    <t>&lt;==must sum to 1500000</t>
  </si>
  <si>
    <t>b/ Referring to "Emergency Deliveries of Colorado River Waters for Use in the City of Tijuana, Baja California", dated January 28, 2022 (Minute 327), applicable through January 27, 2027.</t>
  </si>
  <si>
    <t>c/ Referring to "Extension of Cooperative Measures and Adoption of a Binational Water Scarcity Contingency Plan in the Colorado River Basin" dated September 21, 2017 (Minute 323).</t>
  </si>
  <si>
    <t>d/ Referring to "Joint Report of the Principal Engineers with the Implementing Details of the Binational Water Scarcity Contingency Plan in the Colorado River Basin" dated July 11, 2019 (2019 Joint Report) and "Joint Report of the Principal Engineers with the Operational Provisions Applicable to Water for the Environment Stipulated in Minute 323" dated December 16, 2021 (2021 Joint Report).</t>
  </si>
  <si>
    <t>Total NIB  + SIB + TJ</t>
  </si>
  <si>
    <t xml:space="preserve">e/ Volumes shown are included in "Mexico's Requested Delivery at Northerly International Boundary" (Column 1). </t>
  </si>
  <si>
    <t>f/ Referring to "Expansion of Colorado River Temporary Measures" dated March 21, 2024 (Minute 330).</t>
  </si>
  <si>
    <t>g/ In accordance with Section III.A of Minute 323, Mexico’s scheduled deliveries incorporate the required reduction of 50,000 AF (62 million CM) from its 1.5 million AF (1,850.234 million CM) Colorado River water allotment.</t>
  </si>
  <si>
    <t>h/ "Total Delivery to Mexico in Satisfaction of Treaty Requirements" adds in Mexico's Water Reserve and Mexico's Recoverable Water Savings creation and subtracts out Mexico's Water Reserve and Mexico's Recoverable Water Savings delivery, as applicable.</t>
  </si>
  <si>
    <t>Schedule #</t>
  </si>
  <si>
    <t>Schedule Date</t>
  </si>
  <si>
    <t>Email Date</t>
  </si>
  <si>
    <t>Letter Date</t>
  </si>
  <si>
    <t>Previous Schedule Date</t>
  </si>
  <si>
    <t>N/A</t>
  </si>
  <si>
    <t>2</t>
  </si>
  <si>
    <t>Delivery Schedule 5 dated April 30,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</si>
</sst>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9" x14ac:knownFonts="1">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font>
    <font>
      <b/>
      <sz val="14"/>
      <color rgb="FFFF0000"/>
      <name val="Calibri"/>
      <family val="2"/>
      <scheme val="minor"/>
    </font>
    <font>
      <b/>
      <sz val="12"/>
      <color theme="1"/>
      <name val="Arial"/>
      <family val="2"/>
    </font>
    <font>
      <sz val="20"/>
      <color rgb="FFFF0000"/>
      <name val="Calibri"/>
      <family val="2"/>
      <scheme val="minor"/>
    </font>
    <font>
      <sz val="11"/>
      <color theme="1"/>
      <name val="Arial"/>
      <family val="2"/>
    </font>
    <font>
      <sz val="11"/>
      <name val="Arial"/>
      <family val="2"/>
    </font>
    <font>
      <vertAlign val="superscript"/>
      <sz val="11"/>
      <name val="Arial"/>
      <family val="2"/>
    </font>
    <font>
      <b/>
      <sz val="11"/>
      <color theme="1"/>
      <name val="Arial"/>
      <family val="2"/>
    </font>
    <font>
      <b/>
      <sz val="11"/>
      <name val="Arial"/>
      <family val="2"/>
    </font>
    <font>
      <vertAlign val="superscript"/>
      <sz val="11"/>
      <color theme="1"/>
      <name val="Arial"/>
      <family val="2"/>
    </font>
    <font>
      <sz val="10"/>
      <color theme="1"/>
      <name val="Arial"/>
      <family val="2"/>
    </font>
    <font>
      <sz val="10"/>
      <color rgb="FFFF0000"/>
      <name val="Arial"/>
      <family val="2"/>
    </font>
    <font>
      <sz val="10"/>
      <color theme="1"/>
      <name val="Calibri"/>
      <family val="2"/>
      <scheme val="minor"/>
    </font>
    <font>
      <sz val="10"/>
      <name val="Arial"/>
      <family val="2"/>
    </font>
    <font>
      <b/>
      <sz val="11"/>
      <color rgb="FFFF0000"/>
      <name val="Calibri"/>
      <family val="2"/>
      <scheme val="minor"/>
    </font>
    <font>
      <sz val="11"/>
      <color rgb="FFFFFF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F0000"/>
        <bgColor indexed="64"/>
      </patternFill>
    </fill>
  </fills>
  <borders count="36">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medium">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top/>
      <bottom/>
      <diagonal/>
    </border>
    <border>
      <left style="medium">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76">
    <xf numFmtId="0" fontId="0" fillId="0" borderId="0" xfId="0"/>
    <xf numFmtId="0" fontId="4" fillId="2" borderId="0" xfId="0" applyFont="1" applyFill="1"/>
    <xf numFmtId="0" fontId="0" fillId="2" borderId="0" xfId="0" applyFill="1"/>
    <xf numFmtId="0" fontId="2" fillId="3" borderId="0" xfId="0" applyFont="1" applyFill="1" applyAlignment="1">
      <alignment horizontal="center" vertical="center" wrapText="1"/>
    </xf>
    <xf numFmtId="0" fontId="0" fillId="3" borderId="0" xfId="0" applyFill="1" applyAlignment="1">
      <alignment horizontal="center" vertical="center" wrapText="1"/>
    </xf>
    <xf numFmtId="0" fontId="1" fillId="0" borderId="0" xfId="0" applyFont="1"/>
    <xf numFmtId="0" fontId="5" fillId="0" borderId="0" xfId="0" applyFont="1" applyAlignment="1">
      <alignment horizontal="center"/>
    </xf>
    <xf numFmtId="0" fontId="6" fillId="0" borderId="0" xfId="0" applyFont="1" applyAlignment="1">
      <alignment horizontal="center" wrapText="1"/>
    </xf>
    <xf numFmtId="0" fontId="7" fillId="0" borderId="1" xfId="0" applyFont="1" applyBorder="1"/>
    <xf numFmtId="0" fontId="8" fillId="0" borderId="2" xfId="0" applyFont="1" applyBorder="1" applyAlignment="1">
      <alignment horizontal="center" wrapText="1"/>
    </xf>
    <xf numFmtId="0" fontId="8" fillId="0" borderId="3" xfId="0" applyFont="1" applyBorder="1" applyAlignment="1">
      <alignment horizontal="center" wrapText="1"/>
    </xf>
    <xf numFmtId="0" fontId="7" fillId="0" borderId="2" xfId="0" applyFont="1" applyBorder="1" applyAlignment="1">
      <alignment horizontal="center" wrapText="1"/>
    </xf>
    <xf numFmtId="0" fontId="7" fillId="0" borderId="3" xfId="0" applyFont="1" applyBorder="1" applyAlignment="1">
      <alignment horizontal="center" wrapText="1"/>
    </xf>
    <xf numFmtId="0" fontId="8" fillId="0" borderId="4" xfId="0" applyFont="1" applyBorder="1" applyAlignment="1">
      <alignment horizontal="center" wrapText="1"/>
    </xf>
    <xf numFmtId="0" fontId="7" fillId="0" borderId="5" xfId="0" applyFont="1" applyBorder="1"/>
    <xf numFmtId="0" fontId="7" fillId="0" borderId="6"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49" fontId="7" fillId="0" borderId="11" xfId="0" applyNumberFormat="1" applyFont="1" applyBorder="1" applyAlignment="1">
      <alignment horizontal="center"/>
    </xf>
    <xf numFmtId="49" fontId="7" fillId="0" borderId="12" xfId="0" applyNumberFormat="1" applyFont="1" applyBorder="1" applyAlignment="1">
      <alignment horizontal="center"/>
    </xf>
    <xf numFmtId="49" fontId="7" fillId="0" borderId="10" xfId="0" applyNumberFormat="1" applyFont="1" applyBorder="1" applyAlignment="1">
      <alignment horizontal="center"/>
    </xf>
    <xf numFmtId="0" fontId="10" fillId="0" borderId="13" xfId="0" applyFont="1" applyBorder="1" applyAlignment="1">
      <alignment horizontal="center"/>
    </xf>
    <xf numFmtId="0" fontId="11" fillId="0" borderId="14" xfId="0" applyFont="1" applyBorder="1" applyAlignment="1">
      <alignment horizontal="center"/>
    </xf>
    <xf numFmtId="0" fontId="11" fillId="0" borderId="15" xfId="0" applyFont="1" applyBorder="1" applyAlignment="1">
      <alignment horizontal="center"/>
    </xf>
    <xf numFmtId="0" fontId="11" fillId="0" borderId="16"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center"/>
    </xf>
    <xf numFmtId="49" fontId="7" fillId="4" borderId="5" xfId="0" applyNumberFormat="1" applyFont="1" applyFill="1" applyBorder="1" applyAlignment="1">
      <alignment horizontal="center" vertical="center"/>
    </xf>
    <xf numFmtId="3" fontId="8" fillId="4" borderId="6" xfId="0" applyNumberFormat="1" applyFont="1" applyFill="1" applyBorder="1" applyAlignment="1">
      <alignment horizontal="right" vertical="center" indent="1"/>
    </xf>
    <xf numFmtId="164" fontId="8" fillId="4" borderId="7" xfId="0" applyNumberFormat="1" applyFont="1" applyFill="1" applyBorder="1" applyAlignment="1">
      <alignment horizontal="right" vertical="center" indent="1"/>
    </xf>
    <xf numFmtId="164" fontId="8" fillId="4" borderId="9" xfId="0" applyNumberFormat="1" applyFont="1" applyFill="1" applyBorder="1" applyAlignment="1">
      <alignment horizontal="right" vertical="center" indent="1"/>
    </xf>
    <xf numFmtId="3" fontId="7" fillId="4" borderId="6" xfId="0" applyNumberFormat="1" applyFont="1" applyFill="1" applyBorder="1" applyAlignment="1">
      <alignment horizontal="right" vertical="center" indent="1"/>
    </xf>
    <xf numFmtId="164" fontId="7" fillId="4" borderId="7" xfId="0" applyNumberFormat="1" applyFont="1" applyFill="1" applyBorder="1" applyAlignment="1">
      <alignment horizontal="right" vertical="center" indent="1"/>
    </xf>
    <xf numFmtId="49" fontId="7" fillId="0" borderId="17" xfId="0" applyNumberFormat="1" applyFont="1" applyBorder="1" applyAlignment="1">
      <alignment horizontal="center" vertical="center"/>
    </xf>
    <xf numFmtId="3" fontId="8" fillId="0" borderId="18" xfId="0" applyNumberFormat="1" applyFont="1" applyBorder="1" applyAlignment="1">
      <alignment horizontal="right" vertical="center" indent="1"/>
    </xf>
    <xf numFmtId="164" fontId="8" fillId="0" borderId="19" xfId="0" applyNumberFormat="1" applyFont="1" applyBorder="1" applyAlignment="1">
      <alignment horizontal="right" vertical="center" indent="1"/>
    </xf>
    <xf numFmtId="164" fontId="8" fillId="0" borderId="20" xfId="0" applyNumberFormat="1" applyFont="1" applyBorder="1" applyAlignment="1">
      <alignment horizontal="right" vertical="center" indent="1"/>
    </xf>
    <xf numFmtId="3" fontId="7" fillId="0" borderId="18" xfId="0" applyNumberFormat="1" applyFont="1" applyBorder="1" applyAlignment="1">
      <alignment horizontal="right" vertical="center" indent="1"/>
    </xf>
    <xf numFmtId="164" fontId="7" fillId="0" borderId="19" xfId="0" applyNumberFormat="1" applyFont="1" applyBorder="1" applyAlignment="1">
      <alignment horizontal="right" vertical="center" indent="1"/>
    </xf>
    <xf numFmtId="49" fontId="7" fillId="0" borderId="21" xfId="0" applyNumberFormat="1" applyFont="1" applyBorder="1" applyAlignment="1">
      <alignment horizontal="center" vertical="center"/>
    </xf>
    <xf numFmtId="3" fontId="8" fillId="0" borderId="22" xfId="0" applyNumberFormat="1" applyFont="1" applyBorder="1" applyAlignment="1">
      <alignment horizontal="right" vertical="center" indent="1"/>
    </xf>
    <xf numFmtId="164" fontId="8" fillId="0" borderId="23" xfId="0" applyNumberFormat="1" applyFont="1" applyBorder="1" applyAlignment="1">
      <alignment horizontal="right" vertical="center" indent="1"/>
    </xf>
    <xf numFmtId="164" fontId="8" fillId="0" borderId="24" xfId="0" applyNumberFormat="1" applyFont="1" applyBorder="1" applyAlignment="1">
      <alignment horizontal="right" vertical="center" indent="1"/>
    </xf>
    <xf numFmtId="3" fontId="7" fillId="0" borderId="22" xfId="0" applyNumberFormat="1" applyFont="1" applyBorder="1" applyAlignment="1">
      <alignment horizontal="right" vertical="center" indent="1"/>
    </xf>
    <xf numFmtId="164" fontId="7" fillId="0" borderId="23" xfId="0" applyNumberFormat="1" applyFont="1" applyBorder="1" applyAlignment="1">
      <alignment horizontal="right" vertical="center" indent="1"/>
    </xf>
    <xf numFmtId="49" fontId="10" fillId="4" borderId="25" xfId="0" applyNumberFormat="1" applyFont="1" applyFill="1" applyBorder="1" applyAlignment="1">
      <alignment horizontal="center" vertical="center"/>
    </xf>
    <xf numFmtId="3" fontId="8" fillId="4" borderId="26" xfId="0" applyNumberFormat="1" applyFont="1" applyFill="1" applyBorder="1" applyAlignment="1">
      <alignment horizontal="right" vertical="center" indent="1"/>
    </xf>
    <xf numFmtId="164" fontId="8" fillId="4" borderId="27" xfId="0" applyNumberFormat="1" applyFont="1" applyFill="1" applyBorder="1" applyAlignment="1">
      <alignment horizontal="right" vertical="center" indent="1"/>
    </xf>
    <xf numFmtId="3" fontId="7" fillId="4" borderId="26" xfId="0" applyNumberFormat="1" applyFont="1" applyFill="1" applyBorder="1" applyAlignment="1">
      <alignment horizontal="right" vertical="center" indent="1"/>
    </xf>
    <xf numFmtId="164" fontId="7" fillId="4" borderId="27" xfId="0" applyNumberFormat="1" applyFont="1" applyFill="1" applyBorder="1" applyAlignment="1">
      <alignment horizontal="right" vertical="center" indent="1"/>
    </xf>
    <xf numFmtId="0" fontId="2" fillId="0" borderId="0" xfId="0" applyFont="1" applyAlignment="1">
      <alignment horizontal="center"/>
    </xf>
    <xf numFmtId="0" fontId="13" fillId="0" borderId="28" xfId="0" applyFont="1" applyBorder="1"/>
    <xf numFmtId="3" fontId="0" fillId="0" borderId="0" xfId="0" applyNumberFormat="1"/>
    <xf numFmtId="0" fontId="13" fillId="0" borderId="0" xfId="0" applyFont="1"/>
    <xf numFmtId="0" fontId="0" fillId="0" borderId="0" xfId="0" applyAlignment="1">
      <alignment vertical="top"/>
    </xf>
    <xf numFmtId="164" fontId="0" fillId="0" borderId="0" xfId="0" applyNumberFormat="1"/>
    <xf numFmtId="3" fontId="2" fillId="0" borderId="0" xfId="0" applyNumberFormat="1" applyFont="1" applyAlignment="1">
      <alignment horizontal="center"/>
    </xf>
    <xf numFmtId="0" fontId="14" fillId="0" borderId="0" xfId="0" applyFont="1" applyAlignment="1">
      <alignment wrapText="1"/>
    </xf>
    <xf numFmtId="0" fontId="15" fillId="0" borderId="0" xfId="0" applyFont="1"/>
    <xf numFmtId="0" fontId="16" fillId="0" borderId="0" xfId="0" applyFont="1"/>
    <xf numFmtId="0" fontId="17" fillId="0" borderId="0" xfId="0" applyFont="1" applyAlignment="1">
      <alignment horizontal="center" wrapText="1"/>
    </xf>
    <xf numFmtId="0" fontId="0" fillId="2" borderId="29" xfId="0" applyFill="1" applyBorder="1"/>
    <xf numFmtId="0" fontId="0" fillId="2" borderId="28" xfId="0" applyFill="1" applyBorder="1"/>
    <xf numFmtId="0" fontId="0" fillId="2" borderId="30" xfId="0" applyFill="1" applyBorder="1"/>
    <xf numFmtId="0" fontId="18" fillId="0" borderId="0" xfId="0" applyFont="1"/>
    <xf numFmtId="0" fontId="0" fillId="2" borderId="31" xfId="0" applyFill="1" applyBorder="1" applyAlignment="1">
      <alignment horizontal="right"/>
    </xf>
    <xf numFmtId="14" fontId="0" fillId="2" borderId="0" xfId="0" applyNumberFormat="1" applyFill="1"/>
    <xf numFmtId="0" fontId="18" fillId="5" borderId="32" xfId="0" applyFont="1" applyFill="1" applyBorder="1"/>
    <xf numFmtId="0" fontId="0" fillId="2" borderId="33" xfId="0" applyFill="1" applyBorder="1" applyAlignment="1">
      <alignment horizontal="right"/>
    </xf>
    <xf numFmtId="14" fontId="0" fillId="2" borderId="34" xfId="0" applyNumberFormat="1" applyFill="1" applyBorder="1"/>
    <xf numFmtId="0" fontId="0" fillId="2" borderId="34" xfId="0" applyFill="1" applyBorder="1"/>
    <xf numFmtId="0" fontId="18" fillId="5" borderId="35" xfId="0" applyFont="1" applyFill="1" applyBorder="1"/>
    <xf numFmtId="14" fontId="0" fillId="0" borderId="0" xfId="0" applyNumberFormat="1"/>
    <xf numFmtId="0" fontId="17" fillId="0" borderId="0" xfId="0" applyFont="1"/>
  </cellXfs>
  <cellStyles count="1">
    <cellStyle name="Normal" xfId="0" builtinId="0"/>
  </cellStyles>
  <dxfs count="3">
    <dxf>
      <font>
        <color rgb="FFFF0000"/>
      </font>
    </dxf>
    <dxf>
      <font>
        <color rgb="FFFF0000"/>
      </font>
    </dxf>
    <dxf>
      <font>
        <color theme="0"/>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142875</xdr:colOff>
          <xdr:row>0</xdr:row>
          <xdr:rowOff>104775</xdr:rowOff>
        </xdr:from>
        <xdr:to>
          <xdr:col>1</xdr:col>
          <xdr:colOff>0</xdr:colOff>
          <xdr:row>2</xdr:row>
          <xdr:rowOff>28575</xdr:rowOff>
        </xdr:to>
        <xdr:sp macro="" textlink="">
          <xdr:nvSpPr>
            <xdr:cNvPr id="1025" name="Button 1" hidden="1">
              <a:extLst>
                <a:ext uri="{63B3BB69-23CF-44E3-9099-C40C66FF867C}">
                  <a14:compatExt spid="_x0000_s1025"/>
                </a:ext>
                <a:ext uri="{FF2B5EF4-FFF2-40B4-BE49-F238E27FC236}">
                  <a16:creationId xmlns:a16="http://schemas.microsoft.com/office/drawing/2014/main" id="{DAB4BE37-25A6-42C2-ACD0-CE232DC04F9C}"/>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Print All PDFs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447675</xdr:colOff>
          <xdr:row>0</xdr:row>
          <xdr:rowOff>104775</xdr:rowOff>
        </xdr:from>
        <xdr:to>
          <xdr:col>3</xdr:col>
          <xdr:colOff>1019175</xdr:colOff>
          <xdr:row>2</xdr:row>
          <xdr:rowOff>47625</xdr:rowOff>
        </xdr:to>
        <xdr:sp macro="" textlink="">
          <xdr:nvSpPr>
            <xdr:cNvPr id="1026" name="Button 2" hidden="1">
              <a:extLst>
                <a:ext uri="{63B3BB69-23CF-44E3-9099-C40C66FF867C}">
                  <a14:compatExt spid="_x0000_s1026"/>
                </a:ext>
                <a:ext uri="{FF2B5EF4-FFF2-40B4-BE49-F238E27FC236}">
                  <a16:creationId xmlns:a16="http://schemas.microsoft.com/office/drawing/2014/main" id="{47DAFA98-C919-40F3-9CD0-5E3EE8EFD567}"/>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Print LetterEnclosure PDF</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C2E2E-CEF1-48F3-8495-73532884E88F}">
  <sheetPr codeName="Sheet1">
    <tabColor rgb="FF7030A0"/>
    <pageSetUpPr fitToPage="1"/>
  </sheetPr>
  <dimension ref="A1:AF74"/>
  <sheetViews>
    <sheetView tabSelected="1" view="pageBreakPreview" zoomScale="85" zoomScaleNormal="92" zoomScaleSheetLayoutView="85" workbookViewId="0">
      <selection activeCell="C9" sqref="C9:V21"/>
    </sheetView>
  </sheetViews>
  <sheetFormatPr defaultRowHeight="15" x14ac:dyDescent="0.25"/>
  <cols>
    <col min="1" max="1" width="27.85546875" bestFit="1" customWidth="1"/>
    <col min="2" max="2" width="18.140625" customWidth="1"/>
    <col min="3" max="3" width="19.140625" bestFit="1" customWidth="1"/>
    <col min="4" max="4" width="20" bestFit="1" customWidth="1"/>
    <col min="5" max="5" width="17.42578125" bestFit="1" customWidth="1"/>
    <col min="6" max="6" width="18.42578125" bestFit="1" customWidth="1"/>
    <col min="7" max="7" width="14.140625" customWidth="1"/>
    <col min="8" max="8" width="15.85546875" customWidth="1"/>
    <col min="9" max="9" width="19.140625" bestFit="1" customWidth="1"/>
    <col min="10" max="10" width="20" bestFit="1" customWidth="1"/>
    <col min="11" max="11" width="18.5703125" customWidth="1"/>
    <col min="12" max="12" width="18.85546875" customWidth="1"/>
    <col min="13" max="13" width="14.140625" customWidth="1"/>
    <col min="14" max="14" width="21.140625" bestFit="1" customWidth="1"/>
    <col min="15" max="15" width="16.42578125" bestFit="1" customWidth="1"/>
    <col min="16" max="16" width="21.140625" bestFit="1" customWidth="1"/>
    <col min="17" max="17" width="13.5703125" customWidth="1"/>
    <col min="18" max="18" width="15" customWidth="1"/>
    <col min="19" max="19" width="15.5703125" bestFit="1" customWidth="1"/>
    <col min="20" max="20" width="17.140625" bestFit="1" customWidth="1"/>
    <col min="21" max="21" width="19.5703125" bestFit="1" customWidth="1"/>
    <col min="22" max="22" width="20" bestFit="1" customWidth="1"/>
    <col min="25" max="25" width="13.140625" customWidth="1"/>
    <col min="26" max="26" width="11.85546875" bestFit="1" customWidth="1"/>
    <col min="27" max="27" width="10.140625" bestFit="1" customWidth="1"/>
    <col min="28" max="28" width="15.85546875" customWidth="1"/>
    <col min="29" max="29" width="10.140625" customWidth="1"/>
    <col min="30" max="30" width="9" customWidth="1"/>
    <col min="31" max="31" width="11.85546875" bestFit="1" customWidth="1"/>
  </cols>
  <sheetData>
    <row r="1" spans="1:29" ht="18.75" x14ac:dyDescent="0.3">
      <c r="B1" s="1"/>
      <c r="C1" s="2"/>
      <c r="D1" s="2"/>
      <c r="E1" s="2"/>
      <c r="F1" s="2"/>
      <c r="G1" s="2"/>
      <c r="H1" s="3"/>
      <c r="I1" s="4"/>
      <c r="J1" s="4"/>
      <c r="K1" s="4"/>
      <c r="L1" s="4"/>
      <c r="M1" s="4"/>
      <c r="N1" s="4"/>
      <c r="O1" s="4"/>
      <c r="P1" s="4"/>
      <c r="Q1" s="4"/>
      <c r="R1" s="4"/>
      <c r="S1" s="4"/>
      <c r="T1" s="4"/>
      <c r="U1" s="4"/>
      <c r="V1" s="4"/>
      <c r="Y1">
        <v>1233.489</v>
      </c>
      <c r="Z1" t="s">
        <v>0</v>
      </c>
      <c r="AB1">
        <v>1233.489</v>
      </c>
      <c r="AC1" t="s">
        <v>0</v>
      </c>
    </row>
    <row r="2" spans="1:29" x14ac:dyDescent="0.25">
      <c r="B2" s="5"/>
      <c r="H2" s="4"/>
      <c r="I2" s="4"/>
      <c r="J2" s="4"/>
      <c r="K2" s="4"/>
      <c r="L2" s="4"/>
      <c r="M2" s="4"/>
      <c r="N2" s="4"/>
      <c r="O2" s="4"/>
      <c r="P2" s="4"/>
      <c r="Q2" s="4"/>
      <c r="R2" s="4"/>
      <c r="S2" s="4"/>
      <c r="T2" s="4"/>
      <c r="U2" s="4"/>
      <c r="V2" s="4"/>
    </row>
    <row r="3" spans="1:29" x14ac:dyDescent="0.25">
      <c r="B3" s="5"/>
      <c r="H3" s="4"/>
      <c r="I3" s="4"/>
      <c r="J3" s="4"/>
      <c r="K3" s="4"/>
      <c r="L3" s="4"/>
      <c r="M3" s="4"/>
      <c r="N3" s="4"/>
      <c r="O3" s="4"/>
      <c r="P3" s="4"/>
      <c r="Q3" s="4"/>
      <c r="R3" s="4"/>
      <c r="S3" s="4"/>
      <c r="T3" s="4"/>
      <c r="U3" s="4"/>
      <c r="V3" s="4"/>
    </row>
    <row r="4" spans="1:29" ht="15.75" x14ac:dyDescent="0.25">
      <c r="B4" s="6" t="s">
        <v>1</v>
      </c>
      <c r="C4" s="6"/>
      <c r="D4" s="6"/>
      <c r="E4" s="6"/>
      <c r="F4" s="6"/>
      <c r="G4" s="6"/>
      <c r="H4" s="6"/>
      <c r="I4" s="6"/>
      <c r="J4" s="6"/>
      <c r="K4" s="6"/>
      <c r="L4" s="6"/>
      <c r="M4" s="6"/>
      <c r="N4" s="6"/>
      <c r="O4" s="6"/>
      <c r="P4" s="6"/>
      <c r="Q4" s="6"/>
      <c r="R4" s="6"/>
      <c r="S4" s="6"/>
      <c r="T4" s="6"/>
      <c r="U4" s="6"/>
      <c r="V4" s="6"/>
    </row>
    <row r="5" spans="1:29" ht="19.5" customHeight="1" thickBot="1" x14ac:dyDescent="0.3">
      <c r="B5" s="6" t="s">
        <v>68</v>
      </c>
      <c r="C5" s="6"/>
      <c r="D5" s="6"/>
      <c r="E5" s="6"/>
      <c r="F5" s="6"/>
      <c r="G5" s="6"/>
      <c r="H5" s="6"/>
      <c r="I5" s="6"/>
      <c r="J5" s="6"/>
      <c r="K5" s="6"/>
      <c r="L5" s="6"/>
      <c r="M5" s="6"/>
      <c r="N5" s="6"/>
      <c r="O5" s="6"/>
      <c r="P5" s="6"/>
      <c r="Q5" s="6"/>
      <c r="R5" s="6"/>
      <c r="S5" s="6"/>
      <c r="T5" s="6"/>
      <c r="U5" s="6"/>
      <c r="V5" s="6"/>
      <c r="Y5" s="5" t="s">
        <v>2</v>
      </c>
    </row>
    <row r="6" spans="1:29" ht="135.75" customHeight="1" x14ac:dyDescent="0.4">
      <c r="A6" s="7" t="s">
        <v>3</v>
      </c>
      <c r="B6" s="8"/>
      <c r="C6" s="9" t="s">
        <v>4</v>
      </c>
      <c r="D6" s="10"/>
      <c r="E6" s="11" t="s">
        <v>5</v>
      </c>
      <c r="F6" s="12"/>
      <c r="G6" s="9" t="s">
        <v>6</v>
      </c>
      <c r="H6" s="10"/>
      <c r="I6" s="11" t="s">
        <v>7</v>
      </c>
      <c r="J6" s="12"/>
      <c r="K6" s="9" t="s">
        <v>8</v>
      </c>
      <c r="L6" s="10"/>
      <c r="M6" s="9" t="s">
        <v>9</v>
      </c>
      <c r="N6" s="13"/>
      <c r="O6" s="9" t="s">
        <v>10</v>
      </c>
      <c r="P6" s="10"/>
      <c r="Q6" s="9" t="s">
        <v>11</v>
      </c>
      <c r="R6" s="10"/>
      <c r="S6" s="9" t="s">
        <v>12</v>
      </c>
      <c r="T6" s="10"/>
      <c r="U6" s="9" t="s">
        <v>13</v>
      </c>
      <c r="V6" s="10"/>
    </row>
    <row r="7" spans="1:29" x14ac:dyDescent="0.25">
      <c r="B7" s="14"/>
      <c r="C7" s="15" t="s">
        <v>14</v>
      </c>
      <c r="D7" s="16"/>
      <c r="E7" s="17" t="s">
        <v>15</v>
      </c>
      <c r="F7" s="18"/>
      <c r="G7" s="15" t="s">
        <v>16</v>
      </c>
      <c r="H7" s="16"/>
      <c r="I7" s="19" t="s">
        <v>17</v>
      </c>
      <c r="J7" s="19"/>
      <c r="K7" s="20" t="s">
        <v>18</v>
      </c>
      <c r="L7" s="21"/>
      <c r="M7" s="22" t="s">
        <v>19</v>
      </c>
      <c r="N7" s="22"/>
      <c r="O7" s="20" t="s">
        <v>20</v>
      </c>
      <c r="P7" s="21"/>
      <c r="Q7" s="20" t="s">
        <v>21</v>
      </c>
      <c r="R7" s="21"/>
      <c r="S7" s="20" t="s">
        <v>22</v>
      </c>
      <c r="T7" s="21"/>
      <c r="U7" s="20" t="s">
        <v>23</v>
      </c>
      <c r="V7" s="21"/>
    </row>
    <row r="8" spans="1:29" x14ac:dyDescent="0.25">
      <c r="B8" s="23" t="s">
        <v>24</v>
      </c>
      <c r="C8" s="24" t="s">
        <v>25</v>
      </c>
      <c r="D8" s="25" t="s">
        <v>26</v>
      </c>
      <c r="E8" s="24" t="s">
        <v>25</v>
      </c>
      <c r="F8" s="25" t="s">
        <v>26</v>
      </c>
      <c r="G8" s="24" t="s">
        <v>25</v>
      </c>
      <c r="H8" s="25" t="s">
        <v>26</v>
      </c>
      <c r="I8" s="24" t="s">
        <v>25</v>
      </c>
      <c r="J8" s="25" t="s">
        <v>26</v>
      </c>
      <c r="K8" s="24" t="s">
        <v>25</v>
      </c>
      <c r="L8" s="25" t="s">
        <v>26</v>
      </c>
      <c r="M8" s="24" t="s">
        <v>25</v>
      </c>
      <c r="N8" s="26" t="s">
        <v>26</v>
      </c>
      <c r="O8" s="24" t="s">
        <v>25</v>
      </c>
      <c r="P8" s="25" t="s">
        <v>26</v>
      </c>
      <c r="Q8" s="24" t="s">
        <v>25</v>
      </c>
      <c r="R8" s="25" t="s">
        <v>26</v>
      </c>
      <c r="S8" s="24" t="s">
        <v>25</v>
      </c>
      <c r="T8" s="25" t="s">
        <v>26</v>
      </c>
      <c r="U8" s="27" t="s">
        <v>25</v>
      </c>
      <c r="V8" s="28" t="s">
        <v>26</v>
      </c>
    </row>
    <row r="9" spans="1:29" x14ac:dyDescent="0.25">
      <c r="B9" s="29" t="s">
        <v>27</v>
      </c>
      <c r="C9" s="30">
        <v>84552.206999999995</v>
      </c>
      <c r="D9" s="31">
        <v>104294217.59999999</v>
      </c>
      <c r="E9" s="30">
        <v>11858.023999999999</v>
      </c>
      <c r="F9" s="31">
        <v>14626742.4</v>
      </c>
      <c r="G9" s="30">
        <v>0</v>
      </c>
      <c r="H9" s="31">
        <v>0</v>
      </c>
      <c r="I9" s="30">
        <v>96410.231</v>
      </c>
      <c r="J9" s="31">
        <v>118920960</v>
      </c>
      <c r="K9" s="30">
        <v>30000</v>
      </c>
      <c r="L9" s="31">
        <v>37004670</v>
      </c>
      <c r="M9" s="30">
        <v>59392.504000000001</v>
      </c>
      <c r="N9" s="32">
        <v>73260000</v>
      </c>
      <c r="O9" s="30">
        <v>67000</v>
      </c>
      <c r="P9" s="31">
        <v>82643763</v>
      </c>
      <c r="Q9" s="30">
        <v>0</v>
      </c>
      <c r="R9" s="31">
        <v>0</v>
      </c>
      <c r="S9" s="30">
        <v>0</v>
      </c>
      <c r="T9" s="31">
        <v>0</v>
      </c>
      <c r="U9" s="33">
        <v>252802.73499999999</v>
      </c>
      <c r="V9" s="34">
        <v>311829393</v>
      </c>
    </row>
    <row r="10" spans="1:29" ht="16.5" x14ac:dyDescent="0.25">
      <c r="B10" s="35" t="s">
        <v>28</v>
      </c>
      <c r="C10" s="36">
        <v>93835.49</v>
      </c>
      <c r="D10" s="37">
        <v>115745044.8</v>
      </c>
      <c r="E10" s="36">
        <v>11092.239</v>
      </c>
      <c r="F10" s="37">
        <v>13682155.199999999</v>
      </c>
      <c r="G10" s="36">
        <v>0</v>
      </c>
      <c r="H10" s="37">
        <v>0</v>
      </c>
      <c r="I10" s="36">
        <v>104927.72900000001</v>
      </c>
      <c r="J10" s="37">
        <v>129427200</v>
      </c>
      <c r="K10" s="36">
        <v>0</v>
      </c>
      <c r="L10" s="37">
        <v>0</v>
      </c>
      <c r="M10" s="36">
        <v>11296.88</v>
      </c>
      <c r="N10" s="38">
        <v>13934577</v>
      </c>
      <c r="O10" s="36">
        <v>0</v>
      </c>
      <c r="P10" s="37">
        <v>0</v>
      </c>
      <c r="Q10" s="36">
        <v>0</v>
      </c>
      <c r="R10" s="37">
        <v>0</v>
      </c>
      <c r="S10" s="36">
        <v>0</v>
      </c>
      <c r="T10" s="37">
        <v>0</v>
      </c>
      <c r="U10" s="39">
        <v>116224.60900000001</v>
      </c>
      <c r="V10" s="40">
        <v>143361777</v>
      </c>
      <c r="Z10" t="s">
        <v>29</v>
      </c>
      <c r="AA10" t="s">
        <v>30</v>
      </c>
    </row>
    <row r="11" spans="1:29" ht="16.5" x14ac:dyDescent="0.25">
      <c r="B11" s="29" t="s">
        <v>31</v>
      </c>
      <c r="C11" s="30">
        <v>131692.636</v>
      </c>
      <c r="D11" s="31">
        <v>162441417.59999999</v>
      </c>
      <c r="E11" s="30">
        <v>11858.023999999999</v>
      </c>
      <c r="F11" s="31">
        <v>14626742.4</v>
      </c>
      <c r="G11" s="30">
        <v>0</v>
      </c>
      <c r="H11" s="31">
        <v>0</v>
      </c>
      <c r="I11" s="30">
        <v>143550.66</v>
      </c>
      <c r="J11" s="31">
        <v>177068160</v>
      </c>
      <c r="K11" s="30">
        <v>0</v>
      </c>
      <c r="L11" s="31">
        <v>0</v>
      </c>
      <c r="M11" s="30">
        <v>0</v>
      </c>
      <c r="N11" s="32">
        <v>0</v>
      </c>
      <c r="O11" s="30">
        <v>0</v>
      </c>
      <c r="P11" s="31">
        <v>0</v>
      </c>
      <c r="Q11" s="30">
        <v>0</v>
      </c>
      <c r="R11" s="31">
        <v>0</v>
      </c>
      <c r="S11" s="30">
        <v>1540.9949999999999</v>
      </c>
      <c r="T11" s="31">
        <v>1900800</v>
      </c>
      <c r="U11" s="33">
        <v>142009.66500000001</v>
      </c>
      <c r="V11" s="34">
        <v>175167360</v>
      </c>
      <c r="AA11" t="s">
        <v>32</v>
      </c>
    </row>
    <row r="12" spans="1:29" ht="16.5" x14ac:dyDescent="0.25">
      <c r="B12" s="35" t="s">
        <v>33</v>
      </c>
      <c r="C12" s="36">
        <v>133097.81299999999</v>
      </c>
      <c r="D12" s="37">
        <v>164174688</v>
      </c>
      <c r="E12" s="36">
        <v>11475.507</v>
      </c>
      <c r="F12" s="37">
        <v>14154912</v>
      </c>
      <c r="G12" s="36">
        <v>0</v>
      </c>
      <c r="H12" s="37">
        <v>0</v>
      </c>
      <c r="I12" s="36">
        <v>144573.32</v>
      </c>
      <c r="J12" s="37">
        <v>178329600</v>
      </c>
      <c r="K12" s="36">
        <v>0</v>
      </c>
      <c r="L12" s="37">
        <v>0</v>
      </c>
      <c r="M12" s="36">
        <v>0</v>
      </c>
      <c r="N12" s="38">
        <v>0</v>
      </c>
      <c r="O12" s="36">
        <v>0</v>
      </c>
      <c r="P12" s="37">
        <v>0</v>
      </c>
      <c r="Q12" s="36">
        <v>0</v>
      </c>
      <c r="R12" s="37">
        <v>0</v>
      </c>
      <c r="S12" s="36">
        <v>4202.7129999999997</v>
      </c>
      <c r="T12" s="37">
        <v>5184000</v>
      </c>
      <c r="U12" s="39">
        <v>140370.60700000002</v>
      </c>
      <c r="V12" s="40">
        <v>173145600</v>
      </c>
      <c r="AA12" t="s">
        <v>34</v>
      </c>
    </row>
    <row r="13" spans="1:29" ht="16.5" x14ac:dyDescent="0.25">
      <c r="B13" s="29" t="s">
        <v>35</v>
      </c>
      <c r="C13" s="30">
        <v>116254.671</v>
      </c>
      <c r="D13" s="31">
        <v>143398857.59999999</v>
      </c>
      <c r="E13" s="30">
        <v>11858.023999999999</v>
      </c>
      <c r="F13" s="31">
        <v>14626742.4</v>
      </c>
      <c r="G13" s="30">
        <v>0</v>
      </c>
      <c r="H13" s="31">
        <v>0</v>
      </c>
      <c r="I13" s="30">
        <v>128112.69500000001</v>
      </c>
      <c r="J13" s="31">
        <v>158025600</v>
      </c>
      <c r="K13" s="30">
        <v>0</v>
      </c>
      <c r="L13" s="31">
        <v>0</v>
      </c>
      <c r="M13" s="30">
        <v>0</v>
      </c>
      <c r="N13" s="32">
        <v>0</v>
      </c>
      <c r="O13" s="30">
        <v>0</v>
      </c>
      <c r="P13" s="31">
        <v>0</v>
      </c>
      <c r="Q13" s="30">
        <v>0</v>
      </c>
      <c r="R13" s="31">
        <v>0</v>
      </c>
      <c r="S13" s="30">
        <v>4342.8029999999999</v>
      </c>
      <c r="T13" s="31">
        <v>5356800</v>
      </c>
      <c r="U13" s="33">
        <v>123769.89200000001</v>
      </c>
      <c r="V13" s="34">
        <v>152668800</v>
      </c>
      <c r="AA13" t="s">
        <v>36</v>
      </c>
    </row>
    <row r="14" spans="1:29" ht="16.5" x14ac:dyDescent="0.25">
      <c r="B14" s="35" t="s">
        <v>37</v>
      </c>
      <c r="C14" s="36">
        <v>116602.16499999999</v>
      </c>
      <c r="D14" s="37">
        <v>143827488</v>
      </c>
      <c r="E14" s="36">
        <v>11475.507</v>
      </c>
      <c r="F14" s="37">
        <v>14154912</v>
      </c>
      <c r="G14" s="36">
        <v>0</v>
      </c>
      <c r="H14" s="37">
        <v>0</v>
      </c>
      <c r="I14" s="36">
        <v>128077.67200000001</v>
      </c>
      <c r="J14" s="37">
        <v>157982400</v>
      </c>
      <c r="K14" s="36">
        <v>0</v>
      </c>
      <c r="L14" s="37">
        <v>0</v>
      </c>
      <c r="M14" s="36">
        <v>0</v>
      </c>
      <c r="N14" s="38">
        <v>0</v>
      </c>
      <c r="O14" s="36">
        <v>0</v>
      </c>
      <c r="P14" s="37">
        <v>0</v>
      </c>
      <c r="Q14" s="36">
        <v>0</v>
      </c>
      <c r="R14" s="37">
        <v>0</v>
      </c>
      <c r="S14" s="36">
        <v>4202.7129999999997</v>
      </c>
      <c r="T14" s="37">
        <v>5184000</v>
      </c>
      <c r="U14" s="39">
        <v>123874.959</v>
      </c>
      <c r="V14" s="40">
        <v>152798400</v>
      </c>
      <c r="AA14" t="s">
        <v>38</v>
      </c>
    </row>
    <row r="15" spans="1:29" ht="16.5" x14ac:dyDescent="0.25">
      <c r="B15" s="29" t="s">
        <v>39</v>
      </c>
      <c r="C15" s="30">
        <v>103258.41099999999</v>
      </c>
      <c r="D15" s="31">
        <v>127368113.59999999</v>
      </c>
      <c r="E15" s="30">
        <v>11858.023999999999</v>
      </c>
      <c r="F15" s="31">
        <v>14626742.4</v>
      </c>
      <c r="G15" s="30">
        <v>0</v>
      </c>
      <c r="H15" s="31">
        <v>0</v>
      </c>
      <c r="I15" s="30">
        <v>115116.435</v>
      </c>
      <c r="J15" s="31">
        <v>141994856</v>
      </c>
      <c r="K15" s="30">
        <v>0</v>
      </c>
      <c r="L15" s="31">
        <v>0</v>
      </c>
      <c r="M15" s="30">
        <v>0</v>
      </c>
      <c r="N15" s="32">
        <v>0</v>
      </c>
      <c r="O15" s="30">
        <v>0</v>
      </c>
      <c r="P15" s="31">
        <v>0</v>
      </c>
      <c r="Q15" s="30">
        <v>0</v>
      </c>
      <c r="R15" s="31">
        <v>0</v>
      </c>
      <c r="S15" s="30">
        <v>4342.8029999999999</v>
      </c>
      <c r="T15" s="31">
        <v>5356800</v>
      </c>
      <c r="U15" s="33">
        <v>110773.632</v>
      </c>
      <c r="V15" s="34">
        <v>136638056</v>
      </c>
    </row>
    <row r="16" spans="1:29" ht="16.5" x14ac:dyDescent="0.25">
      <c r="B16" s="35" t="s">
        <v>40</v>
      </c>
      <c r="C16" s="36">
        <v>94298.028999999995</v>
      </c>
      <c r="D16" s="37">
        <v>116315581.59999999</v>
      </c>
      <c r="E16" s="36">
        <v>11858.023999999999</v>
      </c>
      <c r="F16" s="37">
        <v>14626742.4</v>
      </c>
      <c r="G16" s="36">
        <v>0</v>
      </c>
      <c r="H16" s="37">
        <v>0</v>
      </c>
      <c r="I16" s="36">
        <v>106156.053</v>
      </c>
      <c r="J16" s="37">
        <v>130942324</v>
      </c>
      <c r="K16" s="36">
        <v>0</v>
      </c>
      <c r="L16" s="37">
        <v>0</v>
      </c>
      <c r="M16" s="36">
        <v>0</v>
      </c>
      <c r="N16" s="38">
        <v>0</v>
      </c>
      <c r="O16" s="36">
        <v>0</v>
      </c>
      <c r="P16" s="37">
        <v>0</v>
      </c>
      <c r="Q16" s="36">
        <v>0</v>
      </c>
      <c r="R16" s="37">
        <v>0</v>
      </c>
      <c r="S16" s="36">
        <v>3014.4769999999999</v>
      </c>
      <c r="T16" s="37">
        <v>3718324</v>
      </c>
      <c r="U16" s="39">
        <v>103141.576</v>
      </c>
      <c r="V16" s="40">
        <v>127224000</v>
      </c>
    </row>
    <row r="17" spans="2:32" ht="16.5" x14ac:dyDescent="0.25">
      <c r="B17" s="29" t="s">
        <v>41</v>
      </c>
      <c r="C17" s="30">
        <v>80038.563999999998</v>
      </c>
      <c r="D17" s="31">
        <v>98726688</v>
      </c>
      <c r="E17" s="30">
        <v>11475.507</v>
      </c>
      <c r="F17" s="31">
        <v>14154912</v>
      </c>
      <c r="G17" s="30">
        <v>0</v>
      </c>
      <c r="H17" s="31">
        <v>0</v>
      </c>
      <c r="I17" s="30">
        <v>91514.070999999996</v>
      </c>
      <c r="J17" s="31">
        <v>112881600</v>
      </c>
      <c r="K17" s="30">
        <v>0</v>
      </c>
      <c r="L17" s="31">
        <v>0</v>
      </c>
      <c r="M17" s="30">
        <v>0</v>
      </c>
      <c r="N17" s="32">
        <v>0</v>
      </c>
      <c r="O17" s="30">
        <v>0</v>
      </c>
      <c r="P17" s="31">
        <v>0</v>
      </c>
      <c r="Q17" s="30">
        <v>0</v>
      </c>
      <c r="R17" s="31">
        <v>0</v>
      </c>
      <c r="S17" s="30">
        <v>0</v>
      </c>
      <c r="T17" s="31">
        <v>0</v>
      </c>
      <c r="U17" s="33">
        <v>91514.070999999996</v>
      </c>
      <c r="V17" s="34">
        <v>112881600</v>
      </c>
    </row>
    <row r="18" spans="2:32" x14ac:dyDescent="0.25">
      <c r="B18" s="35" t="s">
        <v>42</v>
      </c>
      <c r="C18" s="36">
        <v>57626.826999999997</v>
      </c>
      <c r="D18" s="37">
        <v>71082057.599999994</v>
      </c>
      <c r="E18" s="36">
        <v>11858.023999999999</v>
      </c>
      <c r="F18" s="37">
        <v>14626742.4</v>
      </c>
      <c r="G18" s="36">
        <v>0</v>
      </c>
      <c r="H18" s="37">
        <v>0</v>
      </c>
      <c r="I18" s="36">
        <v>69484.851999999999</v>
      </c>
      <c r="J18" s="37">
        <v>85708800</v>
      </c>
      <c r="K18" s="36">
        <v>0</v>
      </c>
      <c r="L18" s="37">
        <v>0</v>
      </c>
      <c r="M18" s="36">
        <v>0</v>
      </c>
      <c r="N18" s="38">
        <v>0</v>
      </c>
      <c r="O18" s="36">
        <v>0</v>
      </c>
      <c r="P18" s="37">
        <v>0</v>
      </c>
      <c r="Q18" s="36">
        <v>0</v>
      </c>
      <c r="R18" s="37">
        <v>0</v>
      </c>
      <c r="S18" s="36">
        <v>0</v>
      </c>
      <c r="T18" s="37">
        <v>0</v>
      </c>
      <c r="U18" s="39">
        <v>69484.851999999999</v>
      </c>
      <c r="V18" s="40">
        <v>85708800</v>
      </c>
    </row>
    <row r="19" spans="2:32" x14ac:dyDescent="0.25">
      <c r="B19" s="29" t="s">
        <v>43</v>
      </c>
      <c r="C19" s="30">
        <v>82018.638000000006</v>
      </c>
      <c r="D19" s="31">
        <v>101169088</v>
      </c>
      <c r="E19" s="30">
        <v>11475.507</v>
      </c>
      <c r="F19" s="31">
        <v>14154912</v>
      </c>
      <c r="G19" s="30">
        <v>0</v>
      </c>
      <c r="H19" s="31">
        <v>0</v>
      </c>
      <c r="I19" s="30">
        <v>93494.145000000004</v>
      </c>
      <c r="J19" s="31">
        <v>115324000</v>
      </c>
      <c r="K19" s="30">
        <v>0</v>
      </c>
      <c r="L19" s="31">
        <v>0</v>
      </c>
      <c r="M19" s="30">
        <v>0</v>
      </c>
      <c r="N19" s="32">
        <v>0</v>
      </c>
      <c r="O19" s="30">
        <v>0</v>
      </c>
      <c r="P19" s="31">
        <v>0</v>
      </c>
      <c r="Q19" s="30">
        <v>0</v>
      </c>
      <c r="R19" s="31">
        <v>0</v>
      </c>
      <c r="S19" s="30">
        <v>0</v>
      </c>
      <c r="T19" s="31">
        <v>0</v>
      </c>
      <c r="U19" s="33">
        <v>93494.145000000004</v>
      </c>
      <c r="V19" s="34">
        <v>115324000</v>
      </c>
    </row>
    <row r="20" spans="2:32" ht="17.25" thickBot="1" x14ac:dyDescent="0.3">
      <c r="B20" s="41" t="s">
        <v>44</v>
      </c>
      <c r="C20" s="42">
        <v>70681.637000000002</v>
      </c>
      <c r="D20" s="43">
        <v>87185021.599999994</v>
      </c>
      <c r="E20" s="42">
        <v>11858.023999999999</v>
      </c>
      <c r="F20" s="43">
        <v>14626742.4</v>
      </c>
      <c r="G20" s="42">
        <v>0</v>
      </c>
      <c r="H20" s="43">
        <v>0</v>
      </c>
      <c r="I20" s="42">
        <v>82539.660999999993</v>
      </c>
      <c r="J20" s="43">
        <v>101811764</v>
      </c>
      <c r="K20" s="42">
        <v>0</v>
      </c>
      <c r="L20" s="43">
        <v>0</v>
      </c>
      <c r="M20" s="42">
        <v>0</v>
      </c>
      <c r="N20" s="44">
        <v>0</v>
      </c>
      <c r="O20" s="42">
        <v>0</v>
      </c>
      <c r="P20" s="43">
        <v>0</v>
      </c>
      <c r="Q20" s="42">
        <v>0</v>
      </c>
      <c r="R20" s="43">
        <v>0</v>
      </c>
      <c r="S20" s="42">
        <v>0</v>
      </c>
      <c r="T20" s="43">
        <v>0</v>
      </c>
      <c r="U20" s="45">
        <v>82539.660999999993</v>
      </c>
      <c r="V20" s="46">
        <v>101811764</v>
      </c>
      <c r="Z20" t="s">
        <v>45</v>
      </c>
    </row>
    <row r="21" spans="2:32" ht="16.5" thickTop="1" thickBot="1" x14ac:dyDescent="0.3">
      <c r="B21" s="47" t="s">
        <v>46</v>
      </c>
      <c r="C21" s="30">
        <v>1163957.088</v>
      </c>
      <c r="D21" s="31">
        <v>1435728263.9999998</v>
      </c>
      <c r="E21" s="30">
        <v>140000.43799999999</v>
      </c>
      <c r="F21" s="31">
        <v>172689000.00000003</v>
      </c>
      <c r="G21" s="30">
        <v>0</v>
      </c>
      <c r="H21" s="31">
        <v>0</v>
      </c>
      <c r="I21" s="30">
        <v>1303957.5249999999</v>
      </c>
      <c r="J21" s="31">
        <v>1608417263.9999998</v>
      </c>
      <c r="K21" s="30">
        <v>30000</v>
      </c>
      <c r="L21" s="31">
        <v>37004670</v>
      </c>
      <c r="M21" s="30">
        <v>70689.384000000005</v>
      </c>
      <c r="N21" s="32">
        <v>87194577</v>
      </c>
      <c r="O21" s="48">
        <v>67000</v>
      </c>
      <c r="P21" s="49">
        <v>82643763</v>
      </c>
      <c r="Q21" s="48">
        <v>0</v>
      </c>
      <c r="R21" s="49">
        <v>0</v>
      </c>
      <c r="S21" s="48">
        <v>21646.504000000001</v>
      </c>
      <c r="T21" s="49">
        <v>26700724</v>
      </c>
      <c r="U21" s="50">
        <v>1450000.405</v>
      </c>
      <c r="V21" s="51">
        <v>1788559549.9999998</v>
      </c>
      <c r="Z21" s="52" t="s">
        <v>47</v>
      </c>
      <c r="AA21" s="52" t="s">
        <v>48</v>
      </c>
      <c r="AB21" s="52" t="s">
        <v>49</v>
      </c>
      <c r="AC21" s="52"/>
      <c r="AD21" s="52" t="s">
        <v>50</v>
      </c>
      <c r="AE21" s="52" t="s">
        <v>46</v>
      </c>
    </row>
    <row r="22" spans="2:32" ht="15" customHeight="1" x14ac:dyDescent="0.25">
      <c r="B22" s="53" t="s">
        <v>51</v>
      </c>
      <c r="C22" s="53"/>
      <c r="D22" s="53"/>
      <c r="E22" s="53"/>
      <c r="F22" s="53"/>
      <c r="G22" s="53"/>
      <c r="H22" s="53"/>
      <c r="I22" s="53"/>
      <c r="J22" s="53"/>
      <c r="K22" s="53"/>
      <c r="L22" s="53"/>
      <c r="M22" s="53"/>
      <c r="N22" s="53"/>
      <c r="O22" s="53"/>
      <c r="P22" s="53"/>
      <c r="Q22" s="53"/>
      <c r="R22" s="53"/>
      <c r="S22" s="53"/>
      <c r="T22" s="53"/>
      <c r="U22" s="53"/>
      <c r="V22" s="53"/>
      <c r="Z22" s="54">
        <f>C21</f>
        <v>1163957.088</v>
      </c>
      <c r="AA22" s="54">
        <f>E21</f>
        <v>140000.43799999999</v>
      </c>
      <c r="AB22" s="54">
        <f>G21</f>
        <v>0</v>
      </c>
      <c r="AC22" s="54">
        <f>K21</f>
        <v>30000</v>
      </c>
      <c r="AD22" s="54">
        <f>S21</f>
        <v>21646.504000000001</v>
      </c>
      <c r="AE22" s="54">
        <f>Z22+AA22+AB22+AC22+AD22</f>
        <v>1355604.03</v>
      </c>
      <c r="AF22" s="5" t="s">
        <v>52</v>
      </c>
    </row>
    <row r="23" spans="2:32" ht="15" customHeight="1" x14ac:dyDescent="0.25">
      <c r="B23" s="55" t="s">
        <v>53</v>
      </c>
      <c r="C23" s="55"/>
      <c r="D23" s="55"/>
      <c r="E23" s="55"/>
      <c r="F23" s="55"/>
      <c r="G23" s="55"/>
      <c r="H23" s="55"/>
      <c r="I23" s="55"/>
      <c r="J23" s="55"/>
      <c r="K23" s="55"/>
      <c r="L23" s="55"/>
      <c r="M23" s="55"/>
      <c r="N23" s="55"/>
      <c r="O23" s="55"/>
      <c r="P23" s="55"/>
      <c r="Q23" s="55"/>
      <c r="R23" s="55"/>
      <c r="S23" s="55"/>
      <c r="T23" s="55"/>
      <c r="U23" s="55"/>
      <c r="V23" s="55"/>
    </row>
    <row r="24" spans="2:32" ht="15" customHeight="1" x14ac:dyDescent="0.25">
      <c r="B24" s="55" t="s">
        <v>54</v>
      </c>
      <c r="C24" s="55"/>
      <c r="D24" s="55"/>
      <c r="E24" s="55"/>
      <c r="F24" s="55"/>
      <c r="G24" s="55"/>
      <c r="H24" s="55"/>
      <c r="I24" s="55"/>
      <c r="J24" s="55"/>
      <c r="K24" s="55"/>
      <c r="L24" s="55"/>
      <c r="M24" s="55"/>
      <c r="N24" s="55"/>
      <c r="O24" s="55"/>
      <c r="P24" s="55"/>
      <c r="Q24" s="55"/>
      <c r="R24" s="55"/>
      <c r="S24" s="55"/>
      <c r="T24" s="55"/>
      <c r="U24" s="55"/>
      <c r="V24" s="55"/>
    </row>
    <row r="25" spans="2:32" s="56" customFormat="1" ht="15" customHeight="1" x14ac:dyDescent="0.2">
      <c r="B25" s="55" t="s">
        <v>55</v>
      </c>
      <c r="C25" s="55"/>
      <c r="D25" s="55"/>
      <c r="E25" s="55"/>
      <c r="F25" s="55"/>
      <c r="G25" s="55"/>
      <c r="H25" s="55"/>
      <c r="I25" s="55"/>
      <c r="J25" s="55"/>
      <c r="K25" s="55"/>
      <c r="L25" s="55"/>
      <c r="M25" s="55"/>
      <c r="N25" s="55"/>
      <c r="O25" s="55"/>
      <c r="P25" s="55"/>
      <c r="Q25" s="55"/>
      <c r="R25" s="55"/>
      <c r="S25" s="55"/>
      <c r="T25" s="55"/>
      <c r="U25" s="55"/>
      <c r="V25" s="55"/>
      <c r="Z25" s="56" t="s">
        <v>56</v>
      </c>
    </row>
    <row r="26" spans="2:32" ht="15" customHeight="1" x14ac:dyDescent="0.25">
      <c r="B26" s="55" t="s">
        <v>57</v>
      </c>
      <c r="C26" s="55"/>
      <c r="D26" s="55"/>
      <c r="E26" s="55"/>
      <c r="F26" s="55"/>
      <c r="G26" s="55"/>
      <c r="H26" s="55"/>
      <c r="I26" s="55"/>
      <c r="J26" s="55"/>
      <c r="K26" s="55"/>
      <c r="L26" s="55"/>
      <c r="M26" s="55"/>
      <c r="N26" s="55"/>
      <c r="O26" s="55"/>
      <c r="P26" s="55"/>
      <c r="Q26" s="55"/>
      <c r="R26" s="55"/>
      <c r="S26" s="55"/>
      <c r="T26" s="55"/>
      <c r="U26" s="55"/>
      <c r="V26" s="55"/>
      <c r="Z26" s="54">
        <f>C21+E21+G21</f>
        <v>1303957.5260000001</v>
      </c>
    </row>
    <row r="27" spans="2:32" ht="15" customHeight="1" x14ac:dyDescent="0.25">
      <c r="B27" s="55" t="s">
        <v>58</v>
      </c>
      <c r="C27" s="55"/>
      <c r="D27" s="55"/>
      <c r="E27" s="55"/>
      <c r="F27" s="55"/>
      <c r="G27" s="55"/>
      <c r="H27" s="55"/>
      <c r="I27" s="55"/>
      <c r="J27" s="55"/>
      <c r="K27" s="55"/>
      <c r="L27" s="55"/>
      <c r="M27" s="55"/>
      <c r="N27" s="55"/>
      <c r="O27" s="55"/>
      <c r="P27" s="55"/>
      <c r="Q27" s="55"/>
      <c r="R27" s="55"/>
      <c r="S27" s="55"/>
      <c r="T27" s="55"/>
      <c r="U27" s="55"/>
      <c r="V27" s="55"/>
    </row>
    <row r="28" spans="2:32" ht="15" customHeight="1" x14ac:dyDescent="0.25">
      <c r="B28" s="55" t="s">
        <v>59</v>
      </c>
      <c r="C28" s="55"/>
      <c r="D28" s="55"/>
      <c r="E28" s="55"/>
      <c r="F28" s="55"/>
      <c r="G28" s="55"/>
      <c r="H28" s="55"/>
      <c r="I28" s="55"/>
      <c r="J28" s="55"/>
      <c r="K28" s="55"/>
      <c r="L28" s="55"/>
      <c r="M28" s="55"/>
      <c r="N28" s="55"/>
      <c r="O28" s="55"/>
      <c r="P28" s="55"/>
      <c r="Q28" s="55"/>
      <c r="R28" s="55"/>
      <c r="S28" s="55"/>
      <c r="T28" s="55"/>
      <c r="U28" s="55"/>
      <c r="V28" s="55"/>
    </row>
    <row r="29" spans="2:32" ht="15" customHeight="1" x14ac:dyDescent="0.25">
      <c r="B29" s="55" t="s">
        <v>60</v>
      </c>
      <c r="C29" s="55"/>
      <c r="D29" s="55"/>
      <c r="E29" s="55"/>
      <c r="F29" s="55"/>
      <c r="G29" s="55"/>
      <c r="H29" s="55"/>
      <c r="I29" s="55"/>
      <c r="J29" s="55"/>
      <c r="K29" s="55"/>
      <c r="L29" s="55"/>
      <c r="M29" s="55"/>
      <c r="N29" s="55"/>
      <c r="O29" s="55"/>
      <c r="P29" s="55"/>
      <c r="Q29" s="55"/>
      <c r="R29" s="55"/>
      <c r="S29" s="55"/>
      <c r="T29" s="55"/>
      <c r="U29" s="55"/>
      <c r="V29" s="55"/>
    </row>
    <row r="30" spans="2:32" ht="15" customHeight="1" x14ac:dyDescent="0.25">
      <c r="B30" s="55"/>
      <c r="C30" s="55"/>
      <c r="D30" s="55"/>
      <c r="E30" s="55"/>
      <c r="F30" s="55"/>
      <c r="G30" s="55"/>
      <c r="H30" s="55"/>
      <c r="I30" s="55"/>
      <c r="J30" s="55"/>
      <c r="K30" s="55"/>
      <c r="L30" s="55"/>
      <c r="M30" s="55"/>
      <c r="N30" s="55"/>
      <c r="O30" s="55"/>
      <c r="P30" s="55"/>
      <c r="Q30" s="55"/>
      <c r="R30" s="55"/>
      <c r="S30" s="55"/>
      <c r="T30" s="55"/>
      <c r="U30" s="55"/>
      <c r="V30" s="55"/>
      <c r="AB30" s="57">
        <f>SUM(H9:H10)</f>
        <v>0</v>
      </c>
    </row>
    <row r="31" spans="2:32" ht="15" customHeight="1" x14ac:dyDescent="0.25">
      <c r="B31" s="55"/>
      <c r="C31" s="55"/>
      <c r="D31" s="55"/>
      <c r="E31" s="55"/>
      <c r="F31" s="55"/>
      <c r="G31" s="55"/>
      <c r="H31" s="55"/>
      <c r="I31" s="55"/>
      <c r="J31" s="55"/>
      <c r="K31" s="55"/>
      <c r="L31" s="55"/>
      <c r="M31" s="55"/>
      <c r="N31" s="55"/>
      <c r="O31" s="55"/>
      <c r="P31" s="55"/>
      <c r="Q31" s="55"/>
      <c r="R31" s="55"/>
      <c r="S31" s="55"/>
      <c r="T31" s="55"/>
      <c r="U31" s="55"/>
      <c r="V31" s="55"/>
      <c r="Z31" s="52"/>
      <c r="AA31" s="52"/>
      <c r="AB31" s="58">
        <f>SUM(G9:G10)</f>
        <v>0</v>
      </c>
      <c r="AC31" s="52"/>
      <c r="AD31" s="52"/>
      <c r="AE31" s="52"/>
    </row>
    <row r="32" spans="2:32" ht="15" customHeight="1" x14ac:dyDescent="0.25">
      <c r="B32" s="59"/>
      <c r="C32" s="59"/>
      <c r="D32" s="59"/>
      <c r="E32" s="59"/>
      <c r="F32" s="59"/>
      <c r="G32" s="59"/>
      <c r="H32" s="59"/>
      <c r="I32" s="59"/>
      <c r="J32" s="59"/>
      <c r="K32" s="59"/>
      <c r="L32" s="59"/>
      <c r="M32" s="59"/>
      <c r="N32" s="59"/>
      <c r="O32" s="59"/>
      <c r="P32" s="59"/>
      <c r="Q32" s="59"/>
      <c r="R32" s="59"/>
      <c r="S32" s="59"/>
      <c r="T32" s="59"/>
      <c r="U32" s="59"/>
      <c r="V32" s="59"/>
      <c r="Z32" s="52"/>
      <c r="AA32" s="52"/>
      <c r="AB32" s="52"/>
      <c r="AC32" s="52"/>
      <c r="AD32" s="52"/>
      <c r="AE32" s="52"/>
    </row>
    <row r="33" spans="2:22" ht="15" customHeight="1" x14ac:dyDescent="0.25">
      <c r="B33" s="55"/>
      <c r="C33" s="60"/>
      <c r="D33" s="60"/>
      <c r="E33" s="60"/>
      <c r="F33" s="60"/>
      <c r="G33" s="60"/>
      <c r="H33" s="60"/>
      <c r="I33" s="60"/>
      <c r="J33" s="60"/>
      <c r="K33" s="60"/>
      <c r="L33" s="60"/>
      <c r="M33" s="60"/>
      <c r="N33" s="60"/>
      <c r="O33" s="60"/>
      <c r="P33" s="60"/>
      <c r="Q33" s="60"/>
      <c r="R33" s="60"/>
      <c r="S33" s="60"/>
      <c r="T33" s="60"/>
      <c r="U33" s="60"/>
      <c r="V33" s="60"/>
    </row>
    <row r="34" spans="2:22" ht="15" customHeight="1" x14ac:dyDescent="0.25">
      <c r="B34" s="55"/>
    </row>
    <row r="35" spans="2:22" ht="15" customHeight="1" x14ac:dyDescent="0.25">
      <c r="B35" s="55"/>
    </row>
    <row r="36" spans="2:22" ht="15" customHeight="1" x14ac:dyDescent="0.25">
      <c r="B36" s="55"/>
    </row>
    <row r="37" spans="2:22" ht="15" customHeight="1" x14ac:dyDescent="0.25">
      <c r="B37" s="55" t="e">
        <f t="shared" ref="B35:B46" ca="1" si="0">C59&amp;"/  Delivery Schedule "&amp;C60&amp;" dated "&amp;TEXT(D60,"mmmm d, yyyy")&amp;" transmitted via email dated "&amp;TEXT(E60,"mmmm d, yyyy")&amp;"."</f>
        <v>#REF!</v>
      </c>
      <c r="C37" s="60"/>
      <c r="D37" s="60"/>
      <c r="E37" s="60"/>
      <c r="F37" s="60"/>
      <c r="G37" s="60"/>
      <c r="H37" s="60"/>
      <c r="I37" s="60"/>
    </row>
    <row r="38" spans="2:22" ht="15" customHeight="1" x14ac:dyDescent="0.25">
      <c r="B38" s="55" t="e">
        <f t="shared" ca="1" si="0"/>
        <v>#REF!</v>
      </c>
      <c r="C38" s="60"/>
      <c r="D38" s="60"/>
      <c r="E38" s="60"/>
      <c r="F38" s="60"/>
      <c r="G38" s="60"/>
      <c r="H38" s="60"/>
      <c r="I38" s="60"/>
    </row>
    <row r="39" spans="2:22" ht="15" customHeight="1" x14ac:dyDescent="0.25">
      <c r="B39" s="55" t="e">
        <f t="shared" ca="1" si="0"/>
        <v>#REF!</v>
      </c>
      <c r="C39" s="60"/>
      <c r="D39" s="60"/>
      <c r="E39" s="60"/>
      <c r="F39" s="60"/>
      <c r="G39" s="60"/>
      <c r="H39" s="60"/>
      <c r="I39" s="60"/>
    </row>
    <row r="40" spans="2:22" ht="15" customHeight="1" x14ac:dyDescent="0.25">
      <c r="B40" s="55" t="e">
        <f t="shared" ca="1" si="0"/>
        <v>#REF!</v>
      </c>
      <c r="C40" s="60"/>
      <c r="D40" s="60"/>
      <c r="E40" s="60"/>
      <c r="F40" s="60"/>
      <c r="G40" s="60"/>
      <c r="H40" s="60"/>
      <c r="I40" s="60"/>
    </row>
    <row r="41" spans="2:22" ht="15" customHeight="1" x14ac:dyDescent="0.25">
      <c r="B41" s="55" t="e">
        <f t="shared" ca="1" si="0"/>
        <v>#REF!</v>
      </c>
    </row>
    <row r="42" spans="2:22" ht="15" customHeight="1" x14ac:dyDescent="0.25">
      <c r="B42" s="55" t="e">
        <f t="shared" ca="1" si="0"/>
        <v>#REF!</v>
      </c>
    </row>
    <row r="43" spans="2:22" ht="15" customHeight="1" x14ac:dyDescent="0.25">
      <c r="B43" s="55" t="e">
        <f t="shared" ca="1" si="0"/>
        <v>#REF!</v>
      </c>
    </row>
    <row r="44" spans="2:22" ht="15" customHeight="1" x14ac:dyDescent="0.25">
      <c r="B44" s="55" t="e">
        <f t="shared" ca="1" si="0"/>
        <v>#REF!</v>
      </c>
    </row>
    <row r="45" spans="2:22" ht="15" customHeight="1" x14ac:dyDescent="0.25">
      <c r="B45" s="55" t="e">
        <f t="shared" ca="1" si="0"/>
        <v>#REF!</v>
      </c>
    </row>
    <row r="46" spans="2:22" ht="15" customHeight="1" x14ac:dyDescent="0.25">
      <c r="B46" s="55" t="e">
        <f t="shared" ca="1" si="0"/>
        <v>#REF!</v>
      </c>
    </row>
    <row r="47" spans="2:22" ht="15" customHeight="1" x14ac:dyDescent="0.25">
      <c r="B47" s="61"/>
    </row>
    <row r="48" spans="2:22" x14ac:dyDescent="0.25">
      <c r="B48" s="61"/>
    </row>
    <row r="52" spans="1:23" ht="18" customHeight="1" x14ac:dyDescent="0.25">
      <c r="A52" s="62"/>
    </row>
    <row r="53" spans="1:23" ht="15.75" thickBot="1" x14ac:dyDescent="0.3"/>
    <row r="54" spans="1:23" x14ac:dyDescent="0.25">
      <c r="C54" s="63" t="s">
        <v>61</v>
      </c>
      <c r="D54" s="64" t="s">
        <v>62</v>
      </c>
      <c r="E54" s="64" t="s">
        <v>63</v>
      </c>
      <c r="F54" s="64" t="s">
        <v>64</v>
      </c>
      <c r="G54" s="64"/>
      <c r="H54" s="64"/>
      <c r="I54" s="64"/>
      <c r="J54" s="64"/>
      <c r="K54" s="64"/>
      <c r="L54" s="64"/>
      <c r="M54" s="64"/>
      <c r="N54" s="64"/>
      <c r="O54" s="64"/>
      <c r="P54" s="64"/>
      <c r="Q54" s="64"/>
      <c r="R54" s="64"/>
      <c r="S54" s="64"/>
      <c r="T54" s="64"/>
      <c r="U54" s="64" t="s">
        <v>65</v>
      </c>
      <c r="V54" s="64"/>
      <c r="W54" s="65"/>
    </row>
    <row r="55" spans="1:23" x14ac:dyDescent="0.25">
      <c r="B55" s="66"/>
      <c r="C55" s="67">
        <v>1</v>
      </c>
      <c r="D55" s="68" t="e" cm="1">
        <f t="array" aca="1" ref="D55" ca="1">INDIRECT("'"&amp;$C55&amp;"'!"&amp;"H2")</f>
        <v>#REF!</v>
      </c>
      <c r="E55" s="68" t="e" cm="1">
        <f t="array" aca="1" ref="E55" ca="1">INDIRECT("'"&amp;$C55&amp;"'!"&amp;"H3")</f>
        <v>#REF!</v>
      </c>
      <c r="F55" s="68"/>
      <c r="G55" s="2"/>
      <c r="H55" s="2"/>
      <c r="I55" s="2"/>
      <c r="J55" s="2"/>
      <c r="K55" s="2"/>
      <c r="L55" s="2"/>
      <c r="M55" s="2"/>
      <c r="N55" s="2"/>
      <c r="O55" s="2"/>
      <c r="P55" s="2"/>
      <c r="Q55" s="2"/>
      <c r="R55" s="2"/>
      <c r="S55" s="2"/>
      <c r="T55" s="2"/>
      <c r="U55" s="2" t="s">
        <v>66</v>
      </c>
      <c r="V55" s="2">
        <v>0</v>
      </c>
      <c r="W55" s="69" t="e">
        <v>#REF!</v>
      </c>
    </row>
    <row r="56" spans="1:23" x14ac:dyDescent="0.25">
      <c r="B56" s="66"/>
      <c r="C56" s="67" t="s">
        <v>67</v>
      </c>
      <c r="D56" s="68" t="e" cm="1">
        <f t="array" aca="1" ref="D56" ca="1">INDIRECT("'"&amp;$C56&amp;"'!"&amp;"H2")</f>
        <v>#REF!</v>
      </c>
      <c r="E56" s="68" t="e" cm="1">
        <f t="array" aca="1" ref="E56" ca="1">INDIRECT("'"&amp;$C56&amp;"'!"&amp;"H3")</f>
        <v>#REF!</v>
      </c>
      <c r="F56" s="68"/>
      <c r="G56" s="2"/>
      <c r="H56" s="2"/>
      <c r="I56" s="2"/>
      <c r="J56" s="2"/>
      <c r="K56" s="2"/>
      <c r="L56" s="2"/>
      <c r="M56" s="2"/>
      <c r="N56" s="2"/>
      <c r="O56" s="2"/>
      <c r="P56" s="2"/>
      <c r="Q56" s="2"/>
      <c r="R56" s="2"/>
      <c r="S56" s="2"/>
      <c r="T56" s="2"/>
      <c r="U56" s="68" t="e">
        <f t="shared" ref="U56:U62" ca="1" si="1">D55</f>
        <v>#REF!</v>
      </c>
      <c r="V56" s="2">
        <v>1</v>
      </c>
      <c r="W56" s="69" t="e">
        <v>#REF!</v>
      </c>
    </row>
    <row r="57" spans="1:23" x14ac:dyDescent="0.25">
      <c r="B57" s="66"/>
      <c r="C57" s="67">
        <v>3</v>
      </c>
      <c r="D57" s="68" t="e" cm="1">
        <f t="array" aca="1" ref="D57" ca="1">INDIRECT("'"&amp;$C57&amp;"'!"&amp;"H2")</f>
        <v>#REF!</v>
      </c>
      <c r="E57" s="68" t="e" cm="1">
        <f t="array" aca="1" ref="E57" ca="1">INDIRECT("'"&amp;$C57&amp;"'!"&amp;"H3")</f>
        <v>#REF!</v>
      </c>
      <c r="F57" s="68"/>
      <c r="G57" s="2"/>
      <c r="H57" s="2"/>
      <c r="I57" s="2"/>
      <c r="J57" s="2"/>
      <c r="K57" s="2"/>
      <c r="L57" s="2"/>
      <c r="M57" s="2"/>
      <c r="N57" s="2"/>
      <c r="O57" s="2"/>
      <c r="P57" s="2"/>
      <c r="Q57" s="2"/>
      <c r="R57" s="2"/>
      <c r="S57" s="2"/>
      <c r="T57" s="2"/>
      <c r="U57" s="68" t="e">
        <f t="shared" ca="1" si="1"/>
        <v>#REF!</v>
      </c>
      <c r="V57" s="2">
        <v>2</v>
      </c>
      <c r="W57" s="69" t="e">
        <v>#REF!</v>
      </c>
    </row>
    <row r="58" spans="1:23" x14ac:dyDescent="0.25">
      <c r="B58" s="66"/>
      <c r="C58" s="67">
        <v>4</v>
      </c>
      <c r="D58" s="68" t="e" cm="1">
        <f t="array" aca="1" ref="D58" ca="1">INDIRECT("'"&amp;$C58&amp;"'!"&amp;"H2")</f>
        <v>#REF!</v>
      </c>
      <c r="E58" s="68" t="e" cm="1">
        <f t="array" aca="1" ref="E58" ca="1">INDIRECT("'"&amp;$C58&amp;"'!"&amp;"H3")</f>
        <v>#REF!</v>
      </c>
      <c r="F58" s="68"/>
      <c r="G58" s="2"/>
      <c r="H58" s="2"/>
      <c r="I58" s="2"/>
      <c r="J58" s="2"/>
      <c r="K58" s="2"/>
      <c r="L58" s="2"/>
      <c r="M58" s="2"/>
      <c r="N58" s="2"/>
      <c r="O58" s="2"/>
      <c r="P58" s="2"/>
      <c r="Q58" s="2"/>
      <c r="R58" s="2"/>
      <c r="S58" s="2"/>
      <c r="T58" s="2"/>
      <c r="U58" s="68" t="e">
        <f t="shared" ca="1" si="1"/>
        <v>#REF!</v>
      </c>
      <c r="V58" s="2">
        <v>3</v>
      </c>
      <c r="W58" s="69" t="e">
        <v>#REF!</v>
      </c>
    </row>
    <row r="59" spans="1:23" x14ac:dyDescent="0.25">
      <c r="B59" s="66"/>
      <c r="C59" s="67">
        <v>5</v>
      </c>
      <c r="D59" s="68" t="e" cm="1">
        <f t="array" aca="1" ref="D59" ca="1">INDIRECT("'"&amp;$C59&amp;"'!"&amp;"H2")</f>
        <v>#REF!</v>
      </c>
      <c r="E59" s="68" t="e" cm="1">
        <f t="array" aca="1" ref="E59" ca="1">INDIRECT("'"&amp;$C59&amp;"'!"&amp;"H3")</f>
        <v>#REF!</v>
      </c>
      <c r="F59" s="68"/>
      <c r="G59" s="2"/>
      <c r="H59" s="2"/>
      <c r="I59" s="2"/>
      <c r="J59" s="2"/>
      <c r="K59" s="2"/>
      <c r="L59" s="2"/>
      <c r="M59" s="2"/>
      <c r="N59" s="2"/>
      <c r="O59" s="2"/>
      <c r="P59" s="2"/>
      <c r="Q59" s="2"/>
      <c r="R59" s="2"/>
      <c r="S59" s="2"/>
      <c r="T59" s="2"/>
      <c r="U59" s="68" t="e">
        <f t="shared" ca="1" si="1"/>
        <v>#REF!</v>
      </c>
      <c r="V59" s="2">
        <v>4</v>
      </c>
      <c r="W59" s="69" t="e">
        <v>#REF!</v>
      </c>
    </row>
    <row r="60" spans="1:23" x14ac:dyDescent="0.25">
      <c r="B60" s="66"/>
      <c r="C60" s="67">
        <v>6</v>
      </c>
      <c r="D60" s="68" t="e" cm="1">
        <f t="array" aca="1" ref="D60" ca="1">INDIRECT("'"&amp;$C60&amp;"'!"&amp;"H2")</f>
        <v>#REF!</v>
      </c>
      <c r="E60" s="68" t="e" cm="1">
        <f t="array" aca="1" ref="E60" ca="1">INDIRECT("'"&amp;$C60&amp;"'!"&amp;"H3")</f>
        <v>#REF!</v>
      </c>
      <c r="F60" s="68"/>
      <c r="G60" s="2"/>
      <c r="H60" s="2"/>
      <c r="I60" s="2"/>
      <c r="J60" s="2"/>
      <c r="K60" s="2"/>
      <c r="L60" s="2"/>
      <c r="M60" s="2"/>
      <c r="N60" s="2"/>
      <c r="O60" s="2"/>
      <c r="P60" s="2"/>
      <c r="Q60" s="2"/>
      <c r="R60" s="2"/>
      <c r="S60" s="2"/>
      <c r="T60" s="2"/>
      <c r="U60" s="68" t="e">
        <f t="shared" ca="1" si="1"/>
        <v>#REF!</v>
      </c>
      <c r="V60" s="2">
        <v>5</v>
      </c>
      <c r="W60" s="69" t="e">
        <v>#REF!</v>
      </c>
    </row>
    <row r="61" spans="1:23" x14ac:dyDescent="0.25">
      <c r="B61" s="66"/>
      <c r="C61" s="67">
        <v>7</v>
      </c>
      <c r="D61" s="68" t="e" cm="1">
        <f t="array" aca="1" ref="D61" ca="1">INDIRECT("'"&amp;$C61&amp;"'!"&amp;"H2")</f>
        <v>#REF!</v>
      </c>
      <c r="E61" s="68" t="e" cm="1">
        <f t="array" aca="1" ref="E61" ca="1">INDIRECT("'"&amp;$C61&amp;"'!"&amp;"H3")</f>
        <v>#REF!</v>
      </c>
      <c r="F61" s="68"/>
      <c r="G61" s="2"/>
      <c r="H61" s="2"/>
      <c r="I61" s="2"/>
      <c r="J61" s="2"/>
      <c r="K61" s="2"/>
      <c r="L61" s="2"/>
      <c r="M61" s="2"/>
      <c r="N61" s="2"/>
      <c r="O61" s="2"/>
      <c r="P61" s="2"/>
      <c r="Q61" s="2"/>
      <c r="R61" s="2"/>
      <c r="S61" s="2"/>
      <c r="T61" s="2"/>
      <c r="U61" s="68" t="e">
        <f t="shared" ca="1" si="1"/>
        <v>#REF!</v>
      </c>
      <c r="V61" s="2">
        <v>6</v>
      </c>
      <c r="W61" s="69" t="e">
        <v>#REF!</v>
      </c>
    </row>
    <row r="62" spans="1:23" x14ac:dyDescent="0.25">
      <c r="B62" s="66"/>
      <c r="C62" s="67">
        <v>8</v>
      </c>
      <c r="D62" s="68" t="e" cm="1">
        <f t="array" aca="1" ref="D62" ca="1">INDIRECT("'"&amp;$C62&amp;"'!"&amp;"H2")</f>
        <v>#REF!</v>
      </c>
      <c r="E62" s="68" t="e" cm="1">
        <f t="array" aca="1" ref="E62" ca="1">INDIRECT("'"&amp;$C62&amp;"'!"&amp;"H3")</f>
        <v>#REF!</v>
      </c>
      <c r="F62" s="68"/>
      <c r="G62" s="2"/>
      <c r="H62" s="2"/>
      <c r="I62" s="2"/>
      <c r="J62" s="2"/>
      <c r="K62" s="2"/>
      <c r="L62" s="2"/>
      <c r="M62" s="2"/>
      <c r="N62" s="2"/>
      <c r="O62" s="2"/>
      <c r="P62" s="2"/>
      <c r="Q62" s="2"/>
      <c r="R62" s="2"/>
      <c r="S62" s="2"/>
      <c r="T62" s="2"/>
      <c r="U62" s="68" t="e">
        <f t="shared" ca="1" si="1"/>
        <v>#REF!</v>
      </c>
      <c r="V62" s="2">
        <v>7</v>
      </c>
      <c r="W62" s="69" t="e">
        <v>#REF!</v>
      </c>
    </row>
    <row r="63" spans="1:23" x14ac:dyDescent="0.25">
      <c r="B63" s="66"/>
      <c r="C63" s="67">
        <v>9</v>
      </c>
      <c r="D63" s="68" t="e" cm="1">
        <f t="array" aca="1" ref="D63" ca="1">INDIRECT("'"&amp;$C63&amp;"'!"&amp;"H2")</f>
        <v>#REF!</v>
      </c>
      <c r="E63" s="68" t="e" cm="1">
        <f t="array" aca="1" ref="E63" ca="1">INDIRECT("'"&amp;$C63&amp;"'!"&amp;"H3")</f>
        <v>#REF!</v>
      </c>
      <c r="F63" s="68"/>
      <c r="G63" s="2"/>
      <c r="H63" s="2"/>
      <c r="I63" s="2"/>
      <c r="J63" s="2"/>
      <c r="K63" s="2"/>
      <c r="L63" s="2"/>
      <c r="M63" s="2"/>
      <c r="N63" s="2"/>
      <c r="O63" s="2"/>
      <c r="P63" s="2"/>
      <c r="Q63" s="2"/>
      <c r="R63" s="2"/>
      <c r="S63" s="2"/>
      <c r="T63" s="2"/>
      <c r="U63" s="68" t="e">
        <f ca="1">D62</f>
        <v>#REF!</v>
      </c>
      <c r="V63" s="2">
        <v>8</v>
      </c>
      <c r="W63" s="69" t="e">
        <v>#REF!</v>
      </c>
    </row>
    <row r="64" spans="1:23" x14ac:dyDescent="0.25">
      <c r="B64" s="66"/>
      <c r="C64" s="67">
        <v>10</v>
      </c>
      <c r="D64" s="68" t="e" cm="1">
        <f t="array" aca="1" ref="D64" ca="1">INDIRECT("'"&amp;$C64&amp;"'!"&amp;"H2")</f>
        <v>#REF!</v>
      </c>
      <c r="E64" s="68" t="e" cm="1">
        <f t="array" aca="1" ref="E64" ca="1">INDIRECT("'"&amp;$C64&amp;"'!"&amp;"H3")</f>
        <v>#REF!</v>
      </c>
      <c r="F64" s="68"/>
      <c r="G64" s="2"/>
      <c r="H64" s="2"/>
      <c r="I64" s="2"/>
      <c r="J64" s="2"/>
      <c r="K64" s="2"/>
      <c r="L64" s="2"/>
      <c r="M64" s="2"/>
      <c r="N64" s="2"/>
      <c r="O64" s="2"/>
      <c r="P64" s="2"/>
      <c r="Q64" s="2"/>
      <c r="R64" s="2"/>
      <c r="S64" s="2"/>
      <c r="T64" s="2"/>
      <c r="U64" s="68" t="e">
        <f t="shared" ref="U64:U72" ca="1" si="2">D63</f>
        <v>#REF!</v>
      </c>
      <c r="V64" s="2">
        <v>9</v>
      </c>
      <c r="W64" s="69" t="e">
        <v>#REF!</v>
      </c>
    </row>
    <row r="65" spans="1:23" x14ac:dyDescent="0.25">
      <c r="B65" s="66"/>
      <c r="C65" s="67">
        <v>11</v>
      </c>
      <c r="D65" s="68" t="e" cm="1">
        <f t="array" aca="1" ref="D65" ca="1">INDIRECT("'"&amp;$C65&amp;"'!"&amp;"H2")</f>
        <v>#REF!</v>
      </c>
      <c r="E65" s="68" t="e" cm="1">
        <f t="array" aca="1" ref="E65" ca="1">INDIRECT("'"&amp;$C65&amp;"'!"&amp;"H3")</f>
        <v>#REF!</v>
      </c>
      <c r="F65" s="68"/>
      <c r="G65" s="2"/>
      <c r="H65" s="2"/>
      <c r="I65" s="2"/>
      <c r="J65" s="2"/>
      <c r="K65" s="2"/>
      <c r="L65" s="2"/>
      <c r="M65" s="2"/>
      <c r="N65" s="2"/>
      <c r="O65" s="2"/>
      <c r="P65" s="2"/>
      <c r="Q65" s="2"/>
      <c r="R65" s="2"/>
      <c r="S65" s="2"/>
      <c r="T65" s="2"/>
      <c r="U65" s="68" t="e">
        <f t="shared" ca="1" si="2"/>
        <v>#REF!</v>
      </c>
      <c r="V65" s="2">
        <v>10</v>
      </c>
      <c r="W65" s="69" t="e">
        <v>#REF!</v>
      </c>
    </row>
    <row r="66" spans="1:23" x14ac:dyDescent="0.25">
      <c r="B66" s="66"/>
      <c r="C66" s="67">
        <v>12</v>
      </c>
      <c r="D66" s="68" t="e" cm="1">
        <f t="array" aca="1" ref="D66" ca="1">INDIRECT("'"&amp;$C66&amp;"'!"&amp;"H2")</f>
        <v>#REF!</v>
      </c>
      <c r="E66" s="68" t="e" cm="1">
        <f t="array" aca="1" ref="E66" ca="1">INDIRECT("'"&amp;$C66&amp;"'!"&amp;"H3")</f>
        <v>#REF!</v>
      </c>
      <c r="F66" s="68"/>
      <c r="G66" s="2"/>
      <c r="H66" s="2"/>
      <c r="I66" s="2"/>
      <c r="J66" s="2"/>
      <c r="K66" s="2"/>
      <c r="L66" s="2"/>
      <c r="M66" s="2"/>
      <c r="N66" s="2"/>
      <c r="O66" s="2"/>
      <c r="P66" s="2"/>
      <c r="Q66" s="2"/>
      <c r="R66" s="2"/>
      <c r="S66" s="2"/>
      <c r="T66" s="2"/>
      <c r="U66" s="68" t="e">
        <f t="shared" ca="1" si="2"/>
        <v>#REF!</v>
      </c>
      <c r="V66" s="2">
        <v>11</v>
      </c>
      <c r="W66" s="69" t="e">
        <v>#REF!</v>
      </c>
    </row>
    <row r="67" spans="1:23" x14ac:dyDescent="0.25">
      <c r="B67" s="66"/>
      <c r="C67" s="67">
        <v>13</v>
      </c>
      <c r="D67" s="68" t="e" cm="1">
        <f t="array" aca="1" ref="D67" ca="1">INDIRECT("'"&amp;$C67&amp;"'!"&amp;"H2")</f>
        <v>#REF!</v>
      </c>
      <c r="E67" s="68" t="e" cm="1">
        <f t="array" aca="1" ref="E67" ca="1">INDIRECT("'"&amp;$C67&amp;"'!"&amp;"H3")</f>
        <v>#REF!</v>
      </c>
      <c r="F67" s="68"/>
      <c r="G67" s="2"/>
      <c r="H67" s="2"/>
      <c r="I67" s="2"/>
      <c r="J67" s="2"/>
      <c r="K67" s="2"/>
      <c r="L67" s="2"/>
      <c r="M67" s="2"/>
      <c r="N67" s="2"/>
      <c r="O67" s="2"/>
      <c r="P67" s="2"/>
      <c r="Q67" s="2"/>
      <c r="R67" s="2"/>
      <c r="S67" s="2"/>
      <c r="T67" s="2"/>
      <c r="U67" s="68" t="e">
        <f t="shared" ca="1" si="2"/>
        <v>#REF!</v>
      </c>
      <c r="V67" s="2">
        <v>12</v>
      </c>
      <c r="W67" s="69" t="e">
        <v>#REF!</v>
      </c>
    </row>
    <row r="68" spans="1:23" x14ac:dyDescent="0.25">
      <c r="B68" s="66"/>
      <c r="C68" s="67">
        <v>14</v>
      </c>
      <c r="D68" s="68" t="e" cm="1">
        <f t="array" aca="1" ref="D68" ca="1">INDIRECT("'"&amp;$C68&amp;"'!"&amp;"H2")</f>
        <v>#REF!</v>
      </c>
      <c r="E68" s="68" t="e" cm="1">
        <f t="array" aca="1" ref="E68" ca="1">INDIRECT("'"&amp;$C68&amp;"'!"&amp;"H3")</f>
        <v>#REF!</v>
      </c>
      <c r="F68" s="68"/>
      <c r="G68" s="2"/>
      <c r="H68" s="2"/>
      <c r="I68" s="2"/>
      <c r="J68" s="2"/>
      <c r="K68" s="2"/>
      <c r="L68" s="2"/>
      <c r="M68" s="2"/>
      <c r="N68" s="2"/>
      <c r="O68" s="2"/>
      <c r="P68" s="2"/>
      <c r="Q68" s="2"/>
      <c r="R68" s="2"/>
      <c r="S68" s="2"/>
      <c r="T68" s="2"/>
      <c r="U68" s="68" t="e">
        <f t="shared" ca="1" si="2"/>
        <v>#REF!</v>
      </c>
      <c r="V68" s="2">
        <v>13</v>
      </c>
      <c r="W68" s="69" t="e">
        <v>#REF!</v>
      </c>
    </row>
    <row r="69" spans="1:23" x14ac:dyDescent="0.25">
      <c r="B69" s="66"/>
      <c r="C69" s="67">
        <v>15</v>
      </c>
      <c r="D69" s="68" t="e" cm="1">
        <f t="array" aca="1" ref="D69" ca="1">INDIRECT("'"&amp;$C69&amp;"'!"&amp;"H2")</f>
        <v>#REF!</v>
      </c>
      <c r="E69" s="68" t="e" cm="1">
        <f t="array" aca="1" ref="E69" ca="1">INDIRECT("'"&amp;$C69&amp;"'!"&amp;"H3")</f>
        <v>#REF!</v>
      </c>
      <c r="F69" s="68"/>
      <c r="G69" s="2"/>
      <c r="H69" s="2"/>
      <c r="I69" s="2"/>
      <c r="J69" s="2"/>
      <c r="K69" s="2"/>
      <c r="L69" s="2"/>
      <c r="M69" s="2"/>
      <c r="N69" s="2"/>
      <c r="O69" s="2"/>
      <c r="P69" s="2"/>
      <c r="Q69" s="2"/>
      <c r="R69" s="2"/>
      <c r="S69" s="2"/>
      <c r="T69" s="2"/>
      <c r="U69" s="68" t="e">
        <f t="shared" ca="1" si="2"/>
        <v>#REF!</v>
      </c>
      <c r="V69" s="2">
        <v>14</v>
      </c>
      <c r="W69" s="69" t="e">
        <v>#REF!</v>
      </c>
    </row>
    <row r="70" spans="1:23" x14ac:dyDescent="0.25">
      <c r="B70" s="66"/>
      <c r="C70" s="67">
        <v>16</v>
      </c>
      <c r="D70" s="68"/>
      <c r="E70" s="68"/>
      <c r="F70" s="68"/>
      <c r="G70" s="2"/>
      <c r="H70" s="2"/>
      <c r="I70" s="2"/>
      <c r="J70" s="2"/>
      <c r="K70" s="2"/>
      <c r="L70" s="2"/>
      <c r="M70" s="2"/>
      <c r="N70" s="2"/>
      <c r="O70" s="2"/>
      <c r="P70" s="2"/>
      <c r="Q70" s="2"/>
      <c r="R70" s="2"/>
      <c r="S70" s="2"/>
      <c r="T70" s="2"/>
      <c r="U70" s="68" t="e">
        <f t="shared" ca="1" si="2"/>
        <v>#REF!</v>
      </c>
      <c r="V70" s="2">
        <v>15</v>
      </c>
      <c r="W70" s="69" t="e">
        <v>#REF!</v>
      </c>
    </row>
    <row r="71" spans="1:23" x14ac:dyDescent="0.25">
      <c r="B71" s="66"/>
      <c r="C71" s="67">
        <v>17</v>
      </c>
      <c r="D71" s="68"/>
      <c r="E71" s="68"/>
      <c r="F71" s="68"/>
      <c r="G71" s="2"/>
      <c r="H71" s="2"/>
      <c r="I71" s="2"/>
      <c r="J71" s="2"/>
      <c r="K71" s="2"/>
      <c r="L71" s="2"/>
      <c r="M71" s="2"/>
      <c r="N71" s="2"/>
      <c r="O71" s="2"/>
      <c r="P71" s="2"/>
      <c r="Q71" s="2"/>
      <c r="R71" s="2"/>
      <c r="S71" s="2"/>
      <c r="T71" s="2"/>
      <c r="U71" s="68">
        <f t="shared" si="2"/>
        <v>0</v>
      </c>
      <c r="V71" s="2">
        <v>16</v>
      </c>
      <c r="W71" s="69" t="e">
        <v>#REF!</v>
      </c>
    </row>
    <row r="72" spans="1:23" ht="15.75" thickBot="1" x14ac:dyDescent="0.3">
      <c r="B72" s="66"/>
      <c r="C72" s="70">
        <v>18</v>
      </c>
      <c r="D72" s="71"/>
      <c r="E72" s="71"/>
      <c r="F72" s="71"/>
      <c r="G72" s="72"/>
      <c r="H72" s="72"/>
      <c r="I72" s="72"/>
      <c r="J72" s="72"/>
      <c r="K72" s="72"/>
      <c r="L72" s="72"/>
      <c r="M72" s="72"/>
      <c r="N72" s="72"/>
      <c r="O72" s="72"/>
      <c r="P72" s="72"/>
      <c r="Q72" s="72"/>
      <c r="R72" s="72"/>
      <c r="S72" s="72"/>
      <c r="T72" s="72"/>
      <c r="U72" s="71">
        <f t="shared" si="2"/>
        <v>0</v>
      </c>
      <c r="V72" s="72">
        <v>17</v>
      </c>
      <c r="W72" s="73" t="e">
        <v>#REF!</v>
      </c>
    </row>
    <row r="73" spans="1:23" x14ac:dyDescent="0.25">
      <c r="B73" s="74"/>
    </row>
    <row r="74" spans="1:23" x14ac:dyDescent="0.25">
      <c r="A74" s="75"/>
    </row>
  </sheetData>
  <mergeCells count="23">
    <mergeCell ref="Q7:R7"/>
    <mergeCell ref="S7:T7"/>
    <mergeCell ref="U7:V7"/>
    <mergeCell ref="Q6:R6"/>
    <mergeCell ref="S6:T6"/>
    <mergeCell ref="U6:V6"/>
    <mergeCell ref="C7:D7"/>
    <mergeCell ref="E7:F7"/>
    <mergeCell ref="G7:H7"/>
    <mergeCell ref="I7:J7"/>
    <mergeCell ref="K7:L7"/>
    <mergeCell ref="M7:N7"/>
    <mergeCell ref="O7:P7"/>
    <mergeCell ref="H1:V3"/>
    <mergeCell ref="B4:V4"/>
    <mergeCell ref="B5:V5"/>
    <mergeCell ref="C6:D6"/>
    <mergeCell ref="E6:F6"/>
    <mergeCell ref="G6:H6"/>
    <mergeCell ref="I6:J6"/>
    <mergeCell ref="K6:L6"/>
    <mergeCell ref="M6:N6"/>
    <mergeCell ref="O6:P6"/>
  </mergeCells>
  <conditionalFormatting sqref="AE22">
    <cfRule type="cellIs" dxfId="2" priority="3" operator="notEqual">
      <formula>1500000</formula>
    </cfRule>
  </conditionalFormatting>
  <conditionalFormatting sqref="B21">
    <cfRule type="cellIs" dxfId="1" priority="2" operator="notEqual">
      <formula>#REF!</formula>
    </cfRule>
  </conditionalFormatting>
  <conditionalFormatting sqref="B9:B20">
    <cfRule type="cellIs" dxfId="0" priority="1" operator="notEqual">
      <formula>#REF!</formula>
    </cfRule>
  </conditionalFormatting>
  <printOptions horizontalCentered="1"/>
  <pageMargins left="0.25" right="0.5" top="1" bottom="1" header="0.5" footer="0.3"/>
  <pageSetup paperSize="3" scale="34" fitToHeight="0" orientation="landscape" r:id="rId1"/>
  <headerFooter>
    <oddHeader xml:space="preserve">&amp;R&amp;"Arial,Regular"&amp;12Enclosure          &amp;11        </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anchor moveWithCells="1">
                  <from>
                    <xdr:col>0</xdr:col>
                    <xdr:colOff>142875</xdr:colOff>
                    <xdr:row>0</xdr:row>
                    <xdr:rowOff>104775</xdr:rowOff>
                  </from>
                  <to>
                    <xdr:col>1</xdr:col>
                    <xdr:colOff>0</xdr:colOff>
                    <xdr:row>2</xdr:row>
                    <xdr:rowOff>38100</xdr:rowOff>
                  </to>
                </anchor>
              </controlPr>
            </control>
          </mc:Choice>
        </mc:AlternateContent>
        <mc:AlternateContent xmlns:mc="http://schemas.openxmlformats.org/markup-compatibility/2006">
          <mc:Choice Requires="x14">
            <control shapeId="1026" r:id="rId5" name="Button 2">
              <controlPr defaultSize="0" print="0" autoFill="0" autoPict="0">
                <anchor moveWithCells="1" sizeWithCells="1">
                  <from>
                    <xdr:col>2</xdr:col>
                    <xdr:colOff>447675</xdr:colOff>
                    <xdr:row>0</xdr:row>
                    <xdr:rowOff>104775</xdr:rowOff>
                  </from>
                  <to>
                    <xdr:col>3</xdr:col>
                    <xdr:colOff>1019175</xdr:colOff>
                    <xdr:row>2</xdr:row>
                    <xdr:rowOff>47625</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BA66C84F94A64981DACDD32E8AD0A8" ma:contentTypeVersion="11" ma:contentTypeDescription="Create a new document." ma:contentTypeScope="" ma:versionID="97c9731310e8d6b8cf0da090a0a186fb">
  <xsd:schema xmlns:xsd="http://www.w3.org/2001/XMLSchema" xmlns:xs="http://www.w3.org/2001/XMLSchema" xmlns:p="http://schemas.microsoft.com/office/2006/metadata/properties" xmlns:ns2="b96e060b-e669-47bc-8063-937b5b2061d8" xmlns:ns3="827a5c02-32d4-4134-b18a-3084e83fcf89" targetNamespace="http://schemas.microsoft.com/office/2006/metadata/properties" ma:root="true" ma:fieldsID="65f4be0b87ed6587ab99cc0a5e9d56dd" ns2:_="" ns3:_="">
    <xsd:import namespace="b96e060b-e669-47bc-8063-937b5b2061d8"/>
    <xsd:import namespace="827a5c02-32d4-4134-b18a-3084e83fcf8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6e060b-e669-47bc-8063-937b5b2061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27a5c02-32d4-4134-b18a-3084e83fcf8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dffe8586-f5fe-466a-a34d-31d5adfdbf3a}" ma:internalName="TaxCatchAll" ma:showField="CatchAllData" ma:web="827a5c02-32d4-4134-b18a-3084e83fcf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27a5c02-32d4-4134-b18a-3084e83fcf89" xsi:nil="true"/>
    <lcf76f155ced4ddcb4097134ff3c332f xmlns="b96e060b-e669-47bc-8063-937b5b2061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2D5806B-F805-4250-A752-92C61CE13752}"/>
</file>

<file path=customXml/itemProps2.xml><?xml version="1.0" encoding="utf-8"?>
<ds:datastoreItem xmlns:ds="http://schemas.openxmlformats.org/officeDocument/2006/customXml" ds:itemID="{299A7D71-AA95-464F-B3BA-24D61343DC9D}"/>
</file>

<file path=customXml/itemProps3.xml><?xml version="1.0" encoding="utf-8"?>
<ds:datastoreItem xmlns:ds="http://schemas.openxmlformats.org/officeDocument/2006/customXml" ds:itemID="{228F68C3-50DC-48CD-B289-68561EA8FCEC}"/>
</file>

<file path=docMetadata/LabelInfo.xml><?xml version="1.0" encoding="utf-8"?>
<clbl:labelList xmlns:clbl="http://schemas.microsoft.com/office/2020/mipLabelMetadata">
  <clbl:label id="{6dd02d64-b7f3-43f7-a145-cfd68d338edf}" enabled="1" method="Standard" siteId="{0693b5ba-4b18-4d7b-9341-f32f400a54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LetterEnclosure</vt:lpstr>
      <vt:lpstr>LetterEnclosure!Print_Area</vt:lpstr>
    </vt:vector>
  </TitlesOfParts>
  <Company>Department of the Interior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USBR</dc:creator>
  <cp:lastModifiedBy>USBR</cp:lastModifiedBy>
  <dcterms:created xsi:type="dcterms:W3CDTF">2026-05-06T14:10:46Z</dcterms:created>
  <dcterms:modified xsi:type="dcterms:W3CDTF">2026-05-06T14:11:55Z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0x01010013BA66C84F94A64981DACDD32E8AD0A8</vt:lpwstr>
  </property>
</Properties>
</file>