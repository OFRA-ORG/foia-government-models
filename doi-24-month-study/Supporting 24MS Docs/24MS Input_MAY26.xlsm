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tables/table1.xml" ContentType="application/vnd.openxmlformats-officedocument.spreadsheetml.table+xml"/>
  <Override PartName="/xl/queryTables/queryTable10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4000\COM460\24MONTH\2026\05 - MAY26\QAQC_SupportingDocs\"/>
    </mc:Choice>
  </mc:AlternateContent>
  <xr:revisionPtr revIDLastSave="0" documentId="13_ncr:1_{EA87944F-C0B7-473F-8EE9-F004B0649FE9}" xr6:coauthVersionLast="47" xr6:coauthVersionMax="47" xr10:uidLastSave="{00000000-0000-0000-0000-000000000000}"/>
  <bookViews>
    <workbookView xWindow="-108" yWindow="-108" windowWidth="23256" windowHeight="12456" tabRatio="712" activeTab="4" xr2:uid="{00000000-000D-0000-FFFF-FFFF00000000}"/>
  </bookViews>
  <sheets>
    <sheet name="Input" sheetId="5" r:id="rId1"/>
    <sheet name="MWD-Pump" sheetId="6" r:id="rId2"/>
    <sheet name="Davis Maint" sheetId="9" r:id="rId3"/>
    <sheet name="Parker Maint" sheetId="10" r:id="rId4"/>
    <sheet name="Output" sheetId="7" r:id="rId5"/>
    <sheet name="CAP_Schedule" sheetId="12" r:id="rId6"/>
    <sheet name="Havasu_Release" sheetId="13" r:id="rId7"/>
    <sheet name="Hoover17Mon" sheetId="11" r:id="rId8"/>
    <sheet name="Res Lookup Tables" sheetId="3" r:id="rId9"/>
  </sheets>
  <definedNames>
    <definedName name="AS" localSheetId="7">Hoover17Mon!#REF!</definedName>
    <definedName name="CAPschedule">Output!$C$5:$C$32</definedName>
    <definedName name="CAPscheduleSTART">Output!$C$5</definedName>
    <definedName name="CurrentMonthHistoric">Havasu_Release!$F$5</definedName>
    <definedName name="CurrentMonthModeled">Havasu_Release!$C$5</definedName>
    <definedName name="EffectiveHooverInput">Input!$D$34</definedName>
    <definedName name="EffectiveHooverInputEnd">Input!$T$37</definedName>
    <definedName name="EffectiveHooverStart">Output!$J$5</definedName>
    <definedName name="ExternalData_1" localSheetId="6">Havasu_Release!$A$4:$C$27</definedName>
    <definedName name="ExternalData_1" localSheetId="7" hidden="1">Hoover17Mon!$C$4:$S$8</definedName>
    <definedName name="ExternalData_10" localSheetId="6">Havasu_Release!$A$4:$C$27</definedName>
    <definedName name="ExternalData_100" localSheetId="6">Havasu_Release!$A$4:$C$28</definedName>
    <definedName name="ExternalData_101" localSheetId="6">Havasu_Release!$I$4:$K$34</definedName>
    <definedName name="ExternalData_102" localSheetId="6">Havasu_Release!$E$4:$F$11</definedName>
    <definedName name="ExternalData_11" localSheetId="6">Havasu_Release!$I$4:$K$35</definedName>
    <definedName name="ExternalData_12" localSheetId="6">Havasu_Release!$E$4:$F$10</definedName>
    <definedName name="ExternalData_13" localSheetId="6">Havasu_Release!$A$4:$C$28</definedName>
    <definedName name="ExternalData_14" localSheetId="6">Havasu_Release!$I$4:$K$34</definedName>
    <definedName name="ExternalData_15" localSheetId="6">Havasu_Release!$E$4:$F$11</definedName>
    <definedName name="ExternalData_16" localSheetId="6">Havasu_Release!$A$4:$C$33</definedName>
    <definedName name="ExternalData_17" localSheetId="6">Havasu_Release!$I$4:$K$35</definedName>
    <definedName name="ExternalData_18" localSheetId="6">Havasu_Release!$E$4:$F$5</definedName>
    <definedName name="ExternalData_19" localSheetId="6">Havasu_Release!$A$4:$C$27</definedName>
    <definedName name="ExternalData_2" localSheetId="6">Havasu_Release!$I$4:$I$12</definedName>
    <definedName name="ExternalData_20" localSheetId="6">Havasu_Release!$I$4:$K$35</definedName>
    <definedName name="ExternalData_21" localSheetId="6">Havasu_Release!$E$4:$F$11</definedName>
    <definedName name="ExternalData_22" localSheetId="6">Havasu_Release!$A$4:$C$29</definedName>
    <definedName name="ExternalData_23" localSheetId="6">Havasu_Release!$I$4:$K$34</definedName>
    <definedName name="ExternalData_24" localSheetId="6">Havasu_Release!$E$4:$F$10</definedName>
    <definedName name="ExternalData_25" localSheetId="6">Havasu_Release!$A$4:$C$28</definedName>
    <definedName name="ExternalData_26" localSheetId="6">Havasu_Release!$I$4:$K$35</definedName>
    <definedName name="ExternalData_27" localSheetId="6">Havasu_Release!$E$4:$F$10</definedName>
    <definedName name="ExternalData_28" localSheetId="6">Havasu_Release!$A$4:$C$33</definedName>
    <definedName name="ExternalData_29" localSheetId="6">Havasu_Release!$I$4:$K$35</definedName>
    <definedName name="ExternalData_3" localSheetId="6">Havasu_Release!$E$4:$F$10</definedName>
    <definedName name="ExternalData_30" localSheetId="6">Havasu_Release!$E$4:$F$6</definedName>
    <definedName name="ExternalData_31" localSheetId="6">Havasu_Release!$A$4:$C$31</definedName>
    <definedName name="ExternalData_32" localSheetId="6">Havasu_Release!$I$4:$K$34</definedName>
    <definedName name="ExternalData_33" localSheetId="6">Havasu_Release!$E$4:$F$8</definedName>
    <definedName name="ExternalData_34" localSheetId="6">Havasu_Release!$A$4:$C$30</definedName>
    <definedName name="ExternalData_35" localSheetId="6">Havasu_Release!$I$4:$K$35</definedName>
    <definedName name="ExternalData_36" localSheetId="6">Havasu_Release!$E$4:$F$8</definedName>
    <definedName name="ExternalData_37" localSheetId="6">Havasu_Release!$A$4:$C$33</definedName>
    <definedName name="ExternalData_38" localSheetId="6">Havasu_Release!$I$4:$K$34</definedName>
    <definedName name="ExternalData_39" localSheetId="6">Havasu_Release!$E$4:$F$6</definedName>
    <definedName name="ExternalData_4" localSheetId="6">Havasu_Release!$A$4:$C$27</definedName>
    <definedName name="ExternalData_40" localSheetId="6">Havasu_Release!$A$4:$C$30</definedName>
    <definedName name="ExternalData_41" localSheetId="6">Havasu_Release!$I$4:$K$35</definedName>
    <definedName name="ExternalData_42" localSheetId="6">Havasu_Release!$E$4:$F$8</definedName>
    <definedName name="ExternalData_43" localSheetId="6">Havasu_Release!$A$4:$C$32</definedName>
    <definedName name="ExternalData_44" localSheetId="6">Havasu_Release!$I$4:$K$35</definedName>
    <definedName name="ExternalData_45" localSheetId="6">Havasu_Release!$E$4:$F$7</definedName>
    <definedName name="ExternalData_46" localSheetId="6">Havasu_Release!$A$4:$C$26</definedName>
    <definedName name="ExternalData_47" localSheetId="6">Havasu_Release!$I$4:$K$32</definedName>
    <definedName name="ExternalData_48" localSheetId="6">Havasu_Release!$E$4:$F$13</definedName>
    <definedName name="ExternalData_49" localSheetId="6">Havasu_Release!$A$4:$C$23</definedName>
    <definedName name="ExternalData_5" localSheetId="6">Havasu_Release!$I$4:$I$12</definedName>
    <definedName name="ExternalData_50" localSheetId="6">Havasu_Release!$I$4:$K$35</definedName>
    <definedName name="ExternalData_51" localSheetId="6">Havasu_Release!$E$4:$F$13</definedName>
    <definedName name="ExternalData_52" localSheetId="6">Havasu_Release!$A$4:$C$29</definedName>
    <definedName name="ExternalData_53" localSheetId="6">Havasu_Release!$I$4:$K$34</definedName>
    <definedName name="ExternalData_54" localSheetId="6">Havasu_Release!$E$4:$F$10</definedName>
    <definedName name="ExternalData_55" localSheetId="6">Havasu_Release!$A$4:$C$31</definedName>
    <definedName name="ExternalData_56" localSheetId="6">Havasu_Release!$I$4:$K$35</definedName>
    <definedName name="ExternalData_57" localSheetId="6">Havasu_Release!$E$4:$F$7</definedName>
    <definedName name="ExternalData_58" localSheetId="6">Havasu_Release!$A$4:$C$29</definedName>
    <definedName name="ExternalData_59" localSheetId="6">Havasu_Release!$I$4:$I$12</definedName>
    <definedName name="ExternalData_6" localSheetId="6">Havasu_Release!$E$4:$F$10</definedName>
    <definedName name="ExternalData_60" localSheetId="6">Havasu_Release!$E$4:$F$10</definedName>
    <definedName name="ExternalData_61" localSheetId="6">Havasu_Release!$A$4:$C$29</definedName>
    <definedName name="ExternalData_62" localSheetId="6">Havasu_Release!$I$4:$K$34</definedName>
    <definedName name="ExternalData_63" localSheetId="6">Havasu_Release!$E$4:$F$10</definedName>
    <definedName name="ExternalData_64" localSheetId="6">Havasu_Release!$A$4:$C$29</definedName>
    <definedName name="ExternalData_65" localSheetId="6">Havasu_Release!$I$4:$K$34</definedName>
    <definedName name="ExternalData_66" localSheetId="6">Havasu_Release!$E$4:$F$10</definedName>
    <definedName name="ExternalData_67" localSheetId="6">Havasu_Release!$A$4:$C$29</definedName>
    <definedName name="ExternalData_68" localSheetId="6">Havasu_Release!$I$4:$K$35</definedName>
    <definedName name="ExternalData_69" localSheetId="6">Havasu_Release!$E$4:$F$9</definedName>
    <definedName name="ExternalData_7" localSheetId="6">Havasu_Release!$A$4:$C$27</definedName>
    <definedName name="ExternalData_70" localSheetId="6">Havasu_Release!$A$4:$C$29</definedName>
    <definedName name="ExternalData_71" localSheetId="6">Havasu_Release!$I$4:$K$35</definedName>
    <definedName name="ExternalData_72" localSheetId="6">Havasu_Release!$E$4:$F$10</definedName>
    <definedName name="ExternalData_73" localSheetId="6">Havasu_Release!$A$4:$C$30</definedName>
    <definedName name="ExternalData_74" localSheetId="6">Havasu_Release!$I$4:$K$34</definedName>
    <definedName name="ExternalData_75" localSheetId="6">Havasu_Release!$E$4:$F$9</definedName>
    <definedName name="ExternalData_76" localSheetId="6">Havasu_Release!$A$4:$C$31</definedName>
    <definedName name="ExternalData_77" localSheetId="6">Havasu_Release!$I$4:$K$35</definedName>
    <definedName name="ExternalData_78" localSheetId="6">Havasu_Release!$E$4:$F$7</definedName>
    <definedName name="ExternalData_79" localSheetId="6">Havasu_Release!$A$4:$C$30</definedName>
    <definedName name="ExternalData_8" localSheetId="6">Havasu_Release!$I$4:$I$12</definedName>
    <definedName name="ExternalData_80" localSheetId="6">Havasu_Release!$I$4:$K$34</definedName>
    <definedName name="ExternalData_81" localSheetId="6">Havasu_Release!$E$4:$F$9</definedName>
    <definedName name="ExternalData_82" localSheetId="6">Havasu_Release!$A$4:$C$31</definedName>
    <definedName name="ExternalData_83" localSheetId="6">Havasu_Release!$I$4:$K$35</definedName>
    <definedName name="ExternalData_84" localSheetId="6">Havasu_Release!$E$4:$F$7</definedName>
    <definedName name="ExternalData_85" localSheetId="6">Havasu_Release!$A$4:$C$32</definedName>
    <definedName name="ExternalData_86" localSheetId="6">Havasu_Release!$I$4:$K$35</definedName>
    <definedName name="ExternalData_87" localSheetId="6">Havasu_Release!$E$4:$F$7</definedName>
    <definedName name="ExternalData_88" localSheetId="6">Havasu_Release!$A$4:$C$27</definedName>
    <definedName name="ExternalData_89" localSheetId="6">Havasu_Release!$I$4:$K$32</definedName>
    <definedName name="ExternalData_9" localSheetId="6">Havasu_Release!$E$4:$F$10</definedName>
    <definedName name="ExternalData_90" localSheetId="6">Havasu_Release!$E$4:$F$12</definedName>
    <definedName name="ExternalData_91" localSheetId="6">Havasu_Release!$A$4:$C$27</definedName>
    <definedName name="ExternalData_92" localSheetId="6">Havasu_Release!$I$4:$K$35</definedName>
    <definedName name="ExternalData_93" localSheetId="6">Havasu_Release!$E$4:$F$9</definedName>
    <definedName name="ExternalData_94" localSheetId="6">Havasu_Release!$A$4:$C$30</definedName>
    <definedName name="ExternalData_95" localSheetId="6">Havasu_Release!$I$4:$K$34</definedName>
    <definedName name="ExternalData_96" localSheetId="6">Havasu_Release!$E$4:$F$9</definedName>
    <definedName name="ExternalData_97" localSheetId="6">Havasu_Release!$A$4:$C$29</definedName>
    <definedName name="ExternalData_98" localSheetId="6">Havasu_Release!$I$4:$K$35</definedName>
    <definedName name="ExternalData_99" localSheetId="6">Havasu_Release!$E$4:$F$9</definedName>
    <definedName name="HavasuOutflowStart">Output!$G$5</definedName>
    <definedName name="HvrFile">Hoover17Mon!$C$1</definedName>
    <definedName name="Month" localSheetId="0">'Res Lookup Tables'!$J$12:$J$24</definedName>
    <definedName name="Month" localSheetId="8">'Res Lookup Tables'!$J$12:$J$24</definedName>
    <definedName name="Month">'Res Lookup Tables'!$L$14:$L$26</definedName>
    <definedName name="OutMonth">Havasu_Release!$K$5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11" l="1"/>
  <c r="R8" i="11"/>
  <c r="S8" i="11"/>
  <c r="P8" i="11"/>
  <c r="Q7" i="11"/>
  <c r="R7" i="11"/>
  <c r="S7" i="11"/>
  <c r="P7" i="11"/>
  <c r="N29" i="9" l="1"/>
  <c r="K29" i="9"/>
  <c r="H29" i="9"/>
  <c r="E29" i="9"/>
  <c r="N28" i="9"/>
  <c r="K28" i="9"/>
  <c r="H28" i="9"/>
  <c r="E28" i="9"/>
  <c r="N27" i="9"/>
  <c r="K27" i="9"/>
  <c r="H27" i="9"/>
  <c r="E27" i="9"/>
  <c r="N26" i="9"/>
  <c r="K26" i="9"/>
  <c r="H26" i="9"/>
  <c r="E26" i="9"/>
  <c r="N25" i="9"/>
  <c r="K25" i="9"/>
  <c r="H25" i="9"/>
  <c r="E25" i="9"/>
  <c r="N24" i="9"/>
  <c r="K24" i="9"/>
  <c r="H24" i="9"/>
  <c r="E24" i="9"/>
  <c r="N23" i="9"/>
  <c r="K23" i="9"/>
  <c r="H23" i="9"/>
  <c r="E23" i="9"/>
  <c r="N22" i="9"/>
  <c r="K22" i="9"/>
  <c r="H22" i="9"/>
  <c r="E22" i="9"/>
  <c r="N21" i="9"/>
  <c r="K21" i="9"/>
  <c r="H21" i="9"/>
  <c r="E21" i="9"/>
  <c r="N20" i="9"/>
  <c r="K20" i="9"/>
  <c r="H20" i="9"/>
  <c r="E20" i="9"/>
  <c r="N19" i="9"/>
  <c r="K19" i="9"/>
  <c r="H19" i="9"/>
  <c r="E19" i="9"/>
  <c r="N18" i="9"/>
  <c r="K18" i="9"/>
  <c r="H18" i="9"/>
  <c r="E18" i="9"/>
  <c r="N17" i="9"/>
  <c r="K17" i="9"/>
  <c r="H17" i="9"/>
  <c r="E17" i="9"/>
  <c r="N16" i="9"/>
  <c r="K16" i="9"/>
  <c r="H16" i="9"/>
  <c r="E16" i="9"/>
  <c r="N15" i="9"/>
  <c r="K15" i="9"/>
  <c r="H15" i="9"/>
  <c r="E15" i="9"/>
  <c r="N14" i="9"/>
  <c r="K14" i="9"/>
  <c r="H14" i="9"/>
  <c r="E14" i="9"/>
  <c r="N13" i="9"/>
  <c r="K13" i="9"/>
  <c r="H13" i="9"/>
  <c r="E13" i="9"/>
  <c r="N12" i="9"/>
  <c r="K12" i="9"/>
  <c r="H12" i="9"/>
  <c r="E12" i="9"/>
  <c r="N11" i="9"/>
  <c r="K11" i="9"/>
  <c r="H11" i="9"/>
  <c r="E11" i="9"/>
  <c r="N10" i="9"/>
  <c r="K10" i="9"/>
  <c r="H10" i="9"/>
  <c r="E10" i="9"/>
  <c r="N9" i="9"/>
  <c r="K9" i="9"/>
  <c r="H9" i="9"/>
  <c r="E9" i="9"/>
  <c r="N8" i="9"/>
  <c r="K8" i="9"/>
  <c r="H8" i="9"/>
  <c r="E8" i="9"/>
  <c r="N7" i="9"/>
  <c r="K7" i="9"/>
  <c r="H7" i="9"/>
  <c r="E7" i="9"/>
  <c r="N6" i="9"/>
  <c r="K6" i="9"/>
  <c r="H6" i="9"/>
  <c r="E6" i="9"/>
  <c r="K29" i="10"/>
  <c r="H29" i="10"/>
  <c r="E29" i="10"/>
  <c r="K28" i="10"/>
  <c r="H28" i="10"/>
  <c r="E28" i="10"/>
  <c r="K27" i="10"/>
  <c r="H27" i="10"/>
  <c r="E27" i="10"/>
  <c r="K26" i="10"/>
  <c r="H26" i="10"/>
  <c r="E26" i="10"/>
  <c r="K25" i="10"/>
  <c r="H25" i="10"/>
  <c r="E25" i="10"/>
  <c r="K24" i="10"/>
  <c r="H24" i="10"/>
  <c r="E24" i="10"/>
  <c r="K23" i="10"/>
  <c r="H23" i="10"/>
  <c r="E23" i="10"/>
  <c r="K22" i="10"/>
  <c r="H22" i="10"/>
  <c r="E22" i="10"/>
  <c r="K21" i="10"/>
  <c r="H21" i="10"/>
  <c r="E21" i="10"/>
  <c r="K20" i="10"/>
  <c r="H20" i="10"/>
  <c r="E20" i="10"/>
  <c r="K19" i="10"/>
  <c r="H19" i="10"/>
  <c r="E19" i="10"/>
  <c r="K18" i="10"/>
  <c r="H18" i="10"/>
  <c r="E18" i="10"/>
  <c r="K17" i="10"/>
  <c r="H17" i="10"/>
  <c r="E17" i="10"/>
  <c r="K16" i="10"/>
  <c r="H16" i="10"/>
  <c r="E16" i="10"/>
  <c r="K15" i="10"/>
  <c r="H15" i="10"/>
  <c r="E15" i="10"/>
  <c r="K14" i="10"/>
  <c r="H14" i="10"/>
  <c r="E14" i="10"/>
  <c r="K13" i="10"/>
  <c r="H13" i="10"/>
  <c r="E13" i="10"/>
  <c r="K12" i="10"/>
  <c r="H12" i="10"/>
  <c r="E12" i="10"/>
  <c r="K11" i="10"/>
  <c r="H11" i="10"/>
  <c r="E11" i="10"/>
  <c r="K10" i="10"/>
  <c r="H10" i="10"/>
  <c r="E10" i="10"/>
  <c r="K9" i="10"/>
  <c r="H9" i="10"/>
  <c r="E9" i="10"/>
  <c r="K8" i="10"/>
  <c r="H8" i="10"/>
  <c r="E8" i="10"/>
  <c r="K7" i="10"/>
  <c r="H7" i="10"/>
  <c r="E7" i="10"/>
  <c r="K6" i="10"/>
  <c r="H6" i="10"/>
  <c r="E6" i="10"/>
  <c r="E14" i="5" l="1" a="1"/>
  <c r="E14" i="5" s="1"/>
  <c r="O29" i="10"/>
  <c r="N29" i="10"/>
  <c r="P29" i="10" s="1"/>
  <c r="Q29" i="10" s="1"/>
  <c r="O28" i="10"/>
  <c r="N28" i="10"/>
  <c r="P28" i="10" s="1"/>
  <c r="Q28" i="10" s="1"/>
  <c r="O27" i="10"/>
  <c r="N27" i="10"/>
  <c r="P27" i="10"/>
  <c r="Q27" i="10" s="1"/>
  <c r="O26" i="10"/>
  <c r="N26" i="10"/>
  <c r="P26" i="10" s="1"/>
  <c r="Q26" i="10" s="1"/>
  <c r="O25" i="10"/>
  <c r="N25" i="10"/>
  <c r="P25" i="10"/>
  <c r="Q25" i="10" s="1"/>
  <c r="O24" i="10"/>
  <c r="N24" i="10"/>
  <c r="P24" i="10"/>
  <c r="Q24" i="10" s="1"/>
  <c r="O23" i="10"/>
  <c r="N23" i="10"/>
  <c r="P23" i="10"/>
  <c r="Q23" i="10" s="1"/>
  <c r="O22" i="10"/>
  <c r="N22" i="10"/>
  <c r="P22" i="10" s="1"/>
  <c r="Q22" i="10" s="1"/>
  <c r="O21" i="10"/>
  <c r="N21" i="10"/>
  <c r="P21" i="10"/>
  <c r="Q21" i="10" s="1"/>
  <c r="O20" i="10"/>
  <c r="N20" i="10"/>
  <c r="P20" i="10"/>
  <c r="Q20" i="10" s="1"/>
  <c r="O19" i="10"/>
  <c r="N19" i="10"/>
  <c r="P19" i="10" s="1"/>
  <c r="Q19" i="10" s="1"/>
  <c r="O18" i="10"/>
  <c r="N18" i="10"/>
  <c r="P18" i="10"/>
  <c r="Q18" i="10" s="1"/>
  <c r="O17" i="10"/>
  <c r="N17" i="10"/>
  <c r="O16" i="10"/>
  <c r="N16" i="10"/>
  <c r="P16" i="10"/>
  <c r="Q16" i="10" s="1"/>
  <c r="O15" i="10"/>
  <c r="N15" i="10"/>
  <c r="P15" i="10"/>
  <c r="Q15" i="10" s="1"/>
  <c r="O14" i="10"/>
  <c r="N14" i="10"/>
  <c r="O13" i="10"/>
  <c r="N13" i="10"/>
  <c r="P13" i="10" s="1"/>
  <c r="Q13" i="10" s="1"/>
  <c r="O12" i="10"/>
  <c r="N12" i="10"/>
  <c r="P12" i="10"/>
  <c r="Q12" i="10" s="1"/>
  <c r="O11" i="10"/>
  <c r="N11" i="10"/>
  <c r="P11" i="10"/>
  <c r="Q11" i="10" s="1"/>
  <c r="O10" i="10"/>
  <c r="N10" i="10"/>
  <c r="P10" i="10"/>
  <c r="Q10" i="10" s="1"/>
  <c r="O9" i="10"/>
  <c r="N9" i="10"/>
  <c r="O8" i="10"/>
  <c r="N8" i="10"/>
  <c r="O7" i="10"/>
  <c r="N7" i="10"/>
  <c r="P7" i="10"/>
  <c r="O6" i="10"/>
  <c r="N6" i="10"/>
  <c r="P6" i="10"/>
  <c r="Q6" i="10" s="1"/>
  <c r="R29" i="9"/>
  <c r="Q29" i="9"/>
  <c r="S29" i="9" s="1"/>
  <c r="T29" i="9" s="1"/>
  <c r="R28" i="9"/>
  <c r="Q28" i="9"/>
  <c r="S28" i="9"/>
  <c r="T28" i="9" s="1"/>
  <c r="R27" i="9"/>
  <c r="Q27" i="9"/>
  <c r="S27" i="9"/>
  <c r="S26" i="9"/>
  <c r="T26" i="9" s="1"/>
  <c r="R26" i="9"/>
  <c r="Q26" i="9"/>
  <c r="R25" i="9"/>
  <c r="Q25" i="9"/>
  <c r="S25" i="9"/>
  <c r="R24" i="9"/>
  <c r="Q24" i="9"/>
  <c r="S24" i="9"/>
  <c r="T24" i="9" s="1"/>
  <c r="R23" i="9"/>
  <c r="Q23" i="9"/>
  <c r="S23" i="9"/>
  <c r="T23" i="9" s="1"/>
  <c r="R22" i="9"/>
  <c r="Q22" i="9"/>
  <c r="S22" i="9"/>
  <c r="T22" i="9" s="1"/>
  <c r="R21" i="9"/>
  <c r="Q21" i="9"/>
  <c r="R20" i="9"/>
  <c r="Q20" i="9"/>
  <c r="R19" i="9"/>
  <c r="Q19" i="9"/>
  <c r="R18" i="9"/>
  <c r="Q18" i="9"/>
  <c r="R17" i="9"/>
  <c r="Q17" i="9"/>
  <c r="R16" i="9"/>
  <c r="Q16" i="9"/>
  <c r="R15" i="9"/>
  <c r="Q15" i="9"/>
  <c r="R14" i="9"/>
  <c r="Q14" i="9"/>
  <c r="S14" i="9"/>
  <c r="T14" i="9" s="1"/>
  <c r="R13" i="9"/>
  <c r="Q13" i="9"/>
  <c r="R12" i="9"/>
  <c r="Q12" i="9"/>
  <c r="S12" i="9"/>
  <c r="T12" i="9" s="1"/>
  <c r="R11" i="9"/>
  <c r="Q11" i="9"/>
  <c r="S11" i="9" s="1"/>
  <c r="T11" i="9" s="1"/>
  <c r="R10" i="9"/>
  <c r="Q10" i="9"/>
  <c r="R9" i="9"/>
  <c r="Q9" i="9"/>
  <c r="R8" i="9"/>
  <c r="Q8" i="9"/>
  <c r="R7" i="9"/>
  <c r="Q7" i="9"/>
  <c r="R6" i="9"/>
  <c r="Q6" i="9"/>
  <c r="S6" i="9" s="1"/>
  <c r="T6" i="9" s="1"/>
  <c r="K5" i="7" a="1"/>
  <c r="K5" i="7" s="1"/>
  <c r="J5" i="7" a="1"/>
  <c r="J5" i="7" s="1"/>
  <c r="T27" i="9" l="1"/>
  <c r="T25" i="9"/>
  <c r="Q7" i="10"/>
  <c r="P17" i="10"/>
  <c r="Q17" i="10" s="1"/>
  <c r="S20" i="9"/>
  <c r="T20" i="9" s="1"/>
  <c r="S21" i="9"/>
  <c r="T21" i="9" s="1"/>
  <c r="S17" i="9"/>
  <c r="T17" i="9" s="1"/>
  <c r="S19" i="9"/>
  <c r="T19" i="9" s="1"/>
  <c r="P14" i="10"/>
  <c r="Q14" i="10" s="1"/>
  <c r="S18" i="9"/>
  <c r="T18" i="9" s="1"/>
  <c r="S16" i="9"/>
  <c r="T16" i="9" s="1"/>
  <c r="S15" i="9"/>
  <c r="T15" i="9" s="1"/>
  <c r="S13" i="9"/>
  <c r="T13" i="9" s="1"/>
  <c r="P8" i="10"/>
  <c r="Q8" i="10" s="1"/>
  <c r="P9" i="10"/>
  <c r="Q9" i="10" s="1"/>
  <c r="S10" i="9"/>
  <c r="T10" i="9" s="1"/>
  <c r="S8" i="9"/>
  <c r="T8" i="9" s="1"/>
  <c r="S9" i="9"/>
  <c r="T9" i="9" s="1"/>
  <c r="S7" i="9"/>
  <c r="T7" i="9" s="1"/>
  <c r="D34" i="5" a="1"/>
  <c r="D34" i="5" l="1"/>
  <c r="D6" i="7" l="1"/>
  <c r="C6" i="6" l="1"/>
  <c r="E33" i="5" l="1"/>
  <c r="F33" i="5" s="1"/>
  <c r="G33" i="5" s="1"/>
  <c r="H33" i="5" s="1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Q3" i="13" l="1"/>
  <c r="D5" i="7" l="1"/>
  <c r="N41" i="9" l="1"/>
  <c r="K41" i="9"/>
  <c r="H41" i="9"/>
  <c r="E41" i="9"/>
  <c r="N40" i="9"/>
  <c r="K40" i="9"/>
  <c r="H40" i="9"/>
  <c r="E40" i="9"/>
  <c r="N39" i="9"/>
  <c r="K39" i="9"/>
  <c r="H39" i="9"/>
  <c r="E39" i="9"/>
  <c r="Q5" i="13" l="1"/>
  <c r="A5" i="7" l="1"/>
  <c r="D22" i="5"/>
  <c r="D23" i="5" s="1"/>
  <c r="D18" i="5"/>
  <c r="D19" i="5" s="1"/>
  <c r="D10" i="5"/>
  <c r="D11" i="5" l="1"/>
  <c r="G11" i="5" s="1"/>
  <c r="G10" i="5"/>
  <c r="A6" i="7"/>
  <c r="A7" i="7" l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S7" i="10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T7" i="10" l="1"/>
  <c r="T8" i="10"/>
  <c r="T6" i="10"/>
  <c r="T10" i="10"/>
  <c r="T12" i="10"/>
  <c r="T14" i="10"/>
  <c r="T9" i="10"/>
  <c r="T11" i="10"/>
  <c r="T13" i="10"/>
  <c r="T17" i="10"/>
  <c r="T16" i="10"/>
  <c r="T15" i="10"/>
  <c r="S18" i="10" l="1"/>
  <c r="S19" i="10" s="1"/>
  <c r="S20" i="10" s="1"/>
  <c r="S21" i="10" s="1"/>
  <c r="S22" i="10" s="1"/>
  <c r="S23" i="10" s="1"/>
  <c r="V7" i="9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l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S24" i="10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J3" i="3" l="1"/>
  <c r="I3" i="3"/>
  <c r="J5" i="3"/>
  <c r="I5" i="3"/>
  <c r="E15" i="5" l="1"/>
  <c r="R41" i="9" l="1"/>
  <c r="Q41" i="9"/>
  <c r="R40" i="9"/>
  <c r="Q40" i="9"/>
  <c r="R39" i="9"/>
  <c r="Q39" i="9"/>
  <c r="R38" i="9"/>
  <c r="Q38" i="9"/>
  <c r="N38" i="9"/>
  <c r="K38" i="9"/>
  <c r="H38" i="9"/>
  <c r="E38" i="9"/>
  <c r="R37" i="9"/>
  <c r="Q37" i="9"/>
  <c r="N37" i="9"/>
  <c r="K37" i="9"/>
  <c r="H37" i="9"/>
  <c r="E37" i="9"/>
  <c r="R36" i="9"/>
  <c r="Q36" i="9"/>
  <c r="N36" i="9"/>
  <c r="K36" i="9"/>
  <c r="H36" i="9"/>
  <c r="E36" i="9"/>
  <c r="R35" i="9"/>
  <c r="Q35" i="9"/>
  <c r="N35" i="9"/>
  <c r="K35" i="9"/>
  <c r="H35" i="9"/>
  <c r="E35" i="9"/>
  <c r="R34" i="9"/>
  <c r="Q34" i="9"/>
  <c r="N34" i="9"/>
  <c r="K34" i="9"/>
  <c r="H34" i="9"/>
  <c r="E34" i="9"/>
  <c r="R33" i="9"/>
  <c r="Q33" i="9"/>
  <c r="N33" i="9"/>
  <c r="K33" i="9"/>
  <c r="H33" i="9"/>
  <c r="E33" i="9"/>
  <c r="R32" i="9"/>
  <c r="Q32" i="9"/>
  <c r="N32" i="9"/>
  <c r="K32" i="9"/>
  <c r="H32" i="9"/>
  <c r="E32" i="9"/>
  <c r="R31" i="9"/>
  <c r="Q31" i="9"/>
  <c r="N31" i="9"/>
  <c r="K31" i="9"/>
  <c r="H31" i="9"/>
  <c r="E31" i="9"/>
  <c r="R30" i="9"/>
  <c r="Q30" i="9"/>
  <c r="N30" i="9"/>
  <c r="K30" i="9"/>
  <c r="H30" i="9"/>
  <c r="E30" i="9"/>
  <c r="S37" i="9" l="1"/>
  <c r="T37" i="9" s="1"/>
  <c r="W37" i="9" s="1"/>
  <c r="S39" i="9"/>
  <c r="T39" i="9" s="1"/>
  <c r="W39" i="9" s="1"/>
  <c r="S38" i="9"/>
  <c r="T38" i="9" s="1"/>
  <c r="W38" i="9" s="1"/>
  <c r="S35" i="9"/>
  <c r="T35" i="9" s="1"/>
  <c r="W35" i="9" s="1"/>
  <c r="S31" i="9"/>
  <c r="T31" i="9" s="1"/>
  <c r="W31" i="9" s="1"/>
  <c r="S36" i="9"/>
  <c r="T36" i="9" s="1"/>
  <c r="W36" i="9" s="1"/>
  <c r="S30" i="9"/>
  <c r="T30" i="9" s="1"/>
  <c r="S41" i="9"/>
  <c r="T41" i="9" s="1"/>
  <c r="W41" i="9" s="1"/>
  <c r="S34" i="9"/>
  <c r="T34" i="9" s="1"/>
  <c r="W34" i="9" s="1"/>
  <c r="S32" i="9"/>
  <c r="T32" i="9" s="1"/>
  <c r="W32" i="9" s="1"/>
  <c r="S40" i="9"/>
  <c r="T40" i="9" s="1"/>
  <c r="W40" i="9" s="1"/>
  <c r="S33" i="9"/>
  <c r="T33" i="9" s="1"/>
  <c r="W33" i="9" s="1"/>
  <c r="O41" i="10"/>
  <c r="N41" i="10"/>
  <c r="K41" i="10"/>
  <c r="H41" i="10"/>
  <c r="E41" i="10"/>
  <c r="O40" i="10"/>
  <c r="N40" i="10"/>
  <c r="K40" i="10"/>
  <c r="H40" i="10"/>
  <c r="E40" i="10"/>
  <c r="O39" i="10"/>
  <c r="N39" i="10"/>
  <c r="K39" i="10"/>
  <c r="H39" i="10"/>
  <c r="E39" i="10"/>
  <c r="O38" i="10"/>
  <c r="N38" i="10"/>
  <c r="K38" i="10"/>
  <c r="H38" i="10"/>
  <c r="E38" i="10"/>
  <c r="O37" i="10"/>
  <c r="N37" i="10"/>
  <c r="K37" i="10"/>
  <c r="H37" i="10"/>
  <c r="E37" i="10"/>
  <c r="O36" i="10"/>
  <c r="N36" i="10"/>
  <c r="K36" i="10"/>
  <c r="H36" i="10"/>
  <c r="E36" i="10"/>
  <c r="O35" i="10"/>
  <c r="N35" i="10"/>
  <c r="K35" i="10"/>
  <c r="H35" i="10"/>
  <c r="E35" i="10"/>
  <c r="O34" i="10"/>
  <c r="N34" i="10"/>
  <c r="K34" i="10"/>
  <c r="H34" i="10"/>
  <c r="E34" i="10"/>
  <c r="O33" i="10"/>
  <c r="N33" i="10"/>
  <c r="K33" i="10"/>
  <c r="H33" i="10"/>
  <c r="E33" i="10"/>
  <c r="O32" i="10"/>
  <c r="N32" i="10"/>
  <c r="K32" i="10"/>
  <c r="H32" i="10"/>
  <c r="E32" i="10"/>
  <c r="O31" i="10"/>
  <c r="N31" i="10"/>
  <c r="K31" i="10"/>
  <c r="H31" i="10"/>
  <c r="E31" i="10"/>
  <c r="O30" i="10"/>
  <c r="N30" i="10"/>
  <c r="K30" i="10"/>
  <c r="H30" i="10"/>
  <c r="E30" i="10"/>
  <c r="W30" i="9" l="1"/>
  <c r="L5" i="7" a="1"/>
  <c r="L5" i="7" s="1"/>
  <c r="P30" i="10"/>
  <c r="Q30" i="10" s="1"/>
  <c r="P38" i="10"/>
  <c r="P31" i="10"/>
  <c r="Q31" i="10" s="1"/>
  <c r="T31" i="10" s="1"/>
  <c r="P39" i="10"/>
  <c r="T29" i="10"/>
  <c r="T19" i="10"/>
  <c r="T23" i="10"/>
  <c r="T27" i="10"/>
  <c r="P41" i="10"/>
  <c r="P35" i="10"/>
  <c r="P37" i="10"/>
  <c r="P40" i="10"/>
  <c r="P33" i="10"/>
  <c r="Q33" i="10" s="1"/>
  <c r="T33" i="10" s="1"/>
  <c r="T18" i="10"/>
  <c r="T20" i="10"/>
  <c r="T22" i="10"/>
  <c r="T26" i="10"/>
  <c r="T28" i="10"/>
  <c r="P32" i="10"/>
  <c r="Q32" i="10" s="1"/>
  <c r="T32" i="10" s="1"/>
  <c r="P34" i="10"/>
  <c r="Q34" i="10" s="1"/>
  <c r="T34" i="10" s="1"/>
  <c r="P36" i="10"/>
  <c r="T24" i="10"/>
  <c r="T21" i="10"/>
  <c r="T25" i="10"/>
  <c r="W28" i="9"/>
  <c r="W24" i="9"/>
  <c r="W26" i="9"/>
  <c r="W25" i="9"/>
  <c r="W29" i="9"/>
  <c r="W23" i="9"/>
  <c r="W27" i="9"/>
  <c r="M5" i="7" l="1" a="1"/>
  <c r="M5" i="7" s="1"/>
  <c r="T30" i="10"/>
  <c r="Q39" i="10"/>
  <c r="T39" i="10" s="1"/>
  <c r="Q40" i="10"/>
  <c r="T40" i="10" s="1"/>
  <c r="Q35" i="10"/>
  <c r="T35" i="10" s="1"/>
  <c r="Q36" i="10"/>
  <c r="T36" i="10" s="1"/>
  <c r="Q41" i="10"/>
  <c r="T41" i="10" s="1"/>
  <c r="Q37" i="10"/>
  <c r="T37" i="10" s="1"/>
  <c r="Q38" i="10"/>
  <c r="T38" i="10" s="1"/>
  <c r="W8" i="9"/>
  <c r="W21" i="9"/>
  <c r="W10" i="9"/>
  <c r="W17" i="9"/>
  <c r="W6" i="9"/>
  <c r="W19" i="9"/>
  <c r="W13" i="9"/>
  <c r="W15" i="9"/>
  <c r="W9" i="9"/>
  <c r="W11" i="9"/>
  <c r="W20" i="9"/>
  <c r="W7" i="9"/>
  <c r="W22" i="9"/>
  <c r="W18" i="9"/>
  <c r="W16" i="9"/>
  <c r="W14" i="9"/>
  <c r="W12" i="9"/>
  <c r="G6" i="6" l="1"/>
  <c r="E6" i="6"/>
  <c r="G10" i="6" l="1"/>
  <c r="G7" i="6"/>
  <c r="E7" i="6"/>
  <c r="E10" i="6" s="1"/>
  <c r="C10" i="6"/>
  <c r="C7" i="6"/>
  <c r="J2" i="3" l="1"/>
  <c r="I2" i="3"/>
  <c r="C12" i="6"/>
  <c r="E7" i="3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76" i="3" s="1"/>
  <c r="E477" i="3" s="1"/>
  <c r="E478" i="3" s="1"/>
  <c r="E479" i="3" s="1"/>
  <c r="E480" i="3" s="1"/>
  <c r="E481" i="3" s="1"/>
  <c r="E482" i="3" s="1"/>
  <c r="E483" i="3" s="1"/>
  <c r="E484" i="3" s="1"/>
  <c r="E485" i="3" s="1"/>
  <c r="E486" i="3" s="1"/>
  <c r="E487" i="3" s="1"/>
  <c r="E488" i="3" s="1"/>
  <c r="E489" i="3" s="1"/>
  <c r="E490" i="3" s="1"/>
  <c r="E491" i="3" s="1"/>
  <c r="E492" i="3" s="1"/>
  <c r="E493" i="3" s="1"/>
  <c r="E494" i="3" s="1"/>
  <c r="E495" i="3" s="1"/>
  <c r="E496" i="3" s="1"/>
  <c r="E497" i="3" s="1"/>
  <c r="E498" i="3" s="1"/>
  <c r="E499" i="3" s="1"/>
  <c r="E500" i="3" s="1"/>
  <c r="E501" i="3" s="1"/>
  <c r="E502" i="3" s="1"/>
  <c r="E503" i="3" s="1"/>
  <c r="E504" i="3" s="1"/>
  <c r="E505" i="3" s="1"/>
  <c r="E506" i="3" s="1"/>
  <c r="E507" i="3" s="1"/>
  <c r="E508" i="3" s="1"/>
  <c r="E509" i="3" s="1"/>
  <c r="E510" i="3" s="1"/>
  <c r="E511" i="3" s="1"/>
  <c r="E512" i="3" s="1"/>
  <c r="E513" i="3" s="1"/>
  <c r="E514" i="3" s="1"/>
  <c r="E515" i="3" s="1"/>
  <c r="E516" i="3" s="1"/>
  <c r="E517" i="3" s="1"/>
  <c r="E518" i="3" s="1"/>
  <c r="E519" i="3" s="1"/>
  <c r="E520" i="3" s="1"/>
  <c r="E521" i="3" s="1"/>
  <c r="E522" i="3" s="1"/>
  <c r="E523" i="3" s="1"/>
  <c r="E524" i="3" s="1"/>
  <c r="E525" i="3" s="1"/>
  <c r="E526" i="3" s="1"/>
  <c r="E527" i="3" s="1"/>
  <c r="E528" i="3" s="1"/>
  <c r="E529" i="3" s="1"/>
  <c r="E530" i="3" s="1"/>
  <c r="E531" i="3" s="1"/>
  <c r="E532" i="3" s="1"/>
  <c r="E533" i="3" s="1"/>
  <c r="E534" i="3" s="1"/>
  <c r="E535" i="3" s="1"/>
  <c r="E536" i="3" s="1"/>
  <c r="E537" i="3" s="1"/>
  <c r="E538" i="3" s="1"/>
  <c r="E539" i="3" s="1"/>
  <c r="E540" i="3" s="1"/>
  <c r="E541" i="3" s="1"/>
  <c r="E542" i="3" s="1"/>
  <c r="E543" i="3" s="1"/>
  <c r="E544" i="3" s="1"/>
  <c r="E545" i="3" s="1"/>
  <c r="E546" i="3" s="1"/>
  <c r="E547" i="3" s="1"/>
  <c r="E548" i="3" s="1"/>
  <c r="E549" i="3" s="1"/>
  <c r="E550" i="3" s="1"/>
  <c r="E551" i="3" s="1"/>
  <c r="E552" i="3" s="1"/>
  <c r="E553" i="3" s="1"/>
  <c r="E554" i="3" s="1"/>
  <c r="E555" i="3" s="1"/>
  <c r="E556" i="3" s="1"/>
  <c r="E557" i="3" s="1"/>
  <c r="E558" i="3" s="1"/>
  <c r="E559" i="3" s="1"/>
  <c r="E560" i="3" s="1"/>
  <c r="E561" i="3" s="1"/>
  <c r="E562" i="3" s="1"/>
  <c r="E563" i="3" s="1"/>
  <c r="E564" i="3" s="1"/>
  <c r="E565" i="3" s="1"/>
  <c r="E566" i="3" s="1"/>
  <c r="E567" i="3" s="1"/>
  <c r="E568" i="3" s="1"/>
  <c r="E569" i="3" s="1"/>
  <c r="E570" i="3" s="1"/>
  <c r="E571" i="3" s="1"/>
  <c r="E572" i="3" s="1"/>
  <c r="E573" i="3" s="1"/>
  <c r="E574" i="3" s="1"/>
  <c r="E575" i="3" s="1"/>
  <c r="E576" i="3" s="1"/>
  <c r="E577" i="3" s="1"/>
  <c r="E578" i="3" s="1"/>
  <c r="E579" i="3" s="1"/>
  <c r="E580" i="3" s="1"/>
  <c r="E581" i="3" s="1"/>
  <c r="E582" i="3" s="1"/>
  <c r="E583" i="3" s="1"/>
  <c r="E584" i="3" s="1"/>
  <c r="E585" i="3" s="1"/>
  <c r="E586" i="3" s="1"/>
  <c r="E587" i="3" s="1"/>
  <c r="E588" i="3" s="1"/>
  <c r="E589" i="3" s="1"/>
  <c r="E590" i="3" s="1"/>
  <c r="E591" i="3" s="1"/>
  <c r="E592" i="3" s="1"/>
  <c r="E593" i="3" s="1"/>
  <c r="E594" i="3" s="1"/>
  <c r="E595" i="3" s="1"/>
  <c r="E596" i="3" s="1"/>
  <c r="E597" i="3" s="1"/>
  <c r="E598" i="3" s="1"/>
  <c r="E599" i="3" s="1"/>
  <c r="E600" i="3" s="1"/>
  <c r="E601" i="3" s="1"/>
  <c r="E602" i="3" s="1"/>
  <c r="E603" i="3" s="1"/>
  <c r="E604" i="3" s="1"/>
  <c r="E605" i="3" s="1"/>
  <c r="E606" i="3" s="1"/>
  <c r="E607" i="3" s="1"/>
  <c r="E608" i="3" s="1"/>
  <c r="E609" i="3" s="1"/>
  <c r="E610" i="3" s="1"/>
  <c r="E611" i="3" s="1"/>
  <c r="E612" i="3" s="1"/>
  <c r="E613" i="3" s="1"/>
  <c r="E614" i="3" s="1"/>
  <c r="E615" i="3" s="1"/>
  <c r="E616" i="3" s="1"/>
  <c r="E617" i="3" s="1"/>
  <c r="E618" i="3" s="1"/>
  <c r="E619" i="3" s="1"/>
  <c r="E620" i="3" s="1"/>
  <c r="E621" i="3" s="1"/>
  <c r="E622" i="3" s="1"/>
  <c r="E623" i="3" s="1"/>
  <c r="E624" i="3" s="1"/>
  <c r="E625" i="3" s="1"/>
  <c r="E626" i="3" s="1"/>
  <c r="E627" i="3" s="1"/>
  <c r="E628" i="3" s="1"/>
  <c r="E629" i="3" s="1"/>
  <c r="E630" i="3" s="1"/>
  <c r="E631" i="3" s="1"/>
  <c r="E632" i="3" s="1"/>
  <c r="E633" i="3" s="1"/>
  <c r="E634" i="3" s="1"/>
  <c r="E635" i="3" s="1"/>
  <c r="E636" i="3" s="1"/>
  <c r="E637" i="3" s="1"/>
  <c r="E638" i="3" s="1"/>
  <c r="E639" i="3" s="1"/>
  <c r="E640" i="3" s="1"/>
  <c r="E641" i="3" s="1"/>
  <c r="E642" i="3" s="1"/>
  <c r="E643" i="3" s="1"/>
  <c r="E644" i="3" s="1"/>
  <c r="E645" i="3" s="1"/>
  <c r="E646" i="3" s="1"/>
  <c r="E647" i="3" s="1"/>
  <c r="E648" i="3" s="1"/>
  <c r="E649" i="3" s="1"/>
  <c r="E650" i="3" s="1"/>
  <c r="E651" i="3" s="1"/>
  <c r="E652" i="3" s="1"/>
  <c r="E653" i="3" s="1"/>
  <c r="E654" i="3" s="1"/>
  <c r="E655" i="3" s="1"/>
  <c r="E656" i="3" s="1"/>
  <c r="E657" i="3" s="1"/>
  <c r="E658" i="3" s="1"/>
  <c r="E659" i="3" s="1"/>
  <c r="E660" i="3" s="1"/>
  <c r="E661" i="3" s="1"/>
  <c r="E662" i="3" s="1"/>
  <c r="E663" i="3" s="1"/>
  <c r="E664" i="3" s="1"/>
  <c r="E665" i="3" s="1"/>
  <c r="E666" i="3" s="1"/>
  <c r="E667" i="3" s="1"/>
  <c r="E668" i="3" s="1"/>
  <c r="E669" i="3" s="1"/>
  <c r="E670" i="3" s="1"/>
  <c r="E671" i="3" s="1"/>
  <c r="E672" i="3" s="1"/>
  <c r="E673" i="3" s="1"/>
  <c r="E674" i="3" s="1"/>
  <c r="E675" i="3" s="1"/>
  <c r="E676" i="3" s="1"/>
  <c r="E677" i="3" s="1"/>
  <c r="E678" i="3" s="1"/>
  <c r="E679" i="3" s="1"/>
  <c r="E680" i="3" s="1"/>
  <c r="E681" i="3" s="1"/>
  <c r="E682" i="3" s="1"/>
  <c r="E683" i="3" s="1"/>
  <c r="E684" i="3" s="1"/>
  <c r="E685" i="3" s="1"/>
  <c r="E686" i="3" s="1"/>
  <c r="E687" i="3" s="1"/>
  <c r="E688" i="3" s="1"/>
  <c r="E689" i="3" s="1"/>
  <c r="E690" i="3" s="1"/>
  <c r="E691" i="3" s="1"/>
  <c r="E692" i="3" s="1"/>
  <c r="E693" i="3" s="1"/>
  <c r="E694" i="3" s="1"/>
  <c r="E695" i="3" s="1"/>
  <c r="E696" i="3" s="1"/>
  <c r="E697" i="3" s="1"/>
  <c r="E698" i="3" s="1"/>
  <c r="E699" i="3" s="1"/>
  <c r="E700" i="3" s="1"/>
  <c r="E701" i="3" s="1"/>
  <c r="E702" i="3" s="1"/>
  <c r="E703" i="3" s="1"/>
  <c r="E704" i="3" s="1"/>
  <c r="E705" i="3" s="1"/>
  <c r="E706" i="3" s="1"/>
  <c r="E707" i="3" s="1"/>
  <c r="E708" i="3" s="1"/>
  <c r="E709" i="3" s="1"/>
  <c r="E710" i="3" s="1"/>
  <c r="E711" i="3" s="1"/>
  <c r="E712" i="3" s="1"/>
  <c r="E713" i="3" s="1"/>
  <c r="E714" i="3" s="1"/>
  <c r="E715" i="3" s="1"/>
  <c r="E716" i="3" s="1"/>
  <c r="E717" i="3" s="1"/>
  <c r="E718" i="3" s="1"/>
  <c r="E719" i="3" s="1"/>
  <c r="E720" i="3" s="1"/>
  <c r="E721" i="3" s="1"/>
  <c r="E722" i="3" s="1"/>
  <c r="E723" i="3" s="1"/>
  <c r="E724" i="3" s="1"/>
  <c r="E725" i="3" s="1"/>
  <c r="E726" i="3" s="1"/>
  <c r="E727" i="3" s="1"/>
  <c r="E728" i="3" s="1"/>
  <c r="E729" i="3" s="1"/>
  <c r="E730" i="3" s="1"/>
  <c r="E731" i="3" s="1"/>
  <c r="E732" i="3" s="1"/>
  <c r="E733" i="3" s="1"/>
  <c r="E734" i="3" s="1"/>
  <c r="E735" i="3" s="1"/>
  <c r="E736" i="3" s="1"/>
  <c r="E737" i="3" s="1"/>
  <c r="E738" i="3" s="1"/>
  <c r="E739" i="3" s="1"/>
  <c r="E740" i="3" s="1"/>
  <c r="E741" i="3" s="1"/>
  <c r="E742" i="3" s="1"/>
  <c r="E743" i="3" s="1"/>
  <c r="E744" i="3" s="1"/>
  <c r="E745" i="3" s="1"/>
  <c r="E746" i="3" s="1"/>
  <c r="E747" i="3" s="1"/>
  <c r="E748" i="3" s="1"/>
  <c r="E749" i="3" s="1"/>
  <c r="E750" i="3" s="1"/>
  <c r="E751" i="3" s="1"/>
  <c r="E752" i="3" s="1"/>
  <c r="E753" i="3" s="1"/>
  <c r="E754" i="3" s="1"/>
  <c r="E755" i="3" s="1"/>
  <c r="E756" i="3" s="1"/>
  <c r="E757" i="3" s="1"/>
  <c r="E758" i="3" s="1"/>
  <c r="E759" i="3" s="1"/>
  <c r="E760" i="3" s="1"/>
  <c r="E761" i="3" s="1"/>
  <c r="E762" i="3" s="1"/>
  <c r="E763" i="3" s="1"/>
  <c r="E764" i="3" s="1"/>
  <c r="E765" i="3" s="1"/>
  <c r="E766" i="3" s="1"/>
  <c r="E767" i="3" s="1"/>
  <c r="E768" i="3" s="1"/>
  <c r="E769" i="3" s="1"/>
  <c r="E770" i="3" s="1"/>
  <c r="E771" i="3" s="1"/>
  <c r="E772" i="3" s="1"/>
  <c r="E773" i="3" s="1"/>
  <c r="E774" i="3" s="1"/>
  <c r="E775" i="3" s="1"/>
  <c r="E776" i="3" s="1"/>
  <c r="E777" i="3" s="1"/>
  <c r="E778" i="3" s="1"/>
  <c r="E779" i="3" s="1"/>
  <c r="E780" i="3" s="1"/>
  <c r="E781" i="3" s="1"/>
  <c r="E782" i="3" s="1"/>
  <c r="E783" i="3" s="1"/>
  <c r="E784" i="3" s="1"/>
  <c r="E785" i="3" s="1"/>
  <c r="E786" i="3" s="1"/>
  <c r="E787" i="3" s="1"/>
  <c r="E788" i="3" s="1"/>
  <c r="E789" i="3" s="1"/>
  <c r="E790" i="3" s="1"/>
  <c r="E791" i="3" s="1"/>
  <c r="E792" i="3" s="1"/>
  <c r="E793" i="3" s="1"/>
  <c r="E794" i="3" s="1"/>
  <c r="E795" i="3" s="1"/>
  <c r="E796" i="3" s="1"/>
  <c r="E797" i="3" s="1"/>
  <c r="E798" i="3" s="1"/>
  <c r="E799" i="3" s="1"/>
  <c r="E800" i="3" s="1"/>
  <c r="E801" i="3" s="1"/>
  <c r="E802" i="3" s="1"/>
  <c r="E803" i="3" s="1"/>
  <c r="E804" i="3" s="1"/>
  <c r="E805" i="3" s="1"/>
  <c r="E806" i="3" s="1"/>
  <c r="E807" i="3" s="1"/>
  <c r="E808" i="3" s="1"/>
  <c r="E809" i="3" s="1"/>
  <c r="E810" i="3" s="1"/>
  <c r="E811" i="3" s="1"/>
  <c r="E812" i="3" s="1"/>
  <c r="E813" i="3" s="1"/>
  <c r="E814" i="3" s="1"/>
  <c r="E815" i="3" s="1"/>
  <c r="E816" i="3" s="1"/>
  <c r="E817" i="3" s="1"/>
  <c r="E818" i="3" s="1"/>
  <c r="E819" i="3" s="1"/>
  <c r="E820" i="3" s="1"/>
  <c r="E821" i="3" s="1"/>
  <c r="E822" i="3" s="1"/>
  <c r="E823" i="3" s="1"/>
  <c r="E824" i="3" s="1"/>
  <c r="E825" i="3" s="1"/>
  <c r="E826" i="3" s="1"/>
  <c r="E827" i="3" s="1"/>
  <c r="E828" i="3" s="1"/>
  <c r="E829" i="3" s="1"/>
  <c r="E830" i="3" s="1"/>
  <c r="E831" i="3" s="1"/>
  <c r="E832" i="3" s="1"/>
  <c r="E833" i="3" s="1"/>
  <c r="E834" i="3" s="1"/>
  <c r="E835" i="3" s="1"/>
  <c r="E836" i="3" s="1"/>
  <c r="E837" i="3" s="1"/>
  <c r="E838" i="3" s="1"/>
  <c r="E839" i="3" s="1"/>
  <c r="E840" i="3" s="1"/>
  <c r="E841" i="3" s="1"/>
  <c r="E842" i="3" s="1"/>
  <c r="E843" i="3" s="1"/>
  <c r="E844" i="3" s="1"/>
  <c r="E845" i="3" s="1"/>
  <c r="E846" i="3" s="1"/>
  <c r="E847" i="3" s="1"/>
  <c r="E848" i="3" s="1"/>
  <c r="E849" i="3" s="1"/>
  <c r="E850" i="3" s="1"/>
  <c r="E851" i="3" s="1"/>
  <c r="E852" i="3" s="1"/>
  <c r="E853" i="3" s="1"/>
  <c r="E854" i="3" s="1"/>
  <c r="E855" i="3" s="1"/>
  <c r="E856" i="3" s="1"/>
  <c r="E857" i="3" s="1"/>
  <c r="E858" i="3" s="1"/>
  <c r="E859" i="3" s="1"/>
  <c r="E860" i="3" s="1"/>
  <c r="E861" i="3" s="1"/>
  <c r="E862" i="3" s="1"/>
  <c r="E863" i="3" s="1"/>
  <c r="E864" i="3" s="1"/>
  <c r="E865" i="3" s="1"/>
  <c r="E866" i="3" s="1"/>
  <c r="E867" i="3" s="1"/>
  <c r="E868" i="3" s="1"/>
  <c r="E869" i="3" s="1"/>
  <c r="E870" i="3" s="1"/>
  <c r="E871" i="3" s="1"/>
  <c r="E872" i="3" s="1"/>
  <c r="E873" i="3" s="1"/>
  <c r="E874" i="3" s="1"/>
  <c r="E875" i="3" s="1"/>
  <c r="E876" i="3" s="1"/>
  <c r="E877" i="3" s="1"/>
  <c r="E878" i="3" s="1"/>
  <c r="E879" i="3" s="1"/>
  <c r="E880" i="3" s="1"/>
  <c r="E881" i="3" s="1"/>
  <c r="E882" i="3" s="1"/>
  <c r="E883" i="3" s="1"/>
  <c r="E884" i="3" s="1"/>
  <c r="E885" i="3" s="1"/>
  <c r="E886" i="3" s="1"/>
  <c r="E887" i="3" s="1"/>
  <c r="E888" i="3" s="1"/>
  <c r="E889" i="3" s="1"/>
  <c r="E890" i="3" s="1"/>
  <c r="E891" i="3" s="1"/>
  <c r="E892" i="3" s="1"/>
  <c r="E893" i="3" s="1"/>
  <c r="E894" i="3" s="1"/>
  <c r="E895" i="3" s="1"/>
  <c r="E896" i="3" s="1"/>
  <c r="E897" i="3" s="1"/>
  <c r="E898" i="3" s="1"/>
  <c r="E899" i="3" s="1"/>
  <c r="E900" i="3" s="1"/>
  <c r="E901" i="3" s="1"/>
  <c r="E902" i="3" s="1"/>
  <c r="E903" i="3" s="1"/>
  <c r="E904" i="3" s="1"/>
  <c r="E905" i="3" s="1"/>
  <c r="E906" i="3" s="1"/>
  <c r="E907" i="3" s="1"/>
  <c r="E908" i="3" s="1"/>
  <c r="E909" i="3" s="1"/>
  <c r="E910" i="3" s="1"/>
  <c r="E911" i="3" s="1"/>
  <c r="E912" i="3" s="1"/>
  <c r="E913" i="3" s="1"/>
  <c r="E914" i="3" s="1"/>
  <c r="E915" i="3" s="1"/>
  <c r="E916" i="3" s="1"/>
  <c r="E917" i="3" s="1"/>
  <c r="E918" i="3" s="1"/>
  <c r="E919" i="3" s="1"/>
  <c r="E920" i="3" s="1"/>
  <c r="E921" i="3" s="1"/>
  <c r="E922" i="3" s="1"/>
  <c r="E923" i="3" s="1"/>
  <c r="E924" i="3" s="1"/>
  <c r="E925" i="3" s="1"/>
  <c r="E926" i="3" s="1"/>
  <c r="E927" i="3" s="1"/>
  <c r="E928" i="3" s="1"/>
  <c r="E929" i="3" s="1"/>
  <c r="E930" i="3" s="1"/>
  <c r="E931" i="3" s="1"/>
  <c r="E932" i="3" s="1"/>
  <c r="E933" i="3" s="1"/>
  <c r="E934" i="3" s="1"/>
  <c r="E935" i="3" s="1"/>
  <c r="E936" i="3" s="1"/>
  <c r="E937" i="3" s="1"/>
  <c r="E938" i="3" s="1"/>
  <c r="E939" i="3" s="1"/>
  <c r="E940" i="3" s="1"/>
  <c r="E941" i="3" s="1"/>
  <c r="E942" i="3" s="1"/>
  <c r="E943" i="3" s="1"/>
  <c r="E944" i="3" s="1"/>
  <c r="E945" i="3" s="1"/>
  <c r="E946" i="3" s="1"/>
  <c r="E947" i="3" s="1"/>
  <c r="E948" i="3" s="1"/>
  <c r="E949" i="3" s="1"/>
  <c r="E950" i="3" s="1"/>
  <c r="E951" i="3" s="1"/>
  <c r="E952" i="3" s="1"/>
  <c r="E953" i="3" s="1"/>
  <c r="E954" i="3" s="1"/>
  <c r="E955" i="3" s="1"/>
  <c r="E956" i="3" s="1"/>
  <c r="E957" i="3" s="1"/>
  <c r="E958" i="3" s="1"/>
  <c r="E959" i="3" s="1"/>
  <c r="E960" i="3" s="1"/>
  <c r="E961" i="3" s="1"/>
  <c r="E962" i="3" s="1"/>
  <c r="E963" i="3" s="1"/>
  <c r="E964" i="3" s="1"/>
  <c r="E965" i="3" s="1"/>
  <c r="E966" i="3" s="1"/>
  <c r="E967" i="3" s="1"/>
  <c r="E968" i="3" s="1"/>
  <c r="E969" i="3" s="1"/>
  <c r="E970" i="3" s="1"/>
  <c r="E971" i="3" s="1"/>
  <c r="E972" i="3" s="1"/>
  <c r="E973" i="3" s="1"/>
  <c r="E974" i="3" s="1"/>
  <c r="E975" i="3" s="1"/>
  <c r="E976" i="3" s="1"/>
  <c r="E977" i="3" s="1"/>
  <c r="E978" i="3" s="1"/>
  <c r="E979" i="3" s="1"/>
  <c r="E980" i="3" s="1"/>
  <c r="E981" i="3" s="1"/>
  <c r="E982" i="3" s="1"/>
  <c r="E983" i="3" s="1"/>
  <c r="E984" i="3" s="1"/>
  <c r="E985" i="3" s="1"/>
  <c r="E986" i="3" s="1"/>
  <c r="E987" i="3" s="1"/>
  <c r="E988" i="3" s="1"/>
  <c r="E989" i="3" s="1"/>
  <c r="E990" i="3" s="1"/>
  <c r="E991" i="3" s="1"/>
  <c r="E992" i="3" s="1"/>
  <c r="E993" i="3" s="1"/>
  <c r="E994" i="3" s="1"/>
  <c r="E995" i="3" s="1"/>
  <c r="E996" i="3" s="1"/>
  <c r="E997" i="3" s="1"/>
  <c r="E998" i="3" s="1"/>
  <c r="E999" i="3" s="1"/>
  <c r="E1000" i="3" s="1"/>
  <c r="E1001" i="3" s="1"/>
  <c r="E1002" i="3" s="1"/>
  <c r="E1003" i="3" s="1"/>
  <c r="E1004" i="3" s="1"/>
  <c r="E1005" i="3" s="1"/>
  <c r="E1006" i="3" s="1"/>
  <c r="B7" i="3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  <c r="B3395" i="3" s="1"/>
  <c r="B3396" i="3" s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J15" i="6" l="1"/>
  <c r="C14" i="6"/>
  <c r="I4" i="3"/>
  <c r="I5" i="7" s="1"/>
  <c r="J4" i="3"/>
  <c r="I6" i="7" s="1"/>
  <c r="I6" i="3"/>
  <c r="J6" i="3"/>
  <c r="G19" i="5" l="1"/>
  <c r="H6" i="7"/>
  <c r="G18" i="5"/>
  <c r="H5" i="7"/>
  <c r="G22" i="5"/>
  <c r="G2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7B1E8A-A710-4FD4-B2E8-7B407BA39509}" name="Connection" type="4" refreshedVersion="0" background="1" saveData="1">
    <webPr url="https://www.usbr.gov/pn-bin/hdb/hdb.pl?svr=lchdb&amp;sdi=2146&amp;tstp=day&amp;t1=2024-04-02&amp;t2=2024-04-30&amp;table=m&amp;mrid=4&amp;format=4" htmlTables="1" htmlFormat="all"/>
  </connection>
  <connection id="2" xr16:uid="{F74A851A-0737-486A-B976-6941651E5C27}" name="Connection1" type="4" refreshedVersion="0" background="1" saveData="1">
    <webPr url="https://www.usbr.gov/pn-bin/hdb/hdb.pl?svr=lchdb&amp;sdi=2146&amp;tstp=day&amp;t1=2024-05-01&amp;t2=2024-05-31&amp;table=m&amp;mrid=4&amp;format=4" htmlTables="1" htmlFormat="all"/>
  </connection>
  <connection id="3" xr16:uid="{A1C8E0CA-D9EA-442B-995B-40FC712655C4}" name="Connection10" type="4" refreshedVersion="8" background="1" saveData="1">
    <webPr xl2000="1" url="https://www.usbr.gov/pn-bin/hdb/hdb.pl?svr=lchdb&amp;sdi=2146&amp;tstp=day&amp;t1=2024-07-01&amp;t2=2024-07-31&amp;table=m&amp;mrid=4&amp;format=4" htmlTables="1" htmlFormat="all"/>
  </connection>
  <connection id="4" xr16:uid="{378FE775-BBF7-4E35-90A7-A565D87A5708}" name="Connection11" type="4" refreshedVersion="8" background="1" saveData="1">
    <webPr xl2000="1" url="https://www.usbr.gov/pn-bin/hdb/hdb.pl?svr=lchdb&amp;sdi=2097&amp;tstp=day&amp;t1=2024-06-01&amp;t2=2024-06-06&amp;table=r&amp;mrid=0&amp;format=4" htmlTables="1" htmlFormat="all"/>
  </connection>
  <connection id="5" xr16:uid="{FBE43FFC-F824-45F6-A9FA-39700D803062}" name="Connection12" type="4" refreshedVersion="8" background="1" saveData="1">
    <webPr xl2000="1" url="https://www.usbr.gov/pn-bin/hdb/hdb.pl?svr=lchdb&amp;sdi=2146&amp;tstp=day&amp;t1=2024-07-03&amp;t2=2024-07-31&amp;table=m&amp;mrid=4&amp;format=4" htmlTables="1" htmlFormat="all"/>
  </connection>
  <connection id="6" xr16:uid="{F291998F-59BB-4187-9619-539DD47F791A}" name="Connection13" type="4" refreshedVersion="8" background="1" saveData="1">
    <webPr xl2000="1" url="https://www.usbr.gov/pn-bin/hdb/hdb.pl?svr=lchdb&amp;sdi=2146&amp;tstp=day&amp;t1=2024-08-01&amp;t2=2024-08-31&amp;table=m&amp;mrid=4&amp;format=4" htmlTables="1" htmlFormat="all"/>
  </connection>
  <connection id="7" xr16:uid="{3A7FC5A8-4DFB-41A1-A764-E4262D5E95E7}" name="Connection14" type="4" refreshedVersion="8" background="1" saveData="1">
    <webPr xl2000="1" url="https://www.usbr.gov/pn-bin/hdb/hdb.pl?svr=lchdb&amp;sdi=2097&amp;tstp=day&amp;t1=2024-07-01&amp;t2=2024-07-02&amp;table=r&amp;mrid=0&amp;format=4" htmlTables="1" htmlFormat="all"/>
  </connection>
  <connection id="8" xr16:uid="{FCBAF5EC-E9F6-4D8D-A660-06F657A9F4BC}" name="Connection15" type="4" refreshedVersion="8" background="1" saveData="1">
    <webPr xl2000="1" url="https://www.usbr.gov/pn-bin/hdb/hdb.pl?svr=lchdb&amp;sdi=2146&amp;tstp=day&amp;t1=2024-08-05&amp;t2=2024-08-31&amp;table=m&amp;mrid=4&amp;format=4" htmlTables="1" htmlFormat="all"/>
  </connection>
  <connection id="9" xr16:uid="{9CE9D095-834C-486A-A8D8-C72C7B8B75FC}" name="Connection16" type="4" refreshedVersion="8" background="1" saveData="1">
    <webPr xl2000="1" url="https://www.usbr.gov/pn-bin/hdb/hdb.pl?svr=lchdb&amp;sdi=2146&amp;tstp=day&amp;t1=2024-09-01&amp;t2=2024-09-30&amp;table=m&amp;mrid=4&amp;format=4" htmlTables="1" htmlFormat="all"/>
  </connection>
  <connection id="10" xr16:uid="{0110F7B7-CC05-4844-8515-A609CD42D042}" name="Connection17" type="4" refreshedVersion="8" background="1" saveData="1">
    <webPr xl2000="1" url="https://www.usbr.gov/pn-bin/hdb/hdb.pl?svr=lchdb&amp;sdi=2097&amp;tstp=day&amp;t1=2024-08-01&amp;t2=2024-08-04&amp;table=r&amp;mrid=0&amp;format=4" htmlTables="1" htmlFormat="all"/>
  </connection>
  <connection id="11" xr16:uid="{0C67B259-7561-41B9-A88D-E2D2BA3B56C6}" name="Connection18" type="4" refreshedVersion="8" background="1" saveData="1">
    <webPr xl2000="1" url="https://www.usbr.gov/pn-bin/hdb/hdb.pl?svr=lchdb&amp;sdi=2146&amp;tstp=day&amp;t1=2024-09-05&amp;t2=2024-09-30&amp;table=m&amp;mrid=4&amp;format=4" htmlTables="1" htmlFormat="all"/>
  </connection>
  <connection id="12" xr16:uid="{B273BCEC-462C-42FA-8F7F-96DCAA1C4797}" name="Connection19" type="4" refreshedVersion="8" background="1" saveData="1">
    <webPr xl2000="1" url="https://www.usbr.gov/pn-bin/hdb/hdb.pl?svr=lchdb&amp;sdi=2146&amp;tstp=day&amp;t1=2024-10-01&amp;t2=2024-10-31&amp;table=m&amp;mrid=4&amp;format=4" htmlTables="1" htmlFormat="all"/>
  </connection>
  <connection id="13" xr16:uid="{EF4944E7-5728-4807-9B00-27A845F60D38}" name="Connection2" type="4" refreshedVersion="0" background="1" saveData="1">
    <webPr url="https://www.usbr.gov/pn-bin/hdb/hdb.pl?svr=lchdb&amp;sdi=2097&amp;tstp=day&amp;t1=2024-04-01&amp;t2=2024-04-01&amp;table=r&amp;mrid=0&amp;format=4" htmlTables="1" htmlFormat="all"/>
  </connection>
  <connection id="14" xr16:uid="{5CDD1FA6-5901-47E2-89D3-08090BC08F8D}" name="Connection20" type="4" refreshedVersion="8" background="1" saveData="1">
    <webPr xl2000="1" url="https://www.usbr.gov/pn-bin/hdb/hdb.pl?svr=lchdb&amp;sdi=2097&amp;tstp=day&amp;t1=2024-09-01&amp;t2=2024-09-04&amp;table=r&amp;mrid=0&amp;format=4" htmlTables="1" htmlFormat="all"/>
  </connection>
  <connection id="15" xr16:uid="{C93054EE-8E6D-4B01-B6C4-A29FD91BB6E4}" name="Connection21" type="4" refreshedVersion="8" background="1" saveData="1">
    <webPr xl2000="1" url="https://www.usbr.gov/pn-bin/hdb/hdb.pl?svr=lchdb&amp;sdi=2146&amp;tstp=day&amp;t1=2024-10-03&amp;t2=2024-10-31&amp;table=m&amp;mrid=4&amp;format=4" htmlTables="1" htmlFormat="all"/>
  </connection>
  <connection id="16" xr16:uid="{0551862C-BDB2-4BBB-A6E4-F68C1E2D700E}" name="Connection22" type="4" refreshedVersion="8" background="1" saveData="1">
    <webPr xl2000="1" url="https://www.usbr.gov/pn-bin/hdb/hdb.pl?svr=lchdb&amp;sdi=2146&amp;tstp=day&amp;t1=2024-11-01&amp;t2=2024-11-30&amp;table=m&amp;mrid=4&amp;format=4" htmlTables="1" htmlFormat="all"/>
  </connection>
  <connection id="17" xr16:uid="{28CC6266-3EEF-47F3-AA92-60600713DA93}" name="Connection23" type="4" refreshedVersion="8" background="1" saveData="1">
    <webPr xl2000="1" url="https://www.usbr.gov/pn-bin/hdb/hdb.pl?svr=lchdb&amp;sdi=2097&amp;tstp=day&amp;t1=2024-10-01&amp;t2=2024-10-02&amp;table=r&amp;mrid=0&amp;format=4" htmlTables="1" htmlFormat="all"/>
  </connection>
  <connection id="18" xr16:uid="{E754D7BF-C6C2-43E9-920D-C9D8F4406F70}" name="Connection24" type="4" refreshedVersion="8" background="1" saveData="1">
    <webPr xl2000="1" url="https://www.usbr.gov/pn-bin/hdb/hdb.pl?svr=lchdb&amp;sdi=2146&amp;tstp=day&amp;t1=2024-11-05&amp;t2=2024-11-30&amp;table=m&amp;mrid=4&amp;format=4" htmlTables="1" htmlFormat="all"/>
  </connection>
  <connection id="19" xr16:uid="{ADD9BECE-C9D2-4AFF-A872-A324D070683F}" name="Connection25" type="4" refreshedVersion="8" background="1" saveData="1">
    <webPr xl2000="1" url="https://www.usbr.gov/pn-bin/hdb/hdb.pl?svr=lchdb&amp;sdi=2146&amp;tstp=day&amp;t1=2024-12-01&amp;t2=2024-12-31&amp;table=m&amp;mrid=4&amp;format=4" htmlTables="1" htmlFormat="all"/>
  </connection>
  <connection id="20" xr16:uid="{B0E0D668-B24A-4A72-B9E8-700365A8EEE7}" name="Connection26" type="4" refreshedVersion="8" background="1" saveData="1">
    <webPr xl2000="1" url="https://www.usbr.gov/pn-bin/hdb/hdb.pl?svr=lchdb&amp;sdi=2097&amp;tstp=day&amp;t1=2024-11-01&amp;t2=2024-11-04&amp;table=r&amp;mrid=0&amp;format=4" htmlTables="1" htmlFormat="all"/>
  </connection>
  <connection id="21" xr16:uid="{41A91E4A-6FCD-4C14-B1A7-A317EFE07841}" name="Connection27" type="4" refreshedVersion="8" background="1" saveData="1">
    <webPr xl2000="1" url="https://www.usbr.gov/pn-bin/hdb/hdb.pl?svr=lchdb&amp;sdi=2146&amp;tstp=day&amp;t1=2024-12-04&amp;t2=2024-12-31&amp;table=m&amp;mrid=4&amp;format=4" htmlTables="1" htmlFormat="all"/>
  </connection>
  <connection id="22" xr16:uid="{3766BCDC-183F-4499-8049-602CE958D782}" name="Connection28" type="4" refreshedVersion="8" background="1" saveData="1">
    <webPr xl2000="1" url="https://www.usbr.gov/pn-bin/hdb/hdb.pl?svr=lchdb&amp;sdi=2146&amp;tstp=day&amp;t1=2025-01-01&amp;t2=2025-01-31&amp;table=m&amp;mrid=4&amp;format=4" htmlTables="1" htmlFormat="all"/>
  </connection>
  <connection id="23" xr16:uid="{39B0D260-6D46-4512-8E8F-A850B8C2D1F2}" name="Connection29" type="4" refreshedVersion="8" background="1" saveData="1">
    <webPr xl2000="1" url="https://www.usbr.gov/pn-bin/hdb/hdb.pl?svr=lchdb&amp;sdi=2097&amp;tstp=day&amp;t1=2024-12-01&amp;t2=2024-12-03&amp;table=r&amp;mrid=0&amp;format=4" htmlTables="1" htmlFormat="all"/>
  </connection>
  <connection id="24" xr16:uid="{80814B9F-CCC8-49A3-B1BE-C07CC7A75B7B}" name="Connection3" type="4" refreshedVersion="8" background="1" saveData="1">
    <webPr xl2000="1" url="https://www.usbr.gov/pn-bin/hdb/hdb.pl?svr=lchdb&amp;sdi=2146&amp;tstp=day&amp;t1=2024-04-08&amp;t2=2024-04-30&amp;table=m&amp;mrid=4&amp;format=4" htmlTables="1" htmlFormat="all"/>
  </connection>
  <connection id="25" xr16:uid="{4F070DA3-8CD1-43B4-BEAA-78493D66DF90}" name="Connection30" type="4" refreshedVersion="8" background="1" saveData="1">
    <webPr xl2000="1" url="https://www.usbr.gov/pn-bin/hdb/hdb.pl?svr=lchdb&amp;sdi=2146&amp;tstp=day&amp;t1=2025-01-10&amp;t2=2025-01-31&amp;table=m&amp;mrid=4&amp;format=4" htmlTables="1" htmlFormat="all"/>
  </connection>
  <connection id="26" xr16:uid="{4B8B0466-2809-48BB-A65E-F416D744BE86}" name="Connection31" type="4" refreshedVersion="8" background="1" saveData="1">
    <webPr xl2000="1" url="https://www.usbr.gov/pn-bin/hdb/hdb.pl?svr=lchdb&amp;sdi=2146&amp;tstp=day&amp;t1=2025-02-01&amp;t2=2025-02-28&amp;table=m&amp;mrid=4&amp;format=4" htmlTables="1" htmlFormat="all"/>
  </connection>
  <connection id="27" xr16:uid="{977FA4BD-B81D-44CB-A7BA-22D7801C74B1}" name="Connection32" type="4" refreshedVersion="8" background="1" saveData="1">
    <webPr xl2000="1" url="https://www.usbr.gov/pn-bin/hdb/hdb.pl?svr=lchdb&amp;sdi=2097&amp;tstp=day&amp;t1=2025-01-01&amp;t2=2025-01-09&amp;table=r&amp;mrid=0&amp;format=4" htmlTables="1" htmlFormat="all"/>
  </connection>
  <connection id="28" xr16:uid="{169BA1C3-A023-4DFB-AE48-35F2319EC0F9}" name="Connection33" type="4" refreshedVersion="8" background="1" saveData="1">
    <webPr xl2000="1" url="https://www.usbr.gov/pn-bin/hdb/hdb.pl?svr=lchdb&amp;sdi=2146&amp;tstp=day&amp;t1=2025-02-10&amp;t2=2025-02-28&amp;table=m&amp;mrid=4&amp;format=4" htmlTables="1" htmlFormat="all"/>
  </connection>
  <connection id="29" xr16:uid="{5E98824E-B162-4141-971B-53EBBE133D2A}" name="Connection34" type="4" refreshedVersion="8" background="1" saveData="1">
    <webPr xl2000="1" url="https://www.usbr.gov/pn-bin/hdb/hdb.pl?svr=lchdb&amp;sdi=2146&amp;tstp=day&amp;t1=2025-03-01&amp;t2=2025-03-31&amp;table=m&amp;mrid=4&amp;format=4" htmlTables="1" htmlFormat="all"/>
  </connection>
  <connection id="30" xr16:uid="{5F478C91-8C04-4814-9BF7-493DB29249B4}" name="Connection35" type="4" refreshedVersion="8" background="1" saveData="1">
    <webPr xl2000="1" url="https://www.usbr.gov/pn-bin/hdb/hdb.pl?svr=lchdb&amp;sdi=2097&amp;tstp=day&amp;t1=2025-02-01&amp;t2=2025-02-09&amp;table=r&amp;mrid=0&amp;format=4" htmlTables="1" htmlFormat="all"/>
  </connection>
  <connection id="31" xr16:uid="{ADD68296-7360-4825-AE9A-3ED48C174268}" name="Connection36" type="4" refreshedVersion="8" background="1" saveData="1">
    <webPr xl2000="1" url="https://www.usbr.gov/pn-bin/hdb/hdb.pl?svr=lchdb&amp;sdi=2146&amp;tstp=day&amp;t1=2025-03-07&amp;t2=2025-03-31&amp;table=m&amp;mrid=4&amp;format=4" htmlTables="1" htmlFormat="all"/>
  </connection>
  <connection id="32" xr16:uid="{A9D9F9BB-AEB6-40C1-8EB1-AA4D77B5B090}" name="Connection37" type="4" refreshedVersion="8" background="1" saveData="1">
    <webPr xl2000="1" url="https://www.usbr.gov/pn-bin/hdb/hdb.pl?svr=lchdb&amp;sdi=2146&amp;tstp=day&amp;t1=2025-04-01&amp;t2=2025-04-30&amp;table=m&amp;mrid=4&amp;format=4" htmlTables="1" htmlFormat="all"/>
  </connection>
  <connection id="33" xr16:uid="{CCCE44D0-E61A-4508-BBAC-CCB561672562}" name="Connection38" type="4" refreshedVersion="8" background="1" saveData="1">
    <webPr xl2000="1" url="https://www.usbr.gov/pn-bin/hdb/hdb.pl?svr=lchdb&amp;sdi=2097&amp;tstp=day&amp;t1=2025-03-01&amp;t2=2025-03-06&amp;table=r&amp;mrid=0&amp;format=4" htmlTables="1" htmlFormat="all"/>
  </connection>
  <connection id="34" xr16:uid="{5806A263-307D-4EC1-B0D6-EAC0938446B9}" name="Connection39" type="4" refreshedVersion="8" background="1" saveData="1">
    <webPr xl2000="1" url="https://www.usbr.gov/pn-bin/hdb/hdb.pl?svr=lchdb&amp;sdi=2146&amp;tstp=day&amp;t1=2025-04-04&amp;t2=2025-04-30&amp;table=m&amp;mrid=4&amp;format=4" htmlTables="1" htmlFormat="all"/>
  </connection>
  <connection id="35" xr16:uid="{5A8AB552-998E-4D81-BD4D-9E565E75D208}" name="Connection4" type="4" refreshedVersion="8" background="1" saveData="1">
    <webPr xl2000="1" url="https://www.usbr.gov/pn-bin/hdb/hdb.pl?svr=lchdb&amp;sdi=2146&amp;tstp=day&amp;t1=2024-05-01&amp;t2=2024-05-31&amp;table=m&amp;mrid=4&amp;format=4" htmlTables="1" htmlFormat="all"/>
  </connection>
  <connection id="36" xr16:uid="{F3723241-58E8-4B3A-A662-0476829F0664}" name="Connection40" type="4" refreshedVersion="8" background="1" saveData="1">
    <webPr xl2000="1" url="https://www.usbr.gov/pn-bin/hdb/hdb.pl?svr=lchdb&amp;sdi=2146&amp;tstp=day&amp;t1=2025-05-01&amp;t2=2025-05-31&amp;table=m&amp;mrid=4&amp;format=4" htmlTables="1" htmlFormat="all"/>
  </connection>
  <connection id="37" xr16:uid="{CC7B57E0-CC73-4754-97A1-273B6A7F48A6}" name="Connection41" type="4" refreshedVersion="8" background="1" saveData="1">
    <webPr xl2000="1" url="https://www.usbr.gov/pn-bin/hdb/hdb.pl?svr=lchdb&amp;sdi=2097&amp;tstp=day&amp;t1=2025-04-01&amp;t2=2025-04-03&amp;table=r&amp;mrid=0&amp;format=4" htmlTables="1" htmlFormat="all"/>
  </connection>
  <connection id="38" xr16:uid="{A98CBFC1-977F-4A68-9E56-D62686DCA396}" name="Connection42" type="4" refreshedVersion="8" background="1" saveData="1">
    <webPr xl2000="1" url="https://www.usbr.gov/pn-bin/hdb/hdb.pl?svr=lchdb&amp;sdi=2146&amp;tstp=day&amp;t1=2025-05-07&amp;t2=2025-05-31&amp;table=m&amp;mrid=4&amp;format=4" htmlTables="1" htmlFormat="all"/>
  </connection>
  <connection id="39" xr16:uid="{2EFE08D0-3AB4-402C-962D-98EC6D86B8FD}" name="Connection43" type="4" refreshedVersion="8" background="1" saveData="1">
    <webPr xl2000="1" url="https://www.usbr.gov/pn-bin/hdb/hdb.pl?svr=lchdb&amp;sdi=2146&amp;tstp=day&amp;t1=2025-06-01&amp;t2=2025-06-30&amp;table=m&amp;mrid=4&amp;format=4" htmlTables="1" htmlFormat="all"/>
  </connection>
  <connection id="40" xr16:uid="{1610588F-EA0C-4F74-A34A-9A7264D82625}" name="Connection44" type="4" refreshedVersion="8" background="1" saveData="1">
    <webPr xl2000="1" url="https://www.usbr.gov/pn-bin/hdb/hdb.pl?svr=lchdb&amp;sdi=2097&amp;tstp=day&amp;t1=2025-05-01&amp;t2=2025-05-06&amp;table=r&amp;mrid=0&amp;format=4" htmlTables="1" htmlFormat="all"/>
  </connection>
  <connection id="41" xr16:uid="{7C5DCDD6-268A-46AF-9C72-16F2208CBFFE}" name="Connection45" type="4" refreshedVersion="8" background="1" saveData="1">
    <webPr xl2000="1" url="https://www.usbr.gov/pn-bin/hdb/hdb.pl?svr=lchdb&amp;sdi=2146&amp;tstp=day&amp;t1=2025-05-07&amp;t2=2025-05-31&amp;table=m&amp;mrid=4&amp;format=4" htmlTables="1" htmlFormat="all"/>
  </connection>
  <connection id="42" xr16:uid="{92F6D357-0C11-4058-AEC5-BDA6AB263B8D}" name="Connection46" type="4" refreshedVersion="8" background="1" saveData="1">
    <webPr xl2000="1" url="https://www.usbr.gov/pn-bin/hdb/hdb.pl?svr=lchdb&amp;sdi=2146&amp;tstp=day&amp;t1=2025-06-01&amp;t2=2025-06-30&amp;table=m&amp;mrid=4&amp;format=4" htmlTables="1" htmlFormat="all"/>
  </connection>
  <connection id="43" xr16:uid="{22A47BDF-39A8-4D1C-AEE8-9D124A3656B4}" name="Connection47" type="4" refreshedVersion="8" background="1" saveData="1">
    <webPr xl2000="1" url="https://www.usbr.gov/pn-bin/hdb/hdb.pl?svr=lchdb&amp;sdi=2097&amp;tstp=day&amp;t1=2025-05-01&amp;t2=2025-05-06&amp;table=r&amp;mrid=0&amp;format=4" htmlTables="1" htmlFormat="all"/>
  </connection>
  <connection id="44" xr16:uid="{B7EF34F9-F943-4836-8773-457ECC8FC130}" name="Connection48" type="4" refreshedVersion="8" background="1" saveData="1">
    <webPr xl2000="1" url="https://www.usbr.gov/pn-bin/hdb/hdb.pl?svr=lchdb&amp;sdi=2146&amp;tstp=day&amp;t1=2025-05-07&amp;t2=2025-05-31&amp;table=m&amp;mrid=4&amp;format=4" htmlTables="1" htmlFormat="all"/>
  </connection>
  <connection id="45" xr16:uid="{1F7BBF2D-E493-42FD-B30E-028BC219F089}" name="Connection49" type="4" refreshedVersion="8" background="1" saveData="1">
    <webPr xl2000="1" url="https://www.usbr.gov/pn-bin/hdb/hdb.pl?svr=lchdb&amp;sdi=2146&amp;tstp=day&amp;t1=2025-06-01&amp;t2=2025-06-30&amp;table=m&amp;mrid=4&amp;format=4" htmlTables="1" htmlFormat="all"/>
  </connection>
  <connection id="46" xr16:uid="{4F2BC371-D9A3-4455-B9E6-C8D24025FCF3}" name="Connection5" type="4" refreshedVersion="8" background="1" saveData="1">
    <webPr xl2000="1" url="https://www.usbr.gov/pn-bin/hdb/hdb.pl?svr=lchdb&amp;sdi=2097&amp;tstp=day&amp;t1=2024-04-01&amp;t2=2024-04-07&amp;table=r&amp;mrid=0&amp;format=4" htmlTables="1" htmlFormat="all"/>
  </connection>
  <connection id="47" xr16:uid="{D008CBB1-A75E-4F3B-8837-69B76AEF6B27}" name="Connection50" type="4" refreshedVersion="8" background="1" saveData="1">
    <webPr xl2000="1" url="https://www.usbr.gov/pn-bin/hdb/hdb.pl?svr=lchdb&amp;sdi=2097&amp;tstp=day&amp;t1=2025-05-01&amp;t2=2025-05-06&amp;table=r&amp;mrid=0&amp;format=4" htmlTables="1" htmlFormat="all"/>
  </connection>
  <connection id="48" xr16:uid="{448906DF-4E49-4101-9BFA-ABECC28E5540}" name="Connection51" type="4" refreshedVersion="8" background="1" saveData="1">
    <webPr xl2000="1" url="https://www.usbr.gov/pn-bin/hdb/hdb.pl?svr=lchdb&amp;sdi=2146&amp;tstp=day&amp;t1=2025-06-06&amp;t2=2025-06-30&amp;table=m&amp;mrid=4&amp;format=4" htmlTables="1" htmlFormat="all"/>
  </connection>
  <connection id="49" xr16:uid="{C216BF01-0970-483C-B913-5C0A49D2CCDA}" name="Connection52" type="4" refreshedVersion="8" background="1" saveData="1">
    <webPr xl2000="1" url="https://www.usbr.gov/pn-bin/hdb/hdb.pl?svr=lchdb&amp;sdi=2146&amp;tstp=day&amp;t1=2025-07-01&amp;t2=2025-07-31&amp;table=m&amp;mrid=4&amp;format=4" htmlTables="1" htmlFormat="all"/>
  </connection>
  <connection id="50" xr16:uid="{B1B13A55-1B6F-4702-A48A-B02EC677E1D3}" name="Connection53" type="4" refreshedVersion="8" background="1" saveData="1">
    <webPr xl2000="1" url="https://www.usbr.gov/pn-bin/hdb/hdb.pl?svr=lchdb&amp;sdi=2097&amp;tstp=day&amp;t1=2025-06-01&amp;t2=2025-06-05&amp;table=r&amp;mrid=0&amp;format=4" htmlTables="1" htmlFormat="all"/>
  </connection>
  <connection id="51" xr16:uid="{EC4B5361-9D2A-4FA1-B242-E298A44273F6}" name="Connection54" type="4" refreshedVersion="8" background="1" saveData="1">
    <webPr xl2000="1" url="https://www.usbr.gov/pn-bin/hdb/hdb.pl?svr=lchdb&amp;sdi=2146&amp;tstp=day&amp;t1=2025-07-07&amp;t2=2025-07-31&amp;table=m&amp;mrid=4&amp;format=4" htmlTables="1" htmlFormat="all"/>
  </connection>
  <connection id="52" xr16:uid="{2EF8BC0C-39B7-4417-8C7D-E74780DDEB18}" name="Connection55" type="4" refreshedVersion="8" background="1" saveData="1">
    <webPr xl2000="1" url="https://www.usbr.gov/pn-bin/hdb/hdb.pl?svr=lchdb&amp;sdi=2146&amp;tstp=day&amp;t1=2025-08-01&amp;t2=2025-08-31&amp;table=m&amp;mrid=4&amp;format=4" htmlTables="1" htmlFormat="all"/>
  </connection>
  <connection id="53" xr16:uid="{799CF21C-488A-457B-8EBB-15AB0B452945}" name="Connection56" type="4" refreshedVersion="8" background="1" saveData="1">
    <webPr xl2000="1" url="https://www.usbr.gov/pn-bin/hdb/hdb.pl?svr=lchdb&amp;sdi=2097&amp;tstp=day&amp;t1=2025-07-01&amp;t2=2025-07-06&amp;table=r&amp;mrid=0&amp;format=4" htmlTables="1" htmlFormat="all"/>
  </connection>
  <connection id="54" xr16:uid="{2AAB1261-8840-4424-92AB-039F6A9A4750}" name="Connection57" type="4" refreshedVersion="8" background="1" saveData="1">
    <webPr xl2000="1" url="https://www.usbr.gov/pn-bin/hdb/hdb.pl?svr=lchdb&amp;sdi=2146&amp;tstp=day&amp;t1=2025-08-06&amp;t2=2025-08-31&amp;table=m&amp;mrid=4&amp;format=4" htmlTables="1" htmlFormat="all"/>
  </connection>
  <connection id="55" xr16:uid="{97F43A0A-1E29-484B-BA35-D3C5B328CD8E}" name="Connection58" type="4" refreshedVersion="8" background="1" saveData="1">
    <webPr xl2000="1" url="https://www.usbr.gov/pn-bin/hdb/hdb.pl?svr=lchdb&amp;sdi=2146&amp;tstp=day&amp;t1=2025-09-01&amp;t2=2025-09-30&amp;table=m&amp;mrid=4&amp;format=4" htmlTables="1" htmlFormat="all"/>
  </connection>
  <connection id="56" xr16:uid="{ACF99824-074E-48EC-A8E0-0439F5F8268E}" name="Connection59" type="4" refreshedVersion="8" background="1" saveData="1">
    <webPr xl2000="1" url="https://www.usbr.gov/pn-bin/hdb/hdb.pl?svr=lchdb&amp;sdi=2097&amp;tstp=day&amp;t1=2025-08-01&amp;t2=2025-08-05&amp;table=r&amp;mrid=0&amp;format=4" htmlTables="1" htmlFormat="all"/>
  </connection>
  <connection id="57" xr16:uid="{7B326AEB-B760-47B5-8ED4-252D168873A6}" name="Connection6" type="4" refreshedVersion="8" background="1" saveData="1">
    <webPr xl2000="1" url="https://www.usbr.gov/pn-bin/hdb/hdb.pl?svr=lchdb&amp;sdi=2146&amp;tstp=day&amp;t1=2024-05-07&amp;t2=2024-05-31&amp;table=m&amp;mrid=4&amp;format=4" htmlTables="1" htmlFormat="all"/>
  </connection>
  <connection id="58" xr16:uid="{0BD0A507-CB75-4F85-AE43-E181CC51DFDB}" name="Connection60" type="4" refreshedVersion="8" background="1" saveData="1">
    <webPr xl2000="1" url="https://www.usbr.gov/pn-bin/hdb/hdb.pl?svr=lchdb&amp;sdi=2146&amp;tstp=day&amp;t1=2025-09-04&amp;t2=2025-09-30&amp;table=m&amp;mrid=4&amp;format=4" htmlTables="1" htmlFormat="all"/>
  </connection>
  <connection id="59" xr16:uid="{B360AF2B-92D6-4089-8DD6-9958DDB81688}" name="Connection61" type="4" refreshedVersion="8" background="1" saveData="1">
    <webPr xl2000="1" url="https://www.usbr.gov/pn-bin/hdb/hdb.pl?svr=lchdb&amp;sdi=2146&amp;tstp=day&amp;t1=2025-10-01&amp;t2=2025-10-31&amp;table=m&amp;mrid=4&amp;format=4" htmlTables="1" htmlFormat="all"/>
  </connection>
  <connection id="60" xr16:uid="{4C5D7FEE-2E3F-4476-9732-30AF7F1603AD}" name="Connection62" type="4" refreshedVersion="8" background="1" saveData="1">
    <webPr xl2000="1" url="https://www.usbr.gov/pn-bin/hdb/hdb.pl?svr=lchdb&amp;sdi=2097&amp;tstp=day&amp;t1=2025-09-01&amp;t2=2025-09-03&amp;table=r&amp;mrid=0&amp;format=4" htmlTables="1" htmlFormat="all"/>
  </connection>
  <connection id="61" xr16:uid="{DF1F361D-5671-4B59-9AF7-793627A241A6}" name="Connection63" type="4" refreshedVersion="8" background="1" saveData="1">
    <webPr xl2000="1" url="https://www.usbr.gov/pn-bin/hdb/hdb.pl?svr=lchdb&amp;sdi=2146&amp;tstp=day&amp;t1=2025-10-06&amp;t2=2025-10-31&amp;table=m&amp;mrid=4&amp;format=4" htmlTables="1" htmlFormat="all"/>
  </connection>
  <connection id="62" xr16:uid="{ECBCBD31-4326-4B34-92C3-06C74874C7ED}" name="Connection64" type="4" refreshedVersion="8" background="1" saveData="1">
    <webPr xl2000="1" url="https://www.usbr.gov/pn-bin/hdb/hdb.pl?svr=lchdb&amp;sdi=2146&amp;tstp=day&amp;t1=2025-11-01&amp;t2=2025-11-30&amp;table=m&amp;mrid=4&amp;format=4" htmlTables="1" htmlFormat="all"/>
  </connection>
  <connection id="63" xr16:uid="{3474CA99-0387-4774-A2DB-CD13088440A8}" name="Connection65" type="4" refreshedVersion="8" background="1" saveData="1">
    <webPr xl2000="1" url="https://www.usbr.gov/pn-bin/hdb/hdb.pl?svr=lchdb&amp;sdi=2097&amp;tstp=day&amp;t1=2025-10-01&amp;t2=2025-10-05&amp;table=r&amp;mrid=0&amp;format=4" htmlTables="1" htmlFormat="all"/>
  </connection>
  <connection id="64" xr16:uid="{500BC727-D9DD-4A84-8FF2-5D3A56AC769C}" name="Connection66" type="4" refreshedVersion="8" background="1" saveData="1">
    <webPr xl2000="1" url="https://www.usbr.gov/pn-bin/hdb/hdb.pl?svr=lchdb&amp;sdi=2146&amp;tstp=day&amp;t1=2025-11-04&amp;t2=2025-11-30&amp;table=m&amp;mrid=4&amp;format=4" htmlTables="1" htmlFormat="all"/>
  </connection>
  <connection id="65" xr16:uid="{8A03E631-A40E-4298-AEF0-37DA12FCF920}" name="Connection67" type="4" refreshedVersion="8" background="1" saveData="1">
    <webPr xl2000="1" url="https://www.usbr.gov/pn-bin/hdb/hdb.pl?svr=lchdb&amp;sdi=2146&amp;tstp=day&amp;t1=2025-12-01&amp;t2=2025-12-31&amp;table=m&amp;mrid=4&amp;format=4" htmlTables="1" htmlFormat="all"/>
  </connection>
  <connection id="66" xr16:uid="{0CD6F6BF-4321-4F58-A8A3-A9B37CE2E853}" name="Connection68" type="4" refreshedVersion="8" background="1" saveData="1">
    <webPr xl2000="1" url="https://www.usbr.gov/pn-bin/hdb/hdb.pl?svr=lchdb&amp;sdi=2097&amp;tstp=day&amp;t1=2025-11-01&amp;t2=2025-11-03&amp;table=r&amp;mrid=0&amp;format=4" htmlTables="1" htmlFormat="all"/>
  </connection>
  <connection id="67" xr16:uid="{85FF2611-D62B-42C1-A9DE-BE5FB5949AAB}" name="Connection69" type="4" refreshedVersion="8" background="1" saveData="1">
    <webPr xl2000="1" url="https://www.usbr.gov/pn-bin/hdb/hdb.pl?svr=lchdb&amp;sdi=2146&amp;tstp=day&amp;t1=2025-12-04&amp;t2=2025-12-31&amp;table=m&amp;mrid=4&amp;format=4" htmlTables="1" htmlFormat="all"/>
  </connection>
  <connection id="68" xr16:uid="{820731AB-1503-4D03-963B-AA4AFF65E90F}" name="Connection7" type="4" refreshedVersion="8" background="1" saveData="1">
    <webPr xl2000="1" url="https://www.usbr.gov/pn-bin/hdb/hdb.pl?svr=lchdb&amp;sdi=2146&amp;tstp=day&amp;t1=2024-06-01&amp;t2=2024-06-30&amp;table=m&amp;mrid=4&amp;format=4" htmlTables="1" htmlFormat="all"/>
  </connection>
  <connection id="69" xr16:uid="{AC5C07E4-A082-45D4-8A21-5AE39AD9707D}" name="Connection70" type="4" refreshedVersion="8" background="1" saveData="1">
    <webPr xl2000="1" url="https://www.usbr.gov/pn-bin/hdb/hdb.pl?svr=lchdb&amp;sdi=2146&amp;tstp=day&amp;t1=2026-01-01&amp;t2=2026-01-31&amp;table=m&amp;mrid=4&amp;format=4" htmlTables="1" htmlFormat="all"/>
  </connection>
  <connection id="70" xr16:uid="{2C4BEA93-5AF0-4B36-8EF0-C13F794604F5}" name="Connection71" type="4" refreshedVersion="8" background="1" saveData="1">
    <webPr xl2000="1" url="https://www.usbr.gov/pn-bin/hdb/hdb.pl?svr=lchdb&amp;sdi=2097&amp;tstp=day&amp;t1=2025-12-01&amp;t2=2025-12-03&amp;table=r&amp;mrid=0&amp;format=4" htmlTables="1" htmlFormat="all"/>
  </connection>
  <connection id="71" xr16:uid="{6F211C9E-5300-4981-B237-C1FFB6FFE90F}" name="Connection72" type="4" refreshedVersion="8" background="1" saveData="1">
    <webPr xl2000="1" url="https://www.usbr.gov/pn-bin/hdb/hdb.pl?svr=lchdb&amp;sdi=2146&amp;tstp=day&amp;t1=2026-01-09&amp;t2=2026-01-31&amp;table=m&amp;mrid=4&amp;format=4" htmlTables="1" htmlFormat="all"/>
  </connection>
  <connection id="72" xr16:uid="{4BE6F308-2BAD-428D-BE4E-4CB3D03EB796}" name="Connection73" type="4" refreshedVersion="8" background="1" saveData="1">
    <webPr xl2000="1" url="https://www.usbr.gov/pn-bin/hdb/hdb.pl?svr=lchdb&amp;sdi=2146&amp;tstp=day&amp;t1=2026-02-01&amp;t2=2026-02-28&amp;table=m&amp;mrid=4&amp;format=4" htmlTables="1" htmlFormat="all"/>
  </connection>
  <connection id="73" xr16:uid="{8917B6A1-A0C3-4ECB-ACDC-E5753C6DDE18}" name="Connection74" type="4" refreshedVersion="8" background="1" saveData="1">
    <webPr xl2000="1" url="https://www.usbr.gov/pn-bin/hdb/hdb.pl?svr=lchdb&amp;sdi=2097&amp;tstp=day&amp;t1=2026-01-01&amp;t2=2026-01-08&amp;table=r&amp;mrid=0&amp;format=4" htmlTables="1" htmlFormat="all"/>
  </connection>
  <connection id="74" xr16:uid="{4AF3BF31-8D1A-420E-A732-C7C29794BF89}" name="Connection75" type="4" refreshedVersion="8" background="1" saveData="1">
    <webPr xl2000="1" url="https://www.usbr.gov/pn-bin/hdb/hdb.pl?svr=lchdb&amp;sdi=2146&amp;tstp=day&amp;t1=2026-02-06&amp;t2=2026-02-28&amp;table=m&amp;mrid=4&amp;format=4" htmlTables="1" htmlFormat="all"/>
  </connection>
  <connection id="75" xr16:uid="{5FC72F9E-9EE1-4648-9228-60F9FD874672}" name="Connection76" type="4" refreshedVersion="8" background="1" saveData="1">
    <webPr xl2000="1" url="https://www.usbr.gov/pn-bin/hdb/hdb.pl?svr=lchdb&amp;sdi=2146&amp;tstp=day&amp;t1=2026-03-01&amp;t2=2026-03-31&amp;table=m&amp;mrid=4&amp;format=4" htmlTables="1" htmlFormat="all"/>
  </connection>
  <connection id="76" xr16:uid="{4B48C9B7-2DFB-40AD-8DDC-D9C63186D0CF}" name="Connection77" type="4" refreshedVersion="8" background="1" saveData="1">
    <webPr xl2000="1" url="https://www.usbr.gov/pn-bin/hdb/hdb.pl?svr=lchdb&amp;sdi=2097&amp;tstp=day&amp;t1=2026-02-01&amp;t2=2026-02-05&amp;table=r&amp;mrid=0&amp;format=4" htmlTables="1" htmlFormat="all"/>
  </connection>
  <connection id="77" xr16:uid="{80E4581B-66BE-4F86-9C1E-D34F918DCD43}" name="Connection78" type="4" refreshedVersion="8" background="1" saveData="1">
    <webPr xl2000="1" url="https://www.usbr.gov/pn-bin/hdb/hdb.pl?svr=lchdb&amp;sdi=2146&amp;tstp=day&amp;t1=2026-03-06&amp;t2=2026-03-31&amp;table=m&amp;mrid=4&amp;format=4" htmlTables="1" htmlFormat="all"/>
  </connection>
  <connection id="78" xr16:uid="{3C2F287C-B889-4BC8-A7F2-3762726F6E0F}" name="Connection79" type="4" refreshedVersion="8" background="1" saveData="1">
    <webPr xl2000="1" url="https://www.usbr.gov/pn-bin/hdb/hdb.pl?svr=lchdb&amp;sdi=2146&amp;tstp=day&amp;t1=2026-04-01&amp;t2=2026-04-30&amp;table=m&amp;mrid=4&amp;format=4" htmlTables="1" htmlFormat="all"/>
  </connection>
  <connection id="79" xr16:uid="{3B662C3F-CCE8-4BC8-A20A-9711B1FC6B6E}" name="Connection8" type="4" refreshedVersion="8" background="1" saveData="1">
    <webPr xl2000="1" url="https://www.usbr.gov/pn-bin/hdb/hdb.pl?svr=lchdb&amp;sdi=2097&amp;tstp=day&amp;t1=2024-05-01&amp;t2=2024-05-06&amp;table=r&amp;mrid=0&amp;format=4" htmlTables="1" htmlFormat="all"/>
  </connection>
  <connection id="80" xr16:uid="{99CE8406-1C2B-4F08-9833-D7867DED1FC6}" name="Connection80" type="4" refreshedVersion="8" background="1" saveData="1">
    <webPr xl2000="1" url="https://www.usbr.gov/pn-bin/hdb/hdb.pl?svr=lchdb&amp;sdi=2097&amp;tstp=day&amp;t1=2026-03-01&amp;t2=2026-03-05&amp;table=r&amp;mrid=0&amp;format=4" htmlTables="1" htmlFormat="all"/>
  </connection>
  <connection id="81" xr16:uid="{5B7985FD-A050-4993-90C4-B66F1DC2C14D}" name="Connection81" type="4" refreshedVersion="8" background="1" saveData="1">
    <webPr xl2000="1" url="https://www.usbr.gov/pn-bin/hdb/hdb.pl?svr=lchdb&amp;sdi=2146&amp;tstp=day&amp;t1=2026-04-06&amp;t2=2026-04-30&amp;table=m&amp;mrid=4&amp;format=4" htmlTables="1" htmlFormat="all"/>
  </connection>
  <connection id="82" xr16:uid="{E089F6F9-30F6-4853-BECC-E3730309B34A}" name="Connection82" type="4" refreshedVersion="8" background="1" saveData="1">
    <webPr xl2000="1" url="https://www.usbr.gov/pn-bin/hdb/hdb.pl?svr=lchdb&amp;sdi=2146&amp;tstp=day&amp;t1=2026-05-01&amp;t2=2026-05-31&amp;table=m&amp;mrid=4&amp;format=4" htmlTables="1" htmlFormat="all"/>
  </connection>
  <connection id="83" xr16:uid="{93774095-080E-4C8D-B126-FC3B050BDCB2}" name="Connection83" type="4" refreshedVersion="8" background="1" saveData="1">
    <webPr xl2000="1" url="https://www.usbr.gov/pn-bin/hdb/hdb.pl?svr=lchdb&amp;sdi=2097&amp;tstp=day&amp;t1=2026-04-01&amp;t2=2026-04-05&amp;table=r&amp;mrid=0&amp;format=4" htmlTables="1" htmlFormat="all"/>
  </connection>
  <connection id="84" xr16:uid="{4836E1B0-0424-4748-8E67-4849DBEAE431}" name="Connection84" type="4" refreshedVersion="8" background="1" saveData="1">
    <webPr xl2000="1" url="https://www.usbr.gov/pn-bin/hdb/hdb.pl?svr=lchdb&amp;sdi=2146&amp;tstp=day&amp;t1=2026-05-08&amp;t2=2026-05-31&amp;table=m&amp;mrid=4&amp;format=4" htmlTables="1" htmlFormat="all"/>
  </connection>
  <connection id="85" xr16:uid="{6DD1D54D-7F52-4465-8796-68F74CBB6FF1}" name="Connection85" type="4" refreshedVersion="8" background="1" saveData="1">
    <webPr xl2000="1" url="https://www.usbr.gov/pn-bin/hdb/hdb.pl?svr=lchdb&amp;sdi=2146&amp;tstp=day&amp;t1=2026-06-01&amp;t2=2026-06-30&amp;table=m&amp;mrid=4&amp;format=4" htmlTables="1" htmlFormat="all"/>
  </connection>
  <connection id="86" xr16:uid="{53B796EB-0CA8-4143-82E3-609264C7FA7B}" name="Connection86" type="4" refreshedVersion="8" background="1" saveData="1">
    <webPr xl2000="1" url="https://www.usbr.gov/pn-bin/hdb/hdb.pl?svr=lchdb&amp;sdi=2097&amp;tstp=day&amp;t1=2026-05-01&amp;t2=2026-05-07&amp;table=r&amp;mrid=0&amp;format=4" htmlTables="1" htmlFormat="all"/>
  </connection>
  <connection id="87" xr16:uid="{FDB007E8-9657-4B99-AC73-D17BECE524BC}" name="Connection9" type="4" refreshedVersion="8" background="1" saveData="1">
    <webPr xl2000="1" url="https://www.usbr.gov/pn-bin/hdb/hdb.pl?svr=lchdb&amp;sdi=2146&amp;tstp=day&amp;t1=2024-06-07&amp;t2=2024-06-30&amp;table=m&amp;mrid=4&amp;format=4" htmlTables="1" htmlFormat="all"/>
  </connection>
  <connection id="88" xr16:uid="{2C9F723D-A415-4529-8251-29F01E67E14F}" keepAlive="1" name="Query - NV" description="Connection to the 'NV' query in the workbook." type="5" refreshedVersion="8" background="1" saveData="1">
    <dbPr connection="Provider=Microsoft.Mashup.OleDb.1;Data Source=$Workbook$;Location=NV;Extended Properties=&quot;&quot;" command="SELECT * FROM [NV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<sst xmlns="http://schemas.openxmlformats.org/spreadsheetml/2006/main" count="187" uniqueCount="138">
  <si>
    <t>MWD</t>
  </si>
  <si>
    <t>MOHAVE Elevation (Ft)</t>
  </si>
  <si>
    <t>HAVASU Elevation (Ft)</t>
  </si>
  <si>
    <t>Havasu Elev</t>
  </si>
  <si>
    <t>Mohave Elev</t>
  </si>
  <si>
    <t>Mohave Content</t>
  </si>
  <si>
    <t>Havasu Content</t>
  </si>
  <si>
    <t>230 cfs</t>
  </si>
  <si>
    <t>Total CFS</t>
  </si>
  <si>
    <t>Total AF</t>
  </si>
  <si>
    <t>1 pump =</t>
  </si>
  <si>
    <t>Period 1</t>
  </si>
  <si>
    <t>Period 2</t>
  </si>
  <si>
    <t>Period 3</t>
  </si>
  <si>
    <t>Number of Days</t>
  </si>
  <si>
    <t>Number of Pumps</t>
  </si>
  <si>
    <t>Sub-Total AF</t>
  </si>
  <si>
    <t>CAP                                                                         (ac-ft)</t>
  </si>
  <si>
    <t>MWDDiv Sched</t>
  </si>
  <si>
    <t>w/o TJ                                                                        (ac-ft)</t>
  </si>
  <si>
    <t>AZ_CU_Schd</t>
  </si>
  <si>
    <t>Havasu Outflow</t>
  </si>
  <si>
    <t>Mohave Target</t>
  </si>
  <si>
    <t>Contents       (kaf)</t>
  </si>
  <si>
    <t>Havasu Target</t>
  </si>
  <si>
    <t>EnergyInfo    Effective</t>
  </si>
  <si>
    <t>Hoover                   (MW)</t>
  </si>
  <si>
    <t>Davis Maint</t>
  </si>
  <si>
    <t>Factor      NONE</t>
  </si>
  <si>
    <t>Parker Maint</t>
  </si>
  <si>
    <t>Month</t>
  </si>
  <si>
    <t>Percent Available</t>
  </si>
  <si>
    <t>INPUT SHEET FOR 24-MONTH STUDY</t>
  </si>
  <si>
    <t>Hoover Maint</t>
  </si>
  <si>
    <t>Davis Dam Maintenance Schedule and Capacity</t>
  </si>
  <si>
    <t>Davis Unit 1</t>
  </si>
  <si>
    <t>Davis Unit 2</t>
  </si>
  <si>
    <t>Davis Unit 3</t>
  </si>
  <si>
    <t>Davis Unit 4</t>
  </si>
  <si>
    <t>Davis Unit 5</t>
  </si>
  <si>
    <t>Days in Month</t>
  </si>
  <si>
    <t>Date Off</t>
  </si>
  <si>
    <t>Last Day Off or Last Day of Month</t>
  </si>
  <si>
    <t>Total Days On</t>
  </si>
  <si>
    <t>Total Capacity</t>
  </si>
  <si>
    <t>Total Available</t>
  </si>
  <si>
    <t>Parker Dam Maintenance Schedule and Capacity</t>
  </si>
  <si>
    <t>Parker Unit 1</t>
  </si>
  <si>
    <t>Parker Unit 2</t>
  </si>
  <si>
    <t>Parker Unit 3</t>
  </si>
  <si>
    <t>Parker Unit 4</t>
  </si>
  <si>
    <t>FT</t>
  </si>
  <si>
    <t>AC-FT</t>
  </si>
  <si>
    <t>KAF</t>
  </si>
  <si>
    <t>Tijuana Order</t>
  </si>
  <si>
    <t>Please fill in the cells in blue</t>
  </si>
  <si>
    <t>1. SELECT CURRENT 24-MS</t>
  </si>
  <si>
    <t>Required cell population</t>
  </si>
  <si>
    <t>DATE</t>
  </si>
  <si>
    <t>Output Reference Cells</t>
  </si>
  <si>
    <t>Total AF =</t>
  </si>
  <si>
    <t>MODELED DATA</t>
  </si>
  <si>
    <t>NEXT MONTH</t>
  </si>
  <si>
    <t>Current Month CFS:</t>
  </si>
  <si>
    <t xml:space="preserve">Out Month CFS: </t>
  </si>
  <si>
    <t>Current Month</t>
  </si>
  <si>
    <t>HISTORIC DATA</t>
  </si>
  <si>
    <t>BHOPSParker (af/month)</t>
  </si>
  <si>
    <t>Inputs from another sheet</t>
  </si>
  <si>
    <t>linked to capcity table</t>
  </si>
  <si>
    <t>Schedule last updated on</t>
  </si>
  <si>
    <t>Central Arizona Project</t>
  </si>
  <si>
    <t>and Actual Official Diversions (Acre-Feet)</t>
  </si>
  <si>
    <t>Prepared by the CAP Water Control Department</t>
  </si>
  <si>
    <t>Forecast</t>
  </si>
  <si>
    <t>Actual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</si>
  <si>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</si>
  <si>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</si>
  <si>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</si>
  <si>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</si>
  <si>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</si>
  <si>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</si>
  <si>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</si>
  <si>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</si>
  <si>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</si>
  <si>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</si>
  <si>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</si>
  <si>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</si>
  <si>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</si>
  <si>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Notes :</t>
  </si>
  <si>
    <t>MAX</t>
  </si>
  <si>
    <t>MIN</t>
  </si>
  <si>
    <t>AOP</t>
  </si>
  <si>
    <t>Diverted (6-day)</t>
  </si>
  <si>
    <t>3 pumps (5 days)</t>
  </si>
  <si>
    <r>
      <t>2. MWD DIVERSION (</t>
    </r>
    <r>
      <rPr>
        <i/>
        <sz val="10"/>
        <color theme="5" tint="-0.249977111117893"/>
        <rFont val="Arial"/>
        <family val="2"/>
      </rPr>
      <t>use MWD tab to calculate number of pumps to monthly diversion</t>
    </r>
    <r>
      <rPr>
        <b/>
        <sz val="10"/>
        <rFont val="Arial"/>
        <family val="2"/>
      </rPr>
      <t>)</t>
    </r>
  </si>
  <si>
    <r>
      <t>3. DAVIS MAINTENANCE SCHEDULE (</t>
    </r>
    <r>
      <rPr>
        <i/>
        <sz val="10"/>
        <color theme="5" tint="-0.249977111117893"/>
        <rFont val="Arial"/>
        <family val="2"/>
      </rPr>
      <t>go to tab</t>
    </r>
    <r>
      <rPr>
        <b/>
        <sz val="10"/>
        <rFont val="Arial"/>
        <family val="2"/>
      </rPr>
      <t>)</t>
    </r>
  </si>
  <si>
    <r>
      <t>4. PARKER MAINTENANCE SCHEDULE (</t>
    </r>
    <r>
      <rPr>
        <i/>
        <sz val="10"/>
        <color theme="5" tint="-0.249977111117893"/>
        <rFont val="Arial"/>
        <family val="2"/>
      </rPr>
      <t>go to tab</t>
    </r>
    <r>
      <rPr>
        <b/>
        <sz val="10"/>
        <rFont val="Arial"/>
        <family val="2"/>
      </rPr>
      <t>)</t>
    </r>
  </si>
  <si>
    <t>5. LAKE MOHAVE TARGET ELEVATION</t>
  </si>
  <si>
    <t>6. LAKE HAVASU TARGET ELEVATION</t>
  </si>
  <si>
    <t>6. CLICK GET DATA TO QUERY THE CAP SCHEDULE, HOOVER 17 MONTH SCHEDULE, AND HAVASU RELEASES</t>
  </si>
  <si>
    <t>MONTH #</t>
  </si>
  <si>
    <t>MONTH DATE</t>
  </si>
  <si>
    <t>MAINT FACT</t>
  </si>
  <si>
    <t>7. HOOVER 17 MONTH SCHEDULE (POPULATED VIA SCRIPT)</t>
  </si>
  <si>
    <t>DATETIME</t>
  </si>
  <si>
    <t>MODEL_RUN_ID</t>
  </si>
  <si>
    <t>SDI_2146</t>
  </si>
  <si>
    <t>SDI_2097</t>
  </si>
  <si>
    <t>Last updated:   2/7/2024 9:10:01 AM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</si>
  <si>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</si>
  <si>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</si>
  <si>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</si>
  <si>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</si>
  <si>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</si>
  <si>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</si>
  <si>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</si>
  <si>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</si>
  <si>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</si>
  <si>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</si>
  <si>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</si>
  <si>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</si>
  <si>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</si>
  <si>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</si>
  <si>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</si>
  <si>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</si>
  <si>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</si>
  <si>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MOHAVE Live Capacity (KAF)</t>
  </si>
  <si>
    <t>HAVASU Live Capacity (KAF)</t>
  </si>
  <si>
    <t>2026 Colorado River Diversion Estimates</t>
  </si>
  <si>
    <t>(Dated 12/11/2025</t>
  </si>
  <si>
    <t xml:space="preserve">AOP 2026 shows diversions based on water ordered as of October 1st 2025
Forecast 2026 shows any changes to scheduled water after the AOP was published. </t>
  </si>
  <si>
    <t>The 2026 diversion volume available for CAP, as shown on the USBR website</t>
  </si>
  <si>
    <t>Updated for reduction in GRIC System Conservation to 24,775 AF</t>
  </si>
  <si>
    <t>N:\D4000\COM460\24MONTH\2026\Hoover 17-Month Schedule\17 Month April Test (508 compliant).xlsx</t>
  </si>
  <si>
    <t>Updated Apr 20, 2026</t>
  </si>
  <si>
    <t>Last updated 5/8/2026 9:54:01 AM</t>
  </si>
  <si>
    <t>Last updated 5/8/2026 9:54:41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</si>
</sst>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m/dd/yy;@"/>
    <numFmt numFmtId="165" formatCode="0.0000"/>
    <numFmt numFmtId="166" formatCode="m/d/yy;@"/>
    <numFmt numFmtId="167" formatCode="mmmm"/>
    <numFmt numFmtId="168" formatCode="mmm"/>
    <numFmt numFmtId="169" formatCode="_(* #,##0_);_(* \(#,##0\);_(* &quot;-&quot;??_);_(@_)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sz val="10"/>
      <color theme="0" tint="-0.34998626667073579"/>
      <name val="Arial"/>
      <family val="2"/>
    </font>
    <font>
      <b/>
      <sz val="12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i/>
      <sz val="10"/>
      <color theme="5" tint="-0.249977111117893"/>
      <name val="Arial"/>
      <family val="2"/>
    </font>
    <font>
      <i/>
      <sz val="10"/>
      <name val="Arial"/>
      <family val="2"/>
    </font>
    <font>
      <b/>
      <sz val="10"/>
      <color theme="0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sz val="10"/>
      <color theme="0"/>
      <name val="Arial"/>
      <family val="2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sz val="12"/>
      <color theme="0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b/>
      <sz val="12"/>
      <color rgb="FFC00000"/>
      <name val="Arial"/>
      <family val="2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sz val="10"/>
      <name val="MS Sans Serif"/>
      <family val="2"/>
    </font>
    <font>
      <sz val="12"/>
      <color rgb="FF00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rgb="FFC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561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23" borderId="7" applyNumberFormat="0" applyFont="0" applyAlignment="0" applyProtection="0"/>
    <xf numFmtId="0" fontId="22" fillId="20" borderId="8" applyNumberFormat="0" applyAlignment="0" applyProtection="0"/>
    <xf numFmtId="9" fontId="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26" fillId="0" borderId="0"/>
    <xf numFmtId="0" fontId="4" fillId="0" borderId="0"/>
    <xf numFmtId="43" fontId="4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6" fillId="0" borderId="0"/>
    <xf numFmtId="0" fontId="54" fillId="0" borderId="0"/>
    <xf numFmtId="43" fontId="6" fillId="0" borderId="0" applyFont="0" applyFill="0" applyBorder="0" applyAlignment="0" applyProtection="0"/>
  </cellStyleXfs>
  <cellXfs count="221">
    <xf numFmtId="0" fontId="0" fillId="0" borderId="0" xfId="0"/>
    <xf numFmtId="0" fontId="7" fillId="0" borderId="0" xfId="0" applyFont="1" applyAlignment="1">
      <alignment horizontal="right"/>
    </xf>
    <xf numFmtId="0" fontId="7" fillId="0" borderId="0" xfId="0" applyFont="1"/>
    <xf numFmtId="0" fontId="6" fillId="0" borderId="0" xfId="0" applyFont="1"/>
    <xf numFmtId="2" fontId="6" fillId="26" borderId="1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3" fontId="30" fillId="0" borderId="0" xfId="0" applyNumberFormat="1" applyFont="1" applyAlignment="1">
      <alignment horizontal="center"/>
    </xf>
    <xf numFmtId="3" fontId="7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3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26" xfId="0" applyBorder="1" applyAlignment="1">
      <alignment horizontal="center" vertical="center" wrapText="1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4" fontId="7" fillId="0" borderId="0" xfId="0" applyNumberFormat="1" applyFont="1"/>
    <xf numFmtId="0" fontId="0" fillId="0" borderId="16" xfId="0" applyBorder="1" applyAlignment="1">
      <alignment horizontal="center"/>
    </xf>
    <xf numFmtId="0" fontId="31" fillId="0" borderId="0" xfId="0" applyFont="1"/>
    <xf numFmtId="14" fontId="0" fillId="0" borderId="0" xfId="0" applyNumberFormat="1"/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28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165" fontId="0" fillId="27" borderId="34" xfId="0" applyNumberFormat="1" applyFill="1" applyBorder="1" applyAlignment="1">
      <alignment horizontal="center"/>
    </xf>
    <xf numFmtId="165" fontId="0" fillId="27" borderId="38" xfId="0" applyNumberFormat="1" applyFill="1" applyBorder="1" applyAlignment="1">
      <alignment horizontal="center"/>
    </xf>
    <xf numFmtId="165" fontId="0" fillId="27" borderId="39" xfId="0" applyNumberForma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67" fontId="6" fillId="0" borderId="0" xfId="0" applyNumberFormat="1" applyFont="1"/>
    <xf numFmtId="0" fontId="6" fillId="0" borderId="0" xfId="0" quotePrefix="1" applyFont="1" applyAlignment="1">
      <alignment horizontal="center"/>
    </xf>
    <xf numFmtId="14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right" indent="1"/>
    </xf>
    <xf numFmtId="2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 wrapText="1"/>
    </xf>
    <xf numFmtId="37" fontId="0" fillId="0" borderId="0" xfId="2554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center"/>
    </xf>
    <xf numFmtId="2" fontId="6" fillId="0" borderId="0" xfId="0" applyNumberFormat="1" applyFont="1" applyAlignment="1" applyProtection="1">
      <alignment horizontal="center" wrapText="1"/>
      <protection locked="0"/>
    </xf>
    <xf numFmtId="0" fontId="7" fillId="0" borderId="0" xfId="0" applyFont="1" applyAlignment="1">
      <alignment horizontal="left" indent="1"/>
    </xf>
    <xf numFmtId="0" fontId="6" fillId="0" borderId="0" xfId="0" applyFont="1" applyAlignment="1">
      <alignment horizontal="left"/>
    </xf>
    <xf numFmtId="0" fontId="6" fillId="0" borderId="0" xfId="0" quotePrefix="1" applyFont="1" applyAlignment="1">
      <alignment horizontal="left"/>
    </xf>
    <xf numFmtId="0" fontId="32" fillId="0" borderId="0" xfId="0" applyFont="1"/>
    <xf numFmtId="0" fontId="33" fillId="0" borderId="0" xfId="0" applyFont="1"/>
    <xf numFmtId="167" fontId="34" fillId="0" borderId="0" xfId="0" applyNumberFormat="1" applyFont="1" applyAlignment="1">
      <alignment horizontal="center"/>
    </xf>
    <xf numFmtId="14" fontId="0" fillId="25" borderId="0" xfId="0" applyNumberFormat="1" applyFill="1" applyAlignment="1">
      <alignment horizontal="center"/>
    </xf>
    <xf numFmtId="0" fontId="0" fillId="30" borderId="12" xfId="0" applyFill="1" applyBorder="1"/>
    <xf numFmtId="0" fontId="35" fillId="0" borderId="0" xfId="0" applyFont="1"/>
    <xf numFmtId="3" fontId="0" fillId="0" borderId="0" xfId="0" applyNumberFormat="1"/>
    <xf numFmtId="17" fontId="0" fillId="0" borderId="44" xfId="0" applyNumberFormat="1" applyBorder="1" applyAlignment="1">
      <alignment horizontal="center" vertical="center"/>
    </xf>
    <xf numFmtId="0" fontId="6" fillId="0" borderId="45" xfId="0" applyFon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65" fontId="0" fillId="27" borderId="48" xfId="0" applyNumberFormat="1" applyFill="1" applyBorder="1" applyAlignment="1">
      <alignment horizontal="center"/>
    </xf>
    <xf numFmtId="17" fontId="0" fillId="0" borderId="49" xfId="0" applyNumberFormat="1" applyBorder="1" applyAlignment="1">
      <alignment horizontal="center" vertical="center"/>
    </xf>
    <xf numFmtId="0" fontId="6" fillId="0" borderId="50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165" fontId="0" fillId="27" borderId="53" xfId="0" applyNumberFormat="1" applyFill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165" fontId="0" fillId="27" borderId="57" xfId="0" applyNumberFormat="1" applyFill="1" applyBorder="1" applyAlignment="1">
      <alignment horizontal="center"/>
    </xf>
    <xf numFmtId="0" fontId="36" fillId="25" borderId="59" xfId="0" applyFont="1" applyFill="1" applyBorder="1" applyAlignment="1">
      <alignment horizontal="center" vertical="center"/>
    </xf>
    <xf numFmtId="0" fontId="36" fillId="25" borderId="58" xfId="0" applyFont="1" applyFill="1" applyBorder="1" applyAlignment="1">
      <alignment horizontal="center" vertical="center"/>
    </xf>
    <xf numFmtId="165" fontId="36" fillId="25" borderId="50" xfId="0" applyNumberFormat="1" applyFont="1" applyFill="1" applyBorder="1" applyAlignment="1">
      <alignment horizontal="center" vertical="center"/>
    </xf>
    <xf numFmtId="165" fontId="36" fillId="25" borderId="54" xfId="0" applyNumberFormat="1" applyFont="1" applyFill="1" applyBorder="1" applyAlignment="1">
      <alignment horizontal="center" vertical="center"/>
    </xf>
    <xf numFmtId="165" fontId="36" fillId="25" borderId="45" xfId="0" applyNumberFormat="1" applyFont="1" applyFill="1" applyBorder="1" applyAlignment="1">
      <alignment horizontal="center" vertical="center"/>
    </xf>
    <xf numFmtId="0" fontId="36" fillId="25" borderId="43" xfId="0" applyFont="1" applyFill="1" applyBorder="1" applyAlignment="1">
      <alignment horizontal="center" vertical="center"/>
    </xf>
    <xf numFmtId="0" fontId="36" fillId="25" borderId="42" xfId="0" applyFont="1" applyFill="1" applyBorder="1" applyAlignment="1">
      <alignment horizontal="center"/>
    </xf>
    <xf numFmtId="0" fontId="36" fillId="25" borderId="16" xfId="0" applyFont="1" applyFill="1" applyBorder="1" applyAlignment="1">
      <alignment horizontal="center"/>
    </xf>
    <xf numFmtId="0" fontId="0" fillId="34" borderId="29" xfId="0" applyFill="1" applyBorder="1" applyAlignment="1">
      <alignment horizontal="center"/>
    </xf>
    <xf numFmtId="0" fontId="0" fillId="34" borderId="30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34" borderId="33" xfId="0" applyFill="1" applyBorder="1" applyAlignment="1">
      <alignment horizontal="center"/>
    </xf>
    <xf numFmtId="0" fontId="0" fillId="34" borderId="36" xfId="0" applyFill="1" applyBorder="1" applyAlignment="1">
      <alignment horizontal="center"/>
    </xf>
    <xf numFmtId="0" fontId="0" fillId="34" borderId="37" xfId="0" applyFill="1" applyBorder="1" applyAlignment="1">
      <alignment horizontal="center"/>
    </xf>
    <xf numFmtId="0" fontId="40" fillId="35" borderId="24" xfId="0" applyFont="1" applyFill="1" applyBorder="1" applyAlignment="1">
      <alignment horizontal="center" vertical="center" wrapText="1"/>
    </xf>
    <xf numFmtId="0" fontId="40" fillId="35" borderId="25" xfId="0" applyFont="1" applyFill="1" applyBorder="1" applyAlignment="1">
      <alignment horizontal="center" vertical="center" wrapText="1"/>
    </xf>
    <xf numFmtId="0" fontId="40" fillId="35" borderId="23" xfId="0" applyFont="1" applyFill="1" applyBorder="1" applyAlignment="1">
      <alignment horizontal="center" vertical="center" wrapText="1"/>
    </xf>
    <xf numFmtId="0" fontId="43" fillId="35" borderId="17" xfId="0" applyFont="1" applyFill="1" applyBorder="1" applyAlignment="1">
      <alignment horizontal="center"/>
    </xf>
    <xf numFmtId="0" fontId="34" fillId="35" borderId="14" xfId="0" applyFont="1" applyFill="1" applyBorder="1" applyAlignment="1">
      <alignment horizontal="center"/>
    </xf>
    <xf numFmtId="0" fontId="43" fillId="35" borderId="18" xfId="0" applyFont="1" applyFill="1" applyBorder="1" applyAlignment="1">
      <alignment horizontal="center"/>
    </xf>
    <xf numFmtId="0" fontId="34" fillId="35" borderId="18" xfId="0" applyFont="1" applyFill="1" applyBorder="1" applyAlignment="1">
      <alignment horizontal="center"/>
    </xf>
    <xf numFmtId="0" fontId="34" fillId="35" borderId="17" xfId="0" applyFont="1" applyFill="1" applyBorder="1" applyAlignment="1">
      <alignment horizontal="center"/>
    </xf>
    <xf numFmtId="0" fontId="0" fillId="33" borderId="46" xfId="0" applyFill="1" applyBorder="1" applyAlignment="1">
      <alignment horizontal="center"/>
    </xf>
    <xf numFmtId="0" fontId="0" fillId="33" borderId="47" xfId="0" applyFill="1" applyBorder="1" applyAlignment="1">
      <alignment horizontal="center"/>
    </xf>
    <xf numFmtId="0" fontId="0" fillId="33" borderId="51" xfId="0" applyFill="1" applyBorder="1" applyAlignment="1">
      <alignment horizontal="center"/>
    </xf>
    <xf numFmtId="0" fontId="0" fillId="33" borderId="52" xfId="0" applyFill="1" applyBorder="1" applyAlignment="1">
      <alignment horizontal="center"/>
    </xf>
    <xf numFmtId="0" fontId="0" fillId="33" borderId="55" xfId="0" applyFill="1" applyBorder="1" applyAlignment="1">
      <alignment horizontal="center"/>
    </xf>
    <xf numFmtId="0" fontId="0" fillId="33" borderId="56" xfId="0" applyFill="1" applyBorder="1" applyAlignment="1">
      <alignment horizontal="center"/>
    </xf>
    <xf numFmtId="0" fontId="34" fillId="36" borderId="17" xfId="0" applyFont="1" applyFill="1" applyBorder="1" applyAlignment="1">
      <alignment horizontal="center"/>
    </xf>
    <xf numFmtId="0" fontId="34" fillId="36" borderId="14" xfId="0" applyFont="1" applyFill="1" applyBorder="1" applyAlignment="1">
      <alignment horizontal="center"/>
    </xf>
    <xf numFmtId="0" fontId="34" fillId="36" borderId="18" xfId="0" applyFont="1" applyFill="1" applyBorder="1" applyAlignment="1">
      <alignment horizontal="center"/>
    </xf>
    <xf numFmtId="0" fontId="40" fillId="36" borderId="24" xfId="0" applyFont="1" applyFill="1" applyBorder="1" applyAlignment="1">
      <alignment horizontal="center" vertical="center" wrapText="1"/>
    </xf>
    <xf numFmtId="0" fontId="40" fillId="36" borderId="25" xfId="0" applyFont="1" applyFill="1" applyBorder="1" applyAlignment="1">
      <alignment horizontal="center" vertical="center" wrapText="1"/>
    </xf>
    <xf numFmtId="0" fontId="40" fillId="36" borderId="23" xfId="0" applyFont="1" applyFill="1" applyBorder="1" applyAlignment="1">
      <alignment horizontal="center" vertical="center" wrapText="1"/>
    </xf>
    <xf numFmtId="0" fontId="44" fillId="37" borderId="0" xfId="0" applyFont="1" applyFill="1" applyAlignment="1">
      <alignment horizontal="left"/>
    </xf>
    <xf numFmtId="1" fontId="44" fillId="37" borderId="0" xfId="0" applyNumberFormat="1" applyFont="1" applyFill="1" applyAlignment="1">
      <alignment horizontal="left"/>
    </xf>
    <xf numFmtId="0" fontId="45" fillId="37" borderId="0" xfId="0" applyFont="1" applyFill="1" applyAlignment="1">
      <alignment horizontal="left"/>
    </xf>
    <xf numFmtId="0" fontId="0" fillId="37" borderId="0" xfId="0" applyFill="1"/>
    <xf numFmtId="0" fontId="44" fillId="37" borderId="0" xfId="0" applyFont="1" applyFill="1" applyAlignment="1">
      <alignment horizontal="right"/>
    </xf>
    <xf numFmtId="0" fontId="0" fillId="31" borderId="13" xfId="0" applyFill="1" applyBorder="1" applyAlignment="1">
      <alignment horizontal="center"/>
    </xf>
    <xf numFmtId="0" fontId="46" fillId="0" borderId="0" xfId="0" applyFont="1" applyAlignment="1">
      <alignment horizontal="right"/>
    </xf>
    <xf numFmtId="3" fontId="46" fillId="0" borderId="0" xfId="0" applyNumberFormat="1" applyFont="1"/>
    <xf numFmtId="0" fontId="46" fillId="0" borderId="0" xfId="0" applyFont="1"/>
    <xf numFmtId="0" fontId="47" fillId="32" borderId="0" xfId="0" applyFont="1" applyFill="1"/>
    <xf numFmtId="0" fontId="48" fillId="32" borderId="0" xfId="0" applyFont="1" applyFill="1"/>
    <xf numFmtId="14" fontId="40" fillId="32" borderId="0" xfId="0" applyNumberFormat="1" applyFont="1" applyFill="1" applyAlignment="1">
      <alignment horizontal="right"/>
    </xf>
    <xf numFmtId="0" fontId="49" fillId="0" borderId="0" xfId="0" applyFont="1" applyAlignment="1">
      <alignment horizontal="left" indent="1"/>
    </xf>
    <xf numFmtId="168" fontId="37" fillId="0" borderId="60" xfId="0" applyNumberFormat="1" applyFont="1" applyBorder="1" applyAlignment="1">
      <alignment horizontal="center"/>
    </xf>
    <xf numFmtId="0" fontId="28" fillId="25" borderId="12" xfId="0" quotePrefix="1" applyFont="1" applyFill="1" applyBorder="1" applyAlignment="1">
      <alignment horizontal="center"/>
    </xf>
    <xf numFmtId="3" fontId="6" fillId="30" borderId="12" xfId="0" applyNumberFormat="1" applyFont="1" applyFill="1" applyBorder="1" applyAlignment="1" applyProtection="1">
      <alignment horizontal="center" vertical="center" wrapText="1"/>
      <protection locked="0"/>
    </xf>
    <xf numFmtId="2" fontId="6" fillId="30" borderId="12" xfId="0" applyNumberFormat="1" applyFont="1" applyFill="1" applyBorder="1" applyAlignment="1" applyProtection="1">
      <alignment horizontal="center" vertical="center" wrapText="1"/>
      <protection locked="0"/>
    </xf>
    <xf numFmtId="22" fontId="6" fillId="0" borderId="61" xfId="0" applyNumberFormat="1" applyFont="1" applyBorder="1" applyAlignment="1">
      <alignment vertical="center" wrapText="1"/>
    </xf>
    <xf numFmtId="0" fontId="6" fillId="0" borderId="61" xfId="0" applyFont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22" fontId="6" fillId="0" borderId="0" xfId="0" applyNumberFormat="1" applyFont="1" applyAlignment="1">
      <alignment vertical="center" wrapText="1"/>
    </xf>
    <xf numFmtId="0" fontId="6" fillId="0" borderId="0" xfId="0" applyFont="1" applyAlignment="1">
      <alignment vertical="center" wrapText="1"/>
    </xf>
    <xf numFmtId="14" fontId="50" fillId="0" borderId="0" xfId="0" applyNumberFormat="1" applyFont="1"/>
    <xf numFmtId="0" fontId="0" fillId="0" borderId="62" xfId="0" applyBorder="1"/>
    <xf numFmtId="0" fontId="7" fillId="24" borderId="17" xfId="0" applyFont="1" applyFill="1" applyBorder="1" applyAlignment="1">
      <alignment horizontal="right" vertical="center"/>
    </xf>
    <xf numFmtId="0" fontId="7" fillId="0" borderId="62" xfId="0" applyFont="1" applyBorder="1" applyAlignment="1">
      <alignment horizontal="center" vertical="center" wrapText="1"/>
    </xf>
    <xf numFmtId="0" fontId="6" fillId="0" borderId="62" xfId="0" applyFont="1" applyBorder="1" applyAlignment="1">
      <alignment vertical="center" wrapText="1"/>
    </xf>
    <xf numFmtId="1" fontId="7" fillId="24" borderId="18" xfId="0" applyNumberFormat="1" applyFont="1" applyFill="1" applyBorder="1" applyAlignment="1">
      <alignment horizontal="center" vertical="center"/>
    </xf>
    <xf numFmtId="0" fontId="52" fillId="0" borderId="0" xfId="0" applyFont="1"/>
    <xf numFmtId="0" fontId="0" fillId="0" borderId="0" xfId="0" applyProtection="1">
      <protection locked="0"/>
    </xf>
    <xf numFmtId="0" fontId="5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6" fillId="0" borderId="0" xfId="0" applyFont="1" applyProtection="1">
      <protection locked="0"/>
    </xf>
    <xf numFmtId="0" fontId="53" fillId="0" borderId="0" xfId="0" applyFont="1" applyProtection="1">
      <protection locked="0"/>
    </xf>
    <xf numFmtId="3" fontId="6" fillId="0" borderId="0" xfId="0" applyNumberFormat="1" applyFont="1"/>
    <xf numFmtId="0" fontId="6" fillId="0" borderId="65" xfId="0" applyFont="1" applyBorder="1"/>
    <xf numFmtId="167" fontId="6" fillId="0" borderId="65" xfId="0" applyNumberFormat="1" applyFont="1" applyBorder="1" applyAlignment="1">
      <alignment horizontal="center"/>
    </xf>
    <xf numFmtId="0" fontId="6" fillId="0" borderId="66" xfId="0" applyFont="1" applyBorder="1"/>
    <xf numFmtId="2" fontId="6" fillId="30" borderId="0" xfId="0" applyNumberFormat="1" applyFont="1" applyFill="1" applyAlignment="1">
      <alignment horizontal="center"/>
    </xf>
    <xf numFmtId="2" fontId="51" fillId="0" borderId="0" xfId="0" applyNumberFormat="1" applyFont="1" applyAlignment="1">
      <alignment horizontal="center"/>
    </xf>
    <xf numFmtId="2" fontId="51" fillId="0" borderId="66" xfId="0" applyNumberFormat="1" applyFont="1" applyBorder="1" applyAlignment="1">
      <alignment horizontal="center"/>
    </xf>
    <xf numFmtId="14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0" borderId="67" xfId="0" applyBorder="1" applyAlignment="1">
      <alignment horizontal="center" vertical="center" wrapText="1"/>
    </xf>
    <xf numFmtId="17" fontId="0" fillId="0" borderId="15" xfId="0" applyNumberFormat="1" applyBorder="1" applyAlignment="1">
      <alignment horizontal="center" vertical="center"/>
    </xf>
    <xf numFmtId="17" fontId="0" fillId="0" borderId="67" xfId="0" applyNumberFormat="1" applyBorder="1" applyAlignment="1">
      <alignment horizontal="center" vertical="center"/>
    </xf>
    <xf numFmtId="0" fontId="51" fillId="0" borderId="0" xfId="0" applyFont="1"/>
    <xf numFmtId="3" fontId="38" fillId="27" borderId="13" xfId="0" applyNumberFormat="1" applyFont="1" applyFill="1" applyBorder="1" applyAlignment="1">
      <alignment horizontal="center" wrapText="1"/>
    </xf>
    <xf numFmtId="0" fontId="39" fillId="27" borderId="13" xfId="0" applyFont="1" applyFill="1" applyBorder="1" applyAlignment="1">
      <alignment horizontal="center" wrapText="1"/>
    </xf>
    <xf numFmtId="2" fontId="38" fillId="27" borderId="13" xfId="0" applyNumberFormat="1" applyFont="1" applyFill="1" applyBorder="1" applyAlignment="1">
      <alignment horizontal="center" wrapText="1"/>
    </xf>
    <xf numFmtId="0" fontId="38" fillId="27" borderId="13" xfId="0" applyFont="1" applyFill="1" applyBorder="1" applyAlignment="1">
      <alignment horizontal="center" wrapText="1"/>
    </xf>
    <xf numFmtId="165" fontId="38" fillId="27" borderId="13" xfId="0" applyNumberFormat="1" applyFont="1" applyFill="1" applyBorder="1" applyAlignment="1">
      <alignment horizontal="center" wrapText="1"/>
    </xf>
    <xf numFmtId="0" fontId="37" fillId="0" borderId="0" xfId="0" applyFont="1" applyAlignment="1">
      <alignment horizontal="center"/>
    </xf>
    <xf numFmtId="0" fontId="41" fillId="29" borderId="13" xfId="0" applyFont="1" applyFill="1" applyBorder="1" applyAlignment="1">
      <alignment horizontal="center" wrapText="1"/>
    </xf>
    <xf numFmtId="0" fontId="42" fillId="29" borderId="13" xfId="0" applyFont="1" applyFill="1" applyBorder="1" applyAlignment="1">
      <alignment horizontal="center" wrapText="1"/>
    </xf>
    <xf numFmtId="17" fontId="37" fillId="29" borderId="13" xfId="0" applyNumberFormat="1" applyFont="1" applyFill="1" applyBorder="1" applyAlignment="1">
      <alignment horizontal="center"/>
    </xf>
    <xf numFmtId="3" fontId="38" fillId="27" borderId="41" xfId="0" applyNumberFormat="1" applyFont="1" applyFill="1" applyBorder="1" applyAlignment="1">
      <alignment horizontal="center" wrapText="1"/>
    </xf>
    <xf numFmtId="0" fontId="39" fillId="27" borderId="41" xfId="0" applyFont="1" applyFill="1" applyBorder="1" applyAlignment="1">
      <alignment horizontal="center" wrapText="1"/>
    </xf>
    <xf numFmtId="2" fontId="38" fillId="27" borderId="41" xfId="0" applyNumberFormat="1" applyFont="1" applyFill="1" applyBorder="1" applyAlignment="1">
      <alignment horizontal="center" wrapText="1"/>
    </xf>
    <xf numFmtId="165" fontId="38" fillId="27" borderId="41" xfId="0" applyNumberFormat="1" applyFont="1" applyFill="1" applyBorder="1" applyAlignment="1">
      <alignment horizontal="center" wrapText="1"/>
    </xf>
    <xf numFmtId="17" fontId="37" fillId="29" borderId="41" xfId="0" applyNumberFormat="1" applyFont="1" applyFill="1" applyBorder="1" applyAlignment="1">
      <alignment horizontal="center"/>
    </xf>
    <xf numFmtId="0" fontId="41" fillId="29" borderId="68" xfId="0" applyFont="1" applyFill="1" applyBorder="1" applyAlignment="1">
      <alignment horizontal="center" wrapText="1"/>
    </xf>
    <xf numFmtId="0" fontId="0" fillId="0" borderId="70" xfId="0" applyBorder="1"/>
    <xf numFmtId="0" fontId="0" fillId="0" borderId="71" xfId="0" applyBorder="1"/>
    <xf numFmtId="0" fontId="37" fillId="29" borderId="72" xfId="0" applyFont="1" applyFill="1" applyBorder="1" applyAlignment="1">
      <alignment horizontal="center"/>
    </xf>
    <xf numFmtId="0" fontId="37" fillId="29" borderId="70" xfId="0" applyFont="1" applyFill="1" applyBorder="1" applyAlignment="1">
      <alignment horizontal="center"/>
    </xf>
    <xf numFmtId="0" fontId="41" fillId="29" borderId="69" xfId="0" applyFont="1" applyFill="1" applyBorder="1" applyAlignment="1">
      <alignment horizontal="center" wrapText="1"/>
    </xf>
    <xf numFmtId="0" fontId="41" fillId="29" borderId="73" xfId="0" applyFont="1" applyFill="1" applyBorder="1" applyAlignment="1">
      <alignment horizontal="center" wrapText="1"/>
    </xf>
    <xf numFmtId="3" fontId="38" fillId="27" borderId="74" xfId="0" applyNumberFormat="1" applyFont="1" applyFill="1" applyBorder="1" applyAlignment="1">
      <alignment horizontal="center" wrapText="1"/>
    </xf>
    <xf numFmtId="3" fontId="38" fillId="27" borderId="69" xfId="0" applyNumberFormat="1" applyFont="1" applyFill="1" applyBorder="1" applyAlignment="1">
      <alignment horizontal="center" wrapText="1"/>
    </xf>
    <xf numFmtId="169" fontId="6" fillId="0" borderId="0" xfId="2560" applyNumberFormat="1" applyFont="1" applyBorder="1"/>
    <xf numFmtId="3" fontId="6" fillId="0" borderId="0" xfId="44" applyNumberFormat="1"/>
    <xf numFmtId="3" fontId="0" fillId="0" borderId="0" xfId="0" applyNumberFormat="1" applyProtection="1">
      <protection locked="0"/>
    </xf>
    <xf numFmtId="1" fontId="38" fillId="27" borderId="13" xfId="0" applyNumberFormat="1" applyFont="1" applyFill="1" applyBorder="1" applyAlignment="1">
      <alignment horizontal="center" wrapText="1"/>
    </xf>
    <xf numFmtId="1" fontId="38" fillId="27" borderId="41" xfId="0" applyNumberFormat="1" applyFont="1" applyFill="1" applyBorder="1" applyAlignment="1">
      <alignment horizontal="center" wrapText="1"/>
    </xf>
    <xf numFmtId="165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22" fontId="0" fillId="0" borderId="61" xfId="0" applyNumberFormat="1" applyBorder="1" applyAlignment="1">
      <alignment vertical="center" wrapText="1"/>
    </xf>
    <xf numFmtId="0" fontId="0" fillId="0" borderId="61" xfId="0" applyBorder="1" applyAlignment="1">
      <alignment vertical="center" wrapText="1"/>
    </xf>
    <xf numFmtId="14" fontId="0" fillId="0" borderId="0" xfId="0" applyNumberFormat="1" applyAlignment="1" applyProtection="1">
      <alignment wrapText="1"/>
      <protection locked="0"/>
    </xf>
    <xf numFmtId="0" fontId="7" fillId="0" borderId="61" xfId="0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vertical="center" wrapText="1"/>
    </xf>
    <xf numFmtId="2" fontId="0" fillId="0" borderId="13" xfId="0" applyNumberFormat="1" applyBorder="1" applyAlignment="1">
      <alignment horizontal="center"/>
    </xf>
    <xf numFmtId="2" fontId="0" fillId="0" borderId="13" xfId="0" applyNumberFormat="1" applyBorder="1"/>
    <xf numFmtId="4" fontId="6" fillId="28" borderId="12" xfId="0" applyNumberFormat="1" applyFont="1" applyFill="1" applyBorder="1" applyAlignment="1" applyProtection="1">
      <alignment horizontal="center" wrapText="1"/>
      <protection locked="0"/>
    </xf>
    <xf numFmtId="4" fontId="0" fillId="0" borderId="0" xfId="0" applyNumberFormat="1"/>
    <xf numFmtId="4" fontId="6" fillId="28" borderId="12" xfId="0" quotePrefix="1" applyNumberFormat="1" applyFont="1" applyFill="1" applyBorder="1" applyAlignment="1" applyProtection="1">
      <alignment horizontal="center" wrapText="1"/>
      <protection locked="0"/>
    </xf>
    <xf numFmtId="17" fontId="0" fillId="0" borderId="42" xfId="0" applyNumberFormat="1" applyBorder="1" applyAlignment="1">
      <alignment horizontal="center" vertical="center"/>
    </xf>
    <xf numFmtId="0" fontId="0" fillId="0" borderId="75" xfId="0" applyBorder="1"/>
    <xf numFmtId="164" fontId="34" fillId="38" borderId="17" xfId="0" applyNumberFormat="1" applyFont="1" applyFill="1" applyBorder="1" applyAlignment="1">
      <alignment horizontal="right"/>
    </xf>
    <xf numFmtId="164" fontId="34" fillId="38" borderId="18" xfId="0" applyNumberFormat="1" applyFont="1" applyFill="1" applyBorder="1" applyAlignment="1">
      <alignment horizontal="right"/>
    </xf>
    <xf numFmtId="0" fontId="36" fillId="25" borderId="43" xfId="0" applyFont="1" applyFill="1" applyBorder="1" applyAlignment="1">
      <alignment horizontal="center" vertical="center" wrapText="1"/>
    </xf>
    <xf numFmtId="0" fontId="36" fillId="25" borderId="23" xfId="0" applyFont="1" applyFill="1" applyBorder="1" applyAlignment="1">
      <alignment horizontal="center" vertical="center" wrapText="1"/>
    </xf>
    <xf numFmtId="166" fontId="34" fillId="38" borderId="17" xfId="0" applyNumberFormat="1" applyFont="1" applyFill="1" applyBorder="1" applyAlignment="1">
      <alignment horizontal="right"/>
    </xf>
    <xf numFmtId="166" fontId="34" fillId="38" borderId="18" xfId="0" applyNumberFormat="1" applyFont="1" applyFill="1" applyBorder="1" applyAlignment="1">
      <alignment horizontal="right"/>
    </xf>
    <xf numFmtId="0" fontId="41" fillId="29" borderId="13" xfId="0" applyFont="1" applyFill="1" applyBorder="1" applyAlignment="1">
      <alignment horizontal="center" vertical="center" wrapText="1"/>
    </xf>
    <xf numFmtId="0" fontId="41" fillId="29" borderId="6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4" fontId="50" fillId="0" borderId="63" xfId="0" applyNumberFormat="1" applyFont="1" applyBorder="1" applyAlignment="1">
      <alignment horizontal="center"/>
    </xf>
    <xf numFmtId="14" fontId="50" fillId="0" borderId="0" xfId="0" applyNumberFormat="1" applyFont="1" applyAlignment="1">
      <alignment horizontal="center"/>
    </xf>
    <xf numFmtId="14" fontId="50" fillId="0" borderId="62" xfId="0" applyNumberFormat="1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28" fillId="26" borderId="0" xfId="0" applyFont="1" applyFill="1" applyAlignment="1">
      <alignment horizontal="center" vertical="center" wrapText="1"/>
    </xf>
    <xf numFmtId="0" fontId="28" fillId="26" borderId="11" xfId="0" applyFont="1" applyFill="1" applyBorder="1" applyAlignment="1">
      <alignment horizontal="center" vertical="center" wrapText="1"/>
    </xf>
  </cellXfs>
  <cellStyles count="2561">
    <cellStyle name="20% - Accent1" xfId="1" builtinId="30" customBuiltin="1"/>
    <cellStyle name="20% - Accent1 2" xfId="2509" xr:uid="{00000000-0005-0000-0000-000001000000}"/>
    <cellStyle name="20% - Accent2" xfId="2" builtinId="34" customBuiltin="1"/>
    <cellStyle name="20% - Accent2 2" xfId="2510" xr:uid="{00000000-0005-0000-0000-000003000000}"/>
    <cellStyle name="20% - Accent3" xfId="3" builtinId="38" customBuiltin="1"/>
    <cellStyle name="20% - Accent3 2" xfId="2511" xr:uid="{00000000-0005-0000-0000-000005000000}"/>
    <cellStyle name="20% - Accent4" xfId="4" builtinId="42" customBuiltin="1"/>
    <cellStyle name="20% - Accent4 2" xfId="2512" xr:uid="{00000000-0005-0000-0000-000007000000}"/>
    <cellStyle name="20% - Accent5" xfId="5" builtinId="46" customBuiltin="1"/>
    <cellStyle name="20% - Accent5 2" xfId="2513" xr:uid="{00000000-0005-0000-0000-000009000000}"/>
    <cellStyle name="20% - Accent6" xfId="6" builtinId="50" customBuiltin="1"/>
    <cellStyle name="20% - Accent6 2" xfId="2514" xr:uid="{00000000-0005-0000-0000-00000B000000}"/>
    <cellStyle name="40% - Accent1" xfId="7" builtinId="31" customBuiltin="1"/>
    <cellStyle name="40% - Accent1 2" xfId="2515" xr:uid="{00000000-0005-0000-0000-00000D000000}"/>
    <cellStyle name="40% - Accent2" xfId="8" builtinId="35" customBuiltin="1"/>
    <cellStyle name="40% - Accent2 2" xfId="2516" xr:uid="{00000000-0005-0000-0000-00000F000000}"/>
    <cellStyle name="40% - Accent3" xfId="9" builtinId="39" customBuiltin="1"/>
    <cellStyle name="40% - Accent3 2" xfId="2517" xr:uid="{00000000-0005-0000-0000-000011000000}"/>
    <cellStyle name="40% - Accent4" xfId="10" builtinId="43" customBuiltin="1"/>
    <cellStyle name="40% - Accent4 2" xfId="2518" xr:uid="{00000000-0005-0000-0000-000013000000}"/>
    <cellStyle name="40% - Accent5" xfId="11" builtinId="47" customBuiltin="1"/>
    <cellStyle name="40% - Accent5 2" xfId="2519" xr:uid="{00000000-0005-0000-0000-000015000000}"/>
    <cellStyle name="40% - Accent6" xfId="12" builtinId="51" customBuiltin="1"/>
    <cellStyle name="40% - Accent6 2" xfId="2520" xr:uid="{00000000-0005-0000-0000-000017000000}"/>
    <cellStyle name="60% - Accent1" xfId="13" builtinId="32" customBuiltin="1"/>
    <cellStyle name="60% - Accent1 2" xfId="2521" xr:uid="{00000000-0005-0000-0000-000019000000}"/>
    <cellStyle name="60% - Accent2" xfId="14" builtinId="36" customBuiltin="1"/>
    <cellStyle name="60% - Accent2 2" xfId="2522" xr:uid="{00000000-0005-0000-0000-00001B000000}"/>
    <cellStyle name="60% - Accent3" xfId="15" builtinId="40" customBuiltin="1"/>
    <cellStyle name="60% - Accent3 2" xfId="2523" xr:uid="{00000000-0005-0000-0000-00001D000000}"/>
    <cellStyle name="60% - Accent4" xfId="16" builtinId="44" customBuiltin="1"/>
    <cellStyle name="60% - Accent4 2" xfId="2524" xr:uid="{00000000-0005-0000-0000-00001F000000}"/>
    <cellStyle name="60% - Accent5" xfId="17" builtinId="48" customBuiltin="1"/>
    <cellStyle name="60% - Accent5 2" xfId="2525" xr:uid="{00000000-0005-0000-0000-000021000000}"/>
    <cellStyle name="60% - Accent6" xfId="18" builtinId="52" customBuiltin="1"/>
    <cellStyle name="60% - Accent6 2" xfId="2526" xr:uid="{00000000-0005-0000-0000-000023000000}"/>
    <cellStyle name="Accent1" xfId="19" builtinId="29" customBuiltin="1"/>
    <cellStyle name="Accent1 2" xfId="2527" xr:uid="{00000000-0005-0000-0000-000025000000}"/>
    <cellStyle name="Accent2" xfId="20" builtinId="33" customBuiltin="1"/>
    <cellStyle name="Accent2 2" xfId="2528" xr:uid="{00000000-0005-0000-0000-000027000000}"/>
    <cellStyle name="Accent3" xfId="21" builtinId="37" customBuiltin="1"/>
    <cellStyle name="Accent3 2" xfId="2529" xr:uid="{00000000-0005-0000-0000-000029000000}"/>
    <cellStyle name="Accent4" xfId="22" builtinId="41" customBuiltin="1"/>
    <cellStyle name="Accent4 2" xfId="2530" xr:uid="{00000000-0005-0000-0000-00002B000000}"/>
    <cellStyle name="Accent5" xfId="23" builtinId="45" customBuiltin="1"/>
    <cellStyle name="Accent5 2" xfId="2531" xr:uid="{00000000-0005-0000-0000-00002D000000}"/>
    <cellStyle name="Accent6" xfId="24" builtinId="49" customBuiltin="1"/>
    <cellStyle name="Accent6 2" xfId="2532" xr:uid="{00000000-0005-0000-0000-00002F000000}"/>
    <cellStyle name="Bad" xfId="25" builtinId="27" customBuiltin="1"/>
    <cellStyle name="Bad 2" xfId="2533" xr:uid="{00000000-0005-0000-0000-000031000000}"/>
    <cellStyle name="Calculation" xfId="26" builtinId="22" customBuiltin="1"/>
    <cellStyle name="Calculation 2" xfId="2534" xr:uid="{00000000-0005-0000-0000-000033000000}"/>
    <cellStyle name="Check Cell" xfId="27" builtinId="23" customBuiltin="1"/>
    <cellStyle name="Check Cell 2" xfId="2535" xr:uid="{00000000-0005-0000-0000-000035000000}"/>
    <cellStyle name="Comma" xfId="2554" builtinId="3"/>
    <cellStyle name="Comma 2" xfId="2553" xr:uid="{00000000-0005-0000-0000-000037000000}"/>
    <cellStyle name="Comma 3" xfId="2560" xr:uid="{FE1920FA-7249-4D27-B702-1F3EDC63943D}"/>
    <cellStyle name="Explanatory Text" xfId="28" builtinId="53" customBuiltin="1"/>
    <cellStyle name="Explanatory Text 2" xfId="2536" xr:uid="{00000000-0005-0000-0000-000039000000}"/>
    <cellStyle name="Good" xfId="29" builtinId="26" customBuiltin="1"/>
    <cellStyle name="Good 2" xfId="2537" xr:uid="{00000000-0005-0000-0000-00003B000000}"/>
    <cellStyle name="Heading 1" xfId="30" builtinId="16" customBuiltin="1"/>
    <cellStyle name="Heading 1 2" xfId="2538" xr:uid="{00000000-0005-0000-0000-00003D000000}"/>
    <cellStyle name="Heading 2" xfId="31" builtinId="17" customBuiltin="1"/>
    <cellStyle name="Heading 2 2" xfId="2539" xr:uid="{00000000-0005-0000-0000-00003F000000}"/>
    <cellStyle name="Heading 3" xfId="32" builtinId="18" customBuiltin="1"/>
    <cellStyle name="Heading 3 2" xfId="2540" xr:uid="{00000000-0005-0000-0000-000041000000}"/>
    <cellStyle name="Heading 4" xfId="33" builtinId="19" customBuiltin="1"/>
    <cellStyle name="Heading 4 2" xfId="2541" xr:uid="{00000000-0005-0000-0000-000043000000}"/>
    <cellStyle name="Input" xfId="34" builtinId="20" customBuiltin="1"/>
    <cellStyle name="Input 2" xfId="2542" xr:uid="{00000000-0005-0000-0000-000045000000}"/>
    <cellStyle name="Linked Cell" xfId="35" builtinId="24" customBuiltin="1"/>
    <cellStyle name="Linked Cell 2" xfId="2543" xr:uid="{00000000-0005-0000-0000-000047000000}"/>
    <cellStyle name="Neutral" xfId="36" builtinId="28" customBuiltin="1"/>
    <cellStyle name="Neutral 2" xfId="2544" xr:uid="{00000000-0005-0000-0000-000049000000}"/>
    <cellStyle name="Normal" xfId="0" builtinId="0"/>
    <cellStyle name="Normal 10" xfId="44" xr:uid="{00000000-0005-0000-0000-00004B000000}"/>
    <cellStyle name="Normal 11" xfId="2508" xr:uid="{00000000-0005-0000-0000-00004C000000}"/>
    <cellStyle name="Normal 12" xfId="2551" xr:uid="{00000000-0005-0000-0000-00004D000000}"/>
    <cellStyle name="Normal 13" xfId="42" xr:uid="{00000000-0005-0000-0000-00004E000000}"/>
    <cellStyle name="Normal 14" xfId="2552" xr:uid="{00000000-0005-0000-0000-00004F000000}"/>
    <cellStyle name="Normal 15" xfId="2555" xr:uid="{D8CBAF03-6118-45F1-ACB6-914928D15A10}"/>
    <cellStyle name="Normal 16" xfId="2556" xr:uid="{30AD9D77-B8F4-4B85-AD19-248756CE8943}"/>
    <cellStyle name="Normal 17" xfId="2557" xr:uid="{D8D3AEC5-5E2B-4046-9A3B-91A7309FB2B9}"/>
    <cellStyle name="Normal 2" xfId="43" xr:uid="{00000000-0005-0000-0000-000050000000}"/>
    <cellStyle name="Normal 2 10" xfId="45" xr:uid="{00000000-0005-0000-0000-000051000000}"/>
    <cellStyle name="Normal 2 10 2" xfId="46" xr:uid="{00000000-0005-0000-0000-000052000000}"/>
    <cellStyle name="Normal 2 10 2 2" xfId="47" xr:uid="{00000000-0005-0000-0000-000053000000}"/>
    <cellStyle name="Normal 2 10 3" xfId="48" xr:uid="{00000000-0005-0000-0000-000054000000}"/>
    <cellStyle name="Normal 2 10 3 2" xfId="49" xr:uid="{00000000-0005-0000-0000-000055000000}"/>
    <cellStyle name="Normal 2 10 4" xfId="50" xr:uid="{00000000-0005-0000-0000-000056000000}"/>
    <cellStyle name="Normal 2 10 4 2" xfId="51" xr:uid="{00000000-0005-0000-0000-000057000000}"/>
    <cellStyle name="Normal 2 10 5" xfId="52" xr:uid="{00000000-0005-0000-0000-000058000000}"/>
    <cellStyle name="Normal 2 10 5 2" xfId="53" xr:uid="{00000000-0005-0000-0000-000059000000}"/>
    <cellStyle name="Normal 2 10 6" xfId="54" xr:uid="{00000000-0005-0000-0000-00005A000000}"/>
    <cellStyle name="Normal 2 10 6 2" xfId="55" xr:uid="{00000000-0005-0000-0000-00005B000000}"/>
    <cellStyle name="Normal 2 10 7" xfId="56" xr:uid="{00000000-0005-0000-0000-00005C000000}"/>
    <cellStyle name="Normal 2 10 7 2" xfId="57" xr:uid="{00000000-0005-0000-0000-00005D000000}"/>
    <cellStyle name="Normal 2 10 8" xfId="58" xr:uid="{00000000-0005-0000-0000-00005E000000}"/>
    <cellStyle name="Normal 2 10 8 2" xfId="59" xr:uid="{00000000-0005-0000-0000-00005F000000}"/>
    <cellStyle name="Normal 2 10 9" xfId="60" xr:uid="{00000000-0005-0000-0000-000060000000}"/>
    <cellStyle name="Normal 2 11" xfId="61" xr:uid="{00000000-0005-0000-0000-000061000000}"/>
    <cellStyle name="Normal 2 11 2" xfId="62" xr:uid="{00000000-0005-0000-0000-000062000000}"/>
    <cellStyle name="Normal 2 11 2 2" xfId="63" xr:uid="{00000000-0005-0000-0000-000063000000}"/>
    <cellStyle name="Normal 2 11 3" xfId="64" xr:uid="{00000000-0005-0000-0000-000064000000}"/>
    <cellStyle name="Normal 2 11 3 2" xfId="65" xr:uid="{00000000-0005-0000-0000-000065000000}"/>
    <cellStyle name="Normal 2 11 4" xfId="66" xr:uid="{00000000-0005-0000-0000-000066000000}"/>
    <cellStyle name="Normal 2 11 4 2" xfId="67" xr:uid="{00000000-0005-0000-0000-000067000000}"/>
    <cellStyle name="Normal 2 11 5" xfId="68" xr:uid="{00000000-0005-0000-0000-000068000000}"/>
    <cellStyle name="Normal 2 11 5 2" xfId="69" xr:uid="{00000000-0005-0000-0000-000069000000}"/>
    <cellStyle name="Normal 2 11 6" xfId="70" xr:uid="{00000000-0005-0000-0000-00006A000000}"/>
    <cellStyle name="Normal 2 11 6 2" xfId="71" xr:uid="{00000000-0005-0000-0000-00006B000000}"/>
    <cellStyle name="Normal 2 11 7" xfId="72" xr:uid="{00000000-0005-0000-0000-00006C000000}"/>
    <cellStyle name="Normal 2 11 7 2" xfId="73" xr:uid="{00000000-0005-0000-0000-00006D000000}"/>
    <cellStyle name="Normal 2 11 8" xfId="74" xr:uid="{00000000-0005-0000-0000-00006E000000}"/>
    <cellStyle name="Normal 2 11 8 2" xfId="75" xr:uid="{00000000-0005-0000-0000-00006F000000}"/>
    <cellStyle name="Normal 2 11 9" xfId="76" xr:uid="{00000000-0005-0000-0000-000070000000}"/>
    <cellStyle name="Normal 2 12" xfId="77" xr:uid="{00000000-0005-0000-0000-000071000000}"/>
    <cellStyle name="Normal 2 12 2" xfId="78" xr:uid="{00000000-0005-0000-0000-000072000000}"/>
    <cellStyle name="Normal 2 12 2 2" xfId="79" xr:uid="{00000000-0005-0000-0000-000073000000}"/>
    <cellStyle name="Normal 2 12 3" xfId="80" xr:uid="{00000000-0005-0000-0000-000074000000}"/>
    <cellStyle name="Normal 2 12 3 2" xfId="81" xr:uid="{00000000-0005-0000-0000-000075000000}"/>
    <cellStyle name="Normal 2 12 4" xfId="82" xr:uid="{00000000-0005-0000-0000-000076000000}"/>
    <cellStyle name="Normal 2 12 4 2" xfId="83" xr:uid="{00000000-0005-0000-0000-000077000000}"/>
    <cellStyle name="Normal 2 12 5" xfId="84" xr:uid="{00000000-0005-0000-0000-000078000000}"/>
    <cellStyle name="Normal 2 12 5 2" xfId="85" xr:uid="{00000000-0005-0000-0000-000079000000}"/>
    <cellStyle name="Normal 2 12 6" xfId="86" xr:uid="{00000000-0005-0000-0000-00007A000000}"/>
    <cellStyle name="Normal 2 12 6 2" xfId="87" xr:uid="{00000000-0005-0000-0000-00007B000000}"/>
    <cellStyle name="Normal 2 12 7" xfId="88" xr:uid="{00000000-0005-0000-0000-00007C000000}"/>
    <cellStyle name="Normal 2 12 7 2" xfId="89" xr:uid="{00000000-0005-0000-0000-00007D000000}"/>
    <cellStyle name="Normal 2 12 8" xfId="90" xr:uid="{00000000-0005-0000-0000-00007E000000}"/>
    <cellStyle name="Normal 2 12 8 2" xfId="91" xr:uid="{00000000-0005-0000-0000-00007F000000}"/>
    <cellStyle name="Normal 2 12 9" xfId="92" xr:uid="{00000000-0005-0000-0000-000080000000}"/>
    <cellStyle name="Normal 2 13" xfId="93" xr:uid="{00000000-0005-0000-0000-000081000000}"/>
    <cellStyle name="Normal 2 13 2" xfId="94" xr:uid="{00000000-0005-0000-0000-000082000000}"/>
    <cellStyle name="Normal 2 13 2 2" xfId="95" xr:uid="{00000000-0005-0000-0000-000083000000}"/>
    <cellStyle name="Normal 2 13 3" xfId="96" xr:uid="{00000000-0005-0000-0000-000084000000}"/>
    <cellStyle name="Normal 2 13 3 2" xfId="97" xr:uid="{00000000-0005-0000-0000-000085000000}"/>
    <cellStyle name="Normal 2 13 4" xfId="98" xr:uid="{00000000-0005-0000-0000-000086000000}"/>
    <cellStyle name="Normal 2 13 4 2" xfId="99" xr:uid="{00000000-0005-0000-0000-000087000000}"/>
    <cellStyle name="Normal 2 13 5" xfId="100" xr:uid="{00000000-0005-0000-0000-000088000000}"/>
    <cellStyle name="Normal 2 13 5 2" xfId="101" xr:uid="{00000000-0005-0000-0000-000089000000}"/>
    <cellStyle name="Normal 2 13 6" xfId="102" xr:uid="{00000000-0005-0000-0000-00008A000000}"/>
    <cellStyle name="Normal 2 13 6 2" xfId="103" xr:uid="{00000000-0005-0000-0000-00008B000000}"/>
    <cellStyle name="Normal 2 13 7" xfId="104" xr:uid="{00000000-0005-0000-0000-00008C000000}"/>
    <cellStyle name="Normal 2 13 7 2" xfId="105" xr:uid="{00000000-0005-0000-0000-00008D000000}"/>
    <cellStyle name="Normal 2 13 8" xfId="106" xr:uid="{00000000-0005-0000-0000-00008E000000}"/>
    <cellStyle name="Normal 2 13 8 2" xfId="107" xr:uid="{00000000-0005-0000-0000-00008F000000}"/>
    <cellStyle name="Normal 2 13 9" xfId="108" xr:uid="{00000000-0005-0000-0000-000090000000}"/>
    <cellStyle name="Normal 2 14" xfId="109" xr:uid="{00000000-0005-0000-0000-000091000000}"/>
    <cellStyle name="Normal 2 14 2" xfId="110" xr:uid="{00000000-0005-0000-0000-000092000000}"/>
    <cellStyle name="Normal 2 14 2 2" xfId="111" xr:uid="{00000000-0005-0000-0000-000093000000}"/>
    <cellStyle name="Normal 2 14 3" xfId="112" xr:uid="{00000000-0005-0000-0000-000094000000}"/>
    <cellStyle name="Normal 2 14 3 2" xfId="113" xr:uid="{00000000-0005-0000-0000-000095000000}"/>
    <cellStyle name="Normal 2 14 4" xfId="114" xr:uid="{00000000-0005-0000-0000-000096000000}"/>
    <cellStyle name="Normal 2 14 4 2" xfId="115" xr:uid="{00000000-0005-0000-0000-000097000000}"/>
    <cellStyle name="Normal 2 14 5" xfId="116" xr:uid="{00000000-0005-0000-0000-000098000000}"/>
    <cellStyle name="Normal 2 14 5 2" xfId="117" xr:uid="{00000000-0005-0000-0000-000099000000}"/>
    <cellStyle name="Normal 2 14 6" xfId="118" xr:uid="{00000000-0005-0000-0000-00009A000000}"/>
    <cellStyle name="Normal 2 14 6 2" xfId="119" xr:uid="{00000000-0005-0000-0000-00009B000000}"/>
    <cellStyle name="Normal 2 14 7" xfId="120" xr:uid="{00000000-0005-0000-0000-00009C000000}"/>
    <cellStyle name="Normal 2 14 7 2" xfId="121" xr:uid="{00000000-0005-0000-0000-00009D000000}"/>
    <cellStyle name="Normal 2 14 8" xfId="122" xr:uid="{00000000-0005-0000-0000-00009E000000}"/>
    <cellStyle name="Normal 2 14 8 2" xfId="123" xr:uid="{00000000-0005-0000-0000-00009F000000}"/>
    <cellStyle name="Normal 2 14 9" xfId="124" xr:uid="{00000000-0005-0000-0000-0000A0000000}"/>
    <cellStyle name="Normal 2 15" xfId="125" xr:uid="{00000000-0005-0000-0000-0000A1000000}"/>
    <cellStyle name="Normal 2 15 2" xfId="126" xr:uid="{00000000-0005-0000-0000-0000A2000000}"/>
    <cellStyle name="Normal 2 16" xfId="127" xr:uid="{00000000-0005-0000-0000-0000A3000000}"/>
    <cellStyle name="Normal 2 16 2" xfId="128" xr:uid="{00000000-0005-0000-0000-0000A4000000}"/>
    <cellStyle name="Normal 2 17" xfId="129" xr:uid="{00000000-0005-0000-0000-0000A5000000}"/>
    <cellStyle name="Normal 2 17 2" xfId="130" xr:uid="{00000000-0005-0000-0000-0000A6000000}"/>
    <cellStyle name="Normal 2 18" xfId="131" xr:uid="{00000000-0005-0000-0000-0000A7000000}"/>
    <cellStyle name="Normal 2 18 2" xfId="132" xr:uid="{00000000-0005-0000-0000-0000A8000000}"/>
    <cellStyle name="Normal 2 19" xfId="133" xr:uid="{00000000-0005-0000-0000-0000A9000000}"/>
    <cellStyle name="Normal 2 19 2" xfId="134" xr:uid="{00000000-0005-0000-0000-0000AA000000}"/>
    <cellStyle name="Normal 2 2" xfId="135" xr:uid="{00000000-0005-0000-0000-0000AB000000}"/>
    <cellStyle name="Normal 2 2 10" xfId="136" xr:uid="{00000000-0005-0000-0000-0000AC000000}"/>
    <cellStyle name="Normal 2 2 10 2" xfId="137" xr:uid="{00000000-0005-0000-0000-0000AD000000}"/>
    <cellStyle name="Normal 2 2 11" xfId="138" xr:uid="{00000000-0005-0000-0000-0000AE000000}"/>
    <cellStyle name="Normal 2 2 11 2" xfId="139" xr:uid="{00000000-0005-0000-0000-0000AF000000}"/>
    <cellStyle name="Normal 2 2 12" xfId="140" xr:uid="{00000000-0005-0000-0000-0000B0000000}"/>
    <cellStyle name="Normal 2 2 12 2" xfId="141" xr:uid="{00000000-0005-0000-0000-0000B1000000}"/>
    <cellStyle name="Normal 2 2 13" xfId="142" xr:uid="{00000000-0005-0000-0000-0000B2000000}"/>
    <cellStyle name="Normal 2 2 13 2" xfId="143" xr:uid="{00000000-0005-0000-0000-0000B3000000}"/>
    <cellStyle name="Normal 2 2 14" xfId="144" xr:uid="{00000000-0005-0000-0000-0000B4000000}"/>
    <cellStyle name="Normal 2 2 14 2" xfId="145" xr:uid="{00000000-0005-0000-0000-0000B5000000}"/>
    <cellStyle name="Normal 2 2 15" xfId="146" xr:uid="{00000000-0005-0000-0000-0000B6000000}"/>
    <cellStyle name="Normal 2 2 15 2" xfId="147" xr:uid="{00000000-0005-0000-0000-0000B7000000}"/>
    <cellStyle name="Normal 2 2 16" xfId="148" xr:uid="{00000000-0005-0000-0000-0000B8000000}"/>
    <cellStyle name="Normal 2 2 16 2" xfId="149" xr:uid="{00000000-0005-0000-0000-0000B9000000}"/>
    <cellStyle name="Normal 2 2 17" xfId="150" xr:uid="{00000000-0005-0000-0000-0000BA000000}"/>
    <cellStyle name="Normal 2 2 17 2" xfId="151" xr:uid="{00000000-0005-0000-0000-0000BB000000}"/>
    <cellStyle name="Normal 2 2 18" xfId="152" xr:uid="{00000000-0005-0000-0000-0000BC000000}"/>
    <cellStyle name="Normal 2 2 18 2" xfId="153" xr:uid="{00000000-0005-0000-0000-0000BD000000}"/>
    <cellStyle name="Normal 2 2 19" xfId="154" xr:uid="{00000000-0005-0000-0000-0000BE000000}"/>
    <cellStyle name="Normal 2 2 19 2" xfId="155" xr:uid="{00000000-0005-0000-0000-0000BF000000}"/>
    <cellStyle name="Normal 2 2 2" xfId="156" xr:uid="{00000000-0005-0000-0000-0000C0000000}"/>
    <cellStyle name="Normal 2 2 2 10" xfId="157" xr:uid="{00000000-0005-0000-0000-0000C1000000}"/>
    <cellStyle name="Normal 2 2 2 10 2" xfId="158" xr:uid="{00000000-0005-0000-0000-0000C2000000}"/>
    <cellStyle name="Normal 2 2 2 11" xfId="159" xr:uid="{00000000-0005-0000-0000-0000C3000000}"/>
    <cellStyle name="Normal 2 2 2 2" xfId="160" xr:uid="{00000000-0005-0000-0000-0000C4000000}"/>
    <cellStyle name="Normal 2 2 2 2 2" xfId="161" xr:uid="{00000000-0005-0000-0000-0000C5000000}"/>
    <cellStyle name="Normal 2 2 2 2 2 2" xfId="162" xr:uid="{00000000-0005-0000-0000-0000C6000000}"/>
    <cellStyle name="Normal 2 2 2 2 3" xfId="163" xr:uid="{00000000-0005-0000-0000-0000C7000000}"/>
    <cellStyle name="Normal 2 2 2 2 3 2" xfId="164" xr:uid="{00000000-0005-0000-0000-0000C8000000}"/>
    <cellStyle name="Normal 2 2 2 2 4" xfId="165" xr:uid="{00000000-0005-0000-0000-0000C9000000}"/>
    <cellStyle name="Normal 2 2 2 2 4 2" xfId="166" xr:uid="{00000000-0005-0000-0000-0000CA000000}"/>
    <cellStyle name="Normal 2 2 2 2 5" xfId="167" xr:uid="{00000000-0005-0000-0000-0000CB000000}"/>
    <cellStyle name="Normal 2 2 2 2 5 2" xfId="168" xr:uid="{00000000-0005-0000-0000-0000CC000000}"/>
    <cellStyle name="Normal 2 2 2 2 6" xfId="169" xr:uid="{00000000-0005-0000-0000-0000CD000000}"/>
    <cellStyle name="Normal 2 2 2 2 6 2" xfId="170" xr:uid="{00000000-0005-0000-0000-0000CE000000}"/>
    <cellStyle name="Normal 2 2 2 2 7" xfId="171" xr:uid="{00000000-0005-0000-0000-0000CF000000}"/>
    <cellStyle name="Normal 2 2 2 2 7 2" xfId="172" xr:uid="{00000000-0005-0000-0000-0000D0000000}"/>
    <cellStyle name="Normal 2 2 2 2 8" xfId="173" xr:uid="{00000000-0005-0000-0000-0000D1000000}"/>
    <cellStyle name="Normal 2 2 2 2 8 2" xfId="174" xr:uid="{00000000-0005-0000-0000-0000D2000000}"/>
    <cellStyle name="Normal 2 2 2 2 9" xfId="175" xr:uid="{00000000-0005-0000-0000-0000D3000000}"/>
    <cellStyle name="Normal 2 2 2 3" xfId="176" xr:uid="{00000000-0005-0000-0000-0000D4000000}"/>
    <cellStyle name="Normal 2 2 2 3 2" xfId="177" xr:uid="{00000000-0005-0000-0000-0000D5000000}"/>
    <cellStyle name="Normal 2 2 2 3 2 2" xfId="178" xr:uid="{00000000-0005-0000-0000-0000D6000000}"/>
    <cellStyle name="Normal 2 2 2 3 3" xfId="179" xr:uid="{00000000-0005-0000-0000-0000D7000000}"/>
    <cellStyle name="Normal 2 2 2 3 3 2" xfId="180" xr:uid="{00000000-0005-0000-0000-0000D8000000}"/>
    <cellStyle name="Normal 2 2 2 3 4" xfId="181" xr:uid="{00000000-0005-0000-0000-0000D9000000}"/>
    <cellStyle name="Normal 2 2 2 3 4 2" xfId="182" xr:uid="{00000000-0005-0000-0000-0000DA000000}"/>
    <cellStyle name="Normal 2 2 2 3 5" xfId="183" xr:uid="{00000000-0005-0000-0000-0000DB000000}"/>
    <cellStyle name="Normal 2 2 2 3 5 2" xfId="184" xr:uid="{00000000-0005-0000-0000-0000DC000000}"/>
    <cellStyle name="Normal 2 2 2 3 6" xfId="185" xr:uid="{00000000-0005-0000-0000-0000DD000000}"/>
    <cellStyle name="Normal 2 2 2 3 6 2" xfId="186" xr:uid="{00000000-0005-0000-0000-0000DE000000}"/>
    <cellStyle name="Normal 2 2 2 3 7" xfId="187" xr:uid="{00000000-0005-0000-0000-0000DF000000}"/>
    <cellStyle name="Normal 2 2 2 3 7 2" xfId="188" xr:uid="{00000000-0005-0000-0000-0000E0000000}"/>
    <cellStyle name="Normal 2 2 2 3 8" xfId="189" xr:uid="{00000000-0005-0000-0000-0000E1000000}"/>
    <cellStyle name="Normal 2 2 2 3 8 2" xfId="190" xr:uid="{00000000-0005-0000-0000-0000E2000000}"/>
    <cellStyle name="Normal 2 2 2 3 9" xfId="191" xr:uid="{00000000-0005-0000-0000-0000E3000000}"/>
    <cellStyle name="Normal 2 2 2 4" xfId="192" xr:uid="{00000000-0005-0000-0000-0000E4000000}"/>
    <cellStyle name="Normal 2 2 2 4 2" xfId="193" xr:uid="{00000000-0005-0000-0000-0000E5000000}"/>
    <cellStyle name="Normal 2 2 2 5" xfId="194" xr:uid="{00000000-0005-0000-0000-0000E6000000}"/>
    <cellStyle name="Normal 2 2 2 5 2" xfId="195" xr:uid="{00000000-0005-0000-0000-0000E7000000}"/>
    <cellStyle name="Normal 2 2 2 6" xfId="196" xr:uid="{00000000-0005-0000-0000-0000E8000000}"/>
    <cellStyle name="Normal 2 2 2 6 2" xfId="197" xr:uid="{00000000-0005-0000-0000-0000E9000000}"/>
    <cellStyle name="Normal 2 2 2 7" xfId="198" xr:uid="{00000000-0005-0000-0000-0000EA000000}"/>
    <cellStyle name="Normal 2 2 2 7 2" xfId="199" xr:uid="{00000000-0005-0000-0000-0000EB000000}"/>
    <cellStyle name="Normal 2 2 2 8" xfId="200" xr:uid="{00000000-0005-0000-0000-0000EC000000}"/>
    <cellStyle name="Normal 2 2 2 8 2" xfId="201" xr:uid="{00000000-0005-0000-0000-0000ED000000}"/>
    <cellStyle name="Normal 2 2 2 9" xfId="202" xr:uid="{00000000-0005-0000-0000-0000EE000000}"/>
    <cellStyle name="Normal 2 2 2 9 2" xfId="203" xr:uid="{00000000-0005-0000-0000-0000EF000000}"/>
    <cellStyle name="Normal 2 2 20" xfId="204" xr:uid="{00000000-0005-0000-0000-0000F0000000}"/>
    <cellStyle name="Normal 2 2 21" xfId="205" xr:uid="{00000000-0005-0000-0000-0000F1000000}"/>
    <cellStyle name="Normal 2 2 22" xfId="2559" xr:uid="{18867DBC-0A95-46E3-BA73-310FAF9AC3E3}"/>
    <cellStyle name="Normal 2 2 3" xfId="206" xr:uid="{00000000-0005-0000-0000-0000F2000000}"/>
    <cellStyle name="Normal 2 2 3 10" xfId="207" xr:uid="{00000000-0005-0000-0000-0000F3000000}"/>
    <cellStyle name="Normal 2 2 3 10 2" xfId="208" xr:uid="{00000000-0005-0000-0000-0000F4000000}"/>
    <cellStyle name="Normal 2 2 3 11" xfId="209" xr:uid="{00000000-0005-0000-0000-0000F5000000}"/>
    <cellStyle name="Normal 2 2 3 2" xfId="210" xr:uid="{00000000-0005-0000-0000-0000F6000000}"/>
    <cellStyle name="Normal 2 2 3 2 2" xfId="211" xr:uid="{00000000-0005-0000-0000-0000F7000000}"/>
    <cellStyle name="Normal 2 2 3 2 2 2" xfId="212" xr:uid="{00000000-0005-0000-0000-0000F8000000}"/>
    <cellStyle name="Normal 2 2 3 2 3" xfId="213" xr:uid="{00000000-0005-0000-0000-0000F9000000}"/>
    <cellStyle name="Normal 2 2 3 2 3 2" xfId="214" xr:uid="{00000000-0005-0000-0000-0000FA000000}"/>
    <cellStyle name="Normal 2 2 3 2 4" xfId="215" xr:uid="{00000000-0005-0000-0000-0000FB000000}"/>
    <cellStyle name="Normal 2 2 3 2 4 2" xfId="216" xr:uid="{00000000-0005-0000-0000-0000FC000000}"/>
    <cellStyle name="Normal 2 2 3 2 5" xfId="217" xr:uid="{00000000-0005-0000-0000-0000FD000000}"/>
    <cellStyle name="Normal 2 2 3 2 5 2" xfId="218" xr:uid="{00000000-0005-0000-0000-0000FE000000}"/>
    <cellStyle name="Normal 2 2 3 2 6" xfId="219" xr:uid="{00000000-0005-0000-0000-0000FF000000}"/>
    <cellStyle name="Normal 2 2 3 2 6 2" xfId="220" xr:uid="{00000000-0005-0000-0000-000000010000}"/>
    <cellStyle name="Normal 2 2 3 2 7" xfId="221" xr:uid="{00000000-0005-0000-0000-000001010000}"/>
    <cellStyle name="Normal 2 2 3 2 7 2" xfId="222" xr:uid="{00000000-0005-0000-0000-000002010000}"/>
    <cellStyle name="Normal 2 2 3 2 8" xfId="223" xr:uid="{00000000-0005-0000-0000-000003010000}"/>
    <cellStyle name="Normal 2 2 3 2 8 2" xfId="224" xr:uid="{00000000-0005-0000-0000-000004010000}"/>
    <cellStyle name="Normal 2 2 3 2 9" xfId="225" xr:uid="{00000000-0005-0000-0000-000005010000}"/>
    <cellStyle name="Normal 2 2 3 3" xfId="226" xr:uid="{00000000-0005-0000-0000-000006010000}"/>
    <cellStyle name="Normal 2 2 3 3 2" xfId="227" xr:uid="{00000000-0005-0000-0000-000007010000}"/>
    <cellStyle name="Normal 2 2 3 3 2 2" xfId="228" xr:uid="{00000000-0005-0000-0000-000008010000}"/>
    <cellStyle name="Normal 2 2 3 3 3" xfId="229" xr:uid="{00000000-0005-0000-0000-000009010000}"/>
    <cellStyle name="Normal 2 2 3 3 3 2" xfId="230" xr:uid="{00000000-0005-0000-0000-00000A010000}"/>
    <cellStyle name="Normal 2 2 3 3 4" xfId="231" xr:uid="{00000000-0005-0000-0000-00000B010000}"/>
    <cellStyle name="Normal 2 2 3 3 4 2" xfId="232" xr:uid="{00000000-0005-0000-0000-00000C010000}"/>
    <cellStyle name="Normal 2 2 3 3 5" xfId="233" xr:uid="{00000000-0005-0000-0000-00000D010000}"/>
    <cellStyle name="Normal 2 2 3 3 5 2" xfId="234" xr:uid="{00000000-0005-0000-0000-00000E010000}"/>
    <cellStyle name="Normal 2 2 3 3 6" xfId="235" xr:uid="{00000000-0005-0000-0000-00000F010000}"/>
    <cellStyle name="Normal 2 2 3 3 6 2" xfId="236" xr:uid="{00000000-0005-0000-0000-000010010000}"/>
    <cellStyle name="Normal 2 2 3 3 7" xfId="237" xr:uid="{00000000-0005-0000-0000-000011010000}"/>
    <cellStyle name="Normal 2 2 3 3 7 2" xfId="238" xr:uid="{00000000-0005-0000-0000-000012010000}"/>
    <cellStyle name="Normal 2 2 3 3 8" xfId="239" xr:uid="{00000000-0005-0000-0000-000013010000}"/>
    <cellStyle name="Normal 2 2 3 3 8 2" xfId="240" xr:uid="{00000000-0005-0000-0000-000014010000}"/>
    <cellStyle name="Normal 2 2 3 3 9" xfId="241" xr:uid="{00000000-0005-0000-0000-000015010000}"/>
    <cellStyle name="Normal 2 2 3 4" xfId="242" xr:uid="{00000000-0005-0000-0000-000016010000}"/>
    <cellStyle name="Normal 2 2 3 4 2" xfId="243" xr:uid="{00000000-0005-0000-0000-000017010000}"/>
    <cellStyle name="Normal 2 2 3 5" xfId="244" xr:uid="{00000000-0005-0000-0000-000018010000}"/>
    <cellStyle name="Normal 2 2 3 5 2" xfId="245" xr:uid="{00000000-0005-0000-0000-000019010000}"/>
    <cellStyle name="Normal 2 2 3 6" xfId="246" xr:uid="{00000000-0005-0000-0000-00001A010000}"/>
    <cellStyle name="Normal 2 2 3 6 2" xfId="247" xr:uid="{00000000-0005-0000-0000-00001B010000}"/>
    <cellStyle name="Normal 2 2 3 7" xfId="248" xr:uid="{00000000-0005-0000-0000-00001C010000}"/>
    <cellStyle name="Normal 2 2 3 7 2" xfId="249" xr:uid="{00000000-0005-0000-0000-00001D010000}"/>
    <cellStyle name="Normal 2 2 3 8" xfId="250" xr:uid="{00000000-0005-0000-0000-00001E010000}"/>
    <cellStyle name="Normal 2 2 3 8 2" xfId="251" xr:uid="{00000000-0005-0000-0000-00001F010000}"/>
    <cellStyle name="Normal 2 2 3 9" xfId="252" xr:uid="{00000000-0005-0000-0000-000020010000}"/>
    <cellStyle name="Normal 2 2 3 9 2" xfId="253" xr:uid="{00000000-0005-0000-0000-000021010000}"/>
    <cellStyle name="Normal 2 2 4" xfId="254" xr:uid="{00000000-0005-0000-0000-000022010000}"/>
    <cellStyle name="Normal 2 2 4 2" xfId="255" xr:uid="{00000000-0005-0000-0000-000023010000}"/>
    <cellStyle name="Normal 2 2 4 2 2" xfId="256" xr:uid="{00000000-0005-0000-0000-000024010000}"/>
    <cellStyle name="Normal 2 2 4 3" xfId="257" xr:uid="{00000000-0005-0000-0000-000025010000}"/>
    <cellStyle name="Normal 2 2 4 3 2" xfId="258" xr:uid="{00000000-0005-0000-0000-000026010000}"/>
    <cellStyle name="Normal 2 2 4 4" xfId="259" xr:uid="{00000000-0005-0000-0000-000027010000}"/>
    <cellStyle name="Normal 2 2 4 4 2" xfId="260" xr:uid="{00000000-0005-0000-0000-000028010000}"/>
    <cellStyle name="Normal 2 2 4 5" xfId="261" xr:uid="{00000000-0005-0000-0000-000029010000}"/>
    <cellStyle name="Normal 2 2 4 5 2" xfId="262" xr:uid="{00000000-0005-0000-0000-00002A010000}"/>
    <cellStyle name="Normal 2 2 4 6" xfId="263" xr:uid="{00000000-0005-0000-0000-00002B010000}"/>
    <cellStyle name="Normal 2 2 4 6 2" xfId="264" xr:uid="{00000000-0005-0000-0000-00002C010000}"/>
    <cellStyle name="Normal 2 2 4 7" xfId="265" xr:uid="{00000000-0005-0000-0000-00002D010000}"/>
    <cellStyle name="Normal 2 2 4 7 2" xfId="266" xr:uid="{00000000-0005-0000-0000-00002E010000}"/>
    <cellStyle name="Normal 2 2 4 8" xfId="267" xr:uid="{00000000-0005-0000-0000-00002F010000}"/>
    <cellStyle name="Normal 2 2 4 8 2" xfId="268" xr:uid="{00000000-0005-0000-0000-000030010000}"/>
    <cellStyle name="Normal 2 2 4 9" xfId="269" xr:uid="{00000000-0005-0000-0000-000031010000}"/>
    <cellStyle name="Normal 2 2 5" xfId="270" xr:uid="{00000000-0005-0000-0000-000032010000}"/>
    <cellStyle name="Normal 2 2 5 2" xfId="271" xr:uid="{00000000-0005-0000-0000-000033010000}"/>
    <cellStyle name="Normal 2 2 5 2 2" xfId="272" xr:uid="{00000000-0005-0000-0000-000034010000}"/>
    <cellStyle name="Normal 2 2 5 3" xfId="273" xr:uid="{00000000-0005-0000-0000-000035010000}"/>
    <cellStyle name="Normal 2 2 5 3 2" xfId="274" xr:uid="{00000000-0005-0000-0000-000036010000}"/>
    <cellStyle name="Normal 2 2 5 4" xfId="275" xr:uid="{00000000-0005-0000-0000-000037010000}"/>
    <cellStyle name="Normal 2 2 5 4 2" xfId="276" xr:uid="{00000000-0005-0000-0000-000038010000}"/>
    <cellStyle name="Normal 2 2 5 5" xfId="277" xr:uid="{00000000-0005-0000-0000-000039010000}"/>
    <cellStyle name="Normal 2 2 5 5 2" xfId="278" xr:uid="{00000000-0005-0000-0000-00003A010000}"/>
    <cellStyle name="Normal 2 2 5 6" xfId="279" xr:uid="{00000000-0005-0000-0000-00003B010000}"/>
    <cellStyle name="Normal 2 2 5 6 2" xfId="280" xr:uid="{00000000-0005-0000-0000-00003C010000}"/>
    <cellStyle name="Normal 2 2 5 7" xfId="281" xr:uid="{00000000-0005-0000-0000-00003D010000}"/>
    <cellStyle name="Normal 2 2 5 7 2" xfId="282" xr:uid="{00000000-0005-0000-0000-00003E010000}"/>
    <cellStyle name="Normal 2 2 5 8" xfId="283" xr:uid="{00000000-0005-0000-0000-00003F010000}"/>
    <cellStyle name="Normal 2 2 5 8 2" xfId="284" xr:uid="{00000000-0005-0000-0000-000040010000}"/>
    <cellStyle name="Normal 2 2 5 9" xfId="285" xr:uid="{00000000-0005-0000-0000-000041010000}"/>
    <cellStyle name="Normal 2 2 6" xfId="286" xr:uid="{00000000-0005-0000-0000-000042010000}"/>
    <cellStyle name="Normal 2 2 6 2" xfId="287" xr:uid="{00000000-0005-0000-0000-000043010000}"/>
    <cellStyle name="Normal 2 2 6 2 2" xfId="288" xr:uid="{00000000-0005-0000-0000-000044010000}"/>
    <cellStyle name="Normal 2 2 6 3" xfId="289" xr:uid="{00000000-0005-0000-0000-000045010000}"/>
    <cellStyle name="Normal 2 2 6 3 2" xfId="290" xr:uid="{00000000-0005-0000-0000-000046010000}"/>
    <cellStyle name="Normal 2 2 6 4" xfId="291" xr:uid="{00000000-0005-0000-0000-000047010000}"/>
    <cellStyle name="Normal 2 2 6 4 2" xfId="292" xr:uid="{00000000-0005-0000-0000-000048010000}"/>
    <cellStyle name="Normal 2 2 6 5" xfId="293" xr:uid="{00000000-0005-0000-0000-000049010000}"/>
    <cellStyle name="Normal 2 2 6 5 2" xfId="294" xr:uid="{00000000-0005-0000-0000-00004A010000}"/>
    <cellStyle name="Normal 2 2 6 6" xfId="295" xr:uid="{00000000-0005-0000-0000-00004B010000}"/>
    <cellStyle name="Normal 2 2 6 6 2" xfId="296" xr:uid="{00000000-0005-0000-0000-00004C010000}"/>
    <cellStyle name="Normal 2 2 6 7" xfId="297" xr:uid="{00000000-0005-0000-0000-00004D010000}"/>
    <cellStyle name="Normal 2 2 6 7 2" xfId="298" xr:uid="{00000000-0005-0000-0000-00004E010000}"/>
    <cellStyle name="Normal 2 2 6 8" xfId="299" xr:uid="{00000000-0005-0000-0000-00004F010000}"/>
    <cellStyle name="Normal 2 2 6 8 2" xfId="300" xr:uid="{00000000-0005-0000-0000-000050010000}"/>
    <cellStyle name="Normal 2 2 6 9" xfId="301" xr:uid="{00000000-0005-0000-0000-000051010000}"/>
    <cellStyle name="Normal 2 2 7" xfId="302" xr:uid="{00000000-0005-0000-0000-000052010000}"/>
    <cellStyle name="Normal 2 2 7 2" xfId="303" xr:uid="{00000000-0005-0000-0000-000053010000}"/>
    <cellStyle name="Normal 2 2 7 2 2" xfId="304" xr:uid="{00000000-0005-0000-0000-000054010000}"/>
    <cellStyle name="Normal 2 2 7 3" xfId="305" xr:uid="{00000000-0005-0000-0000-000055010000}"/>
    <cellStyle name="Normal 2 2 7 3 2" xfId="306" xr:uid="{00000000-0005-0000-0000-000056010000}"/>
    <cellStyle name="Normal 2 2 7 4" xfId="307" xr:uid="{00000000-0005-0000-0000-000057010000}"/>
    <cellStyle name="Normal 2 2 7 4 2" xfId="308" xr:uid="{00000000-0005-0000-0000-000058010000}"/>
    <cellStyle name="Normal 2 2 7 5" xfId="309" xr:uid="{00000000-0005-0000-0000-000059010000}"/>
    <cellStyle name="Normal 2 2 7 5 2" xfId="310" xr:uid="{00000000-0005-0000-0000-00005A010000}"/>
    <cellStyle name="Normal 2 2 7 6" xfId="311" xr:uid="{00000000-0005-0000-0000-00005B010000}"/>
    <cellStyle name="Normal 2 2 7 6 2" xfId="312" xr:uid="{00000000-0005-0000-0000-00005C010000}"/>
    <cellStyle name="Normal 2 2 7 7" xfId="313" xr:uid="{00000000-0005-0000-0000-00005D010000}"/>
    <cellStyle name="Normal 2 2 7 7 2" xfId="314" xr:uid="{00000000-0005-0000-0000-00005E010000}"/>
    <cellStyle name="Normal 2 2 7 8" xfId="315" xr:uid="{00000000-0005-0000-0000-00005F010000}"/>
    <cellStyle name="Normal 2 2 7 8 2" xfId="316" xr:uid="{00000000-0005-0000-0000-000060010000}"/>
    <cellStyle name="Normal 2 2 7 9" xfId="317" xr:uid="{00000000-0005-0000-0000-000061010000}"/>
    <cellStyle name="Normal 2 2 8" xfId="318" xr:uid="{00000000-0005-0000-0000-000062010000}"/>
    <cellStyle name="Normal 2 2 8 2" xfId="319" xr:uid="{00000000-0005-0000-0000-000063010000}"/>
    <cellStyle name="Normal 2 2 8 2 2" xfId="320" xr:uid="{00000000-0005-0000-0000-000064010000}"/>
    <cellStyle name="Normal 2 2 8 3" xfId="321" xr:uid="{00000000-0005-0000-0000-000065010000}"/>
    <cellStyle name="Normal 2 2 8 3 2" xfId="322" xr:uid="{00000000-0005-0000-0000-000066010000}"/>
    <cellStyle name="Normal 2 2 8 4" xfId="323" xr:uid="{00000000-0005-0000-0000-000067010000}"/>
    <cellStyle name="Normal 2 2 8 4 2" xfId="324" xr:uid="{00000000-0005-0000-0000-000068010000}"/>
    <cellStyle name="Normal 2 2 8 5" xfId="325" xr:uid="{00000000-0005-0000-0000-000069010000}"/>
    <cellStyle name="Normal 2 2 8 5 2" xfId="326" xr:uid="{00000000-0005-0000-0000-00006A010000}"/>
    <cellStyle name="Normal 2 2 8 6" xfId="327" xr:uid="{00000000-0005-0000-0000-00006B010000}"/>
    <cellStyle name="Normal 2 2 8 6 2" xfId="328" xr:uid="{00000000-0005-0000-0000-00006C010000}"/>
    <cellStyle name="Normal 2 2 8 7" xfId="329" xr:uid="{00000000-0005-0000-0000-00006D010000}"/>
    <cellStyle name="Normal 2 2 8 7 2" xfId="330" xr:uid="{00000000-0005-0000-0000-00006E010000}"/>
    <cellStyle name="Normal 2 2 8 8" xfId="331" xr:uid="{00000000-0005-0000-0000-00006F010000}"/>
    <cellStyle name="Normal 2 2 8 8 2" xfId="332" xr:uid="{00000000-0005-0000-0000-000070010000}"/>
    <cellStyle name="Normal 2 2 8 9" xfId="333" xr:uid="{00000000-0005-0000-0000-000071010000}"/>
    <cellStyle name="Normal 2 2 9" xfId="334" xr:uid="{00000000-0005-0000-0000-000072010000}"/>
    <cellStyle name="Normal 2 2 9 2" xfId="335" xr:uid="{00000000-0005-0000-0000-000073010000}"/>
    <cellStyle name="Normal 2 20" xfId="336" xr:uid="{00000000-0005-0000-0000-000074010000}"/>
    <cellStyle name="Normal 2 20 2" xfId="337" xr:uid="{00000000-0005-0000-0000-000075010000}"/>
    <cellStyle name="Normal 2 21" xfId="338" xr:uid="{00000000-0005-0000-0000-000076010000}"/>
    <cellStyle name="Normal 2 21 2" xfId="339" xr:uid="{00000000-0005-0000-0000-000077010000}"/>
    <cellStyle name="Normal 2 22" xfId="340" xr:uid="{00000000-0005-0000-0000-000078010000}"/>
    <cellStyle name="Normal 2 22 2" xfId="341" xr:uid="{00000000-0005-0000-0000-000079010000}"/>
    <cellStyle name="Normal 2 23" xfId="342" xr:uid="{00000000-0005-0000-0000-00007A010000}"/>
    <cellStyle name="Normal 2 23 2" xfId="343" xr:uid="{00000000-0005-0000-0000-00007B010000}"/>
    <cellStyle name="Normal 2 24" xfId="344" xr:uid="{00000000-0005-0000-0000-00007C010000}"/>
    <cellStyle name="Normal 2 24 2" xfId="345" xr:uid="{00000000-0005-0000-0000-00007D010000}"/>
    <cellStyle name="Normal 2 25" xfId="346" xr:uid="{00000000-0005-0000-0000-00007E010000}"/>
    <cellStyle name="Normal 2 25 2" xfId="347" xr:uid="{00000000-0005-0000-0000-00007F010000}"/>
    <cellStyle name="Normal 2 26" xfId="348" xr:uid="{00000000-0005-0000-0000-000080010000}"/>
    <cellStyle name="Normal 2 27" xfId="349" xr:uid="{00000000-0005-0000-0000-000081010000}"/>
    <cellStyle name="Normal 2 3" xfId="350" xr:uid="{00000000-0005-0000-0000-000082010000}"/>
    <cellStyle name="Normal 2 3 10" xfId="351" xr:uid="{00000000-0005-0000-0000-000083010000}"/>
    <cellStyle name="Normal 2 3 10 2" xfId="352" xr:uid="{00000000-0005-0000-0000-000084010000}"/>
    <cellStyle name="Normal 2 3 11" xfId="353" xr:uid="{00000000-0005-0000-0000-000085010000}"/>
    <cellStyle name="Normal 2 3 11 2" xfId="354" xr:uid="{00000000-0005-0000-0000-000086010000}"/>
    <cellStyle name="Normal 2 3 12" xfId="355" xr:uid="{00000000-0005-0000-0000-000087010000}"/>
    <cellStyle name="Normal 2 3 12 2" xfId="356" xr:uid="{00000000-0005-0000-0000-000088010000}"/>
    <cellStyle name="Normal 2 3 13" xfId="357" xr:uid="{00000000-0005-0000-0000-000089010000}"/>
    <cellStyle name="Normal 2 3 13 2" xfId="358" xr:uid="{00000000-0005-0000-0000-00008A010000}"/>
    <cellStyle name="Normal 2 3 14" xfId="359" xr:uid="{00000000-0005-0000-0000-00008B010000}"/>
    <cellStyle name="Normal 2 3 14 2" xfId="360" xr:uid="{00000000-0005-0000-0000-00008C010000}"/>
    <cellStyle name="Normal 2 3 15" xfId="361" xr:uid="{00000000-0005-0000-0000-00008D010000}"/>
    <cellStyle name="Normal 2 3 15 2" xfId="362" xr:uid="{00000000-0005-0000-0000-00008E010000}"/>
    <cellStyle name="Normal 2 3 16" xfId="363" xr:uid="{00000000-0005-0000-0000-00008F010000}"/>
    <cellStyle name="Normal 2 3 16 2" xfId="364" xr:uid="{00000000-0005-0000-0000-000090010000}"/>
    <cellStyle name="Normal 2 3 17" xfId="365" xr:uid="{00000000-0005-0000-0000-000091010000}"/>
    <cellStyle name="Normal 2 3 17 2" xfId="366" xr:uid="{00000000-0005-0000-0000-000092010000}"/>
    <cellStyle name="Normal 2 3 18" xfId="367" xr:uid="{00000000-0005-0000-0000-000093010000}"/>
    <cellStyle name="Normal 2 3 18 2" xfId="368" xr:uid="{00000000-0005-0000-0000-000094010000}"/>
    <cellStyle name="Normal 2 3 19" xfId="369" xr:uid="{00000000-0005-0000-0000-000095010000}"/>
    <cellStyle name="Normal 2 3 19 2" xfId="370" xr:uid="{00000000-0005-0000-0000-000096010000}"/>
    <cellStyle name="Normal 2 3 2" xfId="371" xr:uid="{00000000-0005-0000-0000-000097010000}"/>
    <cellStyle name="Normal 2 3 2 10" xfId="372" xr:uid="{00000000-0005-0000-0000-000098010000}"/>
    <cellStyle name="Normal 2 3 2 10 2" xfId="373" xr:uid="{00000000-0005-0000-0000-000099010000}"/>
    <cellStyle name="Normal 2 3 2 11" xfId="374" xr:uid="{00000000-0005-0000-0000-00009A010000}"/>
    <cellStyle name="Normal 2 3 2 2" xfId="375" xr:uid="{00000000-0005-0000-0000-00009B010000}"/>
    <cellStyle name="Normal 2 3 2 2 2" xfId="376" xr:uid="{00000000-0005-0000-0000-00009C010000}"/>
    <cellStyle name="Normal 2 3 2 2 2 2" xfId="377" xr:uid="{00000000-0005-0000-0000-00009D010000}"/>
    <cellStyle name="Normal 2 3 2 2 3" xfId="378" xr:uid="{00000000-0005-0000-0000-00009E010000}"/>
    <cellStyle name="Normal 2 3 2 2 3 2" xfId="379" xr:uid="{00000000-0005-0000-0000-00009F010000}"/>
    <cellStyle name="Normal 2 3 2 2 4" xfId="380" xr:uid="{00000000-0005-0000-0000-0000A0010000}"/>
    <cellStyle name="Normal 2 3 2 2 4 2" xfId="381" xr:uid="{00000000-0005-0000-0000-0000A1010000}"/>
    <cellStyle name="Normal 2 3 2 2 5" xfId="382" xr:uid="{00000000-0005-0000-0000-0000A2010000}"/>
    <cellStyle name="Normal 2 3 2 2 5 2" xfId="383" xr:uid="{00000000-0005-0000-0000-0000A3010000}"/>
    <cellStyle name="Normal 2 3 2 2 6" xfId="384" xr:uid="{00000000-0005-0000-0000-0000A4010000}"/>
    <cellStyle name="Normal 2 3 2 2 6 2" xfId="385" xr:uid="{00000000-0005-0000-0000-0000A5010000}"/>
    <cellStyle name="Normal 2 3 2 2 7" xfId="386" xr:uid="{00000000-0005-0000-0000-0000A6010000}"/>
    <cellStyle name="Normal 2 3 2 2 7 2" xfId="387" xr:uid="{00000000-0005-0000-0000-0000A7010000}"/>
    <cellStyle name="Normal 2 3 2 2 8" xfId="388" xr:uid="{00000000-0005-0000-0000-0000A8010000}"/>
    <cellStyle name="Normal 2 3 2 2 8 2" xfId="389" xr:uid="{00000000-0005-0000-0000-0000A9010000}"/>
    <cellStyle name="Normal 2 3 2 2 9" xfId="390" xr:uid="{00000000-0005-0000-0000-0000AA010000}"/>
    <cellStyle name="Normal 2 3 2 3" xfId="391" xr:uid="{00000000-0005-0000-0000-0000AB010000}"/>
    <cellStyle name="Normal 2 3 2 3 2" xfId="392" xr:uid="{00000000-0005-0000-0000-0000AC010000}"/>
    <cellStyle name="Normal 2 3 2 3 2 2" xfId="393" xr:uid="{00000000-0005-0000-0000-0000AD010000}"/>
    <cellStyle name="Normal 2 3 2 3 3" xfId="394" xr:uid="{00000000-0005-0000-0000-0000AE010000}"/>
    <cellStyle name="Normal 2 3 2 3 3 2" xfId="395" xr:uid="{00000000-0005-0000-0000-0000AF010000}"/>
    <cellStyle name="Normal 2 3 2 3 4" xfId="396" xr:uid="{00000000-0005-0000-0000-0000B0010000}"/>
    <cellStyle name="Normal 2 3 2 3 4 2" xfId="397" xr:uid="{00000000-0005-0000-0000-0000B1010000}"/>
    <cellStyle name="Normal 2 3 2 3 5" xfId="398" xr:uid="{00000000-0005-0000-0000-0000B2010000}"/>
    <cellStyle name="Normal 2 3 2 3 5 2" xfId="399" xr:uid="{00000000-0005-0000-0000-0000B3010000}"/>
    <cellStyle name="Normal 2 3 2 3 6" xfId="400" xr:uid="{00000000-0005-0000-0000-0000B4010000}"/>
    <cellStyle name="Normal 2 3 2 3 6 2" xfId="401" xr:uid="{00000000-0005-0000-0000-0000B5010000}"/>
    <cellStyle name="Normal 2 3 2 3 7" xfId="402" xr:uid="{00000000-0005-0000-0000-0000B6010000}"/>
    <cellStyle name="Normal 2 3 2 3 7 2" xfId="403" xr:uid="{00000000-0005-0000-0000-0000B7010000}"/>
    <cellStyle name="Normal 2 3 2 3 8" xfId="404" xr:uid="{00000000-0005-0000-0000-0000B8010000}"/>
    <cellStyle name="Normal 2 3 2 3 8 2" xfId="405" xr:uid="{00000000-0005-0000-0000-0000B9010000}"/>
    <cellStyle name="Normal 2 3 2 3 9" xfId="406" xr:uid="{00000000-0005-0000-0000-0000BA010000}"/>
    <cellStyle name="Normal 2 3 2 4" xfId="407" xr:uid="{00000000-0005-0000-0000-0000BB010000}"/>
    <cellStyle name="Normal 2 3 2 4 2" xfId="408" xr:uid="{00000000-0005-0000-0000-0000BC010000}"/>
    <cellStyle name="Normal 2 3 2 5" xfId="409" xr:uid="{00000000-0005-0000-0000-0000BD010000}"/>
    <cellStyle name="Normal 2 3 2 5 2" xfId="410" xr:uid="{00000000-0005-0000-0000-0000BE010000}"/>
    <cellStyle name="Normal 2 3 2 6" xfId="411" xr:uid="{00000000-0005-0000-0000-0000BF010000}"/>
    <cellStyle name="Normal 2 3 2 6 2" xfId="412" xr:uid="{00000000-0005-0000-0000-0000C0010000}"/>
    <cellStyle name="Normal 2 3 2 7" xfId="413" xr:uid="{00000000-0005-0000-0000-0000C1010000}"/>
    <cellStyle name="Normal 2 3 2 7 2" xfId="414" xr:uid="{00000000-0005-0000-0000-0000C2010000}"/>
    <cellStyle name="Normal 2 3 2 8" xfId="415" xr:uid="{00000000-0005-0000-0000-0000C3010000}"/>
    <cellStyle name="Normal 2 3 2 8 2" xfId="416" xr:uid="{00000000-0005-0000-0000-0000C4010000}"/>
    <cellStyle name="Normal 2 3 2 9" xfId="417" xr:uid="{00000000-0005-0000-0000-0000C5010000}"/>
    <cellStyle name="Normal 2 3 2 9 2" xfId="418" xr:uid="{00000000-0005-0000-0000-0000C6010000}"/>
    <cellStyle name="Normal 2 3 20" xfId="419" xr:uid="{00000000-0005-0000-0000-0000C7010000}"/>
    <cellStyle name="Normal 2 3 21" xfId="420" xr:uid="{00000000-0005-0000-0000-0000C8010000}"/>
    <cellStyle name="Normal 2 3 3" xfId="421" xr:uid="{00000000-0005-0000-0000-0000C9010000}"/>
    <cellStyle name="Normal 2 3 3 10" xfId="422" xr:uid="{00000000-0005-0000-0000-0000CA010000}"/>
    <cellStyle name="Normal 2 3 3 10 2" xfId="423" xr:uid="{00000000-0005-0000-0000-0000CB010000}"/>
    <cellStyle name="Normal 2 3 3 11" xfId="424" xr:uid="{00000000-0005-0000-0000-0000CC010000}"/>
    <cellStyle name="Normal 2 3 3 2" xfId="425" xr:uid="{00000000-0005-0000-0000-0000CD010000}"/>
    <cellStyle name="Normal 2 3 3 2 2" xfId="426" xr:uid="{00000000-0005-0000-0000-0000CE010000}"/>
    <cellStyle name="Normal 2 3 3 2 2 2" xfId="427" xr:uid="{00000000-0005-0000-0000-0000CF010000}"/>
    <cellStyle name="Normal 2 3 3 2 3" xfId="428" xr:uid="{00000000-0005-0000-0000-0000D0010000}"/>
    <cellStyle name="Normal 2 3 3 2 3 2" xfId="429" xr:uid="{00000000-0005-0000-0000-0000D1010000}"/>
    <cellStyle name="Normal 2 3 3 2 4" xfId="430" xr:uid="{00000000-0005-0000-0000-0000D2010000}"/>
    <cellStyle name="Normal 2 3 3 2 4 2" xfId="431" xr:uid="{00000000-0005-0000-0000-0000D3010000}"/>
    <cellStyle name="Normal 2 3 3 2 5" xfId="432" xr:uid="{00000000-0005-0000-0000-0000D4010000}"/>
    <cellStyle name="Normal 2 3 3 2 5 2" xfId="433" xr:uid="{00000000-0005-0000-0000-0000D5010000}"/>
    <cellStyle name="Normal 2 3 3 2 6" xfId="434" xr:uid="{00000000-0005-0000-0000-0000D6010000}"/>
    <cellStyle name="Normal 2 3 3 2 6 2" xfId="435" xr:uid="{00000000-0005-0000-0000-0000D7010000}"/>
    <cellStyle name="Normal 2 3 3 2 7" xfId="436" xr:uid="{00000000-0005-0000-0000-0000D8010000}"/>
    <cellStyle name="Normal 2 3 3 2 7 2" xfId="437" xr:uid="{00000000-0005-0000-0000-0000D9010000}"/>
    <cellStyle name="Normal 2 3 3 2 8" xfId="438" xr:uid="{00000000-0005-0000-0000-0000DA010000}"/>
    <cellStyle name="Normal 2 3 3 2 8 2" xfId="439" xr:uid="{00000000-0005-0000-0000-0000DB010000}"/>
    <cellStyle name="Normal 2 3 3 2 9" xfId="440" xr:uid="{00000000-0005-0000-0000-0000DC010000}"/>
    <cellStyle name="Normal 2 3 3 3" xfId="441" xr:uid="{00000000-0005-0000-0000-0000DD010000}"/>
    <cellStyle name="Normal 2 3 3 3 2" xfId="442" xr:uid="{00000000-0005-0000-0000-0000DE010000}"/>
    <cellStyle name="Normal 2 3 3 3 2 2" xfId="443" xr:uid="{00000000-0005-0000-0000-0000DF010000}"/>
    <cellStyle name="Normal 2 3 3 3 3" xfId="444" xr:uid="{00000000-0005-0000-0000-0000E0010000}"/>
    <cellStyle name="Normal 2 3 3 3 3 2" xfId="445" xr:uid="{00000000-0005-0000-0000-0000E1010000}"/>
    <cellStyle name="Normal 2 3 3 3 4" xfId="446" xr:uid="{00000000-0005-0000-0000-0000E2010000}"/>
    <cellStyle name="Normal 2 3 3 3 4 2" xfId="447" xr:uid="{00000000-0005-0000-0000-0000E3010000}"/>
    <cellStyle name="Normal 2 3 3 3 5" xfId="448" xr:uid="{00000000-0005-0000-0000-0000E4010000}"/>
    <cellStyle name="Normal 2 3 3 3 5 2" xfId="449" xr:uid="{00000000-0005-0000-0000-0000E5010000}"/>
    <cellStyle name="Normal 2 3 3 3 6" xfId="450" xr:uid="{00000000-0005-0000-0000-0000E6010000}"/>
    <cellStyle name="Normal 2 3 3 3 6 2" xfId="451" xr:uid="{00000000-0005-0000-0000-0000E7010000}"/>
    <cellStyle name="Normal 2 3 3 3 7" xfId="452" xr:uid="{00000000-0005-0000-0000-0000E8010000}"/>
    <cellStyle name="Normal 2 3 3 3 7 2" xfId="453" xr:uid="{00000000-0005-0000-0000-0000E9010000}"/>
    <cellStyle name="Normal 2 3 3 3 8" xfId="454" xr:uid="{00000000-0005-0000-0000-0000EA010000}"/>
    <cellStyle name="Normal 2 3 3 3 8 2" xfId="455" xr:uid="{00000000-0005-0000-0000-0000EB010000}"/>
    <cellStyle name="Normal 2 3 3 3 9" xfId="456" xr:uid="{00000000-0005-0000-0000-0000EC010000}"/>
    <cellStyle name="Normal 2 3 3 4" xfId="457" xr:uid="{00000000-0005-0000-0000-0000ED010000}"/>
    <cellStyle name="Normal 2 3 3 4 2" xfId="458" xr:uid="{00000000-0005-0000-0000-0000EE010000}"/>
    <cellStyle name="Normal 2 3 3 5" xfId="459" xr:uid="{00000000-0005-0000-0000-0000EF010000}"/>
    <cellStyle name="Normal 2 3 3 5 2" xfId="460" xr:uid="{00000000-0005-0000-0000-0000F0010000}"/>
    <cellStyle name="Normal 2 3 3 6" xfId="461" xr:uid="{00000000-0005-0000-0000-0000F1010000}"/>
    <cellStyle name="Normal 2 3 3 6 2" xfId="462" xr:uid="{00000000-0005-0000-0000-0000F2010000}"/>
    <cellStyle name="Normal 2 3 3 7" xfId="463" xr:uid="{00000000-0005-0000-0000-0000F3010000}"/>
    <cellStyle name="Normal 2 3 3 7 2" xfId="464" xr:uid="{00000000-0005-0000-0000-0000F4010000}"/>
    <cellStyle name="Normal 2 3 3 8" xfId="465" xr:uid="{00000000-0005-0000-0000-0000F5010000}"/>
    <cellStyle name="Normal 2 3 3 8 2" xfId="466" xr:uid="{00000000-0005-0000-0000-0000F6010000}"/>
    <cellStyle name="Normal 2 3 3 9" xfId="467" xr:uid="{00000000-0005-0000-0000-0000F7010000}"/>
    <cellStyle name="Normal 2 3 3 9 2" xfId="468" xr:uid="{00000000-0005-0000-0000-0000F8010000}"/>
    <cellStyle name="Normal 2 3 4" xfId="469" xr:uid="{00000000-0005-0000-0000-0000F9010000}"/>
    <cellStyle name="Normal 2 3 4 2" xfId="470" xr:uid="{00000000-0005-0000-0000-0000FA010000}"/>
    <cellStyle name="Normal 2 3 4 2 2" xfId="471" xr:uid="{00000000-0005-0000-0000-0000FB010000}"/>
    <cellStyle name="Normal 2 3 4 3" xfId="472" xr:uid="{00000000-0005-0000-0000-0000FC010000}"/>
    <cellStyle name="Normal 2 3 4 3 2" xfId="473" xr:uid="{00000000-0005-0000-0000-0000FD010000}"/>
    <cellStyle name="Normal 2 3 4 4" xfId="474" xr:uid="{00000000-0005-0000-0000-0000FE010000}"/>
    <cellStyle name="Normal 2 3 4 4 2" xfId="475" xr:uid="{00000000-0005-0000-0000-0000FF010000}"/>
    <cellStyle name="Normal 2 3 4 5" xfId="476" xr:uid="{00000000-0005-0000-0000-000000020000}"/>
    <cellStyle name="Normal 2 3 4 5 2" xfId="477" xr:uid="{00000000-0005-0000-0000-000001020000}"/>
    <cellStyle name="Normal 2 3 4 6" xfId="478" xr:uid="{00000000-0005-0000-0000-000002020000}"/>
    <cellStyle name="Normal 2 3 4 6 2" xfId="479" xr:uid="{00000000-0005-0000-0000-000003020000}"/>
    <cellStyle name="Normal 2 3 4 7" xfId="480" xr:uid="{00000000-0005-0000-0000-000004020000}"/>
    <cellStyle name="Normal 2 3 4 7 2" xfId="481" xr:uid="{00000000-0005-0000-0000-000005020000}"/>
    <cellStyle name="Normal 2 3 4 8" xfId="482" xr:uid="{00000000-0005-0000-0000-000006020000}"/>
    <cellStyle name="Normal 2 3 4 8 2" xfId="483" xr:uid="{00000000-0005-0000-0000-000007020000}"/>
    <cellStyle name="Normal 2 3 4 9" xfId="484" xr:uid="{00000000-0005-0000-0000-000008020000}"/>
    <cellStyle name="Normal 2 3 5" xfId="485" xr:uid="{00000000-0005-0000-0000-000009020000}"/>
    <cellStyle name="Normal 2 3 5 2" xfId="486" xr:uid="{00000000-0005-0000-0000-00000A020000}"/>
    <cellStyle name="Normal 2 3 5 2 2" xfId="487" xr:uid="{00000000-0005-0000-0000-00000B020000}"/>
    <cellStyle name="Normal 2 3 5 3" xfId="488" xr:uid="{00000000-0005-0000-0000-00000C020000}"/>
    <cellStyle name="Normal 2 3 5 3 2" xfId="489" xr:uid="{00000000-0005-0000-0000-00000D020000}"/>
    <cellStyle name="Normal 2 3 5 4" xfId="490" xr:uid="{00000000-0005-0000-0000-00000E020000}"/>
    <cellStyle name="Normal 2 3 5 4 2" xfId="491" xr:uid="{00000000-0005-0000-0000-00000F020000}"/>
    <cellStyle name="Normal 2 3 5 5" xfId="492" xr:uid="{00000000-0005-0000-0000-000010020000}"/>
    <cellStyle name="Normal 2 3 5 5 2" xfId="493" xr:uid="{00000000-0005-0000-0000-000011020000}"/>
    <cellStyle name="Normal 2 3 5 6" xfId="494" xr:uid="{00000000-0005-0000-0000-000012020000}"/>
    <cellStyle name="Normal 2 3 5 6 2" xfId="495" xr:uid="{00000000-0005-0000-0000-000013020000}"/>
    <cellStyle name="Normal 2 3 5 7" xfId="496" xr:uid="{00000000-0005-0000-0000-000014020000}"/>
    <cellStyle name="Normal 2 3 5 7 2" xfId="497" xr:uid="{00000000-0005-0000-0000-000015020000}"/>
    <cellStyle name="Normal 2 3 5 8" xfId="498" xr:uid="{00000000-0005-0000-0000-000016020000}"/>
    <cellStyle name="Normal 2 3 5 8 2" xfId="499" xr:uid="{00000000-0005-0000-0000-000017020000}"/>
    <cellStyle name="Normal 2 3 5 9" xfId="500" xr:uid="{00000000-0005-0000-0000-000018020000}"/>
    <cellStyle name="Normal 2 3 6" xfId="501" xr:uid="{00000000-0005-0000-0000-000019020000}"/>
    <cellStyle name="Normal 2 3 6 2" xfId="502" xr:uid="{00000000-0005-0000-0000-00001A020000}"/>
    <cellStyle name="Normal 2 3 6 2 2" xfId="503" xr:uid="{00000000-0005-0000-0000-00001B020000}"/>
    <cellStyle name="Normal 2 3 6 3" xfId="504" xr:uid="{00000000-0005-0000-0000-00001C020000}"/>
    <cellStyle name="Normal 2 3 6 3 2" xfId="505" xr:uid="{00000000-0005-0000-0000-00001D020000}"/>
    <cellStyle name="Normal 2 3 6 4" xfId="506" xr:uid="{00000000-0005-0000-0000-00001E020000}"/>
    <cellStyle name="Normal 2 3 6 4 2" xfId="507" xr:uid="{00000000-0005-0000-0000-00001F020000}"/>
    <cellStyle name="Normal 2 3 6 5" xfId="508" xr:uid="{00000000-0005-0000-0000-000020020000}"/>
    <cellStyle name="Normal 2 3 6 5 2" xfId="509" xr:uid="{00000000-0005-0000-0000-000021020000}"/>
    <cellStyle name="Normal 2 3 6 6" xfId="510" xr:uid="{00000000-0005-0000-0000-000022020000}"/>
    <cellStyle name="Normal 2 3 6 6 2" xfId="511" xr:uid="{00000000-0005-0000-0000-000023020000}"/>
    <cellStyle name="Normal 2 3 6 7" xfId="512" xr:uid="{00000000-0005-0000-0000-000024020000}"/>
    <cellStyle name="Normal 2 3 6 7 2" xfId="513" xr:uid="{00000000-0005-0000-0000-000025020000}"/>
    <cellStyle name="Normal 2 3 6 8" xfId="514" xr:uid="{00000000-0005-0000-0000-000026020000}"/>
    <cellStyle name="Normal 2 3 6 8 2" xfId="515" xr:uid="{00000000-0005-0000-0000-000027020000}"/>
    <cellStyle name="Normal 2 3 6 9" xfId="516" xr:uid="{00000000-0005-0000-0000-000028020000}"/>
    <cellStyle name="Normal 2 3 7" xfId="517" xr:uid="{00000000-0005-0000-0000-000029020000}"/>
    <cellStyle name="Normal 2 3 7 2" xfId="518" xr:uid="{00000000-0005-0000-0000-00002A020000}"/>
    <cellStyle name="Normal 2 3 7 2 2" xfId="519" xr:uid="{00000000-0005-0000-0000-00002B020000}"/>
    <cellStyle name="Normal 2 3 7 3" xfId="520" xr:uid="{00000000-0005-0000-0000-00002C020000}"/>
    <cellStyle name="Normal 2 3 7 3 2" xfId="521" xr:uid="{00000000-0005-0000-0000-00002D020000}"/>
    <cellStyle name="Normal 2 3 7 4" xfId="522" xr:uid="{00000000-0005-0000-0000-00002E020000}"/>
    <cellStyle name="Normal 2 3 7 4 2" xfId="523" xr:uid="{00000000-0005-0000-0000-00002F020000}"/>
    <cellStyle name="Normal 2 3 7 5" xfId="524" xr:uid="{00000000-0005-0000-0000-000030020000}"/>
    <cellStyle name="Normal 2 3 7 5 2" xfId="525" xr:uid="{00000000-0005-0000-0000-000031020000}"/>
    <cellStyle name="Normal 2 3 7 6" xfId="526" xr:uid="{00000000-0005-0000-0000-000032020000}"/>
    <cellStyle name="Normal 2 3 7 6 2" xfId="527" xr:uid="{00000000-0005-0000-0000-000033020000}"/>
    <cellStyle name="Normal 2 3 7 7" xfId="528" xr:uid="{00000000-0005-0000-0000-000034020000}"/>
    <cellStyle name="Normal 2 3 7 7 2" xfId="529" xr:uid="{00000000-0005-0000-0000-000035020000}"/>
    <cellStyle name="Normal 2 3 7 8" xfId="530" xr:uid="{00000000-0005-0000-0000-000036020000}"/>
    <cellStyle name="Normal 2 3 7 8 2" xfId="531" xr:uid="{00000000-0005-0000-0000-000037020000}"/>
    <cellStyle name="Normal 2 3 7 9" xfId="532" xr:uid="{00000000-0005-0000-0000-000038020000}"/>
    <cellStyle name="Normal 2 3 8" xfId="533" xr:uid="{00000000-0005-0000-0000-000039020000}"/>
    <cellStyle name="Normal 2 3 8 2" xfId="534" xr:uid="{00000000-0005-0000-0000-00003A020000}"/>
    <cellStyle name="Normal 2 3 8 2 2" xfId="535" xr:uid="{00000000-0005-0000-0000-00003B020000}"/>
    <cellStyle name="Normal 2 3 8 3" xfId="536" xr:uid="{00000000-0005-0000-0000-00003C020000}"/>
    <cellStyle name="Normal 2 3 8 3 2" xfId="537" xr:uid="{00000000-0005-0000-0000-00003D020000}"/>
    <cellStyle name="Normal 2 3 8 4" xfId="538" xr:uid="{00000000-0005-0000-0000-00003E020000}"/>
    <cellStyle name="Normal 2 3 8 4 2" xfId="539" xr:uid="{00000000-0005-0000-0000-00003F020000}"/>
    <cellStyle name="Normal 2 3 8 5" xfId="540" xr:uid="{00000000-0005-0000-0000-000040020000}"/>
    <cellStyle name="Normal 2 3 8 5 2" xfId="541" xr:uid="{00000000-0005-0000-0000-000041020000}"/>
    <cellStyle name="Normal 2 3 8 6" xfId="542" xr:uid="{00000000-0005-0000-0000-000042020000}"/>
    <cellStyle name="Normal 2 3 8 6 2" xfId="543" xr:uid="{00000000-0005-0000-0000-000043020000}"/>
    <cellStyle name="Normal 2 3 8 7" xfId="544" xr:uid="{00000000-0005-0000-0000-000044020000}"/>
    <cellStyle name="Normal 2 3 8 7 2" xfId="545" xr:uid="{00000000-0005-0000-0000-000045020000}"/>
    <cellStyle name="Normal 2 3 8 8" xfId="546" xr:uid="{00000000-0005-0000-0000-000046020000}"/>
    <cellStyle name="Normal 2 3 8 8 2" xfId="547" xr:uid="{00000000-0005-0000-0000-000047020000}"/>
    <cellStyle name="Normal 2 3 8 9" xfId="548" xr:uid="{00000000-0005-0000-0000-000048020000}"/>
    <cellStyle name="Normal 2 3 9" xfId="549" xr:uid="{00000000-0005-0000-0000-000049020000}"/>
    <cellStyle name="Normal 2 3 9 2" xfId="550" xr:uid="{00000000-0005-0000-0000-00004A020000}"/>
    <cellStyle name="Normal 2 4" xfId="551" xr:uid="{00000000-0005-0000-0000-00004B020000}"/>
    <cellStyle name="Normal 2 4 10" xfId="552" xr:uid="{00000000-0005-0000-0000-00004C020000}"/>
    <cellStyle name="Normal 2 4 10 2" xfId="553" xr:uid="{00000000-0005-0000-0000-00004D020000}"/>
    <cellStyle name="Normal 2 4 11" xfId="554" xr:uid="{00000000-0005-0000-0000-00004E020000}"/>
    <cellStyle name="Normal 2 4 11 2" xfId="555" xr:uid="{00000000-0005-0000-0000-00004F020000}"/>
    <cellStyle name="Normal 2 4 12" xfId="556" xr:uid="{00000000-0005-0000-0000-000050020000}"/>
    <cellStyle name="Normal 2 4 12 2" xfId="557" xr:uid="{00000000-0005-0000-0000-000051020000}"/>
    <cellStyle name="Normal 2 4 13" xfId="558" xr:uid="{00000000-0005-0000-0000-000052020000}"/>
    <cellStyle name="Normal 2 4 13 2" xfId="559" xr:uid="{00000000-0005-0000-0000-000053020000}"/>
    <cellStyle name="Normal 2 4 14" xfId="560" xr:uid="{00000000-0005-0000-0000-000054020000}"/>
    <cellStyle name="Normal 2 4 14 2" xfId="561" xr:uid="{00000000-0005-0000-0000-000055020000}"/>
    <cellStyle name="Normal 2 4 15" xfId="562" xr:uid="{00000000-0005-0000-0000-000056020000}"/>
    <cellStyle name="Normal 2 4 15 2" xfId="563" xr:uid="{00000000-0005-0000-0000-000057020000}"/>
    <cellStyle name="Normal 2 4 16" xfId="564" xr:uid="{00000000-0005-0000-0000-000058020000}"/>
    <cellStyle name="Normal 2 4 16 2" xfId="565" xr:uid="{00000000-0005-0000-0000-000059020000}"/>
    <cellStyle name="Normal 2 4 17" xfId="566" xr:uid="{00000000-0005-0000-0000-00005A020000}"/>
    <cellStyle name="Normal 2 4 17 2" xfId="567" xr:uid="{00000000-0005-0000-0000-00005B020000}"/>
    <cellStyle name="Normal 2 4 18" xfId="568" xr:uid="{00000000-0005-0000-0000-00005C020000}"/>
    <cellStyle name="Normal 2 4 18 2" xfId="569" xr:uid="{00000000-0005-0000-0000-00005D020000}"/>
    <cellStyle name="Normal 2 4 19" xfId="570" xr:uid="{00000000-0005-0000-0000-00005E020000}"/>
    <cellStyle name="Normal 2 4 19 2" xfId="571" xr:uid="{00000000-0005-0000-0000-00005F020000}"/>
    <cellStyle name="Normal 2 4 2" xfId="572" xr:uid="{00000000-0005-0000-0000-000060020000}"/>
    <cellStyle name="Normal 2 4 2 10" xfId="573" xr:uid="{00000000-0005-0000-0000-000061020000}"/>
    <cellStyle name="Normal 2 4 2 10 2" xfId="574" xr:uid="{00000000-0005-0000-0000-000062020000}"/>
    <cellStyle name="Normal 2 4 2 11" xfId="575" xr:uid="{00000000-0005-0000-0000-000063020000}"/>
    <cellStyle name="Normal 2 4 2 2" xfId="576" xr:uid="{00000000-0005-0000-0000-000064020000}"/>
    <cellStyle name="Normal 2 4 2 2 2" xfId="577" xr:uid="{00000000-0005-0000-0000-000065020000}"/>
    <cellStyle name="Normal 2 4 2 2 2 2" xfId="578" xr:uid="{00000000-0005-0000-0000-000066020000}"/>
    <cellStyle name="Normal 2 4 2 2 3" xfId="579" xr:uid="{00000000-0005-0000-0000-000067020000}"/>
    <cellStyle name="Normal 2 4 2 2 3 2" xfId="580" xr:uid="{00000000-0005-0000-0000-000068020000}"/>
    <cellStyle name="Normal 2 4 2 2 4" xfId="581" xr:uid="{00000000-0005-0000-0000-000069020000}"/>
    <cellStyle name="Normal 2 4 2 2 4 2" xfId="582" xr:uid="{00000000-0005-0000-0000-00006A020000}"/>
    <cellStyle name="Normal 2 4 2 2 5" xfId="583" xr:uid="{00000000-0005-0000-0000-00006B020000}"/>
    <cellStyle name="Normal 2 4 2 2 5 2" xfId="584" xr:uid="{00000000-0005-0000-0000-00006C020000}"/>
    <cellStyle name="Normal 2 4 2 2 6" xfId="585" xr:uid="{00000000-0005-0000-0000-00006D020000}"/>
    <cellStyle name="Normal 2 4 2 2 6 2" xfId="586" xr:uid="{00000000-0005-0000-0000-00006E020000}"/>
    <cellStyle name="Normal 2 4 2 2 7" xfId="587" xr:uid="{00000000-0005-0000-0000-00006F020000}"/>
    <cellStyle name="Normal 2 4 2 2 7 2" xfId="588" xr:uid="{00000000-0005-0000-0000-000070020000}"/>
    <cellStyle name="Normal 2 4 2 2 8" xfId="589" xr:uid="{00000000-0005-0000-0000-000071020000}"/>
    <cellStyle name="Normal 2 4 2 2 8 2" xfId="590" xr:uid="{00000000-0005-0000-0000-000072020000}"/>
    <cellStyle name="Normal 2 4 2 2 9" xfId="591" xr:uid="{00000000-0005-0000-0000-000073020000}"/>
    <cellStyle name="Normal 2 4 2 3" xfId="592" xr:uid="{00000000-0005-0000-0000-000074020000}"/>
    <cellStyle name="Normal 2 4 2 3 2" xfId="593" xr:uid="{00000000-0005-0000-0000-000075020000}"/>
    <cellStyle name="Normal 2 4 2 3 2 2" xfId="594" xr:uid="{00000000-0005-0000-0000-000076020000}"/>
    <cellStyle name="Normal 2 4 2 3 3" xfId="595" xr:uid="{00000000-0005-0000-0000-000077020000}"/>
    <cellStyle name="Normal 2 4 2 3 3 2" xfId="596" xr:uid="{00000000-0005-0000-0000-000078020000}"/>
    <cellStyle name="Normal 2 4 2 3 4" xfId="597" xr:uid="{00000000-0005-0000-0000-000079020000}"/>
    <cellStyle name="Normal 2 4 2 3 4 2" xfId="598" xr:uid="{00000000-0005-0000-0000-00007A020000}"/>
    <cellStyle name="Normal 2 4 2 3 5" xfId="599" xr:uid="{00000000-0005-0000-0000-00007B020000}"/>
    <cellStyle name="Normal 2 4 2 3 5 2" xfId="600" xr:uid="{00000000-0005-0000-0000-00007C020000}"/>
    <cellStyle name="Normal 2 4 2 3 6" xfId="601" xr:uid="{00000000-0005-0000-0000-00007D020000}"/>
    <cellStyle name="Normal 2 4 2 3 6 2" xfId="602" xr:uid="{00000000-0005-0000-0000-00007E020000}"/>
    <cellStyle name="Normal 2 4 2 3 7" xfId="603" xr:uid="{00000000-0005-0000-0000-00007F020000}"/>
    <cellStyle name="Normal 2 4 2 3 7 2" xfId="604" xr:uid="{00000000-0005-0000-0000-000080020000}"/>
    <cellStyle name="Normal 2 4 2 3 8" xfId="605" xr:uid="{00000000-0005-0000-0000-000081020000}"/>
    <cellStyle name="Normal 2 4 2 3 8 2" xfId="606" xr:uid="{00000000-0005-0000-0000-000082020000}"/>
    <cellStyle name="Normal 2 4 2 3 9" xfId="607" xr:uid="{00000000-0005-0000-0000-000083020000}"/>
    <cellStyle name="Normal 2 4 2 4" xfId="608" xr:uid="{00000000-0005-0000-0000-000084020000}"/>
    <cellStyle name="Normal 2 4 2 4 2" xfId="609" xr:uid="{00000000-0005-0000-0000-000085020000}"/>
    <cellStyle name="Normal 2 4 2 5" xfId="610" xr:uid="{00000000-0005-0000-0000-000086020000}"/>
    <cellStyle name="Normal 2 4 2 5 2" xfId="611" xr:uid="{00000000-0005-0000-0000-000087020000}"/>
    <cellStyle name="Normal 2 4 2 6" xfId="612" xr:uid="{00000000-0005-0000-0000-000088020000}"/>
    <cellStyle name="Normal 2 4 2 6 2" xfId="613" xr:uid="{00000000-0005-0000-0000-000089020000}"/>
    <cellStyle name="Normal 2 4 2 7" xfId="614" xr:uid="{00000000-0005-0000-0000-00008A020000}"/>
    <cellStyle name="Normal 2 4 2 7 2" xfId="615" xr:uid="{00000000-0005-0000-0000-00008B020000}"/>
    <cellStyle name="Normal 2 4 2 8" xfId="616" xr:uid="{00000000-0005-0000-0000-00008C020000}"/>
    <cellStyle name="Normal 2 4 2 8 2" xfId="617" xr:uid="{00000000-0005-0000-0000-00008D020000}"/>
    <cellStyle name="Normal 2 4 2 9" xfId="618" xr:uid="{00000000-0005-0000-0000-00008E020000}"/>
    <cellStyle name="Normal 2 4 2 9 2" xfId="619" xr:uid="{00000000-0005-0000-0000-00008F020000}"/>
    <cellStyle name="Normal 2 4 20" xfId="620" xr:uid="{00000000-0005-0000-0000-000090020000}"/>
    <cellStyle name="Normal 2 4 21" xfId="621" xr:uid="{00000000-0005-0000-0000-000091020000}"/>
    <cellStyle name="Normal 2 4 3" xfId="622" xr:uid="{00000000-0005-0000-0000-000092020000}"/>
    <cellStyle name="Normal 2 4 3 10" xfId="623" xr:uid="{00000000-0005-0000-0000-000093020000}"/>
    <cellStyle name="Normal 2 4 3 10 2" xfId="624" xr:uid="{00000000-0005-0000-0000-000094020000}"/>
    <cellStyle name="Normal 2 4 3 11" xfId="625" xr:uid="{00000000-0005-0000-0000-000095020000}"/>
    <cellStyle name="Normal 2 4 3 2" xfId="626" xr:uid="{00000000-0005-0000-0000-000096020000}"/>
    <cellStyle name="Normal 2 4 3 2 2" xfId="627" xr:uid="{00000000-0005-0000-0000-000097020000}"/>
    <cellStyle name="Normal 2 4 3 2 2 2" xfId="628" xr:uid="{00000000-0005-0000-0000-000098020000}"/>
    <cellStyle name="Normal 2 4 3 2 3" xfId="629" xr:uid="{00000000-0005-0000-0000-000099020000}"/>
    <cellStyle name="Normal 2 4 3 2 3 2" xfId="630" xr:uid="{00000000-0005-0000-0000-00009A020000}"/>
    <cellStyle name="Normal 2 4 3 2 4" xfId="631" xr:uid="{00000000-0005-0000-0000-00009B020000}"/>
    <cellStyle name="Normal 2 4 3 2 4 2" xfId="632" xr:uid="{00000000-0005-0000-0000-00009C020000}"/>
    <cellStyle name="Normal 2 4 3 2 5" xfId="633" xr:uid="{00000000-0005-0000-0000-00009D020000}"/>
    <cellStyle name="Normal 2 4 3 2 5 2" xfId="634" xr:uid="{00000000-0005-0000-0000-00009E020000}"/>
    <cellStyle name="Normal 2 4 3 2 6" xfId="635" xr:uid="{00000000-0005-0000-0000-00009F020000}"/>
    <cellStyle name="Normal 2 4 3 2 6 2" xfId="636" xr:uid="{00000000-0005-0000-0000-0000A0020000}"/>
    <cellStyle name="Normal 2 4 3 2 7" xfId="637" xr:uid="{00000000-0005-0000-0000-0000A1020000}"/>
    <cellStyle name="Normal 2 4 3 2 7 2" xfId="638" xr:uid="{00000000-0005-0000-0000-0000A2020000}"/>
    <cellStyle name="Normal 2 4 3 2 8" xfId="639" xr:uid="{00000000-0005-0000-0000-0000A3020000}"/>
    <cellStyle name="Normal 2 4 3 2 8 2" xfId="640" xr:uid="{00000000-0005-0000-0000-0000A4020000}"/>
    <cellStyle name="Normal 2 4 3 2 9" xfId="641" xr:uid="{00000000-0005-0000-0000-0000A5020000}"/>
    <cellStyle name="Normal 2 4 3 3" xfId="642" xr:uid="{00000000-0005-0000-0000-0000A6020000}"/>
    <cellStyle name="Normal 2 4 3 3 2" xfId="643" xr:uid="{00000000-0005-0000-0000-0000A7020000}"/>
    <cellStyle name="Normal 2 4 3 3 2 2" xfId="644" xr:uid="{00000000-0005-0000-0000-0000A8020000}"/>
    <cellStyle name="Normal 2 4 3 3 3" xfId="645" xr:uid="{00000000-0005-0000-0000-0000A9020000}"/>
    <cellStyle name="Normal 2 4 3 3 3 2" xfId="646" xr:uid="{00000000-0005-0000-0000-0000AA020000}"/>
    <cellStyle name="Normal 2 4 3 3 4" xfId="647" xr:uid="{00000000-0005-0000-0000-0000AB020000}"/>
    <cellStyle name="Normal 2 4 3 3 4 2" xfId="648" xr:uid="{00000000-0005-0000-0000-0000AC020000}"/>
    <cellStyle name="Normal 2 4 3 3 5" xfId="649" xr:uid="{00000000-0005-0000-0000-0000AD020000}"/>
    <cellStyle name="Normal 2 4 3 3 5 2" xfId="650" xr:uid="{00000000-0005-0000-0000-0000AE020000}"/>
    <cellStyle name="Normal 2 4 3 3 6" xfId="651" xr:uid="{00000000-0005-0000-0000-0000AF020000}"/>
    <cellStyle name="Normal 2 4 3 3 6 2" xfId="652" xr:uid="{00000000-0005-0000-0000-0000B0020000}"/>
    <cellStyle name="Normal 2 4 3 3 7" xfId="653" xr:uid="{00000000-0005-0000-0000-0000B1020000}"/>
    <cellStyle name="Normal 2 4 3 3 7 2" xfId="654" xr:uid="{00000000-0005-0000-0000-0000B2020000}"/>
    <cellStyle name="Normal 2 4 3 3 8" xfId="655" xr:uid="{00000000-0005-0000-0000-0000B3020000}"/>
    <cellStyle name="Normal 2 4 3 3 8 2" xfId="656" xr:uid="{00000000-0005-0000-0000-0000B4020000}"/>
    <cellStyle name="Normal 2 4 3 3 9" xfId="657" xr:uid="{00000000-0005-0000-0000-0000B5020000}"/>
    <cellStyle name="Normal 2 4 3 4" xfId="658" xr:uid="{00000000-0005-0000-0000-0000B6020000}"/>
    <cellStyle name="Normal 2 4 3 4 2" xfId="659" xr:uid="{00000000-0005-0000-0000-0000B7020000}"/>
    <cellStyle name="Normal 2 4 3 5" xfId="660" xr:uid="{00000000-0005-0000-0000-0000B8020000}"/>
    <cellStyle name="Normal 2 4 3 5 2" xfId="661" xr:uid="{00000000-0005-0000-0000-0000B9020000}"/>
    <cellStyle name="Normal 2 4 3 6" xfId="662" xr:uid="{00000000-0005-0000-0000-0000BA020000}"/>
    <cellStyle name="Normal 2 4 3 6 2" xfId="663" xr:uid="{00000000-0005-0000-0000-0000BB020000}"/>
    <cellStyle name="Normal 2 4 3 7" xfId="664" xr:uid="{00000000-0005-0000-0000-0000BC020000}"/>
    <cellStyle name="Normal 2 4 3 7 2" xfId="665" xr:uid="{00000000-0005-0000-0000-0000BD020000}"/>
    <cellStyle name="Normal 2 4 3 8" xfId="666" xr:uid="{00000000-0005-0000-0000-0000BE020000}"/>
    <cellStyle name="Normal 2 4 3 8 2" xfId="667" xr:uid="{00000000-0005-0000-0000-0000BF020000}"/>
    <cellStyle name="Normal 2 4 3 9" xfId="668" xr:uid="{00000000-0005-0000-0000-0000C0020000}"/>
    <cellStyle name="Normal 2 4 3 9 2" xfId="669" xr:uid="{00000000-0005-0000-0000-0000C1020000}"/>
    <cellStyle name="Normal 2 4 4" xfId="670" xr:uid="{00000000-0005-0000-0000-0000C2020000}"/>
    <cellStyle name="Normal 2 4 4 2" xfId="671" xr:uid="{00000000-0005-0000-0000-0000C3020000}"/>
    <cellStyle name="Normal 2 4 4 2 2" xfId="672" xr:uid="{00000000-0005-0000-0000-0000C4020000}"/>
    <cellStyle name="Normal 2 4 4 3" xfId="673" xr:uid="{00000000-0005-0000-0000-0000C5020000}"/>
    <cellStyle name="Normal 2 4 4 3 2" xfId="674" xr:uid="{00000000-0005-0000-0000-0000C6020000}"/>
    <cellStyle name="Normal 2 4 4 4" xfId="675" xr:uid="{00000000-0005-0000-0000-0000C7020000}"/>
    <cellStyle name="Normal 2 4 4 4 2" xfId="676" xr:uid="{00000000-0005-0000-0000-0000C8020000}"/>
    <cellStyle name="Normal 2 4 4 5" xfId="677" xr:uid="{00000000-0005-0000-0000-0000C9020000}"/>
    <cellStyle name="Normal 2 4 4 5 2" xfId="678" xr:uid="{00000000-0005-0000-0000-0000CA020000}"/>
    <cellStyle name="Normal 2 4 4 6" xfId="679" xr:uid="{00000000-0005-0000-0000-0000CB020000}"/>
    <cellStyle name="Normal 2 4 4 6 2" xfId="680" xr:uid="{00000000-0005-0000-0000-0000CC020000}"/>
    <cellStyle name="Normal 2 4 4 7" xfId="681" xr:uid="{00000000-0005-0000-0000-0000CD020000}"/>
    <cellStyle name="Normal 2 4 4 7 2" xfId="682" xr:uid="{00000000-0005-0000-0000-0000CE020000}"/>
    <cellStyle name="Normal 2 4 4 8" xfId="683" xr:uid="{00000000-0005-0000-0000-0000CF020000}"/>
    <cellStyle name="Normal 2 4 4 8 2" xfId="684" xr:uid="{00000000-0005-0000-0000-0000D0020000}"/>
    <cellStyle name="Normal 2 4 4 9" xfId="685" xr:uid="{00000000-0005-0000-0000-0000D1020000}"/>
    <cellStyle name="Normal 2 4 5" xfId="686" xr:uid="{00000000-0005-0000-0000-0000D2020000}"/>
    <cellStyle name="Normal 2 4 5 2" xfId="687" xr:uid="{00000000-0005-0000-0000-0000D3020000}"/>
    <cellStyle name="Normal 2 4 5 2 2" xfId="688" xr:uid="{00000000-0005-0000-0000-0000D4020000}"/>
    <cellStyle name="Normal 2 4 5 3" xfId="689" xr:uid="{00000000-0005-0000-0000-0000D5020000}"/>
    <cellStyle name="Normal 2 4 5 3 2" xfId="690" xr:uid="{00000000-0005-0000-0000-0000D6020000}"/>
    <cellStyle name="Normal 2 4 5 4" xfId="691" xr:uid="{00000000-0005-0000-0000-0000D7020000}"/>
    <cellStyle name="Normal 2 4 5 4 2" xfId="692" xr:uid="{00000000-0005-0000-0000-0000D8020000}"/>
    <cellStyle name="Normal 2 4 5 5" xfId="693" xr:uid="{00000000-0005-0000-0000-0000D9020000}"/>
    <cellStyle name="Normal 2 4 5 5 2" xfId="694" xr:uid="{00000000-0005-0000-0000-0000DA020000}"/>
    <cellStyle name="Normal 2 4 5 6" xfId="695" xr:uid="{00000000-0005-0000-0000-0000DB020000}"/>
    <cellStyle name="Normal 2 4 5 6 2" xfId="696" xr:uid="{00000000-0005-0000-0000-0000DC020000}"/>
    <cellStyle name="Normal 2 4 5 7" xfId="697" xr:uid="{00000000-0005-0000-0000-0000DD020000}"/>
    <cellStyle name="Normal 2 4 5 7 2" xfId="698" xr:uid="{00000000-0005-0000-0000-0000DE020000}"/>
    <cellStyle name="Normal 2 4 5 8" xfId="699" xr:uid="{00000000-0005-0000-0000-0000DF020000}"/>
    <cellStyle name="Normal 2 4 5 8 2" xfId="700" xr:uid="{00000000-0005-0000-0000-0000E0020000}"/>
    <cellStyle name="Normal 2 4 5 9" xfId="701" xr:uid="{00000000-0005-0000-0000-0000E1020000}"/>
    <cellStyle name="Normal 2 4 6" xfId="702" xr:uid="{00000000-0005-0000-0000-0000E2020000}"/>
    <cellStyle name="Normal 2 4 6 2" xfId="703" xr:uid="{00000000-0005-0000-0000-0000E3020000}"/>
    <cellStyle name="Normal 2 4 6 2 2" xfId="704" xr:uid="{00000000-0005-0000-0000-0000E4020000}"/>
    <cellStyle name="Normal 2 4 6 3" xfId="705" xr:uid="{00000000-0005-0000-0000-0000E5020000}"/>
    <cellStyle name="Normal 2 4 6 3 2" xfId="706" xr:uid="{00000000-0005-0000-0000-0000E6020000}"/>
    <cellStyle name="Normal 2 4 6 4" xfId="707" xr:uid="{00000000-0005-0000-0000-0000E7020000}"/>
    <cellStyle name="Normal 2 4 6 4 2" xfId="708" xr:uid="{00000000-0005-0000-0000-0000E8020000}"/>
    <cellStyle name="Normal 2 4 6 5" xfId="709" xr:uid="{00000000-0005-0000-0000-0000E9020000}"/>
    <cellStyle name="Normal 2 4 6 5 2" xfId="710" xr:uid="{00000000-0005-0000-0000-0000EA020000}"/>
    <cellStyle name="Normal 2 4 6 6" xfId="711" xr:uid="{00000000-0005-0000-0000-0000EB020000}"/>
    <cellStyle name="Normal 2 4 6 6 2" xfId="712" xr:uid="{00000000-0005-0000-0000-0000EC020000}"/>
    <cellStyle name="Normal 2 4 6 7" xfId="713" xr:uid="{00000000-0005-0000-0000-0000ED020000}"/>
    <cellStyle name="Normal 2 4 6 7 2" xfId="714" xr:uid="{00000000-0005-0000-0000-0000EE020000}"/>
    <cellStyle name="Normal 2 4 6 8" xfId="715" xr:uid="{00000000-0005-0000-0000-0000EF020000}"/>
    <cellStyle name="Normal 2 4 6 8 2" xfId="716" xr:uid="{00000000-0005-0000-0000-0000F0020000}"/>
    <cellStyle name="Normal 2 4 6 9" xfId="717" xr:uid="{00000000-0005-0000-0000-0000F1020000}"/>
    <cellStyle name="Normal 2 4 7" xfId="718" xr:uid="{00000000-0005-0000-0000-0000F2020000}"/>
    <cellStyle name="Normal 2 4 7 2" xfId="719" xr:uid="{00000000-0005-0000-0000-0000F3020000}"/>
    <cellStyle name="Normal 2 4 7 2 2" xfId="720" xr:uid="{00000000-0005-0000-0000-0000F4020000}"/>
    <cellStyle name="Normal 2 4 7 3" xfId="721" xr:uid="{00000000-0005-0000-0000-0000F5020000}"/>
    <cellStyle name="Normal 2 4 7 3 2" xfId="722" xr:uid="{00000000-0005-0000-0000-0000F6020000}"/>
    <cellStyle name="Normal 2 4 7 4" xfId="723" xr:uid="{00000000-0005-0000-0000-0000F7020000}"/>
    <cellStyle name="Normal 2 4 7 4 2" xfId="724" xr:uid="{00000000-0005-0000-0000-0000F8020000}"/>
    <cellStyle name="Normal 2 4 7 5" xfId="725" xr:uid="{00000000-0005-0000-0000-0000F9020000}"/>
    <cellStyle name="Normal 2 4 7 5 2" xfId="726" xr:uid="{00000000-0005-0000-0000-0000FA020000}"/>
    <cellStyle name="Normal 2 4 7 6" xfId="727" xr:uid="{00000000-0005-0000-0000-0000FB020000}"/>
    <cellStyle name="Normal 2 4 7 6 2" xfId="728" xr:uid="{00000000-0005-0000-0000-0000FC020000}"/>
    <cellStyle name="Normal 2 4 7 7" xfId="729" xr:uid="{00000000-0005-0000-0000-0000FD020000}"/>
    <cellStyle name="Normal 2 4 7 7 2" xfId="730" xr:uid="{00000000-0005-0000-0000-0000FE020000}"/>
    <cellStyle name="Normal 2 4 7 8" xfId="731" xr:uid="{00000000-0005-0000-0000-0000FF020000}"/>
    <cellStyle name="Normal 2 4 7 8 2" xfId="732" xr:uid="{00000000-0005-0000-0000-000000030000}"/>
    <cellStyle name="Normal 2 4 7 9" xfId="733" xr:uid="{00000000-0005-0000-0000-000001030000}"/>
    <cellStyle name="Normal 2 4 8" xfId="734" xr:uid="{00000000-0005-0000-0000-000002030000}"/>
    <cellStyle name="Normal 2 4 8 2" xfId="735" xr:uid="{00000000-0005-0000-0000-000003030000}"/>
    <cellStyle name="Normal 2 4 8 2 2" xfId="736" xr:uid="{00000000-0005-0000-0000-000004030000}"/>
    <cellStyle name="Normal 2 4 8 3" xfId="737" xr:uid="{00000000-0005-0000-0000-000005030000}"/>
    <cellStyle name="Normal 2 4 8 3 2" xfId="738" xr:uid="{00000000-0005-0000-0000-000006030000}"/>
    <cellStyle name="Normal 2 4 8 4" xfId="739" xr:uid="{00000000-0005-0000-0000-000007030000}"/>
    <cellStyle name="Normal 2 4 8 4 2" xfId="740" xr:uid="{00000000-0005-0000-0000-000008030000}"/>
    <cellStyle name="Normal 2 4 8 5" xfId="741" xr:uid="{00000000-0005-0000-0000-000009030000}"/>
    <cellStyle name="Normal 2 4 8 5 2" xfId="742" xr:uid="{00000000-0005-0000-0000-00000A030000}"/>
    <cellStyle name="Normal 2 4 8 6" xfId="743" xr:uid="{00000000-0005-0000-0000-00000B030000}"/>
    <cellStyle name="Normal 2 4 8 6 2" xfId="744" xr:uid="{00000000-0005-0000-0000-00000C030000}"/>
    <cellStyle name="Normal 2 4 8 7" xfId="745" xr:uid="{00000000-0005-0000-0000-00000D030000}"/>
    <cellStyle name="Normal 2 4 8 7 2" xfId="746" xr:uid="{00000000-0005-0000-0000-00000E030000}"/>
    <cellStyle name="Normal 2 4 8 8" xfId="747" xr:uid="{00000000-0005-0000-0000-00000F030000}"/>
    <cellStyle name="Normal 2 4 8 8 2" xfId="748" xr:uid="{00000000-0005-0000-0000-000010030000}"/>
    <cellStyle name="Normal 2 4 8 9" xfId="749" xr:uid="{00000000-0005-0000-0000-000011030000}"/>
    <cellStyle name="Normal 2 4 9" xfId="750" xr:uid="{00000000-0005-0000-0000-000012030000}"/>
    <cellStyle name="Normal 2 4 9 2" xfId="751" xr:uid="{00000000-0005-0000-0000-000013030000}"/>
    <cellStyle name="Normal 2 5" xfId="752" xr:uid="{00000000-0005-0000-0000-000014030000}"/>
    <cellStyle name="Normal 2 5 10" xfId="753" xr:uid="{00000000-0005-0000-0000-000015030000}"/>
    <cellStyle name="Normal 2 5 10 2" xfId="754" xr:uid="{00000000-0005-0000-0000-000016030000}"/>
    <cellStyle name="Normal 2 5 11" xfId="755" xr:uid="{00000000-0005-0000-0000-000017030000}"/>
    <cellStyle name="Normal 2 5 11 2" xfId="756" xr:uid="{00000000-0005-0000-0000-000018030000}"/>
    <cellStyle name="Normal 2 5 12" xfId="757" xr:uid="{00000000-0005-0000-0000-000019030000}"/>
    <cellStyle name="Normal 2 5 12 2" xfId="758" xr:uid="{00000000-0005-0000-0000-00001A030000}"/>
    <cellStyle name="Normal 2 5 13" xfId="759" xr:uid="{00000000-0005-0000-0000-00001B030000}"/>
    <cellStyle name="Normal 2 5 13 2" xfId="760" xr:uid="{00000000-0005-0000-0000-00001C030000}"/>
    <cellStyle name="Normal 2 5 14" xfId="761" xr:uid="{00000000-0005-0000-0000-00001D030000}"/>
    <cellStyle name="Normal 2 5 14 2" xfId="762" xr:uid="{00000000-0005-0000-0000-00001E030000}"/>
    <cellStyle name="Normal 2 5 15" xfId="763" xr:uid="{00000000-0005-0000-0000-00001F030000}"/>
    <cellStyle name="Normal 2 5 15 2" xfId="764" xr:uid="{00000000-0005-0000-0000-000020030000}"/>
    <cellStyle name="Normal 2 5 16" xfId="765" xr:uid="{00000000-0005-0000-0000-000021030000}"/>
    <cellStyle name="Normal 2 5 16 2" xfId="766" xr:uid="{00000000-0005-0000-0000-000022030000}"/>
    <cellStyle name="Normal 2 5 17" xfId="767" xr:uid="{00000000-0005-0000-0000-000023030000}"/>
    <cellStyle name="Normal 2 5 17 2" xfId="768" xr:uid="{00000000-0005-0000-0000-000024030000}"/>
    <cellStyle name="Normal 2 5 18" xfId="769" xr:uid="{00000000-0005-0000-0000-000025030000}"/>
    <cellStyle name="Normal 2 5 18 2" xfId="770" xr:uid="{00000000-0005-0000-0000-000026030000}"/>
    <cellStyle name="Normal 2 5 19" xfId="771" xr:uid="{00000000-0005-0000-0000-000027030000}"/>
    <cellStyle name="Normal 2 5 19 2" xfId="772" xr:uid="{00000000-0005-0000-0000-000028030000}"/>
    <cellStyle name="Normal 2 5 2" xfId="773" xr:uid="{00000000-0005-0000-0000-000029030000}"/>
    <cellStyle name="Normal 2 5 2 10" xfId="774" xr:uid="{00000000-0005-0000-0000-00002A030000}"/>
    <cellStyle name="Normal 2 5 2 10 2" xfId="775" xr:uid="{00000000-0005-0000-0000-00002B030000}"/>
    <cellStyle name="Normal 2 5 2 11" xfId="776" xr:uid="{00000000-0005-0000-0000-00002C030000}"/>
    <cellStyle name="Normal 2 5 2 2" xfId="777" xr:uid="{00000000-0005-0000-0000-00002D030000}"/>
    <cellStyle name="Normal 2 5 2 2 2" xfId="778" xr:uid="{00000000-0005-0000-0000-00002E030000}"/>
    <cellStyle name="Normal 2 5 2 2 2 2" xfId="779" xr:uid="{00000000-0005-0000-0000-00002F030000}"/>
    <cellStyle name="Normal 2 5 2 2 3" xfId="780" xr:uid="{00000000-0005-0000-0000-000030030000}"/>
    <cellStyle name="Normal 2 5 2 2 3 2" xfId="781" xr:uid="{00000000-0005-0000-0000-000031030000}"/>
    <cellStyle name="Normal 2 5 2 2 4" xfId="782" xr:uid="{00000000-0005-0000-0000-000032030000}"/>
    <cellStyle name="Normal 2 5 2 2 4 2" xfId="783" xr:uid="{00000000-0005-0000-0000-000033030000}"/>
    <cellStyle name="Normal 2 5 2 2 5" xfId="784" xr:uid="{00000000-0005-0000-0000-000034030000}"/>
    <cellStyle name="Normal 2 5 2 2 5 2" xfId="785" xr:uid="{00000000-0005-0000-0000-000035030000}"/>
    <cellStyle name="Normal 2 5 2 2 6" xfId="786" xr:uid="{00000000-0005-0000-0000-000036030000}"/>
    <cellStyle name="Normal 2 5 2 2 6 2" xfId="787" xr:uid="{00000000-0005-0000-0000-000037030000}"/>
    <cellStyle name="Normal 2 5 2 2 7" xfId="788" xr:uid="{00000000-0005-0000-0000-000038030000}"/>
    <cellStyle name="Normal 2 5 2 2 7 2" xfId="789" xr:uid="{00000000-0005-0000-0000-000039030000}"/>
    <cellStyle name="Normal 2 5 2 2 8" xfId="790" xr:uid="{00000000-0005-0000-0000-00003A030000}"/>
    <cellStyle name="Normal 2 5 2 2 8 2" xfId="791" xr:uid="{00000000-0005-0000-0000-00003B030000}"/>
    <cellStyle name="Normal 2 5 2 2 9" xfId="792" xr:uid="{00000000-0005-0000-0000-00003C030000}"/>
    <cellStyle name="Normal 2 5 2 3" xfId="793" xr:uid="{00000000-0005-0000-0000-00003D030000}"/>
    <cellStyle name="Normal 2 5 2 3 2" xfId="794" xr:uid="{00000000-0005-0000-0000-00003E030000}"/>
    <cellStyle name="Normal 2 5 2 3 2 2" xfId="795" xr:uid="{00000000-0005-0000-0000-00003F030000}"/>
    <cellStyle name="Normal 2 5 2 3 3" xfId="796" xr:uid="{00000000-0005-0000-0000-000040030000}"/>
    <cellStyle name="Normal 2 5 2 3 3 2" xfId="797" xr:uid="{00000000-0005-0000-0000-000041030000}"/>
    <cellStyle name="Normal 2 5 2 3 4" xfId="798" xr:uid="{00000000-0005-0000-0000-000042030000}"/>
    <cellStyle name="Normal 2 5 2 3 4 2" xfId="799" xr:uid="{00000000-0005-0000-0000-000043030000}"/>
    <cellStyle name="Normal 2 5 2 3 5" xfId="800" xr:uid="{00000000-0005-0000-0000-000044030000}"/>
    <cellStyle name="Normal 2 5 2 3 5 2" xfId="801" xr:uid="{00000000-0005-0000-0000-000045030000}"/>
    <cellStyle name="Normal 2 5 2 3 6" xfId="802" xr:uid="{00000000-0005-0000-0000-000046030000}"/>
    <cellStyle name="Normal 2 5 2 3 6 2" xfId="803" xr:uid="{00000000-0005-0000-0000-000047030000}"/>
    <cellStyle name="Normal 2 5 2 3 7" xfId="804" xr:uid="{00000000-0005-0000-0000-000048030000}"/>
    <cellStyle name="Normal 2 5 2 3 7 2" xfId="805" xr:uid="{00000000-0005-0000-0000-000049030000}"/>
    <cellStyle name="Normal 2 5 2 3 8" xfId="806" xr:uid="{00000000-0005-0000-0000-00004A030000}"/>
    <cellStyle name="Normal 2 5 2 3 8 2" xfId="807" xr:uid="{00000000-0005-0000-0000-00004B030000}"/>
    <cellStyle name="Normal 2 5 2 3 9" xfId="808" xr:uid="{00000000-0005-0000-0000-00004C030000}"/>
    <cellStyle name="Normal 2 5 2 4" xfId="809" xr:uid="{00000000-0005-0000-0000-00004D030000}"/>
    <cellStyle name="Normal 2 5 2 4 2" xfId="810" xr:uid="{00000000-0005-0000-0000-00004E030000}"/>
    <cellStyle name="Normal 2 5 2 5" xfId="811" xr:uid="{00000000-0005-0000-0000-00004F030000}"/>
    <cellStyle name="Normal 2 5 2 5 2" xfId="812" xr:uid="{00000000-0005-0000-0000-000050030000}"/>
    <cellStyle name="Normal 2 5 2 6" xfId="813" xr:uid="{00000000-0005-0000-0000-000051030000}"/>
    <cellStyle name="Normal 2 5 2 6 2" xfId="814" xr:uid="{00000000-0005-0000-0000-000052030000}"/>
    <cellStyle name="Normal 2 5 2 7" xfId="815" xr:uid="{00000000-0005-0000-0000-000053030000}"/>
    <cellStyle name="Normal 2 5 2 7 2" xfId="816" xr:uid="{00000000-0005-0000-0000-000054030000}"/>
    <cellStyle name="Normal 2 5 2 8" xfId="817" xr:uid="{00000000-0005-0000-0000-000055030000}"/>
    <cellStyle name="Normal 2 5 2 8 2" xfId="818" xr:uid="{00000000-0005-0000-0000-000056030000}"/>
    <cellStyle name="Normal 2 5 2 9" xfId="819" xr:uid="{00000000-0005-0000-0000-000057030000}"/>
    <cellStyle name="Normal 2 5 2 9 2" xfId="820" xr:uid="{00000000-0005-0000-0000-000058030000}"/>
    <cellStyle name="Normal 2 5 20" xfId="821" xr:uid="{00000000-0005-0000-0000-000059030000}"/>
    <cellStyle name="Normal 2 5 21" xfId="822" xr:uid="{00000000-0005-0000-0000-00005A030000}"/>
    <cellStyle name="Normal 2 5 3" xfId="823" xr:uid="{00000000-0005-0000-0000-00005B030000}"/>
    <cellStyle name="Normal 2 5 3 10" xfId="824" xr:uid="{00000000-0005-0000-0000-00005C030000}"/>
    <cellStyle name="Normal 2 5 3 10 2" xfId="825" xr:uid="{00000000-0005-0000-0000-00005D030000}"/>
    <cellStyle name="Normal 2 5 3 11" xfId="826" xr:uid="{00000000-0005-0000-0000-00005E030000}"/>
    <cellStyle name="Normal 2 5 3 2" xfId="827" xr:uid="{00000000-0005-0000-0000-00005F030000}"/>
    <cellStyle name="Normal 2 5 3 2 2" xfId="828" xr:uid="{00000000-0005-0000-0000-000060030000}"/>
    <cellStyle name="Normal 2 5 3 2 2 2" xfId="829" xr:uid="{00000000-0005-0000-0000-000061030000}"/>
    <cellStyle name="Normal 2 5 3 2 3" xfId="830" xr:uid="{00000000-0005-0000-0000-000062030000}"/>
    <cellStyle name="Normal 2 5 3 2 3 2" xfId="831" xr:uid="{00000000-0005-0000-0000-000063030000}"/>
    <cellStyle name="Normal 2 5 3 2 4" xfId="832" xr:uid="{00000000-0005-0000-0000-000064030000}"/>
    <cellStyle name="Normal 2 5 3 2 4 2" xfId="833" xr:uid="{00000000-0005-0000-0000-000065030000}"/>
    <cellStyle name="Normal 2 5 3 2 5" xfId="834" xr:uid="{00000000-0005-0000-0000-000066030000}"/>
    <cellStyle name="Normal 2 5 3 2 5 2" xfId="835" xr:uid="{00000000-0005-0000-0000-000067030000}"/>
    <cellStyle name="Normal 2 5 3 2 6" xfId="836" xr:uid="{00000000-0005-0000-0000-000068030000}"/>
    <cellStyle name="Normal 2 5 3 2 6 2" xfId="837" xr:uid="{00000000-0005-0000-0000-000069030000}"/>
    <cellStyle name="Normal 2 5 3 2 7" xfId="838" xr:uid="{00000000-0005-0000-0000-00006A030000}"/>
    <cellStyle name="Normal 2 5 3 2 7 2" xfId="839" xr:uid="{00000000-0005-0000-0000-00006B030000}"/>
    <cellStyle name="Normal 2 5 3 2 8" xfId="840" xr:uid="{00000000-0005-0000-0000-00006C030000}"/>
    <cellStyle name="Normal 2 5 3 2 8 2" xfId="841" xr:uid="{00000000-0005-0000-0000-00006D030000}"/>
    <cellStyle name="Normal 2 5 3 2 9" xfId="842" xr:uid="{00000000-0005-0000-0000-00006E030000}"/>
    <cellStyle name="Normal 2 5 3 3" xfId="843" xr:uid="{00000000-0005-0000-0000-00006F030000}"/>
    <cellStyle name="Normal 2 5 3 3 2" xfId="844" xr:uid="{00000000-0005-0000-0000-000070030000}"/>
    <cellStyle name="Normal 2 5 3 3 2 2" xfId="845" xr:uid="{00000000-0005-0000-0000-000071030000}"/>
    <cellStyle name="Normal 2 5 3 3 3" xfId="846" xr:uid="{00000000-0005-0000-0000-000072030000}"/>
    <cellStyle name="Normal 2 5 3 3 3 2" xfId="847" xr:uid="{00000000-0005-0000-0000-000073030000}"/>
    <cellStyle name="Normal 2 5 3 3 4" xfId="848" xr:uid="{00000000-0005-0000-0000-000074030000}"/>
    <cellStyle name="Normal 2 5 3 3 4 2" xfId="849" xr:uid="{00000000-0005-0000-0000-000075030000}"/>
    <cellStyle name="Normal 2 5 3 3 5" xfId="850" xr:uid="{00000000-0005-0000-0000-000076030000}"/>
    <cellStyle name="Normal 2 5 3 3 5 2" xfId="851" xr:uid="{00000000-0005-0000-0000-000077030000}"/>
    <cellStyle name="Normal 2 5 3 3 6" xfId="852" xr:uid="{00000000-0005-0000-0000-000078030000}"/>
    <cellStyle name="Normal 2 5 3 3 6 2" xfId="853" xr:uid="{00000000-0005-0000-0000-000079030000}"/>
    <cellStyle name="Normal 2 5 3 3 7" xfId="854" xr:uid="{00000000-0005-0000-0000-00007A030000}"/>
    <cellStyle name="Normal 2 5 3 3 7 2" xfId="855" xr:uid="{00000000-0005-0000-0000-00007B030000}"/>
    <cellStyle name="Normal 2 5 3 3 8" xfId="856" xr:uid="{00000000-0005-0000-0000-00007C030000}"/>
    <cellStyle name="Normal 2 5 3 3 8 2" xfId="857" xr:uid="{00000000-0005-0000-0000-00007D030000}"/>
    <cellStyle name="Normal 2 5 3 3 9" xfId="858" xr:uid="{00000000-0005-0000-0000-00007E030000}"/>
    <cellStyle name="Normal 2 5 3 4" xfId="859" xr:uid="{00000000-0005-0000-0000-00007F030000}"/>
    <cellStyle name="Normal 2 5 3 4 2" xfId="860" xr:uid="{00000000-0005-0000-0000-000080030000}"/>
    <cellStyle name="Normal 2 5 3 5" xfId="861" xr:uid="{00000000-0005-0000-0000-000081030000}"/>
    <cellStyle name="Normal 2 5 3 5 2" xfId="862" xr:uid="{00000000-0005-0000-0000-000082030000}"/>
    <cellStyle name="Normal 2 5 3 6" xfId="863" xr:uid="{00000000-0005-0000-0000-000083030000}"/>
    <cellStyle name="Normal 2 5 3 6 2" xfId="864" xr:uid="{00000000-0005-0000-0000-000084030000}"/>
    <cellStyle name="Normal 2 5 3 7" xfId="865" xr:uid="{00000000-0005-0000-0000-000085030000}"/>
    <cellStyle name="Normal 2 5 3 7 2" xfId="866" xr:uid="{00000000-0005-0000-0000-000086030000}"/>
    <cellStyle name="Normal 2 5 3 8" xfId="867" xr:uid="{00000000-0005-0000-0000-000087030000}"/>
    <cellStyle name="Normal 2 5 3 8 2" xfId="868" xr:uid="{00000000-0005-0000-0000-000088030000}"/>
    <cellStyle name="Normal 2 5 3 9" xfId="869" xr:uid="{00000000-0005-0000-0000-000089030000}"/>
    <cellStyle name="Normal 2 5 3 9 2" xfId="870" xr:uid="{00000000-0005-0000-0000-00008A030000}"/>
    <cellStyle name="Normal 2 5 4" xfId="871" xr:uid="{00000000-0005-0000-0000-00008B030000}"/>
    <cellStyle name="Normal 2 5 4 2" xfId="872" xr:uid="{00000000-0005-0000-0000-00008C030000}"/>
    <cellStyle name="Normal 2 5 4 2 2" xfId="873" xr:uid="{00000000-0005-0000-0000-00008D030000}"/>
    <cellStyle name="Normal 2 5 4 3" xfId="874" xr:uid="{00000000-0005-0000-0000-00008E030000}"/>
    <cellStyle name="Normal 2 5 4 3 2" xfId="875" xr:uid="{00000000-0005-0000-0000-00008F030000}"/>
    <cellStyle name="Normal 2 5 4 4" xfId="876" xr:uid="{00000000-0005-0000-0000-000090030000}"/>
    <cellStyle name="Normal 2 5 4 4 2" xfId="877" xr:uid="{00000000-0005-0000-0000-000091030000}"/>
    <cellStyle name="Normal 2 5 4 5" xfId="878" xr:uid="{00000000-0005-0000-0000-000092030000}"/>
    <cellStyle name="Normal 2 5 4 5 2" xfId="879" xr:uid="{00000000-0005-0000-0000-000093030000}"/>
    <cellStyle name="Normal 2 5 4 6" xfId="880" xr:uid="{00000000-0005-0000-0000-000094030000}"/>
    <cellStyle name="Normal 2 5 4 6 2" xfId="881" xr:uid="{00000000-0005-0000-0000-000095030000}"/>
    <cellStyle name="Normal 2 5 4 7" xfId="882" xr:uid="{00000000-0005-0000-0000-000096030000}"/>
    <cellStyle name="Normal 2 5 4 7 2" xfId="883" xr:uid="{00000000-0005-0000-0000-000097030000}"/>
    <cellStyle name="Normal 2 5 4 8" xfId="884" xr:uid="{00000000-0005-0000-0000-000098030000}"/>
    <cellStyle name="Normal 2 5 4 8 2" xfId="885" xr:uid="{00000000-0005-0000-0000-000099030000}"/>
    <cellStyle name="Normal 2 5 4 9" xfId="886" xr:uid="{00000000-0005-0000-0000-00009A030000}"/>
    <cellStyle name="Normal 2 5 5" xfId="887" xr:uid="{00000000-0005-0000-0000-00009B030000}"/>
    <cellStyle name="Normal 2 5 5 2" xfId="888" xr:uid="{00000000-0005-0000-0000-00009C030000}"/>
    <cellStyle name="Normal 2 5 5 2 2" xfId="889" xr:uid="{00000000-0005-0000-0000-00009D030000}"/>
    <cellStyle name="Normal 2 5 5 3" xfId="890" xr:uid="{00000000-0005-0000-0000-00009E030000}"/>
    <cellStyle name="Normal 2 5 5 3 2" xfId="891" xr:uid="{00000000-0005-0000-0000-00009F030000}"/>
    <cellStyle name="Normal 2 5 5 4" xfId="892" xr:uid="{00000000-0005-0000-0000-0000A0030000}"/>
    <cellStyle name="Normal 2 5 5 4 2" xfId="893" xr:uid="{00000000-0005-0000-0000-0000A1030000}"/>
    <cellStyle name="Normal 2 5 5 5" xfId="894" xr:uid="{00000000-0005-0000-0000-0000A2030000}"/>
    <cellStyle name="Normal 2 5 5 5 2" xfId="895" xr:uid="{00000000-0005-0000-0000-0000A3030000}"/>
    <cellStyle name="Normal 2 5 5 6" xfId="896" xr:uid="{00000000-0005-0000-0000-0000A4030000}"/>
    <cellStyle name="Normal 2 5 5 6 2" xfId="897" xr:uid="{00000000-0005-0000-0000-0000A5030000}"/>
    <cellStyle name="Normal 2 5 5 7" xfId="898" xr:uid="{00000000-0005-0000-0000-0000A6030000}"/>
    <cellStyle name="Normal 2 5 5 7 2" xfId="899" xr:uid="{00000000-0005-0000-0000-0000A7030000}"/>
    <cellStyle name="Normal 2 5 5 8" xfId="900" xr:uid="{00000000-0005-0000-0000-0000A8030000}"/>
    <cellStyle name="Normal 2 5 5 8 2" xfId="901" xr:uid="{00000000-0005-0000-0000-0000A9030000}"/>
    <cellStyle name="Normal 2 5 5 9" xfId="902" xr:uid="{00000000-0005-0000-0000-0000AA030000}"/>
    <cellStyle name="Normal 2 5 6" xfId="903" xr:uid="{00000000-0005-0000-0000-0000AB030000}"/>
    <cellStyle name="Normal 2 5 6 2" xfId="904" xr:uid="{00000000-0005-0000-0000-0000AC030000}"/>
    <cellStyle name="Normal 2 5 6 2 2" xfId="905" xr:uid="{00000000-0005-0000-0000-0000AD030000}"/>
    <cellStyle name="Normal 2 5 6 3" xfId="906" xr:uid="{00000000-0005-0000-0000-0000AE030000}"/>
    <cellStyle name="Normal 2 5 6 3 2" xfId="907" xr:uid="{00000000-0005-0000-0000-0000AF030000}"/>
    <cellStyle name="Normal 2 5 6 4" xfId="908" xr:uid="{00000000-0005-0000-0000-0000B0030000}"/>
    <cellStyle name="Normal 2 5 6 4 2" xfId="909" xr:uid="{00000000-0005-0000-0000-0000B1030000}"/>
    <cellStyle name="Normal 2 5 6 5" xfId="910" xr:uid="{00000000-0005-0000-0000-0000B2030000}"/>
    <cellStyle name="Normal 2 5 6 5 2" xfId="911" xr:uid="{00000000-0005-0000-0000-0000B3030000}"/>
    <cellStyle name="Normal 2 5 6 6" xfId="912" xr:uid="{00000000-0005-0000-0000-0000B4030000}"/>
    <cellStyle name="Normal 2 5 6 6 2" xfId="913" xr:uid="{00000000-0005-0000-0000-0000B5030000}"/>
    <cellStyle name="Normal 2 5 6 7" xfId="914" xr:uid="{00000000-0005-0000-0000-0000B6030000}"/>
    <cellStyle name="Normal 2 5 6 7 2" xfId="915" xr:uid="{00000000-0005-0000-0000-0000B7030000}"/>
    <cellStyle name="Normal 2 5 6 8" xfId="916" xr:uid="{00000000-0005-0000-0000-0000B8030000}"/>
    <cellStyle name="Normal 2 5 6 8 2" xfId="917" xr:uid="{00000000-0005-0000-0000-0000B9030000}"/>
    <cellStyle name="Normal 2 5 6 9" xfId="918" xr:uid="{00000000-0005-0000-0000-0000BA030000}"/>
    <cellStyle name="Normal 2 5 7" xfId="919" xr:uid="{00000000-0005-0000-0000-0000BB030000}"/>
    <cellStyle name="Normal 2 5 7 2" xfId="920" xr:uid="{00000000-0005-0000-0000-0000BC030000}"/>
    <cellStyle name="Normal 2 5 7 2 2" xfId="921" xr:uid="{00000000-0005-0000-0000-0000BD030000}"/>
    <cellStyle name="Normal 2 5 7 3" xfId="922" xr:uid="{00000000-0005-0000-0000-0000BE030000}"/>
    <cellStyle name="Normal 2 5 7 3 2" xfId="923" xr:uid="{00000000-0005-0000-0000-0000BF030000}"/>
    <cellStyle name="Normal 2 5 7 4" xfId="924" xr:uid="{00000000-0005-0000-0000-0000C0030000}"/>
    <cellStyle name="Normal 2 5 7 4 2" xfId="925" xr:uid="{00000000-0005-0000-0000-0000C1030000}"/>
    <cellStyle name="Normal 2 5 7 5" xfId="926" xr:uid="{00000000-0005-0000-0000-0000C2030000}"/>
    <cellStyle name="Normal 2 5 7 5 2" xfId="927" xr:uid="{00000000-0005-0000-0000-0000C3030000}"/>
    <cellStyle name="Normal 2 5 7 6" xfId="928" xr:uid="{00000000-0005-0000-0000-0000C4030000}"/>
    <cellStyle name="Normal 2 5 7 6 2" xfId="929" xr:uid="{00000000-0005-0000-0000-0000C5030000}"/>
    <cellStyle name="Normal 2 5 7 7" xfId="930" xr:uid="{00000000-0005-0000-0000-0000C6030000}"/>
    <cellStyle name="Normal 2 5 7 7 2" xfId="931" xr:uid="{00000000-0005-0000-0000-0000C7030000}"/>
    <cellStyle name="Normal 2 5 7 8" xfId="932" xr:uid="{00000000-0005-0000-0000-0000C8030000}"/>
    <cellStyle name="Normal 2 5 7 8 2" xfId="933" xr:uid="{00000000-0005-0000-0000-0000C9030000}"/>
    <cellStyle name="Normal 2 5 7 9" xfId="934" xr:uid="{00000000-0005-0000-0000-0000CA030000}"/>
    <cellStyle name="Normal 2 5 8" xfId="935" xr:uid="{00000000-0005-0000-0000-0000CB030000}"/>
    <cellStyle name="Normal 2 5 8 2" xfId="936" xr:uid="{00000000-0005-0000-0000-0000CC030000}"/>
    <cellStyle name="Normal 2 5 8 2 2" xfId="937" xr:uid="{00000000-0005-0000-0000-0000CD030000}"/>
    <cellStyle name="Normal 2 5 8 3" xfId="938" xr:uid="{00000000-0005-0000-0000-0000CE030000}"/>
    <cellStyle name="Normal 2 5 8 3 2" xfId="939" xr:uid="{00000000-0005-0000-0000-0000CF030000}"/>
    <cellStyle name="Normal 2 5 8 4" xfId="940" xr:uid="{00000000-0005-0000-0000-0000D0030000}"/>
    <cellStyle name="Normal 2 5 8 4 2" xfId="941" xr:uid="{00000000-0005-0000-0000-0000D1030000}"/>
    <cellStyle name="Normal 2 5 8 5" xfId="942" xr:uid="{00000000-0005-0000-0000-0000D2030000}"/>
    <cellStyle name="Normal 2 5 8 5 2" xfId="943" xr:uid="{00000000-0005-0000-0000-0000D3030000}"/>
    <cellStyle name="Normal 2 5 8 6" xfId="944" xr:uid="{00000000-0005-0000-0000-0000D4030000}"/>
    <cellStyle name="Normal 2 5 8 6 2" xfId="945" xr:uid="{00000000-0005-0000-0000-0000D5030000}"/>
    <cellStyle name="Normal 2 5 8 7" xfId="946" xr:uid="{00000000-0005-0000-0000-0000D6030000}"/>
    <cellStyle name="Normal 2 5 8 7 2" xfId="947" xr:uid="{00000000-0005-0000-0000-0000D7030000}"/>
    <cellStyle name="Normal 2 5 8 8" xfId="948" xr:uid="{00000000-0005-0000-0000-0000D8030000}"/>
    <cellStyle name="Normal 2 5 8 8 2" xfId="949" xr:uid="{00000000-0005-0000-0000-0000D9030000}"/>
    <cellStyle name="Normal 2 5 8 9" xfId="950" xr:uid="{00000000-0005-0000-0000-0000DA030000}"/>
    <cellStyle name="Normal 2 5 9" xfId="951" xr:uid="{00000000-0005-0000-0000-0000DB030000}"/>
    <cellStyle name="Normal 2 5 9 2" xfId="952" xr:uid="{00000000-0005-0000-0000-0000DC030000}"/>
    <cellStyle name="Normal 2 6" xfId="953" xr:uid="{00000000-0005-0000-0000-0000DD030000}"/>
    <cellStyle name="Normal 2 6 10" xfId="954" xr:uid="{00000000-0005-0000-0000-0000DE030000}"/>
    <cellStyle name="Normal 2 6 10 2" xfId="955" xr:uid="{00000000-0005-0000-0000-0000DF030000}"/>
    <cellStyle name="Normal 2 6 11" xfId="956" xr:uid="{00000000-0005-0000-0000-0000E0030000}"/>
    <cellStyle name="Normal 2 6 11 2" xfId="957" xr:uid="{00000000-0005-0000-0000-0000E1030000}"/>
    <cellStyle name="Normal 2 6 12" xfId="958" xr:uid="{00000000-0005-0000-0000-0000E2030000}"/>
    <cellStyle name="Normal 2 6 12 2" xfId="959" xr:uid="{00000000-0005-0000-0000-0000E3030000}"/>
    <cellStyle name="Normal 2 6 13" xfId="960" xr:uid="{00000000-0005-0000-0000-0000E4030000}"/>
    <cellStyle name="Normal 2 6 13 2" xfId="961" xr:uid="{00000000-0005-0000-0000-0000E5030000}"/>
    <cellStyle name="Normal 2 6 14" xfId="962" xr:uid="{00000000-0005-0000-0000-0000E6030000}"/>
    <cellStyle name="Normal 2 6 14 2" xfId="963" xr:uid="{00000000-0005-0000-0000-0000E7030000}"/>
    <cellStyle name="Normal 2 6 15" xfId="964" xr:uid="{00000000-0005-0000-0000-0000E8030000}"/>
    <cellStyle name="Normal 2 6 15 2" xfId="965" xr:uid="{00000000-0005-0000-0000-0000E9030000}"/>
    <cellStyle name="Normal 2 6 16" xfId="966" xr:uid="{00000000-0005-0000-0000-0000EA030000}"/>
    <cellStyle name="Normal 2 6 16 2" xfId="967" xr:uid="{00000000-0005-0000-0000-0000EB030000}"/>
    <cellStyle name="Normal 2 6 17" xfId="968" xr:uid="{00000000-0005-0000-0000-0000EC030000}"/>
    <cellStyle name="Normal 2 6 17 2" xfId="969" xr:uid="{00000000-0005-0000-0000-0000ED030000}"/>
    <cellStyle name="Normal 2 6 18" xfId="970" xr:uid="{00000000-0005-0000-0000-0000EE030000}"/>
    <cellStyle name="Normal 2 6 18 2" xfId="971" xr:uid="{00000000-0005-0000-0000-0000EF030000}"/>
    <cellStyle name="Normal 2 6 19" xfId="972" xr:uid="{00000000-0005-0000-0000-0000F0030000}"/>
    <cellStyle name="Normal 2 6 19 2" xfId="973" xr:uid="{00000000-0005-0000-0000-0000F1030000}"/>
    <cellStyle name="Normal 2 6 2" xfId="974" xr:uid="{00000000-0005-0000-0000-0000F2030000}"/>
    <cellStyle name="Normal 2 6 2 10" xfId="975" xr:uid="{00000000-0005-0000-0000-0000F3030000}"/>
    <cellStyle name="Normal 2 6 2 10 2" xfId="976" xr:uid="{00000000-0005-0000-0000-0000F4030000}"/>
    <cellStyle name="Normal 2 6 2 11" xfId="977" xr:uid="{00000000-0005-0000-0000-0000F5030000}"/>
    <cellStyle name="Normal 2 6 2 2" xfId="978" xr:uid="{00000000-0005-0000-0000-0000F6030000}"/>
    <cellStyle name="Normal 2 6 2 2 2" xfId="979" xr:uid="{00000000-0005-0000-0000-0000F7030000}"/>
    <cellStyle name="Normal 2 6 2 2 2 2" xfId="980" xr:uid="{00000000-0005-0000-0000-0000F8030000}"/>
    <cellStyle name="Normal 2 6 2 2 3" xfId="981" xr:uid="{00000000-0005-0000-0000-0000F9030000}"/>
    <cellStyle name="Normal 2 6 2 2 3 2" xfId="982" xr:uid="{00000000-0005-0000-0000-0000FA030000}"/>
    <cellStyle name="Normal 2 6 2 2 4" xfId="983" xr:uid="{00000000-0005-0000-0000-0000FB030000}"/>
    <cellStyle name="Normal 2 6 2 2 4 2" xfId="984" xr:uid="{00000000-0005-0000-0000-0000FC030000}"/>
    <cellStyle name="Normal 2 6 2 2 5" xfId="985" xr:uid="{00000000-0005-0000-0000-0000FD030000}"/>
    <cellStyle name="Normal 2 6 2 2 5 2" xfId="986" xr:uid="{00000000-0005-0000-0000-0000FE030000}"/>
    <cellStyle name="Normal 2 6 2 2 6" xfId="987" xr:uid="{00000000-0005-0000-0000-0000FF030000}"/>
    <cellStyle name="Normal 2 6 2 2 6 2" xfId="988" xr:uid="{00000000-0005-0000-0000-000000040000}"/>
    <cellStyle name="Normal 2 6 2 2 7" xfId="989" xr:uid="{00000000-0005-0000-0000-000001040000}"/>
    <cellStyle name="Normal 2 6 2 2 7 2" xfId="990" xr:uid="{00000000-0005-0000-0000-000002040000}"/>
    <cellStyle name="Normal 2 6 2 2 8" xfId="991" xr:uid="{00000000-0005-0000-0000-000003040000}"/>
    <cellStyle name="Normal 2 6 2 2 8 2" xfId="992" xr:uid="{00000000-0005-0000-0000-000004040000}"/>
    <cellStyle name="Normal 2 6 2 2 9" xfId="993" xr:uid="{00000000-0005-0000-0000-000005040000}"/>
    <cellStyle name="Normal 2 6 2 3" xfId="994" xr:uid="{00000000-0005-0000-0000-000006040000}"/>
    <cellStyle name="Normal 2 6 2 3 2" xfId="995" xr:uid="{00000000-0005-0000-0000-000007040000}"/>
    <cellStyle name="Normal 2 6 2 3 2 2" xfId="996" xr:uid="{00000000-0005-0000-0000-000008040000}"/>
    <cellStyle name="Normal 2 6 2 3 3" xfId="997" xr:uid="{00000000-0005-0000-0000-000009040000}"/>
    <cellStyle name="Normal 2 6 2 3 3 2" xfId="998" xr:uid="{00000000-0005-0000-0000-00000A040000}"/>
    <cellStyle name="Normal 2 6 2 3 4" xfId="999" xr:uid="{00000000-0005-0000-0000-00000B040000}"/>
    <cellStyle name="Normal 2 6 2 3 4 2" xfId="1000" xr:uid="{00000000-0005-0000-0000-00000C040000}"/>
    <cellStyle name="Normal 2 6 2 3 5" xfId="1001" xr:uid="{00000000-0005-0000-0000-00000D040000}"/>
    <cellStyle name="Normal 2 6 2 3 5 2" xfId="1002" xr:uid="{00000000-0005-0000-0000-00000E040000}"/>
    <cellStyle name="Normal 2 6 2 3 6" xfId="1003" xr:uid="{00000000-0005-0000-0000-00000F040000}"/>
    <cellStyle name="Normal 2 6 2 3 6 2" xfId="1004" xr:uid="{00000000-0005-0000-0000-000010040000}"/>
    <cellStyle name="Normal 2 6 2 3 7" xfId="1005" xr:uid="{00000000-0005-0000-0000-000011040000}"/>
    <cellStyle name="Normal 2 6 2 3 7 2" xfId="1006" xr:uid="{00000000-0005-0000-0000-000012040000}"/>
    <cellStyle name="Normal 2 6 2 3 8" xfId="1007" xr:uid="{00000000-0005-0000-0000-000013040000}"/>
    <cellStyle name="Normal 2 6 2 3 8 2" xfId="1008" xr:uid="{00000000-0005-0000-0000-000014040000}"/>
    <cellStyle name="Normal 2 6 2 3 9" xfId="1009" xr:uid="{00000000-0005-0000-0000-000015040000}"/>
    <cellStyle name="Normal 2 6 2 4" xfId="1010" xr:uid="{00000000-0005-0000-0000-000016040000}"/>
    <cellStyle name="Normal 2 6 2 4 2" xfId="1011" xr:uid="{00000000-0005-0000-0000-000017040000}"/>
    <cellStyle name="Normal 2 6 2 5" xfId="1012" xr:uid="{00000000-0005-0000-0000-000018040000}"/>
    <cellStyle name="Normal 2 6 2 5 2" xfId="1013" xr:uid="{00000000-0005-0000-0000-000019040000}"/>
    <cellStyle name="Normal 2 6 2 6" xfId="1014" xr:uid="{00000000-0005-0000-0000-00001A040000}"/>
    <cellStyle name="Normal 2 6 2 6 2" xfId="1015" xr:uid="{00000000-0005-0000-0000-00001B040000}"/>
    <cellStyle name="Normal 2 6 2 7" xfId="1016" xr:uid="{00000000-0005-0000-0000-00001C040000}"/>
    <cellStyle name="Normal 2 6 2 7 2" xfId="1017" xr:uid="{00000000-0005-0000-0000-00001D040000}"/>
    <cellStyle name="Normal 2 6 2 8" xfId="1018" xr:uid="{00000000-0005-0000-0000-00001E040000}"/>
    <cellStyle name="Normal 2 6 2 8 2" xfId="1019" xr:uid="{00000000-0005-0000-0000-00001F040000}"/>
    <cellStyle name="Normal 2 6 2 9" xfId="1020" xr:uid="{00000000-0005-0000-0000-000020040000}"/>
    <cellStyle name="Normal 2 6 2 9 2" xfId="1021" xr:uid="{00000000-0005-0000-0000-000021040000}"/>
    <cellStyle name="Normal 2 6 20" xfId="1022" xr:uid="{00000000-0005-0000-0000-000022040000}"/>
    <cellStyle name="Normal 2 6 21" xfId="1023" xr:uid="{00000000-0005-0000-0000-000023040000}"/>
    <cellStyle name="Normal 2 6 3" xfId="1024" xr:uid="{00000000-0005-0000-0000-000024040000}"/>
    <cellStyle name="Normal 2 6 3 10" xfId="1025" xr:uid="{00000000-0005-0000-0000-000025040000}"/>
    <cellStyle name="Normal 2 6 3 10 2" xfId="1026" xr:uid="{00000000-0005-0000-0000-000026040000}"/>
    <cellStyle name="Normal 2 6 3 11" xfId="1027" xr:uid="{00000000-0005-0000-0000-000027040000}"/>
    <cellStyle name="Normal 2 6 3 2" xfId="1028" xr:uid="{00000000-0005-0000-0000-000028040000}"/>
    <cellStyle name="Normal 2 6 3 2 2" xfId="1029" xr:uid="{00000000-0005-0000-0000-000029040000}"/>
    <cellStyle name="Normal 2 6 3 2 2 2" xfId="1030" xr:uid="{00000000-0005-0000-0000-00002A040000}"/>
    <cellStyle name="Normal 2 6 3 2 3" xfId="1031" xr:uid="{00000000-0005-0000-0000-00002B040000}"/>
    <cellStyle name="Normal 2 6 3 2 3 2" xfId="1032" xr:uid="{00000000-0005-0000-0000-00002C040000}"/>
    <cellStyle name="Normal 2 6 3 2 4" xfId="1033" xr:uid="{00000000-0005-0000-0000-00002D040000}"/>
    <cellStyle name="Normal 2 6 3 2 4 2" xfId="1034" xr:uid="{00000000-0005-0000-0000-00002E040000}"/>
    <cellStyle name="Normal 2 6 3 2 5" xfId="1035" xr:uid="{00000000-0005-0000-0000-00002F040000}"/>
    <cellStyle name="Normal 2 6 3 2 5 2" xfId="1036" xr:uid="{00000000-0005-0000-0000-000030040000}"/>
    <cellStyle name="Normal 2 6 3 2 6" xfId="1037" xr:uid="{00000000-0005-0000-0000-000031040000}"/>
    <cellStyle name="Normal 2 6 3 2 6 2" xfId="1038" xr:uid="{00000000-0005-0000-0000-000032040000}"/>
    <cellStyle name="Normal 2 6 3 2 7" xfId="1039" xr:uid="{00000000-0005-0000-0000-000033040000}"/>
    <cellStyle name="Normal 2 6 3 2 7 2" xfId="1040" xr:uid="{00000000-0005-0000-0000-000034040000}"/>
    <cellStyle name="Normal 2 6 3 2 8" xfId="1041" xr:uid="{00000000-0005-0000-0000-000035040000}"/>
    <cellStyle name="Normal 2 6 3 2 8 2" xfId="1042" xr:uid="{00000000-0005-0000-0000-000036040000}"/>
    <cellStyle name="Normal 2 6 3 2 9" xfId="1043" xr:uid="{00000000-0005-0000-0000-000037040000}"/>
    <cellStyle name="Normal 2 6 3 3" xfId="1044" xr:uid="{00000000-0005-0000-0000-000038040000}"/>
    <cellStyle name="Normal 2 6 3 3 2" xfId="1045" xr:uid="{00000000-0005-0000-0000-000039040000}"/>
    <cellStyle name="Normal 2 6 3 3 2 2" xfId="1046" xr:uid="{00000000-0005-0000-0000-00003A040000}"/>
    <cellStyle name="Normal 2 6 3 3 3" xfId="1047" xr:uid="{00000000-0005-0000-0000-00003B040000}"/>
    <cellStyle name="Normal 2 6 3 3 3 2" xfId="1048" xr:uid="{00000000-0005-0000-0000-00003C040000}"/>
    <cellStyle name="Normal 2 6 3 3 4" xfId="1049" xr:uid="{00000000-0005-0000-0000-00003D040000}"/>
    <cellStyle name="Normal 2 6 3 3 4 2" xfId="1050" xr:uid="{00000000-0005-0000-0000-00003E040000}"/>
    <cellStyle name="Normal 2 6 3 3 5" xfId="1051" xr:uid="{00000000-0005-0000-0000-00003F040000}"/>
    <cellStyle name="Normal 2 6 3 3 5 2" xfId="1052" xr:uid="{00000000-0005-0000-0000-000040040000}"/>
    <cellStyle name="Normal 2 6 3 3 6" xfId="1053" xr:uid="{00000000-0005-0000-0000-000041040000}"/>
    <cellStyle name="Normal 2 6 3 3 6 2" xfId="1054" xr:uid="{00000000-0005-0000-0000-000042040000}"/>
    <cellStyle name="Normal 2 6 3 3 7" xfId="1055" xr:uid="{00000000-0005-0000-0000-000043040000}"/>
    <cellStyle name="Normal 2 6 3 3 7 2" xfId="1056" xr:uid="{00000000-0005-0000-0000-000044040000}"/>
    <cellStyle name="Normal 2 6 3 3 8" xfId="1057" xr:uid="{00000000-0005-0000-0000-000045040000}"/>
    <cellStyle name="Normal 2 6 3 3 8 2" xfId="1058" xr:uid="{00000000-0005-0000-0000-000046040000}"/>
    <cellStyle name="Normal 2 6 3 3 9" xfId="1059" xr:uid="{00000000-0005-0000-0000-000047040000}"/>
    <cellStyle name="Normal 2 6 3 4" xfId="1060" xr:uid="{00000000-0005-0000-0000-000048040000}"/>
    <cellStyle name="Normal 2 6 3 4 2" xfId="1061" xr:uid="{00000000-0005-0000-0000-000049040000}"/>
    <cellStyle name="Normal 2 6 3 5" xfId="1062" xr:uid="{00000000-0005-0000-0000-00004A040000}"/>
    <cellStyle name="Normal 2 6 3 5 2" xfId="1063" xr:uid="{00000000-0005-0000-0000-00004B040000}"/>
    <cellStyle name="Normal 2 6 3 6" xfId="1064" xr:uid="{00000000-0005-0000-0000-00004C040000}"/>
    <cellStyle name="Normal 2 6 3 6 2" xfId="1065" xr:uid="{00000000-0005-0000-0000-00004D040000}"/>
    <cellStyle name="Normal 2 6 3 7" xfId="1066" xr:uid="{00000000-0005-0000-0000-00004E040000}"/>
    <cellStyle name="Normal 2 6 3 7 2" xfId="1067" xr:uid="{00000000-0005-0000-0000-00004F040000}"/>
    <cellStyle name="Normal 2 6 3 8" xfId="1068" xr:uid="{00000000-0005-0000-0000-000050040000}"/>
    <cellStyle name="Normal 2 6 3 8 2" xfId="1069" xr:uid="{00000000-0005-0000-0000-000051040000}"/>
    <cellStyle name="Normal 2 6 3 9" xfId="1070" xr:uid="{00000000-0005-0000-0000-000052040000}"/>
    <cellStyle name="Normal 2 6 3 9 2" xfId="1071" xr:uid="{00000000-0005-0000-0000-000053040000}"/>
    <cellStyle name="Normal 2 6 4" xfId="1072" xr:uid="{00000000-0005-0000-0000-000054040000}"/>
    <cellStyle name="Normal 2 6 4 2" xfId="1073" xr:uid="{00000000-0005-0000-0000-000055040000}"/>
    <cellStyle name="Normal 2 6 4 2 2" xfId="1074" xr:uid="{00000000-0005-0000-0000-000056040000}"/>
    <cellStyle name="Normal 2 6 4 3" xfId="1075" xr:uid="{00000000-0005-0000-0000-000057040000}"/>
    <cellStyle name="Normal 2 6 4 3 2" xfId="1076" xr:uid="{00000000-0005-0000-0000-000058040000}"/>
    <cellStyle name="Normal 2 6 4 4" xfId="1077" xr:uid="{00000000-0005-0000-0000-000059040000}"/>
    <cellStyle name="Normal 2 6 4 4 2" xfId="1078" xr:uid="{00000000-0005-0000-0000-00005A040000}"/>
    <cellStyle name="Normal 2 6 4 5" xfId="1079" xr:uid="{00000000-0005-0000-0000-00005B040000}"/>
    <cellStyle name="Normal 2 6 4 5 2" xfId="1080" xr:uid="{00000000-0005-0000-0000-00005C040000}"/>
    <cellStyle name="Normal 2 6 4 6" xfId="1081" xr:uid="{00000000-0005-0000-0000-00005D040000}"/>
    <cellStyle name="Normal 2 6 4 6 2" xfId="1082" xr:uid="{00000000-0005-0000-0000-00005E040000}"/>
    <cellStyle name="Normal 2 6 4 7" xfId="1083" xr:uid="{00000000-0005-0000-0000-00005F040000}"/>
    <cellStyle name="Normal 2 6 4 7 2" xfId="1084" xr:uid="{00000000-0005-0000-0000-000060040000}"/>
    <cellStyle name="Normal 2 6 4 8" xfId="1085" xr:uid="{00000000-0005-0000-0000-000061040000}"/>
    <cellStyle name="Normal 2 6 4 8 2" xfId="1086" xr:uid="{00000000-0005-0000-0000-000062040000}"/>
    <cellStyle name="Normal 2 6 4 9" xfId="1087" xr:uid="{00000000-0005-0000-0000-000063040000}"/>
    <cellStyle name="Normal 2 6 5" xfId="1088" xr:uid="{00000000-0005-0000-0000-000064040000}"/>
    <cellStyle name="Normal 2 6 5 2" xfId="1089" xr:uid="{00000000-0005-0000-0000-000065040000}"/>
    <cellStyle name="Normal 2 6 5 2 2" xfId="1090" xr:uid="{00000000-0005-0000-0000-000066040000}"/>
    <cellStyle name="Normal 2 6 5 3" xfId="1091" xr:uid="{00000000-0005-0000-0000-000067040000}"/>
    <cellStyle name="Normal 2 6 5 3 2" xfId="1092" xr:uid="{00000000-0005-0000-0000-000068040000}"/>
    <cellStyle name="Normal 2 6 5 4" xfId="1093" xr:uid="{00000000-0005-0000-0000-000069040000}"/>
    <cellStyle name="Normal 2 6 5 4 2" xfId="1094" xr:uid="{00000000-0005-0000-0000-00006A040000}"/>
    <cellStyle name="Normal 2 6 5 5" xfId="1095" xr:uid="{00000000-0005-0000-0000-00006B040000}"/>
    <cellStyle name="Normal 2 6 5 5 2" xfId="1096" xr:uid="{00000000-0005-0000-0000-00006C040000}"/>
    <cellStyle name="Normal 2 6 5 6" xfId="1097" xr:uid="{00000000-0005-0000-0000-00006D040000}"/>
    <cellStyle name="Normal 2 6 5 6 2" xfId="1098" xr:uid="{00000000-0005-0000-0000-00006E040000}"/>
    <cellStyle name="Normal 2 6 5 7" xfId="1099" xr:uid="{00000000-0005-0000-0000-00006F040000}"/>
    <cellStyle name="Normal 2 6 5 7 2" xfId="1100" xr:uid="{00000000-0005-0000-0000-000070040000}"/>
    <cellStyle name="Normal 2 6 5 8" xfId="1101" xr:uid="{00000000-0005-0000-0000-000071040000}"/>
    <cellStyle name="Normal 2 6 5 8 2" xfId="1102" xr:uid="{00000000-0005-0000-0000-000072040000}"/>
    <cellStyle name="Normal 2 6 5 9" xfId="1103" xr:uid="{00000000-0005-0000-0000-000073040000}"/>
    <cellStyle name="Normal 2 6 6" xfId="1104" xr:uid="{00000000-0005-0000-0000-000074040000}"/>
    <cellStyle name="Normal 2 6 6 2" xfId="1105" xr:uid="{00000000-0005-0000-0000-000075040000}"/>
    <cellStyle name="Normal 2 6 6 2 2" xfId="1106" xr:uid="{00000000-0005-0000-0000-000076040000}"/>
    <cellStyle name="Normal 2 6 6 3" xfId="1107" xr:uid="{00000000-0005-0000-0000-000077040000}"/>
    <cellStyle name="Normal 2 6 6 3 2" xfId="1108" xr:uid="{00000000-0005-0000-0000-000078040000}"/>
    <cellStyle name="Normal 2 6 6 4" xfId="1109" xr:uid="{00000000-0005-0000-0000-000079040000}"/>
    <cellStyle name="Normal 2 6 6 4 2" xfId="1110" xr:uid="{00000000-0005-0000-0000-00007A040000}"/>
    <cellStyle name="Normal 2 6 6 5" xfId="1111" xr:uid="{00000000-0005-0000-0000-00007B040000}"/>
    <cellStyle name="Normal 2 6 6 5 2" xfId="1112" xr:uid="{00000000-0005-0000-0000-00007C040000}"/>
    <cellStyle name="Normal 2 6 6 6" xfId="1113" xr:uid="{00000000-0005-0000-0000-00007D040000}"/>
    <cellStyle name="Normal 2 6 6 6 2" xfId="1114" xr:uid="{00000000-0005-0000-0000-00007E040000}"/>
    <cellStyle name="Normal 2 6 6 7" xfId="1115" xr:uid="{00000000-0005-0000-0000-00007F040000}"/>
    <cellStyle name="Normal 2 6 6 7 2" xfId="1116" xr:uid="{00000000-0005-0000-0000-000080040000}"/>
    <cellStyle name="Normal 2 6 6 8" xfId="1117" xr:uid="{00000000-0005-0000-0000-000081040000}"/>
    <cellStyle name="Normal 2 6 6 8 2" xfId="1118" xr:uid="{00000000-0005-0000-0000-000082040000}"/>
    <cellStyle name="Normal 2 6 6 9" xfId="1119" xr:uid="{00000000-0005-0000-0000-000083040000}"/>
    <cellStyle name="Normal 2 6 7" xfId="1120" xr:uid="{00000000-0005-0000-0000-000084040000}"/>
    <cellStyle name="Normal 2 6 7 2" xfId="1121" xr:uid="{00000000-0005-0000-0000-000085040000}"/>
    <cellStyle name="Normal 2 6 7 2 2" xfId="1122" xr:uid="{00000000-0005-0000-0000-000086040000}"/>
    <cellStyle name="Normal 2 6 7 3" xfId="1123" xr:uid="{00000000-0005-0000-0000-000087040000}"/>
    <cellStyle name="Normal 2 6 7 3 2" xfId="1124" xr:uid="{00000000-0005-0000-0000-000088040000}"/>
    <cellStyle name="Normal 2 6 7 4" xfId="1125" xr:uid="{00000000-0005-0000-0000-000089040000}"/>
    <cellStyle name="Normal 2 6 7 4 2" xfId="1126" xr:uid="{00000000-0005-0000-0000-00008A040000}"/>
    <cellStyle name="Normal 2 6 7 5" xfId="1127" xr:uid="{00000000-0005-0000-0000-00008B040000}"/>
    <cellStyle name="Normal 2 6 7 5 2" xfId="1128" xr:uid="{00000000-0005-0000-0000-00008C040000}"/>
    <cellStyle name="Normal 2 6 7 6" xfId="1129" xr:uid="{00000000-0005-0000-0000-00008D040000}"/>
    <cellStyle name="Normal 2 6 7 6 2" xfId="1130" xr:uid="{00000000-0005-0000-0000-00008E040000}"/>
    <cellStyle name="Normal 2 6 7 7" xfId="1131" xr:uid="{00000000-0005-0000-0000-00008F040000}"/>
    <cellStyle name="Normal 2 6 7 7 2" xfId="1132" xr:uid="{00000000-0005-0000-0000-000090040000}"/>
    <cellStyle name="Normal 2 6 7 8" xfId="1133" xr:uid="{00000000-0005-0000-0000-000091040000}"/>
    <cellStyle name="Normal 2 6 7 8 2" xfId="1134" xr:uid="{00000000-0005-0000-0000-000092040000}"/>
    <cellStyle name="Normal 2 6 7 9" xfId="1135" xr:uid="{00000000-0005-0000-0000-000093040000}"/>
    <cellStyle name="Normal 2 6 8" xfId="1136" xr:uid="{00000000-0005-0000-0000-000094040000}"/>
    <cellStyle name="Normal 2 6 8 2" xfId="1137" xr:uid="{00000000-0005-0000-0000-000095040000}"/>
    <cellStyle name="Normal 2 6 8 2 2" xfId="1138" xr:uid="{00000000-0005-0000-0000-000096040000}"/>
    <cellStyle name="Normal 2 6 8 3" xfId="1139" xr:uid="{00000000-0005-0000-0000-000097040000}"/>
    <cellStyle name="Normal 2 6 8 3 2" xfId="1140" xr:uid="{00000000-0005-0000-0000-000098040000}"/>
    <cellStyle name="Normal 2 6 8 4" xfId="1141" xr:uid="{00000000-0005-0000-0000-000099040000}"/>
    <cellStyle name="Normal 2 6 8 4 2" xfId="1142" xr:uid="{00000000-0005-0000-0000-00009A040000}"/>
    <cellStyle name="Normal 2 6 8 5" xfId="1143" xr:uid="{00000000-0005-0000-0000-00009B040000}"/>
    <cellStyle name="Normal 2 6 8 5 2" xfId="1144" xr:uid="{00000000-0005-0000-0000-00009C040000}"/>
    <cellStyle name="Normal 2 6 8 6" xfId="1145" xr:uid="{00000000-0005-0000-0000-00009D040000}"/>
    <cellStyle name="Normal 2 6 8 6 2" xfId="1146" xr:uid="{00000000-0005-0000-0000-00009E040000}"/>
    <cellStyle name="Normal 2 6 8 7" xfId="1147" xr:uid="{00000000-0005-0000-0000-00009F040000}"/>
    <cellStyle name="Normal 2 6 8 7 2" xfId="1148" xr:uid="{00000000-0005-0000-0000-0000A0040000}"/>
    <cellStyle name="Normal 2 6 8 8" xfId="1149" xr:uid="{00000000-0005-0000-0000-0000A1040000}"/>
    <cellStyle name="Normal 2 6 8 8 2" xfId="1150" xr:uid="{00000000-0005-0000-0000-0000A2040000}"/>
    <cellStyle name="Normal 2 6 8 9" xfId="1151" xr:uid="{00000000-0005-0000-0000-0000A3040000}"/>
    <cellStyle name="Normal 2 6 9" xfId="1152" xr:uid="{00000000-0005-0000-0000-0000A4040000}"/>
    <cellStyle name="Normal 2 6 9 2" xfId="1153" xr:uid="{00000000-0005-0000-0000-0000A5040000}"/>
    <cellStyle name="Normal 2 7" xfId="1154" xr:uid="{00000000-0005-0000-0000-0000A6040000}"/>
    <cellStyle name="Normal 2 7 10" xfId="1155" xr:uid="{00000000-0005-0000-0000-0000A7040000}"/>
    <cellStyle name="Normal 2 7 10 2" xfId="1156" xr:uid="{00000000-0005-0000-0000-0000A8040000}"/>
    <cellStyle name="Normal 2 7 11" xfId="1157" xr:uid="{00000000-0005-0000-0000-0000A9040000}"/>
    <cellStyle name="Normal 2 7 11 2" xfId="1158" xr:uid="{00000000-0005-0000-0000-0000AA040000}"/>
    <cellStyle name="Normal 2 7 12" xfId="1159" xr:uid="{00000000-0005-0000-0000-0000AB040000}"/>
    <cellStyle name="Normal 2 7 12 2" xfId="1160" xr:uid="{00000000-0005-0000-0000-0000AC040000}"/>
    <cellStyle name="Normal 2 7 13" xfId="1161" xr:uid="{00000000-0005-0000-0000-0000AD040000}"/>
    <cellStyle name="Normal 2 7 13 2" xfId="1162" xr:uid="{00000000-0005-0000-0000-0000AE040000}"/>
    <cellStyle name="Normal 2 7 14" xfId="1163" xr:uid="{00000000-0005-0000-0000-0000AF040000}"/>
    <cellStyle name="Normal 2 7 14 2" xfId="1164" xr:uid="{00000000-0005-0000-0000-0000B0040000}"/>
    <cellStyle name="Normal 2 7 15" xfId="1165" xr:uid="{00000000-0005-0000-0000-0000B1040000}"/>
    <cellStyle name="Normal 2 7 15 2" xfId="1166" xr:uid="{00000000-0005-0000-0000-0000B2040000}"/>
    <cellStyle name="Normal 2 7 16" xfId="1167" xr:uid="{00000000-0005-0000-0000-0000B3040000}"/>
    <cellStyle name="Normal 2 7 16 2" xfId="1168" xr:uid="{00000000-0005-0000-0000-0000B4040000}"/>
    <cellStyle name="Normal 2 7 17" xfId="1169" xr:uid="{00000000-0005-0000-0000-0000B5040000}"/>
    <cellStyle name="Normal 2 7 17 2" xfId="1170" xr:uid="{00000000-0005-0000-0000-0000B6040000}"/>
    <cellStyle name="Normal 2 7 18" xfId="1171" xr:uid="{00000000-0005-0000-0000-0000B7040000}"/>
    <cellStyle name="Normal 2 7 19" xfId="1172" xr:uid="{00000000-0005-0000-0000-0000B8040000}"/>
    <cellStyle name="Normal 2 7 2" xfId="1173" xr:uid="{00000000-0005-0000-0000-0000B9040000}"/>
    <cellStyle name="Normal 2 7 2 2" xfId="1174" xr:uid="{00000000-0005-0000-0000-0000BA040000}"/>
    <cellStyle name="Normal 2 7 2 2 2" xfId="1175" xr:uid="{00000000-0005-0000-0000-0000BB040000}"/>
    <cellStyle name="Normal 2 7 2 3" xfId="1176" xr:uid="{00000000-0005-0000-0000-0000BC040000}"/>
    <cellStyle name="Normal 2 7 2 3 2" xfId="1177" xr:uid="{00000000-0005-0000-0000-0000BD040000}"/>
    <cellStyle name="Normal 2 7 2 4" xfId="1178" xr:uid="{00000000-0005-0000-0000-0000BE040000}"/>
    <cellStyle name="Normal 2 7 2 4 2" xfId="1179" xr:uid="{00000000-0005-0000-0000-0000BF040000}"/>
    <cellStyle name="Normal 2 7 2 5" xfId="1180" xr:uid="{00000000-0005-0000-0000-0000C0040000}"/>
    <cellStyle name="Normal 2 7 2 5 2" xfId="1181" xr:uid="{00000000-0005-0000-0000-0000C1040000}"/>
    <cellStyle name="Normal 2 7 2 6" xfId="1182" xr:uid="{00000000-0005-0000-0000-0000C2040000}"/>
    <cellStyle name="Normal 2 7 2 6 2" xfId="1183" xr:uid="{00000000-0005-0000-0000-0000C3040000}"/>
    <cellStyle name="Normal 2 7 2 7" xfId="1184" xr:uid="{00000000-0005-0000-0000-0000C4040000}"/>
    <cellStyle name="Normal 2 7 2 7 2" xfId="1185" xr:uid="{00000000-0005-0000-0000-0000C5040000}"/>
    <cellStyle name="Normal 2 7 2 8" xfId="1186" xr:uid="{00000000-0005-0000-0000-0000C6040000}"/>
    <cellStyle name="Normal 2 7 2 8 2" xfId="1187" xr:uid="{00000000-0005-0000-0000-0000C7040000}"/>
    <cellStyle name="Normal 2 7 2 9" xfId="1188" xr:uid="{00000000-0005-0000-0000-0000C8040000}"/>
    <cellStyle name="Normal 2 7 3" xfId="1189" xr:uid="{00000000-0005-0000-0000-0000C9040000}"/>
    <cellStyle name="Normal 2 7 3 2" xfId="1190" xr:uid="{00000000-0005-0000-0000-0000CA040000}"/>
    <cellStyle name="Normal 2 7 3 2 2" xfId="1191" xr:uid="{00000000-0005-0000-0000-0000CB040000}"/>
    <cellStyle name="Normal 2 7 3 3" xfId="1192" xr:uid="{00000000-0005-0000-0000-0000CC040000}"/>
    <cellStyle name="Normal 2 7 3 3 2" xfId="1193" xr:uid="{00000000-0005-0000-0000-0000CD040000}"/>
    <cellStyle name="Normal 2 7 3 4" xfId="1194" xr:uid="{00000000-0005-0000-0000-0000CE040000}"/>
    <cellStyle name="Normal 2 7 3 4 2" xfId="1195" xr:uid="{00000000-0005-0000-0000-0000CF040000}"/>
    <cellStyle name="Normal 2 7 3 5" xfId="1196" xr:uid="{00000000-0005-0000-0000-0000D0040000}"/>
    <cellStyle name="Normal 2 7 3 5 2" xfId="1197" xr:uid="{00000000-0005-0000-0000-0000D1040000}"/>
    <cellStyle name="Normal 2 7 3 6" xfId="1198" xr:uid="{00000000-0005-0000-0000-0000D2040000}"/>
    <cellStyle name="Normal 2 7 3 6 2" xfId="1199" xr:uid="{00000000-0005-0000-0000-0000D3040000}"/>
    <cellStyle name="Normal 2 7 3 7" xfId="1200" xr:uid="{00000000-0005-0000-0000-0000D4040000}"/>
    <cellStyle name="Normal 2 7 3 7 2" xfId="1201" xr:uid="{00000000-0005-0000-0000-0000D5040000}"/>
    <cellStyle name="Normal 2 7 3 8" xfId="1202" xr:uid="{00000000-0005-0000-0000-0000D6040000}"/>
    <cellStyle name="Normal 2 7 3 8 2" xfId="1203" xr:uid="{00000000-0005-0000-0000-0000D7040000}"/>
    <cellStyle name="Normal 2 7 3 9" xfId="1204" xr:uid="{00000000-0005-0000-0000-0000D8040000}"/>
    <cellStyle name="Normal 2 7 4" xfId="1205" xr:uid="{00000000-0005-0000-0000-0000D9040000}"/>
    <cellStyle name="Normal 2 7 4 2" xfId="1206" xr:uid="{00000000-0005-0000-0000-0000DA040000}"/>
    <cellStyle name="Normal 2 7 4 2 2" xfId="1207" xr:uid="{00000000-0005-0000-0000-0000DB040000}"/>
    <cellStyle name="Normal 2 7 4 3" xfId="1208" xr:uid="{00000000-0005-0000-0000-0000DC040000}"/>
    <cellStyle name="Normal 2 7 4 3 2" xfId="1209" xr:uid="{00000000-0005-0000-0000-0000DD040000}"/>
    <cellStyle name="Normal 2 7 4 4" xfId="1210" xr:uid="{00000000-0005-0000-0000-0000DE040000}"/>
    <cellStyle name="Normal 2 7 4 4 2" xfId="1211" xr:uid="{00000000-0005-0000-0000-0000DF040000}"/>
    <cellStyle name="Normal 2 7 4 5" xfId="1212" xr:uid="{00000000-0005-0000-0000-0000E0040000}"/>
    <cellStyle name="Normal 2 7 4 5 2" xfId="1213" xr:uid="{00000000-0005-0000-0000-0000E1040000}"/>
    <cellStyle name="Normal 2 7 4 6" xfId="1214" xr:uid="{00000000-0005-0000-0000-0000E2040000}"/>
    <cellStyle name="Normal 2 7 4 6 2" xfId="1215" xr:uid="{00000000-0005-0000-0000-0000E3040000}"/>
    <cellStyle name="Normal 2 7 4 7" xfId="1216" xr:uid="{00000000-0005-0000-0000-0000E4040000}"/>
    <cellStyle name="Normal 2 7 4 7 2" xfId="1217" xr:uid="{00000000-0005-0000-0000-0000E5040000}"/>
    <cellStyle name="Normal 2 7 4 8" xfId="1218" xr:uid="{00000000-0005-0000-0000-0000E6040000}"/>
    <cellStyle name="Normal 2 7 4 8 2" xfId="1219" xr:uid="{00000000-0005-0000-0000-0000E7040000}"/>
    <cellStyle name="Normal 2 7 4 9" xfId="1220" xr:uid="{00000000-0005-0000-0000-0000E8040000}"/>
    <cellStyle name="Normal 2 7 5" xfId="1221" xr:uid="{00000000-0005-0000-0000-0000E9040000}"/>
    <cellStyle name="Normal 2 7 5 2" xfId="1222" xr:uid="{00000000-0005-0000-0000-0000EA040000}"/>
    <cellStyle name="Normal 2 7 5 2 2" xfId="1223" xr:uid="{00000000-0005-0000-0000-0000EB040000}"/>
    <cellStyle name="Normal 2 7 5 3" xfId="1224" xr:uid="{00000000-0005-0000-0000-0000EC040000}"/>
    <cellStyle name="Normal 2 7 5 3 2" xfId="1225" xr:uid="{00000000-0005-0000-0000-0000ED040000}"/>
    <cellStyle name="Normal 2 7 5 4" xfId="1226" xr:uid="{00000000-0005-0000-0000-0000EE040000}"/>
    <cellStyle name="Normal 2 7 5 4 2" xfId="1227" xr:uid="{00000000-0005-0000-0000-0000EF040000}"/>
    <cellStyle name="Normal 2 7 5 5" xfId="1228" xr:uid="{00000000-0005-0000-0000-0000F0040000}"/>
    <cellStyle name="Normal 2 7 5 5 2" xfId="1229" xr:uid="{00000000-0005-0000-0000-0000F1040000}"/>
    <cellStyle name="Normal 2 7 5 6" xfId="1230" xr:uid="{00000000-0005-0000-0000-0000F2040000}"/>
    <cellStyle name="Normal 2 7 5 6 2" xfId="1231" xr:uid="{00000000-0005-0000-0000-0000F3040000}"/>
    <cellStyle name="Normal 2 7 5 7" xfId="1232" xr:uid="{00000000-0005-0000-0000-0000F4040000}"/>
    <cellStyle name="Normal 2 7 5 7 2" xfId="1233" xr:uid="{00000000-0005-0000-0000-0000F5040000}"/>
    <cellStyle name="Normal 2 7 5 8" xfId="1234" xr:uid="{00000000-0005-0000-0000-0000F6040000}"/>
    <cellStyle name="Normal 2 7 5 8 2" xfId="1235" xr:uid="{00000000-0005-0000-0000-0000F7040000}"/>
    <cellStyle name="Normal 2 7 5 9" xfId="1236" xr:uid="{00000000-0005-0000-0000-0000F8040000}"/>
    <cellStyle name="Normal 2 7 6" xfId="1237" xr:uid="{00000000-0005-0000-0000-0000F9040000}"/>
    <cellStyle name="Normal 2 7 6 2" xfId="1238" xr:uid="{00000000-0005-0000-0000-0000FA040000}"/>
    <cellStyle name="Normal 2 7 6 2 2" xfId="1239" xr:uid="{00000000-0005-0000-0000-0000FB040000}"/>
    <cellStyle name="Normal 2 7 6 3" xfId="1240" xr:uid="{00000000-0005-0000-0000-0000FC040000}"/>
    <cellStyle name="Normal 2 7 6 3 2" xfId="1241" xr:uid="{00000000-0005-0000-0000-0000FD040000}"/>
    <cellStyle name="Normal 2 7 6 4" xfId="1242" xr:uid="{00000000-0005-0000-0000-0000FE040000}"/>
    <cellStyle name="Normal 2 7 6 4 2" xfId="1243" xr:uid="{00000000-0005-0000-0000-0000FF040000}"/>
    <cellStyle name="Normal 2 7 6 5" xfId="1244" xr:uid="{00000000-0005-0000-0000-000000050000}"/>
    <cellStyle name="Normal 2 7 6 5 2" xfId="1245" xr:uid="{00000000-0005-0000-0000-000001050000}"/>
    <cellStyle name="Normal 2 7 6 6" xfId="1246" xr:uid="{00000000-0005-0000-0000-000002050000}"/>
    <cellStyle name="Normal 2 7 6 6 2" xfId="1247" xr:uid="{00000000-0005-0000-0000-000003050000}"/>
    <cellStyle name="Normal 2 7 6 7" xfId="1248" xr:uid="{00000000-0005-0000-0000-000004050000}"/>
    <cellStyle name="Normal 2 7 6 7 2" xfId="1249" xr:uid="{00000000-0005-0000-0000-000005050000}"/>
    <cellStyle name="Normal 2 7 6 8" xfId="1250" xr:uid="{00000000-0005-0000-0000-000006050000}"/>
    <cellStyle name="Normal 2 7 6 8 2" xfId="1251" xr:uid="{00000000-0005-0000-0000-000007050000}"/>
    <cellStyle name="Normal 2 7 6 9" xfId="1252" xr:uid="{00000000-0005-0000-0000-000008050000}"/>
    <cellStyle name="Normal 2 7 7" xfId="1253" xr:uid="{00000000-0005-0000-0000-000009050000}"/>
    <cellStyle name="Normal 2 7 7 2" xfId="1254" xr:uid="{00000000-0005-0000-0000-00000A050000}"/>
    <cellStyle name="Normal 2 7 8" xfId="1255" xr:uid="{00000000-0005-0000-0000-00000B050000}"/>
    <cellStyle name="Normal 2 7 8 2" xfId="1256" xr:uid="{00000000-0005-0000-0000-00000C050000}"/>
    <cellStyle name="Normal 2 7 9" xfId="1257" xr:uid="{00000000-0005-0000-0000-00000D050000}"/>
    <cellStyle name="Normal 2 7 9 2" xfId="1258" xr:uid="{00000000-0005-0000-0000-00000E050000}"/>
    <cellStyle name="Normal 2 8" xfId="1259" xr:uid="{00000000-0005-0000-0000-00000F050000}"/>
    <cellStyle name="Normal 2 8 10" xfId="1260" xr:uid="{00000000-0005-0000-0000-000010050000}"/>
    <cellStyle name="Normal 2 8 10 2" xfId="1261" xr:uid="{00000000-0005-0000-0000-000011050000}"/>
    <cellStyle name="Normal 2 8 11" xfId="1262" xr:uid="{00000000-0005-0000-0000-000012050000}"/>
    <cellStyle name="Normal 2 8 11 2" xfId="1263" xr:uid="{00000000-0005-0000-0000-000013050000}"/>
    <cellStyle name="Normal 2 8 12" xfId="1264" xr:uid="{00000000-0005-0000-0000-000014050000}"/>
    <cellStyle name="Normal 2 8 12 2" xfId="1265" xr:uid="{00000000-0005-0000-0000-000015050000}"/>
    <cellStyle name="Normal 2 8 13" xfId="1266" xr:uid="{00000000-0005-0000-0000-000016050000}"/>
    <cellStyle name="Normal 2 8 13 2" xfId="1267" xr:uid="{00000000-0005-0000-0000-000017050000}"/>
    <cellStyle name="Normal 2 8 14" xfId="1268" xr:uid="{00000000-0005-0000-0000-000018050000}"/>
    <cellStyle name="Normal 2 8 14 2" xfId="1269" xr:uid="{00000000-0005-0000-0000-000019050000}"/>
    <cellStyle name="Normal 2 8 15" xfId="1270" xr:uid="{00000000-0005-0000-0000-00001A050000}"/>
    <cellStyle name="Normal 2 8 15 2" xfId="1271" xr:uid="{00000000-0005-0000-0000-00001B050000}"/>
    <cellStyle name="Normal 2 8 16" xfId="1272" xr:uid="{00000000-0005-0000-0000-00001C050000}"/>
    <cellStyle name="Normal 2 8 16 2" xfId="1273" xr:uid="{00000000-0005-0000-0000-00001D050000}"/>
    <cellStyle name="Normal 2 8 17" xfId="1274" xr:uid="{00000000-0005-0000-0000-00001E050000}"/>
    <cellStyle name="Normal 2 8 17 2" xfId="1275" xr:uid="{00000000-0005-0000-0000-00001F050000}"/>
    <cellStyle name="Normal 2 8 18" xfId="1276" xr:uid="{00000000-0005-0000-0000-000020050000}"/>
    <cellStyle name="Normal 2 8 19" xfId="1277" xr:uid="{00000000-0005-0000-0000-000021050000}"/>
    <cellStyle name="Normal 2 8 2" xfId="1278" xr:uid="{00000000-0005-0000-0000-000022050000}"/>
    <cellStyle name="Normal 2 8 2 2" xfId="1279" xr:uid="{00000000-0005-0000-0000-000023050000}"/>
    <cellStyle name="Normal 2 8 2 2 2" xfId="1280" xr:uid="{00000000-0005-0000-0000-000024050000}"/>
    <cellStyle name="Normal 2 8 2 3" xfId="1281" xr:uid="{00000000-0005-0000-0000-000025050000}"/>
    <cellStyle name="Normal 2 8 2 3 2" xfId="1282" xr:uid="{00000000-0005-0000-0000-000026050000}"/>
    <cellStyle name="Normal 2 8 2 4" xfId="1283" xr:uid="{00000000-0005-0000-0000-000027050000}"/>
    <cellStyle name="Normal 2 8 2 4 2" xfId="1284" xr:uid="{00000000-0005-0000-0000-000028050000}"/>
    <cellStyle name="Normal 2 8 2 5" xfId="1285" xr:uid="{00000000-0005-0000-0000-000029050000}"/>
    <cellStyle name="Normal 2 8 2 5 2" xfId="1286" xr:uid="{00000000-0005-0000-0000-00002A050000}"/>
    <cellStyle name="Normal 2 8 2 6" xfId="1287" xr:uid="{00000000-0005-0000-0000-00002B050000}"/>
    <cellStyle name="Normal 2 8 2 6 2" xfId="1288" xr:uid="{00000000-0005-0000-0000-00002C050000}"/>
    <cellStyle name="Normal 2 8 2 7" xfId="1289" xr:uid="{00000000-0005-0000-0000-00002D050000}"/>
    <cellStyle name="Normal 2 8 2 7 2" xfId="1290" xr:uid="{00000000-0005-0000-0000-00002E050000}"/>
    <cellStyle name="Normal 2 8 2 8" xfId="1291" xr:uid="{00000000-0005-0000-0000-00002F050000}"/>
    <cellStyle name="Normal 2 8 2 8 2" xfId="1292" xr:uid="{00000000-0005-0000-0000-000030050000}"/>
    <cellStyle name="Normal 2 8 2 9" xfId="1293" xr:uid="{00000000-0005-0000-0000-000031050000}"/>
    <cellStyle name="Normal 2 8 3" xfId="1294" xr:uid="{00000000-0005-0000-0000-000032050000}"/>
    <cellStyle name="Normal 2 8 3 2" xfId="1295" xr:uid="{00000000-0005-0000-0000-000033050000}"/>
    <cellStyle name="Normal 2 8 3 2 2" xfId="1296" xr:uid="{00000000-0005-0000-0000-000034050000}"/>
    <cellStyle name="Normal 2 8 3 3" xfId="1297" xr:uid="{00000000-0005-0000-0000-000035050000}"/>
    <cellStyle name="Normal 2 8 3 3 2" xfId="1298" xr:uid="{00000000-0005-0000-0000-000036050000}"/>
    <cellStyle name="Normal 2 8 3 4" xfId="1299" xr:uid="{00000000-0005-0000-0000-000037050000}"/>
    <cellStyle name="Normal 2 8 3 4 2" xfId="1300" xr:uid="{00000000-0005-0000-0000-000038050000}"/>
    <cellStyle name="Normal 2 8 3 5" xfId="1301" xr:uid="{00000000-0005-0000-0000-000039050000}"/>
    <cellStyle name="Normal 2 8 3 5 2" xfId="1302" xr:uid="{00000000-0005-0000-0000-00003A050000}"/>
    <cellStyle name="Normal 2 8 3 6" xfId="1303" xr:uid="{00000000-0005-0000-0000-00003B050000}"/>
    <cellStyle name="Normal 2 8 3 6 2" xfId="1304" xr:uid="{00000000-0005-0000-0000-00003C050000}"/>
    <cellStyle name="Normal 2 8 3 7" xfId="1305" xr:uid="{00000000-0005-0000-0000-00003D050000}"/>
    <cellStyle name="Normal 2 8 3 7 2" xfId="1306" xr:uid="{00000000-0005-0000-0000-00003E050000}"/>
    <cellStyle name="Normal 2 8 3 8" xfId="1307" xr:uid="{00000000-0005-0000-0000-00003F050000}"/>
    <cellStyle name="Normal 2 8 3 8 2" xfId="1308" xr:uid="{00000000-0005-0000-0000-000040050000}"/>
    <cellStyle name="Normal 2 8 3 9" xfId="1309" xr:uid="{00000000-0005-0000-0000-000041050000}"/>
    <cellStyle name="Normal 2 8 4" xfId="1310" xr:uid="{00000000-0005-0000-0000-000042050000}"/>
    <cellStyle name="Normal 2 8 4 2" xfId="1311" xr:uid="{00000000-0005-0000-0000-000043050000}"/>
    <cellStyle name="Normal 2 8 4 2 2" xfId="1312" xr:uid="{00000000-0005-0000-0000-000044050000}"/>
    <cellStyle name="Normal 2 8 4 3" xfId="1313" xr:uid="{00000000-0005-0000-0000-000045050000}"/>
    <cellStyle name="Normal 2 8 4 3 2" xfId="1314" xr:uid="{00000000-0005-0000-0000-000046050000}"/>
    <cellStyle name="Normal 2 8 4 4" xfId="1315" xr:uid="{00000000-0005-0000-0000-000047050000}"/>
    <cellStyle name="Normal 2 8 4 4 2" xfId="1316" xr:uid="{00000000-0005-0000-0000-000048050000}"/>
    <cellStyle name="Normal 2 8 4 5" xfId="1317" xr:uid="{00000000-0005-0000-0000-000049050000}"/>
    <cellStyle name="Normal 2 8 4 5 2" xfId="1318" xr:uid="{00000000-0005-0000-0000-00004A050000}"/>
    <cellStyle name="Normal 2 8 4 6" xfId="1319" xr:uid="{00000000-0005-0000-0000-00004B050000}"/>
    <cellStyle name="Normal 2 8 4 6 2" xfId="1320" xr:uid="{00000000-0005-0000-0000-00004C050000}"/>
    <cellStyle name="Normal 2 8 4 7" xfId="1321" xr:uid="{00000000-0005-0000-0000-00004D050000}"/>
    <cellStyle name="Normal 2 8 4 7 2" xfId="1322" xr:uid="{00000000-0005-0000-0000-00004E050000}"/>
    <cellStyle name="Normal 2 8 4 8" xfId="1323" xr:uid="{00000000-0005-0000-0000-00004F050000}"/>
    <cellStyle name="Normal 2 8 4 8 2" xfId="1324" xr:uid="{00000000-0005-0000-0000-000050050000}"/>
    <cellStyle name="Normal 2 8 4 9" xfId="1325" xr:uid="{00000000-0005-0000-0000-000051050000}"/>
    <cellStyle name="Normal 2 8 5" xfId="1326" xr:uid="{00000000-0005-0000-0000-000052050000}"/>
    <cellStyle name="Normal 2 8 5 2" xfId="1327" xr:uid="{00000000-0005-0000-0000-000053050000}"/>
    <cellStyle name="Normal 2 8 5 2 2" xfId="1328" xr:uid="{00000000-0005-0000-0000-000054050000}"/>
    <cellStyle name="Normal 2 8 5 3" xfId="1329" xr:uid="{00000000-0005-0000-0000-000055050000}"/>
    <cellStyle name="Normal 2 8 5 3 2" xfId="1330" xr:uid="{00000000-0005-0000-0000-000056050000}"/>
    <cellStyle name="Normal 2 8 5 4" xfId="1331" xr:uid="{00000000-0005-0000-0000-000057050000}"/>
    <cellStyle name="Normal 2 8 5 4 2" xfId="1332" xr:uid="{00000000-0005-0000-0000-000058050000}"/>
    <cellStyle name="Normal 2 8 5 5" xfId="1333" xr:uid="{00000000-0005-0000-0000-000059050000}"/>
    <cellStyle name="Normal 2 8 5 5 2" xfId="1334" xr:uid="{00000000-0005-0000-0000-00005A050000}"/>
    <cellStyle name="Normal 2 8 5 6" xfId="1335" xr:uid="{00000000-0005-0000-0000-00005B050000}"/>
    <cellStyle name="Normal 2 8 5 6 2" xfId="1336" xr:uid="{00000000-0005-0000-0000-00005C050000}"/>
    <cellStyle name="Normal 2 8 5 7" xfId="1337" xr:uid="{00000000-0005-0000-0000-00005D050000}"/>
    <cellStyle name="Normal 2 8 5 7 2" xfId="1338" xr:uid="{00000000-0005-0000-0000-00005E050000}"/>
    <cellStyle name="Normal 2 8 5 8" xfId="1339" xr:uid="{00000000-0005-0000-0000-00005F050000}"/>
    <cellStyle name="Normal 2 8 5 8 2" xfId="1340" xr:uid="{00000000-0005-0000-0000-000060050000}"/>
    <cellStyle name="Normal 2 8 5 9" xfId="1341" xr:uid="{00000000-0005-0000-0000-000061050000}"/>
    <cellStyle name="Normal 2 8 6" xfId="1342" xr:uid="{00000000-0005-0000-0000-000062050000}"/>
    <cellStyle name="Normal 2 8 6 2" xfId="1343" xr:uid="{00000000-0005-0000-0000-000063050000}"/>
    <cellStyle name="Normal 2 8 6 2 2" xfId="1344" xr:uid="{00000000-0005-0000-0000-000064050000}"/>
    <cellStyle name="Normal 2 8 6 3" xfId="1345" xr:uid="{00000000-0005-0000-0000-000065050000}"/>
    <cellStyle name="Normal 2 8 6 3 2" xfId="1346" xr:uid="{00000000-0005-0000-0000-000066050000}"/>
    <cellStyle name="Normal 2 8 6 4" xfId="1347" xr:uid="{00000000-0005-0000-0000-000067050000}"/>
    <cellStyle name="Normal 2 8 6 4 2" xfId="1348" xr:uid="{00000000-0005-0000-0000-000068050000}"/>
    <cellStyle name="Normal 2 8 6 5" xfId="1349" xr:uid="{00000000-0005-0000-0000-000069050000}"/>
    <cellStyle name="Normal 2 8 6 5 2" xfId="1350" xr:uid="{00000000-0005-0000-0000-00006A050000}"/>
    <cellStyle name="Normal 2 8 6 6" xfId="1351" xr:uid="{00000000-0005-0000-0000-00006B050000}"/>
    <cellStyle name="Normal 2 8 6 6 2" xfId="1352" xr:uid="{00000000-0005-0000-0000-00006C050000}"/>
    <cellStyle name="Normal 2 8 6 7" xfId="1353" xr:uid="{00000000-0005-0000-0000-00006D050000}"/>
    <cellStyle name="Normal 2 8 6 7 2" xfId="1354" xr:uid="{00000000-0005-0000-0000-00006E050000}"/>
    <cellStyle name="Normal 2 8 6 8" xfId="1355" xr:uid="{00000000-0005-0000-0000-00006F050000}"/>
    <cellStyle name="Normal 2 8 6 8 2" xfId="1356" xr:uid="{00000000-0005-0000-0000-000070050000}"/>
    <cellStyle name="Normal 2 8 6 9" xfId="1357" xr:uid="{00000000-0005-0000-0000-000071050000}"/>
    <cellStyle name="Normal 2 8 7" xfId="1358" xr:uid="{00000000-0005-0000-0000-000072050000}"/>
    <cellStyle name="Normal 2 8 7 2" xfId="1359" xr:uid="{00000000-0005-0000-0000-000073050000}"/>
    <cellStyle name="Normal 2 8 8" xfId="1360" xr:uid="{00000000-0005-0000-0000-000074050000}"/>
    <cellStyle name="Normal 2 8 8 2" xfId="1361" xr:uid="{00000000-0005-0000-0000-000075050000}"/>
    <cellStyle name="Normal 2 8 9" xfId="1362" xr:uid="{00000000-0005-0000-0000-000076050000}"/>
    <cellStyle name="Normal 2 8 9 2" xfId="1363" xr:uid="{00000000-0005-0000-0000-000077050000}"/>
    <cellStyle name="Normal 2 9" xfId="1364" xr:uid="{00000000-0005-0000-0000-000078050000}"/>
    <cellStyle name="Normal 2 9 10" xfId="1365" xr:uid="{00000000-0005-0000-0000-000079050000}"/>
    <cellStyle name="Normal 2 9 10 2" xfId="1366" xr:uid="{00000000-0005-0000-0000-00007A050000}"/>
    <cellStyle name="Normal 2 9 11" xfId="1367" xr:uid="{00000000-0005-0000-0000-00007B050000}"/>
    <cellStyle name="Normal 2 9 2" xfId="1368" xr:uid="{00000000-0005-0000-0000-00007C050000}"/>
    <cellStyle name="Normal 2 9 2 2" xfId="1369" xr:uid="{00000000-0005-0000-0000-00007D050000}"/>
    <cellStyle name="Normal 2 9 2 2 2" xfId="1370" xr:uid="{00000000-0005-0000-0000-00007E050000}"/>
    <cellStyle name="Normal 2 9 2 3" xfId="1371" xr:uid="{00000000-0005-0000-0000-00007F050000}"/>
    <cellStyle name="Normal 2 9 2 3 2" xfId="1372" xr:uid="{00000000-0005-0000-0000-000080050000}"/>
    <cellStyle name="Normal 2 9 2 4" xfId="1373" xr:uid="{00000000-0005-0000-0000-000081050000}"/>
    <cellStyle name="Normal 2 9 2 4 2" xfId="1374" xr:uid="{00000000-0005-0000-0000-000082050000}"/>
    <cellStyle name="Normal 2 9 2 5" xfId="1375" xr:uid="{00000000-0005-0000-0000-000083050000}"/>
    <cellStyle name="Normal 2 9 2 5 2" xfId="1376" xr:uid="{00000000-0005-0000-0000-000084050000}"/>
    <cellStyle name="Normal 2 9 2 6" xfId="1377" xr:uid="{00000000-0005-0000-0000-000085050000}"/>
    <cellStyle name="Normal 2 9 2 6 2" xfId="1378" xr:uid="{00000000-0005-0000-0000-000086050000}"/>
    <cellStyle name="Normal 2 9 2 7" xfId="1379" xr:uid="{00000000-0005-0000-0000-000087050000}"/>
    <cellStyle name="Normal 2 9 2 7 2" xfId="1380" xr:uid="{00000000-0005-0000-0000-000088050000}"/>
    <cellStyle name="Normal 2 9 2 8" xfId="1381" xr:uid="{00000000-0005-0000-0000-000089050000}"/>
    <cellStyle name="Normal 2 9 2 8 2" xfId="1382" xr:uid="{00000000-0005-0000-0000-00008A050000}"/>
    <cellStyle name="Normal 2 9 2 9" xfId="1383" xr:uid="{00000000-0005-0000-0000-00008B050000}"/>
    <cellStyle name="Normal 2 9 3" xfId="1384" xr:uid="{00000000-0005-0000-0000-00008C050000}"/>
    <cellStyle name="Normal 2 9 3 2" xfId="1385" xr:uid="{00000000-0005-0000-0000-00008D050000}"/>
    <cellStyle name="Normal 2 9 3 2 2" xfId="1386" xr:uid="{00000000-0005-0000-0000-00008E050000}"/>
    <cellStyle name="Normal 2 9 3 3" xfId="1387" xr:uid="{00000000-0005-0000-0000-00008F050000}"/>
    <cellStyle name="Normal 2 9 3 3 2" xfId="1388" xr:uid="{00000000-0005-0000-0000-000090050000}"/>
    <cellStyle name="Normal 2 9 3 4" xfId="1389" xr:uid="{00000000-0005-0000-0000-000091050000}"/>
    <cellStyle name="Normal 2 9 3 4 2" xfId="1390" xr:uid="{00000000-0005-0000-0000-000092050000}"/>
    <cellStyle name="Normal 2 9 3 5" xfId="1391" xr:uid="{00000000-0005-0000-0000-000093050000}"/>
    <cellStyle name="Normal 2 9 3 5 2" xfId="1392" xr:uid="{00000000-0005-0000-0000-000094050000}"/>
    <cellStyle name="Normal 2 9 3 6" xfId="1393" xr:uid="{00000000-0005-0000-0000-000095050000}"/>
    <cellStyle name="Normal 2 9 3 6 2" xfId="1394" xr:uid="{00000000-0005-0000-0000-000096050000}"/>
    <cellStyle name="Normal 2 9 3 7" xfId="1395" xr:uid="{00000000-0005-0000-0000-000097050000}"/>
    <cellStyle name="Normal 2 9 3 7 2" xfId="1396" xr:uid="{00000000-0005-0000-0000-000098050000}"/>
    <cellStyle name="Normal 2 9 3 8" xfId="1397" xr:uid="{00000000-0005-0000-0000-000099050000}"/>
    <cellStyle name="Normal 2 9 3 8 2" xfId="1398" xr:uid="{00000000-0005-0000-0000-00009A050000}"/>
    <cellStyle name="Normal 2 9 3 9" xfId="1399" xr:uid="{00000000-0005-0000-0000-00009B050000}"/>
    <cellStyle name="Normal 2 9 4" xfId="1400" xr:uid="{00000000-0005-0000-0000-00009C050000}"/>
    <cellStyle name="Normal 2 9 4 2" xfId="1401" xr:uid="{00000000-0005-0000-0000-00009D050000}"/>
    <cellStyle name="Normal 2 9 5" xfId="1402" xr:uid="{00000000-0005-0000-0000-00009E050000}"/>
    <cellStyle name="Normal 2 9 5 2" xfId="1403" xr:uid="{00000000-0005-0000-0000-00009F050000}"/>
    <cellStyle name="Normal 2 9 6" xfId="1404" xr:uid="{00000000-0005-0000-0000-0000A0050000}"/>
    <cellStyle name="Normal 2 9 6 2" xfId="1405" xr:uid="{00000000-0005-0000-0000-0000A1050000}"/>
    <cellStyle name="Normal 2 9 7" xfId="1406" xr:uid="{00000000-0005-0000-0000-0000A2050000}"/>
    <cellStyle name="Normal 2 9 7 2" xfId="1407" xr:uid="{00000000-0005-0000-0000-0000A3050000}"/>
    <cellStyle name="Normal 2 9 8" xfId="1408" xr:uid="{00000000-0005-0000-0000-0000A4050000}"/>
    <cellStyle name="Normal 2 9 8 2" xfId="1409" xr:uid="{00000000-0005-0000-0000-0000A5050000}"/>
    <cellStyle name="Normal 2 9 9" xfId="1410" xr:uid="{00000000-0005-0000-0000-0000A6050000}"/>
    <cellStyle name="Normal 2 9 9 2" xfId="1411" xr:uid="{00000000-0005-0000-0000-0000A7050000}"/>
    <cellStyle name="Normal 3" xfId="1412" xr:uid="{00000000-0005-0000-0000-0000A8050000}"/>
    <cellStyle name="Normal 3 10" xfId="1413" xr:uid="{00000000-0005-0000-0000-0000A9050000}"/>
    <cellStyle name="Normal 3 10 2" xfId="1414" xr:uid="{00000000-0005-0000-0000-0000AA050000}"/>
    <cellStyle name="Normal 3 10 2 2" xfId="1415" xr:uid="{00000000-0005-0000-0000-0000AB050000}"/>
    <cellStyle name="Normal 3 10 3" xfId="1416" xr:uid="{00000000-0005-0000-0000-0000AC050000}"/>
    <cellStyle name="Normal 3 10 3 2" xfId="1417" xr:uid="{00000000-0005-0000-0000-0000AD050000}"/>
    <cellStyle name="Normal 3 10 4" xfId="1418" xr:uid="{00000000-0005-0000-0000-0000AE050000}"/>
    <cellStyle name="Normal 3 10 4 2" xfId="1419" xr:uid="{00000000-0005-0000-0000-0000AF050000}"/>
    <cellStyle name="Normal 3 10 5" xfId="1420" xr:uid="{00000000-0005-0000-0000-0000B0050000}"/>
    <cellStyle name="Normal 3 10 5 2" xfId="1421" xr:uid="{00000000-0005-0000-0000-0000B1050000}"/>
    <cellStyle name="Normal 3 10 6" xfId="1422" xr:uid="{00000000-0005-0000-0000-0000B2050000}"/>
    <cellStyle name="Normal 3 10 6 2" xfId="1423" xr:uid="{00000000-0005-0000-0000-0000B3050000}"/>
    <cellStyle name="Normal 3 10 7" xfId="1424" xr:uid="{00000000-0005-0000-0000-0000B4050000}"/>
    <cellStyle name="Normal 3 10 7 2" xfId="1425" xr:uid="{00000000-0005-0000-0000-0000B5050000}"/>
    <cellStyle name="Normal 3 10 8" xfId="1426" xr:uid="{00000000-0005-0000-0000-0000B6050000}"/>
    <cellStyle name="Normal 3 10 8 2" xfId="1427" xr:uid="{00000000-0005-0000-0000-0000B7050000}"/>
    <cellStyle name="Normal 3 10 9" xfId="1428" xr:uid="{00000000-0005-0000-0000-0000B8050000}"/>
    <cellStyle name="Normal 3 11" xfId="1429" xr:uid="{00000000-0005-0000-0000-0000B9050000}"/>
    <cellStyle name="Normal 3 11 2" xfId="1430" xr:uid="{00000000-0005-0000-0000-0000BA050000}"/>
    <cellStyle name="Normal 3 11 2 2" xfId="1431" xr:uid="{00000000-0005-0000-0000-0000BB050000}"/>
    <cellStyle name="Normal 3 11 3" xfId="1432" xr:uid="{00000000-0005-0000-0000-0000BC050000}"/>
    <cellStyle name="Normal 3 11 3 2" xfId="1433" xr:uid="{00000000-0005-0000-0000-0000BD050000}"/>
    <cellStyle name="Normal 3 11 4" xfId="1434" xr:uid="{00000000-0005-0000-0000-0000BE050000}"/>
    <cellStyle name="Normal 3 11 4 2" xfId="1435" xr:uid="{00000000-0005-0000-0000-0000BF050000}"/>
    <cellStyle name="Normal 3 11 5" xfId="1436" xr:uid="{00000000-0005-0000-0000-0000C0050000}"/>
    <cellStyle name="Normal 3 11 5 2" xfId="1437" xr:uid="{00000000-0005-0000-0000-0000C1050000}"/>
    <cellStyle name="Normal 3 11 6" xfId="1438" xr:uid="{00000000-0005-0000-0000-0000C2050000}"/>
    <cellStyle name="Normal 3 11 6 2" xfId="1439" xr:uid="{00000000-0005-0000-0000-0000C3050000}"/>
    <cellStyle name="Normal 3 11 7" xfId="1440" xr:uid="{00000000-0005-0000-0000-0000C4050000}"/>
    <cellStyle name="Normal 3 11 7 2" xfId="1441" xr:uid="{00000000-0005-0000-0000-0000C5050000}"/>
    <cellStyle name="Normal 3 11 8" xfId="1442" xr:uid="{00000000-0005-0000-0000-0000C6050000}"/>
    <cellStyle name="Normal 3 11 8 2" xfId="1443" xr:uid="{00000000-0005-0000-0000-0000C7050000}"/>
    <cellStyle name="Normal 3 11 9" xfId="1444" xr:uid="{00000000-0005-0000-0000-0000C8050000}"/>
    <cellStyle name="Normal 3 12" xfId="1445" xr:uid="{00000000-0005-0000-0000-0000C9050000}"/>
    <cellStyle name="Normal 3 12 2" xfId="1446" xr:uid="{00000000-0005-0000-0000-0000CA050000}"/>
    <cellStyle name="Normal 3 13" xfId="1447" xr:uid="{00000000-0005-0000-0000-0000CB050000}"/>
    <cellStyle name="Normal 3 13 2" xfId="1448" xr:uid="{00000000-0005-0000-0000-0000CC050000}"/>
    <cellStyle name="Normal 3 14" xfId="1449" xr:uid="{00000000-0005-0000-0000-0000CD050000}"/>
    <cellStyle name="Normal 3 14 2" xfId="1450" xr:uid="{00000000-0005-0000-0000-0000CE050000}"/>
    <cellStyle name="Normal 3 15" xfId="1451" xr:uid="{00000000-0005-0000-0000-0000CF050000}"/>
    <cellStyle name="Normal 3 15 2" xfId="1452" xr:uid="{00000000-0005-0000-0000-0000D0050000}"/>
    <cellStyle name="Normal 3 16" xfId="1453" xr:uid="{00000000-0005-0000-0000-0000D1050000}"/>
    <cellStyle name="Normal 3 16 2" xfId="1454" xr:uid="{00000000-0005-0000-0000-0000D2050000}"/>
    <cellStyle name="Normal 3 17" xfId="1455" xr:uid="{00000000-0005-0000-0000-0000D3050000}"/>
    <cellStyle name="Normal 3 17 2" xfId="1456" xr:uid="{00000000-0005-0000-0000-0000D4050000}"/>
    <cellStyle name="Normal 3 18" xfId="1457" xr:uid="{00000000-0005-0000-0000-0000D5050000}"/>
    <cellStyle name="Normal 3 18 2" xfId="1458" xr:uid="{00000000-0005-0000-0000-0000D6050000}"/>
    <cellStyle name="Normal 3 19" xfId="1459" xr:uid="{00000000-0005-0000-0000-0000D7050000}"/>
    <cellStyle name="Normal 3 19 2" xfId="1460" xr:uid="{00000000-0005-0000-0000-0000D8050000}"/>
    <cellStyle name="Normal 3 2" xfId="1461" xr:uid="{00000000-0005-0000-0000-0000D9050000}"/>
    <cellStyle name="Normal 3 2 10" xfId="1462" xr:uid="{00000000-0005-0000-0000-0000DA050000}"/>
    <cellStyle name="Normal 3 2 10 2" xfId="1463" xr:uid="{00000000-0005-0000-0000-0000DB050000}"/>
    <cellStyle name="Normal 3 2 11" xfId="1464" xr:uid="{00000000-0005-0000-0000-0000DC050000}"/>
    <cellStyle name="Normal 3 2 11 2" xfId="1465" xr:uid="{00000000-0005-0000-0000-0000DD050000}"/>
    <cellStyle name="Normal 3 2 12" xfId="1466" xr:uid="{00000000-0005-0000-0000-0000DE050000}"/>
    <cellStyle name="Normal 3 2 12 2" xfId="1467" xr:uid="{00000000-0005-0000-0000-0000DF050000}"/>
    <cellStyle name="Normal 3 2 13" xfId="1468" xr:uid="{00000000-0005-0000-0000-0000E0050000}"/>
    <cellStyle name="Normal 3 2 13 2" xfId="1469" xr:uid="{00000000-0005-0000-0000-0000E1050000}"/>
    <cellStyle name="Normal 3 2 14" xfId="1470" xr:uid="{00000000-0005-0000-0000-0000E2050000}"/>
    <cellStyle name="Normal 3 2 14 2" xfId="1471" xr:uid="{00000000-0005-0000-0000-0000E3050000}"/>
    <cellStyle name="Normal 3 2 15" xfId="1472" xr:uid="{00000000-0005-0000-0000-0000E4050000}"/>
    <cellStyle name="Normal 3 2 15 2" xfId="1473" xr:uid="{00000000-0005-0000-0000-0000E5050000}"/>
    <cellStyle name="Normal 3 2 16" xfId="1474" xr:uid="{00000000-0005-0000-0000-0000E6050000}"/>
    <cellStyle name="Normal 3 2 16 2" xfId="1475" xr:uid="{00000000-0005-0000-0000-0000E7050000}"/>
    <cellStyle name="Normal 3 2 17" xfId="1476" xr:uid="{00000000-0005-0000-0000-0000E8050000}"/>
    <cellStyle name="Normal 3 2 17 2" xfId="1477" xr:uid="{00000000-0005-0000-0000-0000E9050000}"/>
    <cellStyle name="Normal 3 2 18" xfId="1478" xr:uid="{00000000-0005-0000-0000-0000EA050000}"/>
    <cellStyle name="Normal 3 2 18 2" xfId="1479" xr:uid="{00000000-0005-0000-0000-0000EB050000}"/>
    <cellStyle name="Normal 3 2 19" xfId="1480" xr:uid="{00000000-0005-0000-0000-0000EC050000}"/>
    <cellStyle name="Normal 3 2 19 2" xfId="1481" xr:uid="{00000000-0005-0000-0000-0000ED050000}"/>
    <cellStyle name="Normal 3 2 2" xfId="1482" xr:uid="{00000000-0005-0000-0000-0000EE050000}"/>
    <cellStyle name="Normal 3 2 2 10" xfId="1483" xr:uid="{00000000-0005-0000-0000-0000EF050000}"/>
    <cellStyle name="Normal 3 2 2 10 2" xfId="1484" xr:uid="{00000000-0005-0000-0000-0000F0050000}"/>
    <cellStyle name="Normal 3 2 2 11" xfId="1485" xr:uid="{00000000-0005-0000-0000-0000F1050000}"/>
    <cellStyle name="Normal 3 2 2 2" xfId="1486" xr:uid="{00000000-0005-0000-0000-0000F2050000}"/>
    <cellStyle name="Normal 3 2 2 2 2" xfId="1487" xr:uid="{00000000-0005-0000-0000-0000F3050000}"/>
    <cellStyle name="Normal 3 2 2 2 2 2" xfId="1488" xr:uid="{00000000-0005-0000-0000-0000F4050000}"/>
    <cellStyle name="Normal 3 2 2 2 3" xfId="1489" xr:uid="{00000000-0005-0000-0000-0000F5050000}"/>
    <cellStyle name="Normal 3 2 2 2 3 2" xfId="1490" xr:uid="{00000000-0005-0000-0000-0000F6050000}"/>
    <cellStyle name="Normal 3 2 2 2 4" xfId="1491" xr:uid="{00000000-0005-0000-0000-0000F7050000}"/>
    <cellStyle name="Normal 3 2 2 2 4 2" xfId="1492" xr:uid="{00000000-0005-0000-0000-0000F8050000}"/>
    <cellStyle name="Normal 3 2 2 2 5" xfId="1493" xr:uid="{00000000-0005-0000-0000-0000F9050000}"/>
    <cellStyle name="Normal 3 2 2 2 5 2" xfId="1494" xr:uid="{00000000-0005-0000-0000-0000FA050000}"/>
    <cellStyle name="Normal 3 2 2 2 6" xfId="1495" xr:uid="{00000000-0005-0000-0000-0000FB050000}"/>
    <cellStyle name="Normal 3 2 2 2 6 2" xfId="1496" xr:uid="{00000000-0005-0000-0000-0000FC050000}"/>
    <cellStyle name="Normal 3 2 2 2 7" xfId="1497" xr:uid="{00000000-0005-0000-0000-0000FD050000}"/>
    <cellStyle name="Normal 3 2 2 2 7 2" xfId="1498" xr:uid="{00000000-0005-0000-0000-0000FE050000}"/>
    <cellStyle name="Normal 3 2 2 2 8" xfId="1499" xr:uid="{00000000-0005-0000-0000-0000FF050000}"/>
    <cellStyle name="Normal 3 2 2 2 8 2" xfId="1500" xr:uid="{00000000-0005-0000-0000-000000060000}"/>
    <cellStyle name="Normal 3 2 2 2 9" xfId="1501" xr:uid="{00000000-0005-0000-0000-000001060000}"/>
    <cellStyle name="Normal 3 2 2 3" xfId="1502" xr:uid="{00000000-0005-0000-0000-000002060000}"/>
    <cellStyle name="Normal 3 2 2 3 2" xfId="1503" xr:uid="{00000000-0005-0000-0000-000003060000}"/>
    <cellStyle name="Normal 3 2 2 3 2 2" xfId="1504" xr:uid="{00000000-0005-0000-0000-000004060000}"/>
    <cellStyle name="Normal 3 2 2 3 3" xfId="1505" xr:uid="{00000000-0005-0000-0000-000005060000}"/>
    <cellStyle name="Normal 3 2 2 3 3 2" xfId="1506" xr:uid="{00000000-0005-0000-0000-000006060000}"/>
    <cellStyle name="Normal 3 2 2 3 4" xfId="1507" xr:uid="{00000000-0005-0000-0000-000007060000}"/>
    <cellStyle name="Normal 3 2 2 3 4 2" xfId="1508" xr:uid="{00000000-0005-0000-0000-000008060000}"/>
    <cellStyle name="Normal 3 2 2 3 5" xfId="1509" xr:uid="{00000000-0005-0000-0000-000009060000}"/>
    <cellStyle name="Normal 3 2 2 3 5 2" xfId="1510" xr:uid="{00000000-0005-0000-0000-00000A060000}"/>
    <cellStyle name="Normal 3 2 2 3 6" xfId="1511" xr:uid="{00000000-0005-0000-0000-00000B060000}"/>
    <cellStyle name="Normal 3 2 2 3 6 2" xfId="1512" xr:uid="{00000000-0005-0000-0000-00000C060000}"/>
    <cellStyle name="Normal 3 2 2 3 7" xfId="1513" xr:uid="{00000000-0005-0000-0000-00000D060000}"/>
    <cellStyle name="Normal 3 2 2 3 7 2" xfId="1514" xr:uid="{00000000-0005-0000-0000-00000E060000}"/>
    <cellStyle name="Normal 3 2 2 3 8" xfId="1515" xr:uid="{00000000-0005-0000-0000-00000F060000}"/>
    <cellStyle name="Normal 3 2 2 3 8 2" xfId="1516" xr:uid="{00000000-0005-0000-0000-000010060000}"/>
    <cellStyle name="Normal 3 2 2 3 9" xfId="1517" xr:uid="{00000000-0005-0000-0000-000011060000}"/>
    <cellStyle name="Normal 3 2 2 4" xfId="1518" xr:uid="{00000000-0005-0000-0000-000012060000}"/>
    <cellStyle name="Normal 3 2 2 4 2" xfId="1519" xr:uid="{00000000-0005-0000-0000-000013060000}"/>
    <cellStyle name="Normal 3 2 2 5" xfId="1520" xr:uid="{00000000-0005-0000-0000-000014060000}"/>
    <cellStyle name="Normal 3 2 2 5 2" xfId="1521" xr:uid="{00000000-0005-0000-0000-000015060000}"/>
    <cellStyle name="Normal 3 2 2 6" xfId="1522" xr:uid="{00000000-0005-0000-0000-000016060000}"/>
    <cellStyle name="Normal 3 2 2 6 2" xfId="1523" xr:uid="{00000000-0005-0000-0000-000017060000}"/>
    <cellStyle name="Normal 3 2 2 7" xfId="1524" xr:uid="{00000000-0005-0000-0000-000018060000}"/>
    <cellStyle name="Normal 3 2 2 7 2" xfId="1525" xr:uid="{00000000-0005-0000-0000-000019060000}"/>
    <cellStyle name="Normal 3 2 2 8" xfId="1526" xr:uid="{00000000-0005-0000-0000-00001A060000}"/>
    <cellStyle name="Normal 3 2 2 8 2" xfId="1527" xr:uid="{00000000-0005-0000-0000-00001B060000}"/>
    <cellStyle name="Normal 3 2 2 9" xfId="1528" xr:uid="{00000000-0005-0000-0000-00001C060000}"/>
    <cellStyle name="Normal 3 2 2 9 2" xfId="1529" xr:uid="{00000000-0005-0000-0000-00001D060000}"/>
    <cellStyle name="Normal 3 2 20" xfId="1530" xr:uid="{00000000-0005-0000-0000-00001E060000}"/>
    <cellStyle name="Normal 3 2 21" xfId="1531" xr:uid="{00000000-0005-0000-0000-00001F060000}"/>
    <cellStyle name="Normal 3 2 3" xfId="1532" xr:uid="{00000000-0005-0000-0000-000020060000}"/>
    <cellStyle name="Normal 3 2 3 10" xfId="1533" xr:uid="{00000000-0005-0000-0000-000021060000}"/>
    <cellStyle name="Normal 3 2 3 10 2" xfId="1534" xr:uid="{00000000-0005-0000-0000-000022060000}"/>
    <cellStyle name="Normal 3 2 3 11" xfId="1535" xr:uid="{00000000-0005-0000-0000-000023060000}"/>
    <cellStyle name="Normal 3 2 3 2" xfId="1536" xr:uid="{00000000-0005-0000-0000-000024060000}"/>
    <cellStyle name="Normal 3 2 3 2 2" xfId="1537" xr:uid="{00000000-0005-0000-0000-000025060000}"/>
    <cellStyle name="Normal 3 2 3 2 2 2" xfId="1538" xr:uid="{00000000-0005-0000-0000-000026060000}"/>
    <cellStyle name="Normal 3 2 3 2 3" xfId="1539" xr:uid="{00000000-0005-0000-0000-000027060000}"/>
    <cellStyle name="Normal 3 2 3 2 3 2" xfId="1540" xr:uid="{00000000-0005-0000-0000-000028060000}"/>
    <cellStyle name="Normal 3 2 3 2 4" xfId="1541" xr:uid="{00000000-0005-0000-0000-000029060000}"/>
    <cellStyle name="Normal 3 2 3 2 4 2" xfId="1542" xr:uid="{00000000-0005-0000-0000-00002A060000}"/>
    <cellStyle name="Normal 3 2 3 2 5" xfId="1543" xr:uid="{00000000-0005-0000-0000-00002B060000}"/>
    <cellStyle name="Normal 3 2 3 2 5 2" xfId="1544" xr:uid="{00000000-0005-0000-0000-00002C060000}"/>
    <cellStyle name="Normal 3 2 3 2 6" xfId="1545" xr:uid="{00000000-0005-0000-0000-00002D060000}"/>
    <cellStyle name="Normal 3 2 3 2 6 2" xfId="1546" xr:uid="{00000000-0005-0000-0000-00002E060000}"/>
    <cellStyle name="Normal 3 2 3 2 7" xfId="1547" xr:uid="{00000000-0005-0000-0000-00002F060000}"/>
    <cellStyle name="Normal 3 2 3 2 7 2" xfId="1548" xr:uid="{00000000-0005-0000-0000-000030060000}"/>
    <cellStyle name="Normal 3 2 3 2 8" xfId="1549" xr:uid="{00000000-0005-0000-0000-000031060000}"/>
    <cellStyle name="Normal 3 2 3 2 8 2" xfId="1550" xr:uid="{00000000-0005-0000-0000-000032060000}"/>
    <cellStyle name="Normal 3 2 3 2 9" xfId="1551" xr:uid="{00000000-0005-0000-0000-000033060000}"/>
    <cellStyle name="Normal 3 2 3 3" xfId="1552" xr:uid="{00000000-0005-0000-0000-000034060000}"/>
    <cellStyle name="Normal 3 2 3 3 2" xfId="1553" xr:uid="{00000000-0005-0000-0000-000035060000}"/>
    <cellStyle name="Normal 3 2 3 3 2 2" xfId="1554" xr:uid="{00000000-0005-0000-0000-000036060000}"/>
    <cellStyle name="Normal 3 2 3 3 3" xfId="1555" xr:uid="{00000000-0005-0000-0000-000037060000}"/>
    <cellStyle name="Normal 3 2 3 3 3 2" xfId="1556" xr:uid="{00000000-0005-0000-0000-000038060000}"/>
    <cellStyle name="Normal 3 2 3 3 4" xfId="1557" xr:uid="{00000000-0005-0000-0000-000039060000}"/>
    <cellStyle name="Normal 3 2 3 3 4 2" xfId="1558" xr:uid="{00000000-0005-0000-0000-00003A060000}"/>
    <cellStyle name="Normal 3 2 3 3 5" xfId="1559" xr:uid="{00000000-0005-0000-0000-00003B060000}"/>
    <cellStyle name="Normal 3 2 3 3 5 2" xfId="1560" xr:uid="{00000000-0005-0000-0000-00003C060000}"/>
    <cellStyle name="Normal 3 2 3 3 6" xfId="1561" xr:uid="{00000000-0005-0000-0000-00003D060000}"/>
    <cellStyle name="Normal 3 2 3 3 6 2" xfId="1562" xr:uid="{00000000-0005-0000-0000-00003E060000}"/>
    <cellStyle name="Normal 3 2 3 3 7" xfId="1563" xr:uid="{00000000-0005-0000-0000-00003F060000}"/>
    <cellStyle name="Normal 3 2 3 3 7 2" xfId="1564" xr:uid="{00000000-0005-0000-0000-000040060000}"/>
    <cellStyle name="Normal 3 2 3 3 8" xfId="1565" xr:uid="{00000000-0005-0000-0000-000041060000}"/>
    <cellStyle name="Normal 3 2 3 3 8 2" xfId="1566" xr:uid="{00000000-0005-0000-0000-000042060000}"/>
    <cellStyle name="Normal 3 2 3 3 9" xfId="1567" xr:uid="{00000000-0005-0000-0000-000043060000}"/>
    <cellStyle name="Normal 3 2 3 4" xfId="1568" xr:uid="{00000000-0005-0000-0000-000044060000}"/>
    <cellStyle name="Normal 3 2 3 4 2" xfId="1569" xr:uid="{00000000-0005-0000-0000-000045060000}"/>
    <cellStyle name="Normal 3 2 3 5" xfId="1570" xr:uid="{00000000-0005-0000-0000-000046060000}"/>
    <cellStyle name="Normal 3 2 3 5 2" xfId="1571" xr:uid="{00000000-0005-0000-0000-000047060000}"/>
    <cellStyle name="Normal 3 2 3 6" xfId="1572" xr:uid="{00000000-0005-0000-0000-000048060000}"/>
    <cellStyle name="Normal 3 2 3 6 2" xfId="1573" xr:uid="{00000000-0005-0000-0000-000049060000}"/>
    <cellStyle name="Normal 3 2 3 7" xfId="1574" xr:uid="{00000000-0005-0000-0000-00004A060000}"/>
    <cellStyle name="Normal 3 2 3 7 2" xfId="1575" xr:uid="{00000000-0005-0000-0000-00004B060000}"/>
    <cellStyle name="Normal 3 2 3 8" xfId="1576" xr:uid="{00000000-0005-0000-0000-00004C060000}"/>
    <cellStyle name="Normal 3 2 3 8 2" xfId="1577" xr:uid="{00000000-0005-0000-0000-00004D060000}"/>
    <cellStyle name="Normal 3 2 3 9" xfId="1578" xr:uid="{00000000-0005-0000-0000-00004E060000}"/>
    <cellStyle name="Normal 3 2 3 9 2" xfId="1579" xr:uid="{00000000-0005-0000-0000-00004F060000}"/>
    <cellStyle name="Normal 3 2 4" xfId="1580" xr:uid="{00000000-0005-0000-0000-000050060000}"/>
    <cellStyle name="Normal 3 2 4 2" xfId="1581" xr:uid="{00000000-0005-0000-0000-000051060000}"/>
    <cellStyle name="Normal 3 2 4 2 2" xfId="1582" xr:uid="{00000000-0005-0000-0000-000052060000}"/>
    <cellStyle name="Normal 3 2 4 3" xfId="1583" xr:uid="{00000000-0005-0000-0000-000053060000}"/>
    <cellStyle name="Normal 3 2 4 3 2" xfId="1584" xr:uid="{00000000-0005-0000-0000-000054060000}"/>
    <cellStyle name="Normal 3 2 4 4" xfId="1585" xr:uid="{00000000-0005-0000-0000-000055060000}"/>
    <cellStyle name="Normal 3 2 4 4 2" xfId="1586" xr:uid="{00000000-0005-0000-0000-000056060000}"/>
    <cellStyle name="Normal 3 2 4 5" xfId="1587" xr:uid="{00000000-0005-0000-0000-000057060000}"/>
    <cellStyle name="Normal 3 2 4 5 2" xfId="1588" xr:uid="{00000000-0005-0000-0000-000058060000}"/>
    <cellStyle name="Normal 3 2 4 6" xfId="1589" xr:uid="{00000000-0005-0000-0000-000059060000}"/>
    <cellStyle name="Normal 3 2 4 6 2" xfId="1590" xr:uid="{00000000-0005-0000-0000-00005A060000}"/>
    <cellStyle name="Normal 3 2 4 7" xfId="1591" xr:uid="{00000000-0005-0000-0000-00005B060000}"/>
    <cellStyle name="Normal 3 2 4 7 2" xfId="1592" xr:uid="{00000000-0005-0000-0000-00005C060000}"/>
    <cellStyle name="Normal 3 2 4 8" xfId="1593" xr:uid="{00000000-0005-0000-0000-00005D060000}"/>
    <cellStyle name="Normal 3 2 4 8 2" xfId="1594" xr:uid="{00000000-0005-0000-0000-00005E060000}"/>
    <cellStyle name="Normal 3 2 4 9" xfId="1595" xr:uid="{00000000-0005-0000-0000-00005F060000}"/>
    <cellStyle name="Normal 3 2 5" xfId="1596" xr:uid="{00000000-0005-0000-0000-000060060000}"/>
    <cellStyle name="Normal 3 2 5 2" xfId="1597" xr:uid="{00000000-0005-0000-0000-000061060000}"/>
    <cellStyle name="Normal 3 2 5 2 2" xfId="1598" xr:uid="{00000000-0005-0000-0000-000062060000}"/>
    <cellStyle name="Normal 3 2 5 3" xfId="1599" xr:uid="{00000000-0005-0000-0000-000063060000}"/>
    <cellStyle name="Normal 3 2 5 3 2" xfId="1600" xr:uid="{00000000-0005-0000-0000-000064060000}"/>
    <cellStyle name="Normal 3 2 5 4" xfId="1601" xr:uid="{00000000-0005-0000-0000-000065060000}"/>
    <cellStyle name="Normal 3 2 5 4 2" xfId="1602" xr:uid="{00000000-0005-0000-0000-000066060000}"/>
    <cellStyle name="Normal 3 2 5 5" xfId="1603" xr:uid="{00000000-0005-0000-0000-000067060000}"/>
    <cellStyle name="Normal 3 2 5 5 2" xfId="1604" xr:uid="{00000000-0005-0000-0000-000068060000}"/>
    <cellStyle name="Normal 3 2 5 6" xfId="1605" xr:uid="{00000000-0005-0000-0000-000069060000}"/>
    <cellStyle name="Normal 3 2 5 6 2" xfId="1606" xr:uid="{00000000-0005-0000-0000-00006A060000}"/>
    <cellStyle name="Normal 3 2 5 7" xfId="1607" xr:uid="{00000000-0005-0000-0000-00006B060000}"/>
    <cellStyle name="Normal 3 2 5 7 2" xfId="1608" xr:uid="{00000000-0005-0000-0000-00006C060000}"/>
    <cellStyle name="Normal 3 2 5 8" xfId="1609" xr:uid="{00000000-0005-0000-0000-00006D060000}"/>
    <cellStyle name="Normal 3 2 5 8 2" xfId="1610" xr:uid="{00000000-0005-0000-0000-00006E060000}"/>
    <cellStyle name="Normal 3 2 5 9" xfId="1611" xr:uid="{00000000-0005-0000-0000-00006F060000}"/>
    <cellStyle name="Normal 3 2 6" xfId="1612" xr:uid="{00000000-0005-0000-0000-000070060000}"/>
    <cellStyle name="Normal 3 2 6 2" xfId="1613" xr:uid="{00000000-0005-0000-0000-000071060000}"/>
    <cellStyle name="Normal 3 2 6 2 2" xfId="1614" xr:uid="{00000000-0005-0000-0000-000072060000}"/>
    <cellStyle name="Normal 3 2 6 3" xfId="1615" xr:uid="{00000000-0005-0000-0000-000073060000}"/>
    <cellStyle name="Normal 3 2 6 3 2" xfId="1616" xr:uid="{00000000-0005-0000-0000-000074060000}"/>
    <cellStyle name="Normal 3 2 6 4" xfId="1617" xr:uid="{00000000-0005-0000-0000-000075060000}"/>
    <cellStyle name="Normal 3 2 6 4 2" xfId="1618" xr:uid="{00000000-0005-0000-0000-000076060000}"/>
    <cellStyle name="Normal 3 2 6 5" xfId="1619" xr:uid="{00000000-0005-0000-0000-000077060000}"/>
    <cellStyle name="Normal 3 2 6 5 2" xfId="1620" xr:uid="{00000000-0005-0000-0000-000078060000}"/>
    <cellStyle name="Normal 3 2 6 6" xfId="1621" xr:uid="{00000000-0005-0000-0000-000079060000}"/>
    <cellStyle name="Normal 3 2 6 6 2" xfId="1622" xr:uid="{00000000-0005-0000-0000-00007A060000}"/>
    <cellStyle name="Normal 3 2 6 7" xfId="1623" xr:uid="{00000000-0005-0000-0000-00007B060000}"/>
    <cellStyle name="Normal 3 2 6 7 2" xfId="1624" xr:uid="{00000000-0005-0000-0000-00007C060000}"/>
    <cellStyle name="Normal 3 2 6 8" xfId="1625" xr:uid="{00000000-0005-0000-0000-00007D060000}"/>
    <cellStyle name="Normal 3 2 6 8 2" xfId="1626" xr:uid="{00000000-0005-0000-0000-00007E060000}"/>
    <cellStyle name="Normal 3 2 6 9" xfId="1627" xr:uid="{00000000-0005-0000-0000-00007F060000}"/>
    <cellStyle name="Normal 3 2 7" xfId="1628" xr:uid="{00000000-0005-0000-0000-000080060000}"/>
    <cellStyle name="Normal 3 2 7 2" xfId="1629" xr:uid="{00000000-0005-0000-0000-000081060000}"/>
    <cellStyle name="Normal 3 2 7 2 2" xfId="1630" xr:uid="{00000000-0005-0000-0000-000082060000}"/>
    <cellStyle name="Normal 3 2 7 3" xfId="1631" xr:uid="{00000000-0005-0000-0000-000083060000}"/>
    <cellStyle name="Normal 3 2 7 3 2" xfId="1632" xr:uid="{00000000-0005-0000-0000-000084060000}"/>
    <cellStyle name="Normal 3 2 7 4" xfId="1633" xr:uid="{00000000-0005-0000-0000-000085060000}"/>
    <cellStyle name="Normal 3 2 7 4 2" xfId="1634" xr:uid="{00000000-0005-0000-0000-000086060000}"/>
    <cellStyle name="Normal 3 2 7 5" xfId="1635" xr:uid="{00000000-0005-0000-0000-000087060000}"/>
    <cellStyle name="Normal 3 2 7 5 2" xfId="1636" xr:uid="{00000000-0005-0000-0000-000088060000}"/>
    <cellStyle name="Normal 3 2 7 6" xfId="1637" xr:uid="{00000000-0005-0000-0000-000089060000}"/>
    <cellStyle name="Normal 3 2 7 6 2" xfId="1638" xr:uid="{00000000-0005-0000-0000-00008A060000}"/>
    <cellStyle name="Normal 3 2 7 7" xfId="1639" xr:uid="{00000000-0005-0000-0000-00008B060000}"/>
    <cellStyle name="Normal 3 2 7 7 2" xfId="1640" xr:uid="{00000000-0005-0000-0000-00008C060000}"/>
    <cellStyle name="Normal 3 2 7 8" xfId="1641" xr:uid="{00000000-0005-0000-0000-00008D060000}"/>
    <cellStyle name="Normal 3 2 7 8 2" xfId="1642" xr:uid="{00000000-0005-0000-0000-00008E060000}"/>
    <cellStyle name="Normal 3 2 7 9" xfId="1643" xr:uid="{00000000-0005-0000-0000-00008F060000}"/>
    <cellStyle name="Normal 3 2 8" xfId="1644" xr:uid="{00000000-0005-0000-0000-000090060000}"/>
    <cellStyle name="Normal 3 2 8 2" xfId="1645" xr:uid="{00000000-0005-0000-0000-000091060000}"/>
    <cellStyle name="Normal 3 2 8 2 2" xfId="1646" xr:uid="{00000000-0005-0000-0000-000092060000}"/>
    <cellStyle name="Normal 3 2 8 3" xfId="1647" xr:uid="{00000000-0005-0000-0000-000093060000}"/>
    <cellStyle name="Normal 3 2 8 3 2" xfId="1648" xr:uid="{00000000-0005-0000-0000-000094060000}"/>
    <cellStyle name="Normal 3 2 8 4" xfId="1649" xr:uid="{00000000-0005-0000-0000-000095060000}"/>
    <cellStyle name="Normal 3 2 8 4 2" xfId="1650" xr:uid="{00000000-0005-0000-0000-000096060000}"/>
    <cellStyle name="Normal 3 2 8 5" xfId="1651" xr:uid="{00000000-0005-0000-0000-000097060000}"/>
    <cellStyle name="Normal 3 2 8 5 2" xfId="1652" xr:uid="{00000000-0005-0000-0000-000098060000}"/>
    <cellStyle name="Normal 3 2 8 6" xfId="1653" xr:uid="{00000000-0005-0000-0000-000099060000}"/>
    <cellStyle name="Normal 3 2 8 6 2" xfId="1654" xr:uid="{00000000-0005-0000-0000-00009A060000}"/>
    <cellStyle name="Normal 3 2 8 7" xfId="1655" xr:uid="{00000000-0005-0000-0000-00009B060000}"/>
    <cellStyle name="Normal 3 2 8 7 2" xfId="1656" xr:uid="{00000000-0005-0000-0000-00009C060000}"/>
    <cellStyle name="Normal 3 2 8 8" xfId="1657" xr:uid="{00000000-0005-0000-0000-00009D060000}"/>
    <cellStyle name="Normal 3 2 8 8 2" xfId="1658" xr:uid="{00000000-0005-0000-0000-00009E060000}"/>
    <cellStyle name="Normal 3 2 8 9" xfId="1659" xr:uid="{00000000-0005-0000-0000-00009F060000}"/>
    <cellStyle name="Normal 3 2 9" xfId="1660" xr:uid="{00000000-0005-0000-0000-0000A0060000}"/>
    <cellStyle name="Normal 3 2 9 2" xfId="1661" xr:uid="{00000000-0005-0000-0000-0000A1060000}"/>
    <cellStyle name="Normal 3 20" xfId="1662" xr:uid="{00000000-0005-0000-0000-0000A2060000}"/>
    <cellStyle name="Normal 3 20 2" xfId="1663" xr:uid="{00000000-0005-0000-0000-0000A3060000}"/>
    <cellStyle name="Normal 3 21" xfId="1664" xr:uid="{00000000-0005-0000-0000-0000A4060000}"/>
    <cellStyle name="Normal 3 21 2" xfId="1665" xr:uid="{00000000-0005-0000-0000-0000A5060000}"/>
    <cellStyle name="Normal 3 22" xfId="1666" xr:uid="{00000000-0005-0000-0000-0000A6060000}"/>
    <cellStyle name="Normal 3 22 2" xfId="1667" xr:uid="{00000000-0005-0000-0000-0000A7060000}"/>
    <cellStyle name="Normal 3 23" xfId="1668" xr:uid="{00000000-0005-0000-0000-0000A8060000}"/>
    <cellStyle name="Normal 3 24" xfId="1669" xr:uid="{00000000-0005-0000-0000-0000A9060000}"/>
    <cellStyle name="Normal 3 3" xfId="1670" xr:uid="{00000000-0005-0000-0000-0000AA060000}"/>
    <cellStyle name="Normal 3 3 10" xfId="1671" xr:uid="{00000000-0005-0000-0000-0000AB060000}"/>
    <cellStyle name="Normal 3 3 10 2" xfId="1672" xr:uid="{00000000-0005-0000-0000-0000AC060000}"/>
    <cellStyle name="Normal 3 3 11" xfId="1673" xr:uid="{00000000-0005-0000-0000-0000AD060000}"/>
    <cellStyle name="Normal 3 3 11 2" xfId="1674" xr:uid="{00000000-0005-0000-0000-0000AE060000}"/>
    <cellStyle name="Normal 3 3 12" xfId="1675" xr:uid="{00000000-0005-0000-0000-0000AF060000}"/>
    <cellStyle name="Normal 3 3 12 2" xfId="1676" xr:uid="{00000000-0005-0000-0000-0000B0060000}"/>
    <cellStyle name="Normal 3 3 13" xfId="1677" xr:uid="{00000000-0005-0000-0000-0000B1060000}"/>
    <cellStyle name="Normal 3 3 13 2" xfId="1678" xr:uid="{00000000-0005-0000-0000-0000B2060000}"/>
    <cellStyle name="Normal 3 3 14" xfId="1679" xr:uid="{00000000-0005-0000-0000-0000B3060000}"/>
    <cellStyle name="Normal 3 3 14 2" xfId="1680" xr:uid="{00000000-0005-0000-0000-0000B4060000}"/>
    <cellStyle name="Normal 3 3 15" xfId="1681" xr:uid="{00000000-0005-0000-0000-0000B5060000}"/>
    <cellStyle name="Normal 3 3 15 2" xfId="1682" xr:uid="{00000000-0005-0000-0000-0000B6060000}"/>
    <cellStyle name="Normal 3 3 16" xfId="1683" xr:uid="{00000000-0005-0000-0000-0000B7060000}"/>
    <cellStyle name="Normal 3 3 16 2" xfId="1684" xr:uid="{00000000-0005-0000-0000-0000B8060000}"/>
    <cellStyle name="Normal 3 3 17" xfId="1685" xr:uid="{00000000-0005-0000-0000-0000B9060000}"/>
    <cellStyle name="Normal 3 3 17 2" xfId="1686" xr:uid="{00000000-0005-0000-0000-0000BA060000}"/>
    <cellStyle name="Normal 3 3 18" xfId="1687" xr:uid="{00000000-0005-0000-0000-0000BB060000}"/>
    <cellStyle name="Normal 3 3 18 2" xfId="1688" xr:uid="{00000000-0005-0000-0000-0000BC060000}"/>
    <cellStyle name="Normal 3 3 19" xfId="1689" xr:uid="{00000000-0005-0000-0000-0000BD060000}"/>
    <cellStyle name="Normal 3 3 19 2" xfId="1690" xr:uid="{00000000-0005-0000-0000-0000BE060000}"/>
    <cellStyle name="Normal 3 3 2" xfId="1691" xr:uid="{00000000-0005-0000-0000-0000BF060000}"/>
    <cellStyle name="Normal 3 3 2 10" xfId="1692" xr:uid="{00000000-0005-0000-0000-0000C0060000}"/>
    <cellStyle name="Normal 3 3 2 10 2" xfId="1693" xr:uid="{00000000-0005-0000-0000-0000C1060000}"/>
    <cellStyle name="Normal 3 3 2 11" xfId="1694" xr:uid="{00000000-0005-0000-0000-0000C2060000}"/>
    <cellStyle name="Normal 3 3 2 2" xfId="1695" xr:uid="{00000000-0005-0000-0000-0000C3060000}"/>
    <cellStyle name="Normal 3 3 2 2 2" xfId="1696" xr:uid="{00000000-0005-0000-0000-0000C4060000}"/>
    <cellStyle name="Normal 3 3 2 2 2 2" xfId="1697" xr:uid="{00000000-0005-0000-0000-0000C5060000}"/>
    <cellStyle name="Normal 3 3 2 2 3" xfId="1698" xr:uid="{00000000-0005-0000-0000-0000C6060000}"/>
    <cellStyle name="Normal 3 3 2 2 3 2" xfId="1699" xr:uid="{00000000-0005-0000-0000-0000C7060000}"/>
    <cellStyle name="Normal 3 3 2 2 4" xfId="1700" xr:uid="{00000000-0005-0000-0000-0000C8060000}"/>
    <cellStyle name="Normal 3 3 2 2 4 2" xfId="1701" xr:uid="{00000000-0005-0000-0000-0000C9060000}"/>
    <cellStyle name="Normal 3 3 2 2 5" xfId="1702" xr:uid="{00000000-0005-0000-0000-0000CA060000}"/>
    <cellStyle name="Normal 3 3 2 2 5 2" xfId="1703" xr:uid="{00000000-0005-0000-0000-0000CB060000}"/>
    <cellStyle name="Normal 3 3 2 2 6" xfId="1704" xr:uid="{00000000-0005-0000-0000-0000CC060000}"/>
    <cellStyle name="Normal 3 3 2 2 6 2" xfId="1705" xr:uid="{00000000-0005-0000-0000-0000CD060000}"/>
    <cellStyle name="Normal 3 3 2 2 7" xfId="1706" xr:uid="{00000000-0005-0000-0000-0000CE060000}"/>
    <cellStyle name="Normal 3 3 2 2 7 2" xfId="1707" xr:uid="{00000000-0005-0000-0000-0000CF060000}"/>
    <cellStyle name="Normal 3 3 2 2 8" xfId="1708" xr:uid="{00000000-0005-0000-0000-0000D0060000}"/>
    <cellStyle name="Normal 3 3 2 2 8 2" xfId="1709" xr:uid="{00000000-0005-0000-0000-0000D1060000}"/>
    <cellStyle name="Normal 3 3 2 2 9" xfId="1710" xr:uid="{00000000-0005-0000-0000-0000D2060000}"/>
    <cellStyle name="Normal 3 3 2 3" xfId="1711" xr:uid="{00000000-0005-0000-0000-0000D3060000}"/>
    <cellStyle name="Normal 3 3 2 3 2" xfId="1712" xr:uid="{00000000-0005-0000-0000-0000D4060000}"/>
    <cellStyle name="Normal 3 3 2 3 2 2" xfId="1713" xr:uid="{00000000-0005-0000-0000-0000D5060000}"/>
    <cellStyle name="Normal 3 3 2 3 3" xfId="1714" xr:uid="{00000000-0005-0000-0000-0000D6060000}"/>
    <cellStyle name="Normal 3 3 2 3 3 2" xfId="1715" xr:uid="{00000000-0005-0000-0000-0000D7060000}"/>
    <cellStyle name="Normal 3 3 2 3 4" xfId="1716" xr:uid="{00000000-0005-0000-0000-0000D8060000}"/>
    <cellStyle name="Normal 3 3 2 3 4 2" xfId="1717" xr:uid="{00000000-0005-0000-0000-0000D9060000}"/>
    <cellStyle name="Normal 3 3 2 3 5" xfId="1718" xr:uid="{00000000-0005-0000-0000-0000DA060000}"/>
    <cellStyle name="Normal 3 3 2 3 5 2" xfId="1719" xr:uid="{00000000-0005-0000-0000-0000DB060000}"/>
    <cellStyle name="Normal 3 3 2 3 6" xfId="1720" xr:uid="{00000000-0005-0000-0000-0000DC060000}"/>
    <cellStyle name="Normal 3 3 2 3 6 2" xfId="1721" xr:uid="{00000000-0005-0000-0000-0000DD060000}"/>
    <cellStyle name="Normal 3 3 2 3 7" xfId="1722" xr:uid="{00000000-0005-0000-0000-0000DE060000}"/>
    <cellStyle name="Normal 3 3 2 3 7 2" xfId="1723" xr:uid="{00000000-0005-0000-0000-0000DF060000}"/>
    <cellStyle name="Normal 3 3 2 3 8" xfId="1724" xr:uid="{00000000-0005-0000-0000-0000E0060000}"/>
    <cellStyle name="Normal 3 3 2 3 8 2" xfId="1725" xr:uid="{00000000-0005-0000-0000-0000E1060000}"/>
    <cellStyle name="Normal 3 3 2 3 9" xfId="1726" xr:uid="{00000000-0005-0000-0000-0000E2060000}"/>
    <cellStyle name="Normal 3 3 2 4" xfId="1727" xr:uid="{00000000-0005-0000-0000-0000E3060000}"/>
    <cellStyle name="Normal 3 3 2 4 2" xfId="1728" xr:uid="{00000000-0005-0000-0000-0000E4060000}"/>
    <cellStyle name="Normal 3 3 2 5" xfId="1729" xr:uid="{00000000-0005-0000-0000-0000E5060000}"/>
    <cellStyle name="Normal 3 3 2 5 2" xfId="1730" xr:uid="{00000000-0005-0000-0000-0000E6060000}"/>
    <cellStyle name="Normal 3 3 2 6" xfId="1731" xr:uid="{00000000-0005-0000-0000-0000E7060000}"/>
    <cellStyle name="Normal 3 3 2 6 2" xfId="1732" xr:uid="{00000000-0005-0000-0000-0000E8060000}"/>
    <cellStyle name="Normal 3 3 2 7" xfId="1733" xr:uid="{00000000-0005-0000-0000-0000E9060000}"/>
    <cellStyle name="Normal 3 3 2 7 2" xfId="1734" xr:uid="{00000000-0005-0000-0000-0000EA060000}"/>
    <cellStyle name="Normal 3 3 2 8" xfId="1735" xr:uid="{00000000-0005-0000-0000-0000EB060000}"/>
    <cellStyle name="Normal 3 3 2 8 2" xfId="1736" xr:uid="{00000000-0005-0000-0000-0000EC060000}"/>
    <cellStyle name="Normal 3 3 2 9" xfId="1737" xr:uid="{00000000-0005-0000-0000-0000ED060000}"/>
    <cellStyle name="Normal 3 3 2 9 2" xfId="1738" xr:uid="{00000000-0005-0000-0000-0000EE060000}"/>
    <cellStyle name="Normal 3 3 20" xfId="1739" xr:uid="{00000000-0005-0000-0000-0000EF060000}"/>
    <cellStyle name="Normal 3 3 21" xfId="1740" xr:uid="{00000000-0005-0000-0000-0000F0060000}"/>
    <cellStyle name="Normal 3 3 3" xfId="1741" xr:uid="{00000000-0005-0000-0000-0000F1060000}"/>
    <cellStyle name="Normal 3 3 3 10" xfId="1742" xr:uid="{00000000-0005-0000-0000-0000F2060000}"/>
    <cellStyle name="Normal 3 3 3 10 2" xfId="1743" xr:uid="{00000000-0005-0000-0000-0000F3060000}"/>
    <cellStyle name="Normal 3 3 3 11" xfId="1744" xr:uid="{00000000-0005-0000-0000-0000F4060000}"/>
    <cellStyle name="Normal 3 3 3 2" xfId="1745" xr:uid="{00000000-0005-0000-0000-0000F5060000}"/>
    <cellStyle name="Normal 3 3 3 2 2" xfId="1746" xr:uid="{00000000-0005-0000-0000-0000F6060000}"/>
    <cellStyle name="Normal 3 3 3 2 2 2" xfId="1747" xr:uid="{00000000-0005-0000-0000-0000F7060000}"/>
    <cellStyle name="Normal 3 3 3 2 3" xfId="1748" xr:uid="{00000000-0005-0000-0000-0000F8060000}"/>
    <cellStyle name="Normal 3 3 3 2 3 2" xfId="1749" xr:uid="{00000000-0005-0000-0000-0000F9060000}"/>
    <cellStyle name="Normal 3 3 3 2 4" xfId="1750" xr:uid="{00000000-0005-0000-0000-0000FA060000}"/>
    <cellStyle name="Normal 3 3 3 2 4 2" xfId="1751" xr:uid="{00000000-0005-0000-0000-0000FB060000}"/>
    <cellStyle name="Normal 3 3 3 2 5" xfId="1752" xr:uid="{00000000-0005-0000-0000-0000FC060000}"/>
    <cellStyle name="Normal 3 3 3 2 5 2" xfId="1753" xr:uid="{00000000-0005-0000-0000-0000FD060000}"/>
    <cellStyle name="Normal 3 3 3 2 6" xfId="1754" xr:uid="{00000000-0005-0000-0000-0000FE060000}"/>
    <cellStyle name="Normal 3 3 3 2 6 2" xfId="1755" xr:uid="{00000000-0005-0000-0000-0000FF060000}"/>
    <cellStyle name="Normal 3 3 3 2 7" xfId="1756" xr:uid="{00000000-0005-0000-0000-000000070000}"/>
    <cellStyle name="Normal 3 3 3 2 7 2" xfId="1757" xr:uid="{00000000-0005-0000-0000-000001070000}"/>
    <cellStyle name="Normal 3 3 3 2 8" xfId="1758" xr:uid="{00000000-0005-0000-0000-000002070000}"/>
    <cellStyle name="Normal 3 3 3 2 8 2" xfId="1759" xr:uid="{00000000-0005-0000-0000-000003070000}"/>
    <cellStyle name="Normal 3 3 3 2 9" xfId="1760" xr:uid="{00000000-0005-0000-0000-000004070000}"/>
    <cellStyle name="Normal 3 3 3 3" xfId="1761" xr:uid="{00000000-0005-0000-0000-000005070000}"/>
    <cellStyle name="Normal 3 3 3 3 2" xfId="1762" xr:uid="{00000000-0005-0000-0000-000006070000}"/>
    <cellStyle name="Normal 3 3 3 3 2 2" xfId="1763" xr:uid="{00000000-0005-0000-0000-000007070000}"/>
    <cellStyle name="Normal 3 3 3 3 3" xfId="1764" xr:uid="{00000000-0005-0000-0000-000008070000}"/>
    <cellStyle name="Normal 3 3 3 3 3 2" xfId="1765" xr:uid="{00000000-0005-0000-0000-000009070000}"/>
    <cellStyle name="Normal 3 3 3 3 4" xfId="1766" xr:uid="{00000000-0005-0000-0000-00000A070000}"/>
    <cellStyle name="Normal 3 3 3 3 4 2" xfId="1767" xr:uid="{00000000-0005-0000-0000-00000B070000}"/>
    <cellStyle name="Normal 3 3 3 3 5" xfId="1768" xr:uid="{00000000-0005-0000-0000-00000C070000}"/>
    <cellStyle name="Normal 3 3 3 3 5 2" xfId="1769" xr:uid="{00000000-0005-0000-0000-00000D070000}"/>
    <cellStyle name="Normal 3 3 3 3 6" xfId="1770" xr:uid="{00000000-0005-0000-0000-00000E070000}"/>
    <cellStyle name="Normal 3 3 3 3 6 2" xfId="1771" xr:uid="{00000000-0005-0000-0000-00000F070000}"/>
    <cellStyle name="Normal 3 3 3 3 7" xfId="1772" xr:uid="{00000000-0005-0000-0000-000010070000}"/>
    <cellStyle name="Normal 3 3 3 3 7 2" xfId="1773" xr:uid="{00000000-0005-0000-0000-000011070000}"/>
    <cellStyle name="Normal 3 3 3 3 8" xfId="1774" xr:uid="{00000000-0005-0000-0000-000012070000}"/>
    <cellStyle name="Normal 3 3 3 3 8 2" xfId="1775" xr:uid="{00000000-0005-0000-0000-000013070000}"/>
    <cellStyle name="Normal 3 3 3 3 9" xfId="1776" xr:uid="{00000000-0005-0000-0000-000014070000}"/>
    <cellStyle name="Normal 3 3 3 4" xfId="1777" xr:uid="{00000000-0005-0000-0000-000015070000}"/>
    <cellStyle name="Normal 3 3 3 4 2" xfId="1778" xr:uid="{00000000-0005-0000-0000-000016070000}"/>
    <cellStyle name="Normal 3 3 3 5" xfId="1779" xr:uid="{00000000-0005-0000-0000-000017070000}"/>
    <cellStyle name="Normal 3 3 3 5 2" xfId="1780" xr:uid="{00000000-0005-0000-0000-000018070000}"/>
    <cellStyle name="Normal 3 3 3 6" xfId="1781" xr:uid="{00000000-0005-0000-0000-000019070000}"/>
    <cellStyle name="Normal 3 3 3 6 2" xfId="1782" xr:uid="{00000000-0005-0000-0000-00001A070000}"/>
    <cellStyle name="Normal 3 3 3 7" xfId="1783" xr:uid="{00000000-0005-0000-0000-00001B070000}"/>
    <cellStyle name="Normal 3 3 3 7 2" xfId="1784" xr:uid="{00000000-0005-0000-0000-00001C070000}"/>
    <cellStyle name="Normal 3 3 3 8" xfId="1785" xr:uid="{00000000-0005-0000-0000-00001D070000}"/>
    <cellStyle name="Normal 3 3 3 8 2" xfId="1786" xr:uid="{00000000-0005-0000-0000-00001E070000}"/>
    <cellStyle name="Normal 3 3 3 9" xfId="1787" xr:uid="{00000000-0005-0000-0000-00001F070000}"/>
    <cellStyle name="Normal 3 3 3 9 2" xfId="1788" xr:uid="{00000000-0005-0000-0000-000020070000}"/>
    <cellStyle name="Normal 3 3 4" xfId="1789" xr:uid="{00000000-0005-0000-0000-000021070000}"/>
    <cellStyle name="Normal 3 3 4 2" xfId="1790" xr:uid="{00000000-0005-0000-0000-000022070000}"/>
    <cellStyle name="Normal 3 3 4 2 2" xfId="1791" xr:uid="{00000000-0005-0000-0000-000023070000}"/>
    <cellStyle name="Normal 3 3 4 3" xfId="1792" xr:uid="{00000000-0005-0000-0000-000024070000}"/>
    <cellStyle name="Normal 3 3 4 3 2" xfId="1793" xr:uid="{00000000-0005-0000-0000-000025070000}"/>
    <cellStyle name="Normal 3 3 4 4" xfId="1794" xr:uid="{00000000-0005-0000-0000-000026070000}"/>
    <cellStyle name="Normal 3 3 4 4 2" xfId="1795" xr:uid="{00000000-0005-0000-0000-000027070000}"/>
    <cellStyle name="Normal 3 3 4 5" xfId="1796" xr:uid="{00000000-0005-0000-0000-000028070000}"/>
    <cellStyle name="Normal 3 3 4 5 2" xfId="1797" xr:uid="{00000000-0005-0000-0000-000029070000}"/>
    <cellStyle name="Normal 3 3 4 6" xfId="1798" xr:uid="{00000000-0005-0000-0000-00002A070000}"/>
    <cellStyle name="Normal 3 3 4 6 2" xfId="1799" xr:uid="{00000000-0005-0000-0000-00002B070000}"/>
    <cellStyle name="Normal 3 3 4 7" xfId="1800" xr:uid="{00000000-0005-0000-0000-00002C070000}"/>
    <cellStyle name="Normal 3 3 4 7 2" xfId="1801" xr:uid="{00000000-0005-0000-0000-00002D070000}"/>
    <cellStyle name="Normal 3 3 4 8" xfId="1802" xr:uid="{00000000-0005-0000-0000-00002E070000}"/>
    <cellStyle name="Normal 3 3 4 8 2" xfId="1803" xr:uid="{00000000-0005-0000-0000-00002F070000}"/>
    <cellStyle name="Normal 3 3 4 9" xfId="1804" xr:uid="{00000000-0005-0000-0000-000030070000}"/>
    <cellStyle name="Normal 3 3 5" xfId="1805" xr:uid="{00000000-0005-0000-0000-000031070000}"/>
    <cellStyle name="Normal 3 3 5 2" xfId="1806" xr:uid="{00000000-0005-0000-0000-000032070000}"/>
    <cellStyle name="Normal 3 3 5 2 2" xfId="1807" xr:uid="{00000000-0005-0000-0000-000033070000}"/>
    <cellStyle name="Normal 3 3 5 3" xfId="1808" xr:uid="{00000000-0005-0000-0000-000034070000}"/>
    <cellStyle name="Normal 3 3 5 3 2" xfId="1809" xr:uid="{00000000-0005-0000-0000-000035070000}"/>
    <cellStyle name="Normal 3 3 5 4" xfId="1810" xr:uid="{00000000-0005-0000-0000-000036070000}"/>
    <cellStyle name="Normal 3 3 5 4 2" xfId="1811" xr:uid="{00000000-0005-0000-0000-000037070000}"/>
    <cellStyle name="Normal 3 3 5 5" xfId="1812" xr:uid="{00000000-0005-0000-0000-000038070000}"/>
    <cellStyle name="Normal 3 3 5 5 2" xfId="1813" xr:uid="{00000000-0005-0000-0000-000039070000}"/>
    <cellStyle name="Normal 3 3 5 6" xfId="1814" xr:uid="{00000000-0005-0000-0000-00003A070000}"/>
    <cellStyle name="Normal 3 3 5 6 2" xfId="1815" xr:uid="{00000000-0005-0000-0000-00003B070000}"/>
    <cellStyle name="Normal 3 3 5 7" xfId="1816" xr:uid="{00000000-0005-0000-0000-00003C070000}"/>
    <cellStyle name="Normal 3 3 5 7 2" xfId="1817" xr:uid="{00000000-0005-0000-0000-00003D070000}"/>
    <cellStyle name="Normal 3 3 5 8" xfId="1818" xr:uid="{00000000-0005-0000-0000-00003E070000}"/>
    <cellStyle name="Normal 3 3 5 8 2" xfId="1819" xr:uid="{00000000-0005-0000-0000-00003F070000}"/>
    <cellStyle name="Normal 3 3 5 9" xfId="1820" xr:uid="{00000000-0005-0000-0000-000040070000}"/>
    <cellStyle name="Normal 3 3 6" xfId="1821" xr:uid="{00000000-0005-0000-0000-000041070000}"/>
    <cellStyle name="Normal 3 3 6 2" xfId="1822" xr:uid="{00000000-0005-0000-0000-000042070000}"/>
    <cellStyle name="Normal 3 3 6 2 2" xfId="1823" xr:uid="{00000000-0005-0000-0000-000043070000}"/>
    <cellStyle name="Normal 3 3 6 3" xfId="1824" xr:uid="{00000000-0005-0000-0000-000044070000}"/>
    <cellStyle name="Normal 3 3 6 3 2" xfId="1825" xr:uid="{00000000-0005-0000-0000-000045070000}"/>
    <cellStyle name="Normal 3 3 6 4" xfId="1826" xr:uid="{00000000-0005-0000-0000-000046070000}"/>
    <cellStyle name="Normal 3 3 6 4 2" xfId="1827" xr:uid="{00000000-0005-0000-0000-000047070000}"/>
    <cellStyle name="Normal 3 3 6 5" xfId="1828" xr:uid="{00000000-0005-0000-0000-000048070000}"/>
    <cellStyle name="Normal 3 3 6 5 2" xfId="1829" xr:uid="{00000000-0005-0000-0000-000049070000}"/>
    <cellStyle name="Normal 3 3 6 6" xfId="1830" xr:uid="{00000000-0005-0000-0000-00004A070000}"/>
    <cellStyle name="Normal 3 3 6 6 2" xfId="1831" xr:uid="{00000000-0005-0000-0000-00004B070000}"/>
    <cellStyle name="Normal 3 3 6 7" xfId="1832" xr:uid="{00000000-0005-0000-0000-00004C070000}"/>
    <cellStyle name="Normal 3 3 6 7 2" xfId="1833" xr:uid="{00000000-0005-0000-0000-00004D070000}"/>
    <cellStyle name="Normal 3 3 6 8" xfId="1834" xr:uid="{00000000-0005-0000-0000-00004E070000}"/>
    <cellStyle name="Normal 3 3 6 8 2" xfId="1835" xr:uid="{00000000-0005-0000-0000-00004F070000}"/>
    <cellStyle name="Normal 3 3 6 9" xfId="1836" xr:uid="{00000000-0005-0000-0000-000050070000}"/>
    <cellStyle name="Normal 3 3 7" xfId="1837" xr:uid="{00000000-0005-0000-0000-000051070000}"/>
    <cellStyle name="Normal 3 3 7 2" xfId="1838" xr:uid="{00000000-0005-0000-0000-000052070000}"/>
    <cellStyle name="Normal 3 3 7 2 2" xfId="1839" xr:uid="{00000000-0005-0000-0000-000053070000}"/>
    <cellStyle name="Normal 3 3 7 3" xfId="1840" xr:uid="{00000000-0005-0000-0000-000054070000}"/>
    <cellStyle name="Normal 3 3 7 3 2" xfId="1841" xr:uid="{00000000-0005-0000-0000-000055070000}"/>
    <cellStyle name="Normal 3 3 7 4" xfId="1842" xr:uid="{00000000-0005-0000-0000-000056070000}"/>
    <cellStyle name="Normal 3 3 7 4 2" xfId="1843" xr:uid="{00000000-0005-0000-0000-000057070000}"/>
    <cellStyle name="Normal 3 3 7 5" xfId="1844" xr:uid="{00000000-0005-0000-0000-000058070000}"/>
    <cellStyle name="Normal 3 3 7 5 2" xfId="1845" xr:uid="{00000000-0005-0000-0000-000059070000}"/>
    <cellStyle name="Normal 3 3 7 6" xfId="1846" xr:uid="{00000000-0005-0000-0000-00005A070000}"/>
    <cellStyle name="Normal 3 3 7 6 2" xfId="1847" xr:uid="{00000000-0005-0000-0000-00005B070000}"/>
    <cellStyle name="Normal 3 3 7 7" xfId="1848" xr:uid="{00000000-0005-0000-0000-00005C070000}"/>
    <cellStyle name="Normal 3 3 7 7 2" xfId="1849" xr:uid="{00000000-0005-0000-0000-00005D070000}"/>
    <cellStyle name="Normal 3 3 7 8" xfId="1850" xr:uid="{00000000-0005-0000-0000-00005E070000}"/>
    <cellStyle name="Normal 3 3 7 8 2" xfId="1851" xr:uid="{00000000-0005-0000-0000-00005F070000}"/>
    <cellStyle name="Normal 3 3 7 9" xfId="1852" xr:uid="{00000000-0005-0000-0000-000060070000}"/>
    <cellStyle name="Normal 3 3 8" xfId="1853" xr:uid="{00000000-0005-0000-0000-000061070000}"/>
    <cellStyle name="Normal 3 3 8 2" xfId="1854" xr:uid="{00000000-0005-0000-0000-000062070000}"/>
    <cellStyle name="Normal 3 3 8 2 2" xfId="1855" xr:uid="{00000000-0005-0000-0000-000063070000}"/>
    <cellStyle name="Normal 3 3 8 3" xfId="1856" xr:uid="{00000000-0005-0000-0000-000064070000}"/>
    <cellStyle name="Normal 3 3 8 3 2" xfId="1857" xr:uid="{00000000-0005-0000-0000-000065070000}"/>
    <cellStyle name="Normal 3 3 8 4" xfId="1858" xr:uid="{00000000-0005-0000-0000-000066070000}"/>
    <cellStyle name="Normal 3 3 8 4 2" xfId="1859" xr:uid="{00000000-0005-0000-0000-000067070000}"/>
    <cellStyle name="Normal 3 3 8 5" xfId="1860" xr:uid="{00000000-0005-0000-0000-000068070000}"/>
    <cellStyle name="Normal 3 3 8 5 2" xfId="1861" xr:uid="{00000000-0005-0000-0000-000069070000}"/>
    <cellStyle name="Normal 3 3 8 6" xfId="1862" xr:uid="{00000000-0005-0000-0000-00006A070000}"/>
    <cellStyle name="Normal 3 3 8 6 2" xfId="1863" xr:uid="{00000000-0005-0000-0000-00006B070000}"/>
    <cellStyle name="Normal 3 3 8 7" xfId="1864" xr:uid="{00000000-0005-0000-0000-00006C070000}"/>
    <cellStyle name="Normal 3 3 8 7 2" xfId="1865" xr:uid="{00000000-0005-0000-0000-00006D070000}"/>
    <cellStyle name="Normal 3 3 8 8" xfId="1866" xr:uid="{00000000-0005-0000-0000-00006E070000}"/>
    <cellStyle name="Normal 3 3 8 8 2" xfId="1867" xr:uid="{00000000-0005-0000-0000-00006F070000}"/>
    <cellStyle name="Normal 3 3 8 9" xfId="1868" xr:uid="{00000000-0005-0000-0000-000070070000}"/>
    <cellStyle name="Normal 3 3 9" xfId="1869" xr:uid="{00000000-0005-0000-0000-000071070000}"/>
    <cellStyle name="Normal 3 3 9 2" xfId="1870" xr:uid="{00000000-0005-0000-0000-000072070000}"/>
    <cellStyle name="Normal 3 4" xfId="1871" xr:uid="{00000000-0005-0000-0000-000073070000}"/>
    <cellStyle name="Normal 3 4 10" xfId="1872" xr:uid="{00000000-0005-0000-0000-000074070000}"/>
    <cellStyle name="Normal 3 4 10 2" xfId="1873" xr:uid="{00000000-0005-0000-0000-000075070000}"/>
    <cellStyle name="Normal 3 4 11" xfId="1874" xr:uid="{00000000-0005-0000-0000-000076070000}"/>
    <cellStyle name="Normal 3 4 11 2" xfId="1875" xr:uid="{00000000-0005-0000-0000-000077070000}"/>
    <cellStyle name="Normal 3 4 12" xfId="1876" xr:uid="{00000000-0005-0000-0000-000078070000}"/>
    <cellStyle name="Normal 3 4 12 2" xfId="1877" xr:uid="{00000000-0005-0000-0000-000079070000}"/>
    <cellStyle name="Normal 3 4 13" xfId="1878" xr:uid="{00000000-0005-0000-0000-00007A070000}"/>
    <cellStyle name="Normal 3 4 13 2" xfId="1879" xr:uid="{00000000-0005-0000-0000-00007B070000}"/>
    <cellStyle name="Normal 3 4 14" xfId="1880" xr:uid="{00000000-0005-0000-0000-00007C070000}"/>
    <cellStyle name="Normal 3 4 14 2" xfId="1881" xr:uid="{00000000-0005-0000-0000-00007D070000}"/>
    <cellStyle name="Normal 3 4 15" xfId="1882" xr:uid="{00000000-0005-0000-0000-00007E070000}"/>
    <cellStyle name="Normal 3 4 15 2" xfId="1883" xr:uid="{00000000-0005-0000-0000-00007F070000}"/>
    <cellStyle name="Normal 3 4 16" xfId="1884" xr:uid="{00000000-0005-0000-0000-000080070000}"/>
    <cellStyle name="Normal 3 4 16 2" xfId="1885" xr:uid="{00000000-0005-0000-0000-000081070000}"/>
    <cellStyle name="Normal 3 4 17" xfId="1886" xr:uid="{00000000-0005-0000-0000-000082070000}"/>
    <cellStyle name="Normal 3 4 17 2" xfId="1887" xr:uid="{00000000-0005-0000-0000-000083070000}"/>
    <cellStyle name="Normal 3 4 18" xfId="1888" xr:uid="{00000000-0005-0000-0000-000084070000}"/>
    <cellStyle name="Normal 3 4 19" xfId="1889" xr:uid="{00000000-0005-0000-0000-000085070000}"/>
    <cellStyle name="Normal 3 4 2" xfId="1890" xr:uid="{00000000-0005-0000-0000-000086070000}"/>
    <cellStyle name="Normal 3 4 2 2" xfId="1891" xr:uid="{00000000-0005-0000-0000-000087070000}"/>
    <cellStyle name="Normal 3 4 2 2 2" xfId="1892" xr:uid="{00000000-0005-0000-0000-000088070000}"/>
    <cellStyle name="Normal 3 4 2 3" xfId="1893" xr:uid="{00000000-0005-0000-0000-000089070000}"/>
    <cellStyle name="Normal 3 4 2 3 2" xfId="1894" xr:uid="{00000000-0005-0000-0000-00008A070000}"/>
    <cellStyle name="Normal 3 4 2 4" xfId="1895" xr:uid="{00000000-0005-0000-0000-00008B070000}"/>
    <cellStyle name="Normal 3 4 2 4 2" xfId="1896" xr:uid="{00000000-0005-0000-0000-00008C070000}"/>
    <cellStyle name="Normal 3 4 2 5" xfId="1897" xr:uid="{00000000-0005-0000-0000-00008D070000}"/>
    <cellStyle name="Normal 3 4 2 5 2" xfId="1898" xr:uid="{00000000-0005-0000-0000-00008E070000}"/>
    <cellStyle name="Normal 3 4 2 6" xfId="1899" xr:uid="{00000000-0005-0000-0000-00008F070000}"/>
    <cellStyle name="Normal 3 4 2 6 2" xfId="1900" xr:uid="{00000000-0005-0000-0000-000090070000}"/>
    <cellStyle name="Normal 3 4 2 7" xfId="1901" xr:uid="{00000000-0005-0000-0000-000091070000}"/>
    <cellStyle name="Normal 3 4 2 7 2" xfId="1902" xr:uid="{00000000-0005-0000-0000-000092070000}"/>
    <cellStyle name="Normal 3 4 2 8" xfId="1903" xr:uid="{00000000-0005-0000-0000-000093070000}"/>
    <cellStyle name="Normal 3 4 2 8 2" xfId="1904" xr:uid="{00000000-0005-0000-0000-000094070000}"/>
    <cellStyle name="Normal 3 4 2 9" xfId="1905" xr:uid="{00000000-0005-0000-0000-000095070000}"/>
    <cellStyle name="Normal 3 4 3" xfId="1906" xr:uid="{00000000-0005-0000-0000-000096070000}"/>
    <cellStyle name="Normal 3 4 3 2" xfId="1907" xr:uid="{00000000-0005-0000-0000-000097070000}"/>
    <cellStyle name="Normal 3 4 3 2 2" xfId="1908" xr:uid="{00000000-0005-0000-0000-000098070000}"/>
    <cellStyle name="Normal 3 4 3 3" xfId="1909" xr:uid="{00000000-0005-0000-0000-000099070000}"/>
    <cellStyle name="Normal 3 4 3 3 2" xfId="1910" xr:uid="{00000000-0005-0000-0000-00009A070000}"/>
    <cellStyle name="Normal 3 4 3 4" xfId="1911" xr:uid="{00000000-0005-0000-0000-00009B070000}"/>
    <cellStyle name="Normal 3 4 3 4 2" xfId="1912" xr:uid="{00000000-0005-0000-0000-00009C070000}"/>
    <cellStyle name="Normal 3 4 3 5" xfId="1913" xr:uid="{00000000-0005-0000-0000-00009D070000}"/>
    <cellStyle name="Normal 3 4 3 5 2" xfId="1914" xr:uid="{00000000-0005-0000-0000-00009E070000}"/>
    <cellStyle name="Normal 3 4 3 6" xfId="1915" xr:uid="{00000000-0005-0000-0000-00009F070000}"/>
    <cellStyle name="Normal 3 4 3 6 2" xfId="1916" xr:uid="{00000000-0005-0000-0000-0000A0070000}"/>
    <cellStyle name="Normal 3 4 3 7" xfId="1917" xr:uid="{00000000-0005-0000-0000-0000A1070000}"/>
    <cellStyle name="Normal 3 4 3 7 2" xfId="1918" xr:uid="{00000000-0005-0000-0000-0000A2070000}"/>
    <cellStyle name="Normal 3 4 3 8" xfId="1919" xr:uid="{00000000-0005-0000-0000-0000A3070000}"/>
    <cellStyle name="Normal 3 4 3 8 2" xfId="1920" xr:uid="{00000000-0005-0000-0000-0000A4070000}"/>
    <cellStyle name="Normal 3 4 3 9" xfId="1921" xr:uid="{00000000-0005-0000-0000-0000A5070000}"/>
    <cellStyle name="Normal 3 4 4" xfId="1922" xr:uid="{00000000-0005-0000-0000-0000A6070000}"/>
    <cellStyle name="Normal 3 4 4 2" xfId="1923" xr:uid="{00000000-0005-0000-0000-0000A7070000}"/>
    <cellStyle name="Normal 3 4 4 2 2" xfId="1924" xr:uid="{00000000-0005-0000-0000-0000A8070000}"/>
    <cellStyle name="Normal 3 4 4 3" xfId="1925" xr:uid="{00000000-0005-0000-0000-0000A9070000}"/>
    <cellStyle name="Normal 3 4 4 3 2" xfId="1926" xr:uid="{00000000-0005-0000-0000-0000AA070000}"/>
    <cellStyle name="Normal 3 4 4 4" xfId="1927" xr:uid="{00000000-0005-0000-0000-0000AB070000}"/>
    <cellStyle name="Normal 3 4 4 4 2" xfId="1928" xr:uid="{00000000-0005-0000-0000-0000AC070000}"/>
    <cellStyle name="Normal 3 4 4 5" xfId="1929" xr:uid="{00000000-0005-0000-0000-0000AD070000}"/>
    <cellStyle name="Normal 3 4 4 5 2" xfId="1930" xr:uid="{00000000-0005-0000-0000-0000AE070000}"/>
    <cellStyle name="Normal 3 4 4 6" xfId="1931" xr:uid="{00000000-0005-0000-0000-0000AF070000}"/>
    <cellStyle name="Normal 3 4 4 6 2" xfId="1932" xr:uid="{00000000-0005-0000-0000-0000B0070000}"/>
    <cellStyle name="Normal 3 4 4 7" xfId="1933" xr:uid="{00000000-0005-0000-0000-0000B1070000}"/>
    <cellStyle name="Normal 3 4 4 7 2" xfId="1934" xr:uid="{00000000-0005-0000-0000-0000B2070000}"/>
    <cellStyle name="Normal 3 4 4 8" xfId="1935" xr:uid="{00000000-0005-0000-0000-0000B3070000}"/>
    <cellStyle name="Normal 3 4 4 8 2" xfId="1936" xr:uid="{00000000-0005-0000-0000-0000B4070000}"/>
    <cellStyle name="Normal 3 4 4 9" xfId="1937" xr:uid="{00000000-0005-0000-0000-0000B5070000}"/>
    <cellStyle name="Normal 3 4 5" xfId="1938" xr:uid="{00000000-0005-0000-0000-0000B6070000}"/>
    <cellStyle name="Normal 3 4 5 2" xfId="1939" xr:uid="{00000000-0005-0000-0000-0000B7070000}"/>
    <cellStyle name="Normal 3 4 5 2 2" xfId="1940" xr:uid="{00000000-0005-0000-0000-0000B8070000}"/>
    <cellStyle name="Normal 3 4 5 3" xfId="1941" xr:uid="{00000000-0005-0000-0000-0000B9070000}"/>
    <cellStyle name="Normal 3 4 5 3 2" xfId="1942" xr:uid="{00000000-0005-0000-0000-0000BA070000}"/>
    <cellStyle name="Normal 3 4 5 4" xfId="1943" xr:uid="{00000000-0005-0000-0000-0000BB070000}"/>
    <cellStyle name="Normal 3 4 5 4 2" xfId="1944" xr:uid="{00000000-0005-0000-0000-0000BC070000}"/>
    <cellStyle name="Normal 3 4 5 5" xfId="1945" xr:uid="{00000000-0005-0000-0000-0000BD070000}"/>
    <cellStyle name="Normal 3 4 5 5 2" xfId="1946" xr:uid="{00000000-0005-0000-0000-0000BE070000}"/>
    <cellStyle name="Normal 3 4 5 6" xfId="1947" xr:uid="{00000000-0005-0000-0000-0000BF070000}"/>
    <cellStyle name="Normal 3 4 5 6 2" xfId="1948" xr:uid="{00000000-0005-0000-0000-0000C0070000}"/>
    <cellStyle name="Normal 3 4 5 7" xfId="1949" xr:uid="{00000000-0005-0000-0000-0000C1070000}"/>
    <cellStyle name="Normal 3 4 5 7 2" xfId="1950" xr:uid="{00000000-0005-0000-0000-0000C2070000}"/>
    <cellStyle name="Normal 3 4 5 8" xfId="1951" xr:uid="{00000000-0005-0000-0000-0000C3070000}"/>
    <cellStyle name="Normal 3 4 5 8 2" xfId="1952" xr:uid="{00000000-0005-0000-0000-0000C4070000}"/>
    <cellStyle name="Normal 3 4 5 9" xfId="1953" xr:uid="{00000000-0005-0000-0000-0000C5070000}"/>
    <cellStyle name="Normal 3 4 6" xfId="1954" xr:uid="{00000000-0005-0000-0000-0000C6070000}"/>
    <cellStyle name="Normal 3 4 6 2" xfId="1955" xr:uid="{00000000-0005-0000-0000-0000C7070000}"/>
    <cellStyle name="Normal 3 4 6 2 2" xfId="1956" xr:uid="{00000000-0005-0000-0000-0000C8070000}"/>
    <cellStyle name="Normal 3 4 6 3" xfId="1957" xr:uid="{00000000-0005-0000-0000-0000C9070000}"/>
    <cellStyle name="Normal 3 4 6 3 2" xfId="1958" xr:uid="{00000000-0005-0000-0000-0000CA070000}"/>
    <cellStyle name="Normal 3 4 6 4" xfId="1959" xr:uid="{00000000-0005-0000-0000-0000CB070000}"/>
    <cellStyle name="Normal 3 4 6 4 2" xfId="1960" xr:uid="{00000000-0005-0000-0000-0000CC070000}"/>
    <cellStyle name="Normal 3 4 6 5" xfId="1961" xr:uid="{00000000-0005-0000-0000-0000CD070000}"/>
    <cellStyle name="Normal 3 4 6 5 2" xfId="1962" xr:uid="{00000000-0005-0000-0000-0000CE070000}"/>
    <cellStyle name="Normal 3 4 6 6" xfId="1963" xr:uid="{00000000-0005-0000-0000-0000CF070000}"/>
    <cellStyle name="Normal 3 4 6 6 2" xfId="1964" xr:uid="{00000000-0005-0000-0000-0000D0070000}"/>
    <cellStyle name="Normal 3 4 6 7" xfId="1965" xr:uid="{00000000-0005-0000-0000-0000D1070000}"/>
    <cellStyle name="Normal 3 4 6 7 2" xfId="1966" xr:uid="{00000000-0005-0000-0000-0000D2070000}"/>
    <cellStyle name="Normal 3 4 6 8" xfId="1967" xr:uid="{00000000-0005-0000-0000-0000D3070000}"/>
    <cellStyle name="Normal 3 4 6 8 2" xfId="1968" xr:uid="{00000000-0005-0000-0000-0000D4070000}"/>
    <cellStyle name="Normal 3 4 6 9" xfId="1969" xr:uid="{00000000-0005-0000-0000-0000D5070000}"/>
    <cellStyle name="Normal 3 4 7" xfId="1970" xr:uid="{00000000-0005-0000-0000-0000D6070000}"/>
    <cellStyle name="Normal 3 4 7 2" xfId="1971" xr:uid="{00000000-0005-0000-0000-0000D7070000}"/>
    <cellStyle name="Normal 3 4 8" xfId="1972" xr:uid="{00000000-0005-0000-0000-0000D8070000}"/>
    <cellStyle name="Normal 3 4 8 2" xfId="1973" xr:uid="{00000000-0005-0000-0000-0000D9070000}"/>
    <cellStyle name="Normal 3 4 9" xfId="1974" xr:uid="{00000000-0005-0000-0000-0000DA070000}"/>
    <cellStyle name="Normal 3 4 9 2" xfId="1975" xr:uid="{00000000-0005-0000-0000-0000DB070000}"/>
    <cellStyle name="Normal 3 5" xfId="1976" xr:uid="{00000000-0005-0000-0000-0000DC070000}"/>
    <cellStyle name="Normal 3 5 10" xfId="1977" xr:uid="{00000000-0005-0000-0000-0000DD070000}"/>
    <cellStyle name="Normal 3 5 10 2" xfId="1978" xr:uid="{00000000-0005-0000-0000-0000DE070000}"/>
    <cellStyle name="Normal 3 5 11" xfId="1979" xr:uid="{00000000-0005-0000-0000-0000DF070000}"/>
    <cellStyle name="Normal 3 5 11 2" xfId="1980" xr:uid="{00000000-0005-0000-0000-0000E0070000}"/>
    <cellStyle name="Normal 3 5 12" xfId="1981" xr:uid="{00000000-0005-0000-0000-0000E1070000}"/>
    <cellStyle name="Normal 3 5 12 2" xfId="1982" xr:uid="{00000000-0005-0000-0000-0000E2070000}"/>
    <cellStyle name="Normal 3 5 13" xfId="1983" xr:uid="{00000000-0005-0000-0000-0000E3070000}"/>
    <cellStyle name="Normal 3 5 13 2" xfId="1984" xr:uid="{00000000-0005-0000-0000-0000E4070000}"/>
    <cellStyle name="Normal 3 5 14" xfId="1985" xr:uid="{00000000-0005-0000-0000-0000E5070000}"/>
    <cellStyle name="Normal 3 5 14 2" xfId="1986" xr:uid="{00000000-0005-0000-0000-0000E6070000}"/>
    <cellStyle name="Normal 3 5 15" xfId="1987" xr:uid="{00000000-0005-0000-0000-0000E7070000}"/>
    <cellStyle name="Normal 3 5 15 2" xfId="1988" xr:uid="{00000000-0005-0000-0000-0000E8070000}"/>
    <cellStyle name="Normal 3 5 16" xfId="1989" xr:uid="{00000000-0005-0000-0000-0000E9070000}"/>
    <cellStyle name="Normal 3 5 16 2" xfId="1990" xr:uid="{00000000-0005-0000-0000-0000EA070000}"/>
    <cellStyle name="Normal 3 5 17" xfId="1991" xr:uid="{00000000-0005-0000-0000-0000EB070000}"/>
    <cellStyle name="Normal 3 5 17 2" xfId="1992" xr:uid="{00000000-0005-0000-0000-0000EC070000}"/>
    <cellStyle name="Normal 3 5 18" xfId="1993" xr:uid="{00000000-0005-0000-0000-0000ED070000}"/>
    <cellStyle name="Normal 3 5 19" xfId="1994" xr:uid="{00000000-0005-0000-0000-0000EE070000}"/>
    <cellStyle name="Normal 3 5 2" xfId="1995" xr:uid="{00000000-0005-0000-0000-0000EF070000}"/>
    <cellStyle name="Normal 3 5 2 2" xfId="1996" xr:uid="{00000000-0005-0000-0000-0000F0070000}"/>
    <cellStyle name="Normal 3 5 2 2 2" xfId="1997" xr:uid="{00000000-0005-0000-0000-0000F1070000}"/>
    <cellStyle name="Normal 3 5 2 3" xfId="1998" xr:uid="{00000000-0005-0000-0000-0000F2070000}"/>
    <cellStyle name="Normal 3 5 2 3 2" xfId="1999" xr:uid="{00000000-0005-0000-0000-0000F3070000}"/>
    <cellStyle name="Normal 3 5 2 4" xfId="2000" xr:uid="{00000000-0005-0000-0000-0000F4070000}"/>
    <cellStyle name="Normal 3 5 2 4 2" xfId="2001" xr:uid="{00000000-0005-0000-0000-0000F5070000}"/>
    <cellStyle name="Normal 3 5 2 5" xfId="2002" xr:uid="{00000000-0005-0000-0000-0000F6070000}"/>
    <cellStyle name="Normal 3 5 2 5 2" xfId="2003" xr:uid="{00000000-0005-0000-0000-0000F7070000}"/>
    <cellStyle name="Normal 3 5 2 6" xfId="2004" xr:uid="{00000000-0005-0000-0000-0000F8070000}"/>
    <cellStyle name="Normal 3 5 2 6 2" xfId="2005" xr:uid="{00000000-0005-0000-0000-0000F9070000}"/>
    <cellStyle name="Normal 3 5 2 7" xfId="2006" xr:uid="{00000000-0005-0000-0000-0000FA070000}"/>
    <cellStyle name="Normal 3 5 2 7 2" xfId="2007" xr:uid="{00000000-0005-0000-0000-0000FB070000}"/>
    <cellStyle name="Normal 3 5 2 8" xfId="2008" xr:uid="{00000000-0005-0000-0000-0000FC070000}"/>
    <cellStyle name="Normal 3 5 2 8 2" xfId="2009" xr:uid="{00000000-0005-0000-0000-0000FD070000}"/>
    <cellStyle name="Normal 3 5 2 9" xfId="2010" xr:uid="{00000000-0005-0000-0000-0000FE070000}"/>
    <cellStyle name="Normal 3 5 3" xfId="2011" xr:uid="{00000000-0005-0000-0000-0000FF070000}"/>
    <cellStyle name="Normal 3 5 3 2" xfId="2012" xr:uid="{00000000-0005-0000-0000-000000080000}"/>
    <cellStyle name="Normal 3 5 3 2 2" xfId="2013" xr:uid="{00000000-0005-0000-0000-000001080000}"/>
    <cellStyle name="Normal 3 5 3 3" xfId="2014" xr:uid="{00000000-0005-0000-0000-000002080000}"/>
    <cellStyle name="Normal 3 5 3 3 2" xfId="2015" xr:uid="{00000000-0005-0000-0000-000003080000}"/>
    <cellStyle name="Normal 3 5 3 4" xfId="2016" xr:uid="{00000000-0005-0000-0000-000004080000}"/>
    <cellStyle name="Normal 3 5 3 4 2" xfId="2017" xr:uid="{00000000-0005-0000-0000-000005080000}"/>
    <cellStyle name="Normal 3 5 3 5" xfId="2018" xr:uid="{00000000-0005-0000-0000-000006080000}"/>
    <cellStyle name="Normal 3 5 3 5 2" xfId="2019" xr:uid="{00000000-0005-0000-0000-000007080000}"/>
    <cellStyle name="Normal 3 5 3 6" xfId="2020" xr:uid="{00000000-0005-0000-0000-000008080000}"/>
    <cellStyle name="Normal 3 5 3 6 2" xfId="2021" xr:uid="{00000000-0005-0000-0000-000009080000}"/>
    <cellStyle name="Normal 3 5 3 7" xfId="2022" xr:uid="{00000000-0005-0000-0000-00000A080000}"/>
    <cellStyle name="Normal 3 5 3 7 2" xfId="2023" xr:uid="{00000000-0005-0000-0000-00000B080000}"/>
    <cellStyle name="Normal 3 5 3 8" xfId="2024" xr:uid="{00000000-0005-0000-0000-00000C080000}"/>
    <cellStyle name="Normal 3 5 3 8 2" xfId="2025" xr:uid="{00000000-0005-0000-0000-00000D080000}"/>
    <cellStyle name="Normal 3 5 3 9" xfId="2026" xr:uid="{00000000-0005-0000-0000-00000E080000}"/>
    <cellStyle name="Normal 3 5 4" xfId="2027" xr:uid="{00000000-0005-0000-0000-00000F080000}"/>
    <cellStyle name="Normal 3 5 4 2" xfId="2028" xr:uid="{00000000-0005-0000-0000-000010080000}"/>
    <cellStyle name="Normal 3 5 4 2 2" xfId="2029" xr:uid="{00000000-0005-0000-0000-000011080000}"/>
    <cellStyle name="Normal 3 5 4 3" xfId="2030" xr:uid="{00000000-0005-0000-0000-000012080000}"/>
    <cellStyle name="Normal 3 5 4 3 2" xfId="2031" xr:uid="{00000000-0005-0000-0000-000013080000}"/>
    <cellStyle name="Normal 3 5 4 4" xfId="2032" xr:uid="{00000000-0005-0000-0000-000014080000}"/>
    <cellStyle name="Normal 3 5 4 4 2" xfId="2033" xr:uid="{00000000-0005-0000-0000-000015080000}"/>
    <cellStyle name="Normal 3 5 4 5" xfId="2034" xr:uid="{00000000-0005-0000-0000-000016080000}"/>
    <cellStyle name="Normal 3 5 4 5 2" xfId="2035" xr:uid="{00000000-0005-0000-0000-000017080000}"/>
    <cellStyle name="Normal 3 5 4 6" xfId="2036" xr:uid="{00000000-0005-0000-0000-000018080000}"/>
    <cellStyle name="Normal 3 5 4 6 2" xfId="2037" xr:uid="{00000000-0005-0000-0000-000019080000}"/>
    <cellStyle name="Normal 3 5 4 7" xfId="2038" xr:uid="{00000000-0005-0000-0000-00001A080000}"/>
    <cellStyle name="Normal 3 5 4 7 2" xfId="2039" xr:uid="{00000000-0005-0000-0000-00001B080000}"/>
    <cellStyle name="Normal 3 5 4 8" xfId="2040" xr:uid="{00000000-0005-0000-0000-00001C080000}"/>
    <cellStyle name="Normal 3 5 4 8 2" xfId="2041" xr:uid="{00000000-0005-0000-0000-00001D080000}"/>
    <cellStyle name="Normal 3 5 4 9" xfId="2042" xr:uid="{00000000-0005-0000-0000-00001E080000}"/>
    <cellStyle name="Normal 3 5 5" xfId="2043" xr:uid="{00000000-0005-0000-0000-00001F080000}"/>
    <cellStyle name="Normal 3 5 5 2" xfId="2044" xr:uid="{00000000-0005-0000-0000-000020080000}"/>
    <cellStyle name="Normal 3 5 5 2 2" xfId="2045" xr:uid="{00000000-0005-0000-0000-000021080000}"/>
    <cellStyle name="Normal 3 5 5 3" xfId="2046" xr:uid="{00000000-0005-0000-0000-000022080000}"/>
    <cellStyle name="Normal 3 5 5 3 2" xfId="2047" xr:uid="{00000000-0005-0000-0000-000023080000}"/>
    <cellStyle name="Normal 3 5 5 4" xfId="2048" xr:uid="{00000000-0005-0000-0000-000024080000}"/>
    <cellStyle name="Normal 3 5 5 4 2" xfId="2049" xr:uid="{00000000-0005-0000-0000-000025080000}"/>
    <cellStyle name="Normal 3 5 5 5" xfId="2050" xr:uid="{00000000-0005-0000-0000-000026080000}"/>
    <cellStyle name="Normal 3 5 5 5 2" xfId="2051" xr:uid="{00000000-0005-0000-0000-000027080000}"/>
    <cellStyle name="Normal 3 5 5 6" xfId="2052" xr:uid="{00000000-0005-0000-0000-000028080000}"/>
    <cellStyle name="Normal 3 5 5 6 2" xfId="2053" xr:uid="{00000000-0005-0000-0000-000029080000}"/>
    <cellStyle name="Normal 3 5 5 7" xfId="2054" xr:uid="{00000000-0005-0000-0000-00002A080000}"/>
    <cellStyle name="Normal 3 5 5 7 2" xfId="2055" xr:uid="{00000000-0005-0000-0000-00002B080000}"/>
    <cellStyle name="Normal 3 5 5 8" xfId="2056" xr:uid="{00000000-0005-0000-0000-00002C080000}"/>
    <cellStyle name="Normal 3 5 5 8 2" xfId="2057" xr:uid="{00000000-0005-0000-0000-00002D080000}"/>
    <cellStyle name="Normal 3 5 5 9" xfId="2058" xr:uid="{00000000-0005-0000-0000-00002E080000}"/>
    <cellStyle name="Normal 3 5 6" xfId="2059" xr:uid="{00000000-0005-0000-0000-00002F080000}"/>
    <cellStyle name="Normal 3 5 6 2" xfId="2060" xr:uid="{00000000-0005-0000-0000-000030080000}"/>
    <cellStyle name="Normal 3 5 6 2 2" xfId="2061" xr:uid="{00000000-0005-0000-0000-000031080000}"/>
    <cellStyle name="Normal 3 5 6 3" xfId="2062" xr:uid="{00000000-0005-0000-0000-000032080000}"/>
    <cellStyle name="Normal 3 5 6 3 2" xfId="2063" xr:uid="{00000000-0005-0000-0000-000033080000}"/>
    <cellStyle name="Normal 3 5 6 4" xfId="2064" xr:uid="{00000000-0005-0000-0000-000034080000}"/>
    <cellStyle name="Normal 3 5 6 4 2" xfId="2065" xr:uid="{00000000-0005-0000-0000-000035080000}"/>
    <cellStyle name="Normal 3 5 6 5" xfId="2066" xr:uid="{00000000-0005-0000-0000-000036080000}"/>
    <cellStyle name="Normal 3 5 6 5 2" xfId="2067" xr:uid="{00000000-0005-0000-0000-000037080000}"/>
    <cellStyle name="Normal 3 5 6 6" xfId="2068" xr:uid="{00000000-0005-0000-0000-000038080000}"/>
    <cellStyle name="Normal 3 5 6 6 2" xfId="2069" xr:uid="{00000000-0005-0000-0000-000039080000}"/>
    <cellStyle name="Normal 3 5 6 7" xfId="2070" xr:uid="{00000000-0005-0000-0000-00003A080000}"/>
    <cellStyle name="Normal 3 5 6 7 2" xfId="2071" xr:uid="{00000000-0005-0000-0000-00003B080000}"/>
    <cellStyle name="Normal 3 5 6 8" xfId="2072" xr:uid="{00000000-0005-0000-0000-00003C080000}"/>
    <cellStyle name="Normal 3 5 6 8 2" xfId="2073" xr:uid="{00000000-0005-0000-0000-00003D080000}"/>
    <cellStyle name="Normal 3 5 6 9" xfId="2074" xr:uid="{00000000-0005-0000-0000-00003E080000}"/>
    <cellStyle name="Normal 3 5 7" xfId="2075" xr:uid="{00000000-0005-0000-0000-00003F080000}"/>
    <cellStyle name="Normal 3 5 7 2" xfId="2076" xr:uid="{00000000-0005-0000-0000-000040080000}"/>
    <cellStyle name="Normal 3 5 8" xfId="2077" xr:uid="{00000000-0005-0000-0000-000041080000}"/>
    <cellStyle name="Normal 3 5 8 2" xfId="2078" xr:uid="{00000000-0005-0000-0000-000042080000}"/>
    <cellStyle name="Normal 3 5 9" xfId="2079" xr:uid="{00000000-0005-0000-0000-000043080000}"/>
    <cellStyle name="Normal 3 5 9 2" xfId="2080" xr:uid="{00000000-0005-0000-0000-000044080000}"/>
    <cellStyle name="Normal 3 6" xfId="2081" xr:uid="{00000000-0005-0000-0000-000045080000}"/>
    <cellStyle name="Normal 3 6 10" xfId="2082" xr:uid="{00000000-0005-0000-0000-000046080000}"/>
    <cellStyle name="Normal 3 6 10 2" xfId="2083" xr:uid="{00000000-0005-0000-0000-000047080000}"/>
    <cellStyle name="Normal 3 6 11" xfId="2084" xr:uid="{00000000-0005-0000-0000-000048080000}"/>
    <cellStyle name="Normal 3 6 2" xfId="2085" xr:uid="{00000000-0005-0000-0000-000049080000}"/>
    <cellStyle name="Normal 3 6 2 2" xfId="2086" xr:uid="{00000000-0005-0000-0000-00004A080000}"/>
    <cellStyle name="Normal 3 6 2 2 2" xfId="2087" xr:uid="{00000000-0005-0000-0000-00004B080000}"/>
    <cellStyle name="Normal 3 6 2 3" xfId="2088" xr:uid="{00000000-0005-0000-0000-00004C080000}"/>
    <cellStyle name="Normal 3 6 2 3 2" xfId="2089" xr:uid="{00000000-0005-0000-0000-00004D080000}"/>
    <cellStyle name="Normal 3 6 2 4" xfId="2090" xr:uid="{00000000-0005-0000-0000-00004E080000}"/>
    <cellStyle name="Normal 3 6 2 4 2" xfId="2091" xr:uid="{00000000-0005-0000-0000-00004F080000}"/>
    <cellStyle name="Normal 3 6 2 5" xfId="2092" xr:uid="{00000000-0005-0000-0000-000050080000}"/>
    <cellStyle name="Normal 3 6 2 5 2" xfId="2093" xr:uid="{00000000-0005-0000-0000-000051080000}"/>
    <cellStyle name="Normal 3 6 2 6" xfId="2094" xr:uid="{00000000-0005-0000-0000-000052080000}"/>
    <cellStyle name="Normal 3 6 2 6 2" xfId="2095" xr:uid="{00000000-0005-0000-0000-000053080000}"/>
    <cellStyle name="Normal 3 6 2 7" xfId="2096" xr:uid="{00000000-0005-0000-0000-000054080000}"/>
    <cellStyle name="Normal 3 6 2 7 2" xfId="2097" xr:uid="{00000000-0005-0000-0000-000055080000}"/>
    <cellStyle name="Normal 3 6 2 8" xfId="2098" xr:uid="{00000000-0005-0000-0000-000056080000}"/>
    <cellStyle name="Normal 3 6 2 8 2" xfId="2099" xr:uid="{00000000-0005-0000-0000-000057080000}"/>
    <cellStyle name="Normal 3 6 2 9" xfId="2100" xr:uid="{00000000-0005-0000-0000-000058080000}"/>
    <cellStyle name="Normal 3 6 3" xfId="2101" xr:uid="{00000000-0005-0000-0000-000059080000}"/>
    <cellStyle name="Normal 3 6 3 2" xfId="2102" xr:uid="{00000000-0005-0000-0000-00005A080000}"/>
    <cellStyle name="Normal 3 6 3 2 2" xfId="2103" xr:uid="{00000000-0005-0000-0000-00005B080000}"/>
    <cellStyle name="Normal 3 6 3 3" xfId="2104" xr:uid="{00000000-0005-0000-0000-00005C080000}"/>
    <cellStyle name="Normal 3 6 3 3 2" xfId="2105" xr:uid="{00000000-0005-0000-0000-00005D080000}"/>
    <cellStyle name="Normal 3 6 3 4" xfId="2106" xr:uid="{00000000-0005-0000-0000-00005E080000}"/>
    <cellStyle name="Normal 3 6 3 4 2" xfId="2107" xr:uid="{00000000-0005-0000-0000-00005F080000}"/>
    <cellStyle name="Normal 3 6 3 5" xfId="2108" xr:uid="{00000000-0005-0000-0000-000060080000}"/>
    <cellStyle name="Normal 3 6 3 5 2" xfId="2109" xr:uid="{00000000-0005-0000-0000-000061080000}"/>
    <cellStyle name="Normal 3 6 3 6" xfId="2110" xr:uid="{00000000-0005-0000-0000-000062080000}"/>
    <cellStyle name="Normal 3 6 3 6 2" xfId="2111" xr:uid="{00000000-0005-0000-0000-000063080000}"/>
    <cellStyle name="Normal 3 6 3 7" xfId="2112" xr:uid="{00000000-0005-0000-0000-000064080000}"/>
    <cellStyle name="Normal 3 6 3 7 2" xfId="2113" xr:uid="{00000000-0005-0000-0000-000065080000}"/>
    <cellStyle name="Normal 3 6 3 8" xfId="2114" xr:uid="{00000000-0005-0000-0000-000066080000}"/>
    <cellStyle name="Normal 3 6 3 8 2" xfId="2115" xr:uid="{00000000-0005-0000-0000-000067080000}"/>
    <cellStyle name="Normal 3 6 3 9" xfId="2116" xr:uid="{00000000-0005-0000-0000-000068080000}"/>
    <cellStyle name="Normal 3 6 4" xfId="2117" xr:uid="{00000000-0005-0000-0000-000069080000}"/>
    <cellStyle name="Normal 3 6 4 2" xfId="2118" xr:uid="{00000000-0005-0000-0000-00006A080000}"/>
    <cellStyle name="Normal 3 6 5" xfId="2119" xr:uid="{00000000-0005-0000-0000-00006B080000}"/>
    <cellStyle name="Normal 3 6 5 2" xfId="2120" xr:uid="{00000000-0005-0000-0000-00006C080000}"/>
    <cellStyle name="Normal 3 6 6" xfId="2121" xr:uid="{00000000-0005-0000-0000-00006D080000}"/>
    <cellStyle name="Normal 3 6 6 2" xfId="2122" xr:uid="{00000000-0005-0000-0000-00006E080000}"/>
    <cellStyle name="Normal 3 6 7" xfId="2123" xr:uid="{00000000-0005-0000-0000-00006F080000}"/>
    <cellStyle name="Normal 3 6 7 2" xfId="2124" xr:uid="{00000000-0005-0000-0000-000070080000}"/>
    <cellStyle name="Normal 3 6 8" xfId="2125" xr:uid="{00000000-0005-0000-0000-000071080000}"/>
    <cellStyle name="Normal 3 6 8 2" xfId="2126" xr:uid="{00000000-0005-0000-0000-000072080000}"/>
    <cellStyle name="Normal 3 6 9" xfId="2127" xr:uid="{00000000-0005-0000-0000-000073080000}"/>
    <cellStyle name="Normal 3 6 9 2" xfId="2128" xr:uid="{00000000-0005-0000-0000-000074080000}"/>
    <cellStyle name="Normal 3 7" xfId="2129" xr:uid="{00000000-0005-0000-0000-000075080000}"/>
    <cellStyle name="Normal 3 7 2" xfId="2130" xr:uid="{00000000-0005-0000-0000-000076080000}"/>
    <cellStyle name="Normal 3 7 2 2" xfId="2131" xr:uid="{00000000-0005-0000-0000-000077080000}"/>
    <cellStyle name="Normal 3 7 3" xfId="2132" xr:uid="{00000000-0005-0000-0000-000078080000}"/>
    <cellStyle name="Normal 3 7 3 2" xfId="2133" xr:uid="{00000000-0005-0000-0000-000079080000}"/>
    <cellStyle name="Normal 3 7 4" xfId="2134" xr:uid="{00000000-0005-0000-0000-00007A080000}"/>
    <cellStyle name="Normal 3 7 4 2" xfId="2135" xr:uid="{00000000-0005-0000-0000-00007B080000}"/>
    <cellStyle name="Normal 3 7 5" xfId="2136" xr:uid="{00000000-0005-0000-0000-00007C080000}"/>
    <cellStyle name="Normal 3 7 5 2" xfId="2137" xr:uid="{00000000-0005-0000-0000-00007D080000}"/>
    <cellStyle name="Normal 3 7 6" xfId="2138" xr:uid="{00000000-0005-0000-0000-00007E080000}"/>
    <cellStyle name="Normal 3 7 6 2" xfId="2139" xr:uid="{00000000-0005-0000-0000-00007F080000}"/>
    <cellStyle name="Normal 3 7 7" xfId="2140" xr:uid="{00000000-0005-0000-0000-000080080000}"/>
    <cellStyle name="Normal 3 7 7 2" xfId="2141" xr:uid="{00000000-0005-0000-0000-000081080000}"/>
    <cellStyle name="Normal 3 7 8" xfId="2142" xr:uid="{00000000-0005-0000-0000-000082080000}"/>
    <cellStyle name="Normal 3 7 8 2" xfId="2143" xr:uid="{00000000-0005-0000-0000-000083080000}"/>
    <cellStyle name="Normal 3 7 9" xfId="2144" xr:uid="{00000000-0005-0000-0000-000084080000}"/>
    <cellStyle name="Normal 3 8" xfId="2145" xr:uid="{00000000-0005-0000-0000-000085080000}"/>
    <cellStyle name="Normal 3 8 2" xfId="2146" xr:uid="{00000000-0005-0000-0000-000086080000}"/>
    <cellStyle name="Normal 3 8 2 2" xfId="2147" xr:uid="{00000000-0005-0000-0000-000087080000}"/>
    <cellStyle name="Normal 3 8 3" xfId="2148" xr:uid="{00000000-0005-0000-0000-000088080000}"/>
    <cellStyle name="Normal 3 8 3 2" xfId="2149" xr:uid="{00000000-0005-0000-0000-000089080000}"/>
    <cellStyle name="Normal 3 8 4" xfId="2150" xr:uid="{00000000-0005-0000-0000-00008A080000}"/>
    <cellStyle name="Normal 3 8 4 2" xfId="2151" xr:uid="{00000000-0005-0000-0000-00008B080000}"/>
    <cellStyle name="Normal 3 8 5" xfId="2152" xr:uid="{00000000-0005-0000-0000-00008C080000}"/>
    <cellStyle name="Normal 3 8 5 2" xfId="2153" xr:uid="{00000000-0005-0000-0000-00008D080000}"/>
    <cellStyle name="Normal 3 8 6" xfId="2154" xr:uid="{00000000-0005-0000-0000-00008E080000}"/>
    <cellStyle name="Normal 3 8 6 2" xfId="2155" xr:uid="{00000000-0005-0000-0000-00008F080000}"/>
    <cellStyle name="Normal 3 8 7" xfId="2156" xr:uid="{00000000-0005-0000-0000-000090080000}"/>
    <cellStyle name="Normal 3 8 7 2" xfId="2157" xr:uid="{00000000-0005-0000-0000-000091080000}"/>
    <cellStyle name="Normal 3 8 8" xfId="2158" xr:uid="{00000000-0005-0000-0000-000092080000}"/>
    <cellStyle name="Normal 3 8 8 2" xfId="2159" xr:uid="{00000000-0005-0000-0000-000093080000}"/>
    <cellStyle name="Normal 3 8 9" xfId="2160" xr:uid="{00000000-0005-0000-0000-000094080000}"/>
    <cellStyle name="Normal 3 9" xfId="2161" xr:uid="{00000000-0005-0000-0000-000095080000}"/>
    <cellStyle name="Normal 3 9 2" xfId="2162" xr:uid="{00000000-0005-0000-0000-000096080000}"/>
    <cellStyle name="Normal 3 9 2 2" xfId="2163" xr:uid="{00000000-0005-0000-0000-000097080000}"/>
    <cellStyle name="Normal 3 9 3" xfId="2164" xr:uid="{00000000-0005-0000-0000-000098080000}"/>
    <cellStyle name="Normal 3 9 3 2" xfId="2165" xr:uid="{00000000-0005-0000-0000-000099080000}"/>
    <cellStyle name="Normal 3 9 4" xfId="2166" xr:uid="{00000000-0005-0000-0000-00009A080000}"/>
    <cellStyle name="Normal 3 9 4 2" xfId="2167" xr:uid="{00000000-0005-0000-0000-00009B080000}"/>
    <cellStyle name="Normal 3 9 5" xfId="2168" xr:uid="{00000000-0005-0000-0000-00009C080000}"/>
    <cellStyle name="Normal 3 9 5 2" xfId="2169" xr:uid="{00000000-0005-0000-0000-00009D080000}"/>
    <cellStyle name="Normal 3 9 6" xfId="2170" xr:uid="{00000000-0005-0000-0000-00009E080000}"/>
    <cellStyle name="Normal 3 9 6 2" xfId="2171" xr:uid="{00000000-0005-0000-0000-00009F080000}"/>
    <cellStyle name="Normal 3 9 7" xfId="2172" xr:uid="{00000000-0005-0000-0000-0000A0080000}"/>
    <cellStyle name="Normal 3 9 7 2" xfId="2173" xr:uid="{00000000-0005-0000-0000-0000A1080000}"/>
    <cellStyle name="Normal 3 9 8" xfId="2174" xr:uid="{00000000-0005-0000-0000-0000A2080000}"/>
    <cellStyle name="Normal 3 9 8 2" xfId="2175" xr:uid="{00000000-0005-0000-0000-0000A3080000}"/>
    <cellStyle name="Normal 3 9 9" xfId="2176" xr:uid="{00000000-0005-0000-0000-0000A4080000}"/>
    <cellStyle name="Normal 4" xfId="2177" xr:uid="{00000000-0005-0000-0000-0000A5080000}"/>
    <cellStyle name="Normal 4 10" xfId="2178" xr:uid="{00000000-0005-0000-0000-0000A6080000}"/>
    <cellStyle name="Normal 4 10 2" xfId="2179" xr:uid="{00000000-0005-0000-0000-0000A7080000}"/>
    <cellStyle name="Normal 4 11" xfId="2180" xr:uid="{00000000-0005-0000-0000-0000A8080000}"/>
    <cellStyle name="Normal 4 11 2" xfId="2181" xr:uid="{00000000-0005-0000-0000-0000A9080000}"/>
    <cellStyle name="Normal 4 12" xfId="2182" xr:uid="{00000000-0005-0000-0000-0000AA080000}"/>
    <cellStyle name="Normal 4 12 2" xfId="2183" xr:uid="{00000000-0005-0000-0000-0000AB080000}"/>
    <cellStyle name="Normal 4 2" xfId="2184" xr:uid="{00000000-0005-0000-0000-0000AC080000}"/>
    <cellStyle name="Normal 4 2 10" xfId="2185" xr:uid="{00000000-0005-0000-0000-0000AD080000}"/>
    <cellStyle name="Normal 4 2 10 2" xfId="2186" xr:uid="{00000000-0005-0000-0000-0000AE080000}"/>
    <cellStyle name="Normal 4 2 11" xfId="2187" xr:uid="{00000000-0005-0000-0000-0000AF080000}"/>
    <cellStyle name="Normal 4 2 11 2" xfId="2188" xr:uid="{00000000-0005-0000-0000-0000B0080000}"/>
    <cellStyle name="Normal 4 2 12" xfId="2189" xr:uid="{00000000-0005-0000-0000-0000B1080000}"/>
    <cellStyle name="Normal 4 2 12 2" xfId="2190" xr:uid="{00000000-0005-0000-0000-0000B2080000}"/>
    <cellStyle name="Normal 4 2 13" xfId="2191" xr:uid="{00000000-0005-0000-0000-0000B3080000}"/>
    <cellStyle name="Normal 4 2 13 2" xfId="2192" xr:uid="{00000000-0005-0000-0000-0000B4080000}"/>
    <cellStyle name="Normal 4 2 14" xfId="2193" xr:uid="{00000000-0005-0000-0000-0000B5080000}"/>
    <cellStyle name="Normal 4 2 14 2" xfId="2194" xr:uid="{00000000-0005-0000-0000-0000B6080000}"/>
    <cellStyle name="Normal 4 2 15" xfId="2195" xr:uid="{00000000-0005-0000-0000-0000B7080000}"/>
    <cellStyle name="Normal 4 2 15 2" xfId="2196" xr:uid="{00000000-0005-0000-0000-0000B8080000}"/>
    <cellStyle name="Normal 4 2 16" xfId="2197" xr:uid="{00000000-0005-0000-0000-0000B9080000}"/>
    <cellStyle name="Normal 4 2 16 2" xfId="2198" xr:uid="{00000000-0005-0000-0000-0000BA080000}"/>
    <cellStyle name="Normal 4 2 17" xfId="2199" xr:uid="{00000000-0005-0000-0000-0000BB080000}"/>
    <cellStyle name="Normal 4 2 17 2" xfId="2200" xr:uid="{00000000-0005-0000-0000-0000BC080000}"/>
    <cellStyle name="Normal 4 2 18" xfId="2201" xr:uid="{00000000-0005-0000-0000-0000BD080000}"/>
    <cellStyle name="Normal 4 2 19" xfId="2202" xr:uid="{00000000-0005-0000-0000-0000BE080000}"/>
    <cellStyle name="Normal 4 2 2" xfId="2203" xr:uid="{00000000-0005-0000-0000-0000BF080000}"/>
    <cellStyle name="Normal 4 2 2 2" xfId="2204" xr:uid="{00000000-0005-0000-0000-0000C0080000}"/>
    <cellStyle name="Normal 4 2 2 2 2" xfId="2205" xr:uid="{00000000-0005-0000-0000-0000C1080000}"/>
    <cellStyle name="Normal 4 2 2 3" xfId="2206" xr:uid="{00000000-0005-0000-0000-0000C2080000}"/>
    <cellStyle name="Normal 4 2 2 3 2" xfId="2207" xr:uid="{00000000-0005-0000-0000-0000C3080000}"/>
    <cellStyle name="Normal 4 2 2 4" xfId="2208" xr:uid="{00000000-0005-0000-0000-0000C4080000}"/>
    <cellStyle name="Normal 4 2 2 4 2" xfId="2209" xr:uid="{00000000-0005-0000-0000-0000C5080000}"/>
    <cellStyle name="Normal 4 2 2 5" xfId="2210" xr:uid="{00000000-0005-0000-0000-0000C6080000}"/>
    <cellStyle name="Normal 4 2 2 5 2" xfId="2211" xr:uid="{00000000-0005-0000-0000-0000C7080000}"/>
    <cellStyle name="Normal 4 2 2 6" xfId="2212" xr:uid="{00000000-0005-0000-0000-0000C8080000}"/>
    <cellStyle name="Normal 4 2 2 6 2" xfId="2213" xr:uid="{00000000-0005-0000-0000-0000C9080000}"/>
    <cellStyle name="Normal 4 2 2 7" xfId="2214" xr:uid="{00000000-0005-0000-0000-0000CA080000}"/>
    <cellStyle name="Normal 4 2 2 7 2" xfId="2215" xr:uid="{00000000-0005-0000-0000-0000CB080000}"/>
    <cellStyle name="Normal 4 2 2 8" xfId="2216" xr:uid="{00000000-0005-0000-0000-0000CC080000}"/>
    <cellStyle name="Normal 4 2 2 8 2" xfId="2217" xr:uid="{00000000-0005-0000-0000-0000CD080000}"/>
    <cellStyle name="Normal 4 2 2 9" xfId="2218" xr:uid="{00000000-0005-0000-0000-0000CE080000}"/>
    <cellStyle name="Normal 4 2 3" xfId="2219" xr:uid="{00000000-0005-0000-0000-0000CF080000}"/>
    <cellStyle name="Normal 4 2 3 2" xfId="2220" xr:uid="{00000000-0005-0000-0000-0000D0080000}"/>
    <cellStyle name="Normal 4 2 3 2 2" xfId="2221" xr:uid="{00000000-0005-0000-0000-0000D1080000}"/>
    <cellStyle name="Normal 4 2 3 3" xfId="2222" xr:uid="{00000000-0005-0000-0000-0000D2080000}"/>
    <cellStyle name="Normal 4 2 3 3 2" xfId="2223" xr:uid="{00000000-0005-0000-0000-0000D3080000}"/>
    <cellStyle name="Normal 4 2 3 4" xfId="2224" xr:uid="{00000000-0005-0000-0000-0000D4080000}"/>
    <cellStyle name="Normal 4 2 3 4 2" xfId="2225" xr:uid="{00000000-0005-0000-0000-0000D5080000}"/>
    <cellStyle name="Normal 4 2 3 5" xfId="2226" xr:uid="{00000000-0005-0000-0000-0000D6080000}"/>
    <cellStyle name="Normal 4 2 3 5 2" xfId="2227" xr:uid="{00000000-0005-0000-0000-0000D7080000}"/>
    <cellStyle name="Normal 4 2 3 6" xfId="2228" xr:uid="{00000000-0005-0000-0000-0000D8080000}"/>
    <cellStyle name="Normal 4 2 3 6 2" xfId="2229" xr:uid="{00000000-0005-0000-0000-0000D9080000}"/>
    <cellStyle name="Normal 4 2 3 7" xfId="2230" xr:uid="{00000000-0005-0000-0000-0000DA080000}"/>
    <cellStyle name="Normal 4 2 3 7 2" xfId="2231" xr:uid="{00000000-0005-0000-0000-0000DB080000}"/>
    <cellStyle name="Normal 4 2 3 8" xfId="2232" xr:uid="{00000000-0005-0000-0000-0000DC080000}"/>
    <cellStyle name="Normal 4 2 3 8 2" xfId="2233" xr:uid="{00000000-0005-0000-0000-0000DD080000}"/>
    <cellStyle name="Normal 4 2 3 9" xfId="2234" xr:uid="{00000000-0005-0000-0000-0000DE080000}"/>
    <cellStyle name="Normal 4 2 4" xfId="2235" xr:uid="{00000000-0005-0000-0000-0000DF080000}"/>
    <cellStyle name="Normal 4 2 4 2" xfId="2236" xr:uid="{00000000-0005-0000-0000-0000E0080000}"/>
    <cellStyle name="Normal 4 2 4 2 2" xfId="2237" xr:uid="{00000000-0005-0000-0000-0000E1080000}"/>
    <cellStyle name="Normal 4 2 4 3" xfId="2238" xr:uid="{00000000-0005-0000-0000-0000E2080000}"/>
    <cellStyle name="Normal 4 2 4 3 2" xfId="2239" xr:uid="{00000000-0005-0000-0000-0000E3080000}"/>
    <cellStyle name="Normal 4 2 4 4" xfId="2240" xr:uid="{00000000-0005-0000-0000-0000E4080000}"/>
    <cellStyle name="Normal 4 2 4 4 2" xfId="2241" xr:uid="{00000000-0005-0000-0000-0000E5080000}"/>
    <cellStyle name="Normal 4 2 4 5" xfId="2242" xr:uid="{00000000-0005-0000-0000-0000E6080000}"/>
    <cellStyle name="Normal 4 2 4 5 2" xfId="2243" xr:uid="{00000000-0005-0000-0000-0000E7080000}"/>
    <cellStyle name="Normal 4 2 4 6" xfId="2244" xr:uid="{00000000-0005-0000-0000-0000E8080000}"/>
    <cellStyle name="Normal 4 2 4 6 2" xfId="2245" xr:uid="{00000000-0005-0000-0000-0000E9080000}"/>
    <cellStyle name="Normal 4 2 4 7" xfId="2246" xr:uid="{00000000-0005-0000-0000-0000EA080000}"/>
    <cellStyle name="Normal 4 2 4 7 2" xfId="2247" xr:uid="{00000000-0005-0000-0000-0000EB080000}"/>
    <cellStyle name="Normal 4 2 4 8" xfId="2248" xr:uid="{00000000-0005-0000-0000-0000EC080000}"/>
    <cellStyle name="Normal 4 2 4 8 2" xfId="2249" xr:uid="{00000000-0005-0000-0000-0000ED080000}"/>
    <cellStyle name="Normal 4 2 4 9" xfId="2250" xr:uid="{00000000-0005-0000-0000-0000EE080000}"/>
    <cellStyle name="Normal 4 2 5" xfId="2251" xr:uid="{00000000-0005-0000-0000-0000EF080000}"/>
    <cellStyle name="Normal 4 2 5 2" xfId="2252" xr:uid="{00000000-0005-0000-0000-0000F0080000}"/>
    <cellStyle name="Normal 4 2 5 2 2" xfId="2253" xr:uid="{00000000-0005-0000-0000-0000F1080000}"/>
    <cellStyle name="Normal 4 2 5 3" xfId="2254" xr:uid="{00000000-0005-0000-0000-0000F2080000}"/>
    <cellStyle name="Normal 4 2 5 3 2" xfId="2255" xr:uid="{00000000-0005-0000-0000-0000F3080000}"/>
    <cellStyle name="Normal 4 2 5 4" xfId="2256" xr:uid="{00000000-0005-0000-0000-0000F4080000}"/>
    <cellStyle name="Normal 4 2 5 4 2" xfId="2257" xr:uid="{00000000-0005-0000-0000-0000F5080000}"/>
    <cellStyle name="Normal 4 2 5 5" xfId="2258" xr:uid="{00000000-0005-0000-0000-0000F6080000}"/>
    <cellStyle name="Normal 4 2 5 5 2" xfId="2259" xr:uid="{00000000-0005-0000-0000-0000F7080000}"/>
    <cellStyle name="Normal 4 2 5 6" xfId="2260" xr:uid="{00000000-0005-0000-0000-0000F8080000}"/>
    <cellStyle name="Normal 4 2 5 6 2" xfId="2261" xr:uid="{00000000-0005-0000-0000-0000F9080000}"/>
    <cellStyle name="Normal 4 2 5 7" xfId="2262" xr:uid="{00000000-0005-0000-0000-0000FA080000}"/>
    <cellStyle name="Normal 4 2 5 7 2" xfId="2263" xr:uid="{00000000-0005-0000-0000-0000FB080000}"/>
    <cellStyle name="Normal 4 2 5 8" xfId="2264" xr:uid="{00000000-0005-0000-0000-0000FC080000}"/>
    <cellStyle name="Normal 4 2 5 8 2" xfId="2265" xr:uid="{00000000-0005-0000-0000-0000FD080000}"/>
    <cellStyle name="Normal 4 2 5 9" xfId="2266" xr:uid="{00000000-0005-0000-0000-0000FE080000}"/>
    <cellStyle name="Normal 4 2 6" xfId="2267" xr:uid="{00000000-0005-0000-0000-0000FF080000}"/>
    <cellStyle name="Normal 4 2 6 2" xfId="2268" xr:uid="{00000000-0005-0000-0000-000000090000}"/>
    <cellStyle name="Normal 4 2 6 2 2" xfId="2269" xr:uid="{00000000-0005-0000-0000-000001090000}"/>
    <cellStyle name="Normal 4 2 6 3" xfId="2270" xr:uid="{00000000-0005-0000-0000-000002090000}"/>
    <cellStyle name="Normal 4 2 6 3 2" xfId="2271" xr:uid="{00000000-0005-0000-0000-000003090000}"/>
    <cellStyle name="Normal 4 2 6 4" xfId="2272" xr:uid="{00000000-0005-0000-0000-000004090000}"/>
    <cellStyle name="Normal 4 2 6 4 2" xfId="2273" xr:uid="{00000000-0005-0000-0000-000005090000}"/>
    <cellStyle name="Normal 4 2 6 5" xfId="2274" xr:uid="{00000000-0005-0000-0000-000006090000}"/>
    <cellStyle name="Normal 4 2 6 5 2" xfId="2275" xr:uid="{00000000-0005-0000-0000-000007090000}"/>
    <cellStyle name="Normal 4 2 6 6" xfId="2276" xr:uid="{00000000-0005-0000-0000-000008090000}"/>
    <cellStyle name="Normal 4 2 6 6 2" xfId="2277" xr:uid="{00000000-0005-0000-0000-000009090000}"/>
    <cellStyle name="Normal 4 2 6 7" xfId="2278" xr:uid="{00000000-0005-0000-0000-00000A090000}"/>
    <cellStyle name="Normal 4 2 6 7 2" xfId="2279" xr:uid="{00000000-0005-0000-0000-00000B090000}"/>
    <cellStyle name="Normal 4 2 6 8" xfId="2280" xr:uid="{00000000-0005-0000-0000-00000C090000}"/>
    <cellStyle name="Normal 4 2 6 8 2" xfId="2281" xr:uid="{00000000-0005-0000-0000-00000D090000}"/>
    <cellStyle name="Normal 4 2 6 9" xfId="2282" xr:uid="{00000000-0005-0000-0000-00000E090000}"/>
    <cellStyle name="Normal 4 2 7" xfId="2283" xr:uid="{00000000-0005-0000-0000-00000F090000}"/>
    <cellStyle name="Normal 4 2 7 2" xfId="2284" xr:uid="{00000000-0005-0000-0000-000010090000}"/>
    <cellStyle name="Normal 4 2 8" xfId="2285" xr:uid="{00000000-0005-0000-0000-000011090000}"/>
    <cellStyle name="Normal 4 2 8 2" xfId="2286" xr:uid="{00000000-0005-0000-0000-000012090000}"/>
    <cellStyle name="Normal 4 2 9" xfId="2287" xr:uid="{00000000-0005-0000-0000-000013090000}"/>
    <cellStyle name="Normal 4 2 9 2" xfId="2288" xr:uid="{00000000-0005-0000-0000-000014090000}"/>
    <cellStyle name="Normal 4 3" xfId="2289" xr:uid="{00000000-0005-0000-0000-000015090000}"/>
    <cellStyle name="Normal 4 3 10" xfId="2290" xr:uid="{00000000-0005-0000-0000-000016090000}"/>
    <cellStyle name="Normal 4 3 10 2" xfId="2291" xr:uid="{00000000-0005-0000-0000-000017090000}"/>
    <cellStyle name="Normal 4 3 11" xfId="2292" xr:uid="{00000000-0005-0000-0000-000018090000}"/>
    <cellStyle name="Normal 4 3 11 2" xfId="2293" xr:uid="{00000000-0005-0000-0000-000019090000}"/>
    <cellStyle name="Normal 4 3 12" xfId="2294" xr:uid="{00000000-0005-0000-0000-00001A090000}"/>
    <cellStyle name="Normal 4 3 12 2" xfId="2295" xr:uid="{00000000-0005-0000-0000-00001B090000}"/>
    <cellStyle name="Normal 4 3 13" xfId="2296" xr:uid="{00000000-0005-0000-0000-00001C090000}"/>
    <cellStyle name="Normal 4 3 13 2" xfId="2297" xr:uid="{00000000-0005-0000-0000-00001D090000}"/>
    <cellStyle name="Normal 4 3 14" xfId="2298" xr:uid="{00000000-0005-0000-0000-00001E090000}"/>
    <cellStyle name="Normal 4 3 14 2" xfId="2299" xr:uid="{00000000-0005-0000-0000-00001F090000}"/>
    <cellStyle name="Normal 4 3 15" xfId="2300" xr:uid="{00000000-0005-0000-0000-000020090000}"/>
    <cellStyle name="Normal 4 3 15 2" xfId="2301" xr:uid="{00000000-0005-0000-0000-000021090000}"/>
    <cellStyle name="Normal 4 3 16" xfId="2302" xr:uid="{00000000-0005-0000-0000-000022090000}"/>
    <cellStyle name="Normal 4 3 16 2" xfId="2303" xr:uid="{00000000-0005-0000-0000-000023090000}"/>
    <cellStyle name="Normal 4 3 17" xfId="2304" xr:uid="{00000000-0005-0000-0000-000024090000}"/>
    <cellStyle name="Normal 4 3 17 2" xfId="2305" xr:uid="{00000000-0005-0000-0000-000025090000}"/>
    <cellStyle name="Normal 4 3 18" xfId="2306" xr:uid="{00000000-0005-0000-0000-000026090000}"/>
    <cellStyle name="Normal 4 3 19" xfId="2307" xr:uid="{00000000-0005-0000-0000-000027090000}"/>
    <cellStyle name="Normal 4 3 2" xfId="2308" xr:uid="{00000000-0005-0000-0000-000028090000}"/>
    <cellStyle name="Normal 4 3 2 2" xfId="2309" xr:uid="{00000000-0005-0000-0000-000029090000}"/>
    <cellStyle name="Normal 4 3 2 2 2" xfId="2310" xr:uid="{00000000-0005-0000-0000-00002A090000}"/>
    <cellStyle name="Normal 4 3 2 3" xfId="2311" xr:uid="{00000000-0005-0000-0000-00002B090000}"/>
    <cellStyle name="Normal 4 3 2 3 2" xfId="2312" xr:uid="{00000000-0005-0000-0000-00002C090000}"/>
    <cellStyle name="Normal 4 3 2 4" xfId="2313" xr:uid="{00000000-0005-0000-0000-00002D090000}"/>
    <cellStyle name="Normal 4 3 2 4 2" xfId="2314" xr:uid="{00000000-0005-0000-0000-00002E090000}"/>
    <cellStyle name="Normal 4 3 2 5" xfId="2315" xr:uid="{00000000-0005-0000-0000-00002F090000}"/>
    <cellStyle name="Normal 4 3 2 5 2" xfId="2316" xr:uid="{00000000-0005-0000-0000-000030090000}"/>
    <cellStyle name="Normal 4 3 2 6" xfId="2317" xr:uid="{00000000-0005-0000-0000-000031090000}"/>
    <cellStyle name="Normal 4 3 2 6 2" xfId="2318" xr:uid="{00000000-0005-0000-0000-000032090000}"/>
    <cellStyle name="Normal 4 3 2 7" xfId="2319" xr:uid="{00000000-0005-0000-0000-000033090000}"/>
    <cellStyle name="Normal 4 3 2 7 2" xfId="2320" xr:uid="{00000000-0005-0000-0000-000034090000}"/>
    <cellStyle name="Normal 4 3 2 8" xfId="2321" xr:uid="{00000000-0005-0000-0000-000035090000}"/>
    <cellStyle name="Normal 4 3 2 8 2" xfId="2322" xr:uid="{00000000-0005-0000-0000-000036090000}"/>
    <cellStyle name="Normal 4 3 2 9" xfId="2323" xr:uid="{00000000-0005-0000-0000-000037090000}"/>
    <cellStyle name="Normal 4 3 3" xfId="2324" xr:uid="{00000000-0005-0000-0000-000038090000}"/>
    <cellStyle name="Normal 4 3 3 2" xfId="2325" xr:uid="{00000000-0005-0000-0000-000039090000}"/>
    <cellStyle name="Normal 4 3 3 2 2" xfId="2326" xr:uid="{00000000-0005-0000-0000-00003A090000}"/>
    <cellStyle name="Normal 4 3 3 3" xfId="2327" xr:uid="{00000000-0005-0000-0000-00003B090000}"/>
    <cellStyle name="Normal 4 3 3 3 2" xfId="2328" xr:uid="{00000000-0005-0000-0000-00003C090000}"/>
    <cellStyle name="Normal 4 3 3 4" xfId="2329" xr:uid="{00000000-0005-0000-0000-00003D090000}"/>
    <cellStyle name="Normal 4 3 3 4 2" xfId="2330" xr:uid="{00000000-0005-0000-0000-00003E090000}"/>
    <cellStyle name="Normal 4 3 3 5" xfId="2331" xr:uid="{00000000-0005-0000-0000-00003F090000}"/>
    <cellStyle name="Normal 4 3 3 5 2" xfId="2332" xr:uid="{00000000-0005-0000-0000-000040090000}"/>
    <cellStyle name="Normal 4 3 3 6" xfId="2333" xr:uid="{00000000-0005-0000-0000-000041090000}"/>
    <cellStyle name="Normal 4 3 3 6 2" xfId="2334" xr:uid="{00000000-0005-0000-0000-000042090000}"/>
    <cellStyle name="Normal 4 3 3 7" xfId="2335" xr:uid="{00000000-0005-0000-0000-000043090000}"/>
    <cellStyle name="Normal 4 3 3 7 2" xfId="2336" xr:uid="{00000000-0005-0000-0000-000044090000}"/>
    <cellStyle name="Normal 4 3 3 8" xfId="2337" xr:uid="{00000000-0005-0000-0000-000045090000}"/>
    <cellStyle name="Normal 4 3 3 8 2" xfId="2338" xr:uid="{00000000-0005-0000-0000-000046090000}"/>
    <cellStyle name="Normal 4 3 3 9" xfId="2339" xr:uid="{00000000-0005-0000-0000-000047090000}"/>
    <cellStyle name="Normal 4 3 4" xfId="2340" xr:uid="{00000000-0005-0000-0000-000048090000}"/>
    <cellStyle name="Normal 4 3 4 2" xfId="2341" xr:uid="{00000000-0005-0000-0000-000049090000}"/>
    <cellStyle name="Normal 4 3 4 2 2" xfId="2342" xr:uid="{00000000-0005-0000-0000-00004A090000}"/>
    <cellStyle name="Normal 4 3 4 3" xfId="2343" xr:uid="{00000000-0005-0000-0000-00004B090000}"/>
    <cellStyle name="Normal 4 3 4 3 2" xfId="2344" xr:uid="{00000000-0005-0000-0000-00004C090000}"/>
    <cellStyle name="Normal 4 3 4 4" xfId="2345" xr:uid="{00000000-0005-0000-0000-00004D090000}"/>
    <cellStyle name="Normal 4 3 4 4 2" xfId="2346" xr:uid="{00000000-0005-0000-0000-00004E090000}"/>
    <cellStyle name="Normal 4 3 4 5" xfId="2347" xr:uid="{00000000-0005-0000-0000-00004F090000}"/>
    <cellStyle name="Normal 4 3 4 5 2" xfId="2348" xr:uid="{00000000-0005-0000-0000-000050090000}"/>
    <cellStyle name="Normal 4 3 4 6" xfId="2349" xr:uid="{00000000-0005-0000-0000-000051090000}"/>
    <cellStyle name="Normal 4 3 4 6 2" xfId="2350" xr:uid="{00000000-0005-0000-0000-000052090000}"/>
    <cellStyle name="Normal 4 3 4 7" xfId="2351" xr:uid="{00000000-0005-0000-0000-000053090000}"/>
    <cellStyle name="Normal 4 3 4 7 2" xfId="2352" xr:uid="{00000000-0005-0000-0000-000054090000}"/>
    <cellStyle name="Normal 4 3 4 8" xfId="2353" xr:uid="{00000000-0005-0000-0000-000055090000}"/>
    <cellStyle name="Normal 4 3 4 8 2" xfId="2354" xr:uid="{00000000-0005-0000-0000-000056090000}"/>
    <cellStyle name="Normal 4 3 4 9" xfId="2355" xr:uid="{00000000-0005-0000-0000-000057090000}"/>
    <cellStyle name="Normal 4 3 5" xfId="2356" xr:uid="{00000000-0005-0000-0000-000058090000}"/>
    <cellStyle name="Normal 4 3 5 2" xfId="2357" xr:uid="{00000000-0005-0000-0000-000059090000}"/>
    <cellStyle name="Normal 4 3 5 2 2" xfId="2358" xr:uid="{00000000-0005-0000-0000-00005A090000}"/>
    <cellStyle name="Normal 4 3 5 3" xfId="2359" xr:uid="{00000000-0005-0000-0000-00005B090000}"/>
    <cellStyle name="Normal 4 3 5 3 2" xfId="2360" xr:uid="{00000000-0005-0000-0000-00005C090000}"/>
    <cellStyle name="Normal 4 3 5 4" xfId="2361" xr:uid="{00000000-0005-0000-0000-00005D090000}"/>
    <cellStyle name="Normal 4 3 5 4 2" xfId="2362" xr:uid="{00000000-0005-0000-0000-00005E090000}"/>
    <cellStyle name="Normal 4 3 5 5" xfId="2363" xr:uid="{00000000-0005-0000-0000-00005F090000}"/>
    <cellStyle name="Normal 4 3 5 5 2" xfId="2364" xr:uid="{00000000-0005-0000-0000-000060090000}"/>
    <cellStyle name="Normal 4 3 5 6" xfId="2365" xr:uid="{00000000-0005-0000-0000-000061090000}"/>
    <cellStyle name="Normal 4 3 5 6 2" xfId="2366" xr:uid="{00000000-0005-0000-0000-000062090000}"/>
    <cellStyle name="Normal 4 3 5 7" xfId="2367" xr:uid="{00000000-0005-0000-0000-000063090000}"/>
    <cellStyle name="Normal 4 3 5 7 2" xfId="2368" xr:uid="{00000000-0005-0000-0000-000064090000}"/>
    <cellStyle name="Normal 4 3 5 8" xfId="2369" xr:uid="{00000000-0005-0000-0000-000065090000}"/>
    <cellStyle name="Normal 4 3 5 8 2" xfId="2370" xr:uid="{00000000-0005-0000-0000-000066090000}"/>
    <cellStyle name="Normal 4 3 5 9" xfId="2371" xr:uid="{00000000-0005-0000-0000-000067090000}"/>
    <cellStyle name="Normal 4 3 6" xfId="2372" xr:uid="{00000000-0005-0000-0000-000068090000}"/>
    <cellStyle name="Normal 4 3 6 2" xfId="2373" xr:uid="{00000000-0005-0000-0000-000069090000}"/>
    <cellStyle name="Normal 4 3 6 2 2" xfId="2374" xr:uid="{00000000-0005-0000-0000-00006A090000}"/>
    <cellStyle name="Normal 4 3 6 3" xfId="2375" xr:uid="{00000000-0005-0000-0000-00006B090000}"/>
    <cellStyle name="Normal 4 3 6 3 2" xfId="2376" xr:uid="{00000000-0005-0000-0000-00006C090000}"/>
    <cellStyle name="Normal 4 3 6 4" xfId="2377" xr:uid="{00000000-0005-0000-0000-00006D090000}"/>
    <cellStyle name="Normal 4 3 6 4 2" xfId="2378" xr:uid="{00000000-0005-0000-0000-00006E090000}"/>
    <cellStyle name="Normal 4 3 6 5" xfId="2379" xr:uid="{00000000-0005-0000-0000-00006F090000}"/>
    <cellStyle name="Normal 4 3 6 5 2" xfId="2380" xr:uid="{00000000-0005-0000-0000-000070090000}"/>
    <cellStyle name="Normal 4 3 6 6" xfId="2381" xr:uid="{00000000-0005-0000-0000-000071090000}"/>
    <cellStyle name="Normal 4 3 6 6 2" xfId="2382" xr:uid="{00000000-0005-0000-0000-000072090000}"/>
    <cellStyle name="Normal 4 3 6 7" xfId="2383" xr:uid="{00000000-0005-0000-0000-000073090000}"/>
    <cellStyle name="Normal 4 3 6 7 2" xfId="2384" xr:uid="{00000000-0005-0000-0000-000074090000}"/>
    <cellStyle name="Normal 4 3 6 8" xfId="2385" xr:uid="{00000000-0005-0000-0000-000075090000}"/>
    <cellStyle name="Normal 4 3 6 8 2" xfId="2386" xr:uid="{00000000-0005-0000-0000-000076090000}"/>
    <cellStyle name="Normal 4 3 6 9" xfId="2387" xr:uid="{00000000-0005-0000-0000-000077090000}"/>
    <cellStyle name="Normal 4 3 7" xfId="2388" xr:uid="{00000000-0005-0000-0000-000078090000}"/>
    <cellStyle name="Normal 4 3 7 2" xfId="2389" xr:uid="{00000000-0005-0000-0000-000079090000}"/>
    <cellStyle name="Normal 4 3 8" xfId="2390" xr:uid="{00000000-0005-0000-0000-00007A090000}"/>
    <cellStyle name="Normal 4 3 8 2" xfId="2391" xr:uid="{00000000-0005-0000-0000-00007B090000}"/>
    <cellStyle name="Normal 4 3 9" xfId="2392" xr:uid="{00000000-0005-0000-0000-00007C090000}"/>
    <cellStyle name="Normal 4 3 9 2" xfId="2393" xr:uid="{00000000-0005-0000-0000-00007D090000}"/>
    <cellStyle name="Normal 4 4" xfId="2394" xr:uid="{00000000-0005-0000-0000-00007E090000}"/>
    <cellStyle name="Normal 4 4 2" xfId="2395" xr:uid="{00000000-0005-0000-0000-00007F090000}"/>
    <cellStyle name="Normal 4 4 2 2" xfId="2396" xr:uid="{00000000-0005-0000-0000-000080090000}"/>
    <cellStyle name="Normal 4 4 3" xfId="2397" xr:uid="{00000000-0005-0000-0000-000081090000}"/>
    <cellStyle name="Normal 4 4 3 2" xfId="2398" xr:uid="{00000000-0005-0000-0000-000082090000}"/>
    <cellStyle name="Normal 4 4 4" xfId="2399" xr:uid="{00000000-0005-0000-0000-000083090000}"/>
    <cellStyle name="Normal 4 4 4 2" xfId="2400" xr:uid="{00000000-0005-0000-0000-000084090000}"/>
    <cellStyle name="Normal 4 4 5" xfId="2401" xr:uid="{00000000-0005-0000-0000-000085090000}"/>
    <cellStyle name="Normal 4 4 5 2" xfId="2402" xr:uid="{00000000-0005-0000-0000-000086090000}"/>
    <cellStyle name="Normal 4 4 6" xfId="2403" xr:uid="{00000000-0005-0000-0000-000087090000}"/>
    <cellStyle name="Normal 4 4 6 2" xfId="2404" xr:uid="{00000000-0005-0000-0000-000088090000}"/>
    <cellStyle name="Normal 4 4 7" xfId="2405" xr:uid="{00000000-0005-0000-0000-000089090000}"/>
    <cellStyle name="Normal 4 4 7 2" xfId="2406" xr:uid="{00000000-0005-0000-0000-00008A090000}"/>
    <cellStyle name="Normal 4 4 8" xfId="2407" xr:uid="{00000000-0005-0000-0000-00008B090000}"/>
    <cellStyle name="Normal 4 4 8 2" xfId="2408" xr:uid="{00000000-0005-0000-0000-00008C090000}"/>
    <cellStyle name="Normal 4 4 9" xfId="2409" xr:uid="{00000000-0005-0000-0000-00008D090000}"/>
    <cellStyle name="Normal 4 5" xfId="2410" xr:uid="{00000000-0005-0000-0000-00008E090000}"/>
    <cellStyle name="Normal 4 5 2" xfId="2411" xr:uid="{00000000-0005-0000-0000-00008F090000}"/>
    <cellStyle name="Normal 4 5 2 2" xfId="2412" xr:uid="{00000000-0005-0000-0000-000090090000}"/>
    <cellStyle name="Normal 4 5 3" xfId="2413" xr:uid="{00000000-0005-0000-0000-000091090000}"/>
    <cellStyle name="Normal 4 5 3 2" xfId="2414" xr:uid="{00000000-0005-0000-0000-000092090000}"/>
    <cellStyle name="Normal 4 5 4" xfId="2415" xr:uid="{00000000-0005-0000-0000-000093090000}"/>
    <cellStyle name="Normal 4 5 4 2" xfId="2416" xr:uid="{00000000-0005-0000-0000-000094090000}"/>
    <cellStyle name="Normal 4 5 5" xfId="2417" xr:uid="{00000000-0005-0000-0000-000095090000}"/>
    <cellStyle name="Normal 4 5 5 2" xfId="2418" xr:uid="{00000000-0005-0000-0000-000096090000}"/>
    <cellStyle name="Normal 4 5 6" xfId="2419" xr:uid="{00000000-0005-0000-0000-000097090000}"/>
    <cellStyle name="Normal 4 5 6 2" xfId="2420" xr:uid="{00000000-0005-0000-0000-000098090000}"/>
    <cellStyle name="Normal 4 5 7" xfId="2421" xr:uid="{00000000-0005-0000-0000-000099090000}"/>
    <cellStyle name="Normal 4 5 7 2" xfId="2422" xr:uid="{00000000-0005-0000-0000-00009A090000}"/>
    <cellStyle name="Normal 4 5 8" xfId="2423" xr:uid="{00000000-0005-0000-0000-00009B090000}"/>
    <cellStyle name="Normal 4 5 8 2" xfId="2424" xr:uid="{00000000-0005-0000-0000-00009C090000}"/>
    <cellStyle name="Normal 4 5 9" xfId="2425" xr:uid="{00000000-0005-0000-0000-00009D090000}"/>
    <cellStyle name="Normal 4 6" xfId="2426" xr:uid="{00000000-0005-0000-0000-00009E090000}"/>
    <cellStyle name="Normal 4 6 2" xfId="2427" xr:uid="{00000000-0005-0000-0000-00009F090000}"/>
    <cellStyle name="Normal 4 7" xfId="2428" xr:uid="{00000000-0005-0000-0000-0000A0090000}"/>
    <cellStyle name="Normal 4 7 2" xfId="2429" xr:uid="{00000000-0005-0000-0000-0000A1090000}"/>
    <cellStyle name="Normal 4 8" xfId="2430" xr:uid="{00000000-0005-0000-0000-0000A2090000}"/>
    <cellStyle name="Normal 4 8 2" xfId="2431" xr:uid="{00000000-0005-0000-0000-0000A3090000}"/>
    <cellStyle name="Normal 4 9" xfId="2432" xr:uid="{00000000-0005-0000-0000-0000A4090000}"/>
    <cellStyle name="Normal 4 9 2" xfId="2433" xr:uid="{00000000-0005-0000-0000-0000A5090000}"/>
    <cellStyle name="Normal 5" xfId="2434" xr:uid="{00000000-0005-0000-0000-0000A6090000}"/>
    <cellStyle name="Normal 5 10" xfId="2435" xr:uid="{00000000-0005-0000-0000-0000A7090000}"/>
    <cellStyle name="Normal 5 10 2" xfId="2436" xr:uid="{00000000-0005-0000-0000-0000A8090000}"/>
    <cellStyle name="Normal 5 11" xfId="2437" xr:uid="{00000000-0005-0000-0000-0000A9090000}"/>
    <cellStyle name="Normal 5 2" xfId="2438" xr:uid="{00000000-0005-0000-0000-0000AA090000}"/>
    <cellStyle name="Normal 5 2 2" xfId="2439" xr:uid="{00000000-0005-0000-0000-0000AB090000}"/>
    <cellStyle name="Normal 5 2 2 2" xfId="2440" xr:uid="{00000000-0005-0000-0000-0000AC090000}"/>
    <cellStyle name="Normal 5 2 3" xfId="2441" xr:uid="{00000000-0005-0000-0000-0000AD090000}"/>
    <cellStyle name="Normal 5 2 3 2" xfId="2442" xr:uid="{00000000-0005-0000-0000-0000AE090000}"/>
    <cellStyle name="Normal 5 2 4" xfId="2443" xr:uid="{00000000-0005-0000-0000-0000AF090000}"/>
    <cellStyle name="Normal 5 2 4 2" xfId="2444" xr:uid="{00000000-0005-0000-0000-0000B0090000}"/>
    <cellStyle name="Normal 5 2 5" xfId="2445" xr:uid="{00000000-0005-0000-0000-0000B1090000}"/>
    <cellStyle name="Normal 5 2 5 2" xfId="2446" xr:uid="{00000000-0005-0000-0000-0000B2090000}"/>
    <cellStyle name="Normal 5 2 6" xfId="2447" xr:uid="{00000000-0005-0000-0000-0000B3090000}"/>
    <cellStyle name="Normal 5 2 6 2" xfId="2448" xr:uid="{00000000-0005-0000-0000-0000B4090000}"/>
    <cellStyle name="Normal 5 2 7" xfId="2449" xr:uid="{00000000-0005-0000-0000-0000B5090000}"/>
    <cellStyle name="Normal 5 2 7 2" xfId="2450" xr:uid="{00000000-0005-0000-0000-0000B6090000}"/>
    <cellStyle name="Normal 5 2 8" xfId="2451" xr:uid="{00000000-0005-0000-0000-0000B7090000}"/>
    <cellStyle name="Normal 5 2 8 2" xfId="2452" xr:uid="{00000000-0005-0000-0000-0000B8090000}"/>
    <cellStyle name="Normal 5 2 9" xfId="2453" xr:uid="{00000000-0005-0000-0000-0000B9090000}"/>
    <cellStyle name="Normal 5 3" xfId="2454" xr:uid="{00000000-0005-0000-0000-0000BA090000}"/>
    <cellStyle name="Normal 5 3 2" xfId="2455" xr:uid="{00000000-0005-0000-0000-0000BB090000}"/>
    <cellStyle name="Normal 5 3 2 2" xfId="2456" xr:uid="{00000000-0005-0000-0000-0000BC090000}"/>
    <cellStyle name="Normal 5 3 3" xfId="2457" xr:uid="{00000000-0005-0000-0000-0000BD090000}"/>
    <cellStyle name="Normal 5 3 3 2" xfId="2458" xr:uid="{00000000-0005-0000-0000-0000BE090000}"/>
    <cellStyle name="Normal 5 3 4" xfId="2459" xr:uid="{00000000-0005-0000-0000-0000BF090000}"/>
    <cellStyle name="Normal 5 3 4 2" xfId="2460" xr:uid="{00000000-0005-0000-0000-0000C0090000}"/>
    <cellStyle name="Normal 5 3 5" xfId="2461" xr:uid="{00000000-0005-0000-0000-0000C1090000}"/>
    <cellStyle name="Normal 5 3 5 2" xfId="2462" xr:uid="{00000000-0005-0000-0000-0000C2090000}"/>
    <cellStyle name="Normal 5 3 6" xfId="2463" xr:uid="{00000000-0005-0000-0000-0000C3090000}"/>
    <cellStyle name="Normal 5 3 6 2" xfId="2464" xr:uid="{00000000-0005-0000-0000-0000C4090000}"/>
    <cellStyle name="Normal 5 3 7" xfId="2465" xr:uid="{00000000-0005-0000-0000-0000C5090000}"/>
    <cellStyle name="Normal 5 3 7 2" xfId="2466" xr:uid="{00000000-0005-0000-0000-0000C6090000}"/>
    <cellStyle name="Normal 5 3 8" xfId="2467" xr:uid="{00000000-0005-0000-0000-0000C7090000}"/>
    <cellStyle name="Normal 5 3 8 2" xfId="2468" xr:uid="{00000000-0005-0000-0000-0000C8090000}"/>
    <cellStyle name="Normal 5 3 9" xfId="2469" xr:uid="{00000000-0005-0000-0000-0000C9090000}"/>
    <cellStyle name="Normal 5 4" xfId="2470" xr:uid="{00000000-0005-0000-0000-0000CA090000}"/>
    <cellStyle name="Normal 5 4 2" xfId="2471" xr:uid="{00000000-0005-0000-0000-0000CB090000}"/>
    <cellStyle name="Normal 5 5" xfId="2472" xr:uid="{00000000-0005-0000-0000-0000CC090000}"/>
    <cellStyle name="Normal 5 5 2" xfId="2473" xr:uid="{00000000-0005-0000-0000-0000CD090000}"/>
    <cellStyle name="Normal 5 6" xfId="2474" xr:uid="{00000000-0005-0000-0000-0000CE090000}"/>
    <cellStyle name="Normal 5 6 2" xfId="2475" xr:uid="{00000000-0005-0000-0000-0000CF090000}"/>
    <cellStyle name="Normal 5 7" xfId="2476" xr:uid="{00000000-0005-0000-0000-0000D0090000}"/>
    <cellStyle name="Normal 5 7 2" xfId="2477" xr:uid="{00000000-0005-0000-0000-0000D1090000}"/>
    <cellStyle name="Normal 5 8" xfId="2478" xr:uid="{00000000-0005-0000-0000-0000D2090000}"/>
    <cellStyle name="Normal 5 8 2" xfId="2479" xr:uid="{00000000-0005-0000-0000-0000D3090000}"/>
    <cellStyle name="Normal 5 9" xfId="2480" xr:uid="{00000000-0005-0000-0000-0000D4090000}"/>
    <cellStyle name="Normal 5 9 2" xfId="2481" xr:uid="{00000000-0005-0000-0000-0000D5090000}"/>
    <cellStyle name="Normal 6" xfId="2482" xr:uid="{00000000-0005-0000-0000-0000D6090000}"/>
    <cellStyle name="Normal 6 2" xfId="2483" xr:uid="{00000000-0005-0000-0000-0000D7090000}"/>
    <cellStyle name="Normal 6 2 2" xfId="2484" xr:uid="{00000000-0005-0000-0000-0000D8090000}"/>
    <cellStyle name="Normal 6 3" xfId="2485" xr:uid="{00000000-0005-0000-0000-0000D9090000}"/>
    <cellStyle name="Normal 6 3 2" xfId="2486" xr:uid="{00000000-0005-0000-0000-0000DA090000}"/>
    <cellStyle name="Normal 6 4" xfId="2487" xr:uid="{00000000-0005-0000-0000-0000DB090000}"/>
    <cellStyle name="Normal 6 8" xfId="2558" xr:uid="{7186171D-BC74-4007-B12E-582C4C8DD68A}"/>
    <cellStyle name="Normal 7" xfId="2488" xr:uid="{00000000-0005-0000-0000-0000DC090000}"/>
    <cellStyle name="Normal 7 2" xfId="2489" xr:uid="{00000000-0005-0000-0000-0000DD090000}"/>
    <cellStyle name="Normal 8" xfId="2490" xr:uid="{00000000-0005-0000-0000-0000DE090000}"/>
    <cellStyle name="Normal 8 2" xfId="2491" xr:uid="{00000000-0005-0000-0000-0000DF090000}"/>
    <cellStyle name="Normal 8 2 2" xfId="2492" xr:uid="{00000000-0005-0000-0000-0000E0090000}"/>
    <cellStyle name="Normal 8 3" xfId="2493" xr:uid="{00000000-0005-0000-0000-0000E1090000}"/>
    <cellStyle name="Normal 8 3 2" xfId="2494" xr:uid="{00000000-0005-0000-0000-0000E2090000}"/>
    <cellStyle name="Normal 8 4" xfId="2495" xr:uid="{00000000-0005-0000-0000-0000E3090000}"/>
    <cellStyle name="Normal 8 4 2" xfId="2496" xr:uid="{00000000-0005-0000-0000-0000E4090000}"/>
    <cellStyle name="Normal 8 5" xfId="2497" xr:uid="{00000000-0005-0000-0000-0000E5090000}"/>
    <cellStyle name="Normal 8 5 2" xfId="2498" xr:uid="{00000000-0005-0000-0000-0000E6090000}"/>
    <cellStyle name="Normal 8 6" xfId="2499" xr:uid="{00000000-0005-0000-0000-0000E7090000}"/>
    <cellStyle name="Normal 8 6 2" xfId="2500" xr:uid="{00000000-0005-0000-0000-0000E8090000}"/>
    <cellStyle name="Normal 8 7" xfId="2501" xr:uid="{00000000-0005-0000-0000-0000E9090000}"/>
    <cellStyle name="Normal 8 7 2" xfId="2502" xr:uid="{00000000-0005-0000-0000-0000EA090000}"/>
    <cellStyle name="Normal 8 8" xfId="2503" xr:uid="{00000000-0005-0000-0000-0000EB090000}"/>
    <cellStyle name="Normal 8 8 2" xfId="2504" xr:uid="{00000000-0005-0000-0000-0000EC090000}"/>
    <cellStyle name="Normal 8 9" xfId="2505" xr:uid="{00000000-0005-0000-0000-0000ED090000}"/>
    <cellStyle name="Normal 9" xfId="2506" xr:uid="{00000000-0005-0000-0000-0000EE090000}"/>
    <cellStyle name="Normal 9 2" xfId="2507" xr:uid="{00000000-0005-0000-0000-0000EF090000}"/>
    <cellStyle name="Note" xfId="37" builtinId="10" customBuiltin="1"/>
    <cellStyle name="Note 2" xfId="2545" xr:uid="{00000000-0005-0000-0000-0000F1090000}"/>
    <cellStyle name="Output" xfId="38" builtinId="21" customBuiltin="1"/>
    <cellStyle name="Output 2" xfId="2546" xr:uid="{00000000-0005-0000-0000-0000F3090000}"/>
    <cellStyle name="Percent 2" xfId="2547" xr:uid="{00000000-0005-0000-0000-0000F4090000}"/>
    <cellStyle name="Title" xfId="39" builtinId="15" customBuiltin="1"/>
    <cellStyle name="Title 2" xfId="2548" xr:uid="{00000000-0005-0000-0000-0000F6090000}"/>
    <cellStyle name="Total" xfId="40" builtinId="25" customBuiltin="1"/>
    <cellStyle name="Total 2" xfId="2549" xr:uid="{00000000-0005-0000-0000-0000F8090000}"/>
    <cellStyle name="Warning Text" xfId="41" builtinId="11" customBuiltin="1"/>
    <cellStyle name="Warning Text 2" xfId="2550" xr:uid="{00000000-0005-0000-0000-0000FA090000}"/>
  </cellStyles>
  <dxfs count="1">
    <dxf>
      <numFmt numFmtId="19" formatCode="m/d/yyyy"/>
    </dxf>
  </dxfs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26</xdr:row>
          <xdr:rowOff>152400</xdr:rowOff>
        </xdr:from>
        <xdr:to>
          <xdr:col>2</xdr:col>
          <xdr:colOff>685800</xdr:colOff>
          <xdr:row>29</xdr:row>
          <xdr:rowOff>137160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CAP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26</xdr:row>
          <xdr:rowOff>152400</xdr:rowOff>
        </xdr:from>
        <xdr:to>
          <xdr:col>5</xdr:col>
          <xdr:colOff>137160</xdr:colOff>
          <xdr:row>29</xdr:row>
          <xdr:rowOff>137160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Hoover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17-Month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26</xdr:row>
          <xdr:rowOff>152400</xdr:rowOff>
        </xdr:from>
        <xdr:to>
          <xdr:col>7</xdr:col>
          <xdr:colOff>411480</xdr:colOff>
          <xdr:row>29</xdr:row>
          <xdr:rowOff>137160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Havasu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86" xr16:uid="{40FA4FB0-FDBB-4FAD-89AE-CC18075FC1A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85" xr16:uid="{FCBE2211-16F0-4B51-BD1E-87939EC3F79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84" xr16:uid="{019E93AE-2560-4903-B1DB-F84C30F4A44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87" xr16:uid="{CFB22C4A-57CB-4709-B225-CCF82B3D202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7" xr16:uid="{EC0BDE5C-9094-4E92-989B-7755860CB35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63" xr16:uid="{D630AA05-4906-4CF8-9FD9-5027A1E76ED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" xr16:uid="{0187D514-9C98-4F5E-A1AE-0BEFDB700C6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69" xr16:uid="{2D6D4B6D-6239-48A7-9D22-F76F4386A94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56" xr16:uid="{6E7FB8F8-1A5C-43E6-8AC1-3EEE2FCEAD4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16" xr16:uid="{6D80B07C-1C4E-4F49-B4EC-35050C214101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49" xr16:uid="{A0E802FE-1B4C-4B2C-93C2-61CE20E3571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5" xr16:uid="{48C7E659-5856-4290-ACB9-3FE7EAF5CF1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34" xr16:uid="{AA936B23-3DBD-4FDF-8ACF-E1C9E90C0E0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35" xr16:uid="{0BDF6AAC-51D0-432A-8E24-81CB7AF6050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4" xr16:uid="{F74D7975-698A-45F8-88E5-C4BE2FD85CE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66" xr16:uid="{373B56E0-28BF-4AF3-86BE-54919119EF5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4" xr16:uid="{C94539E7-020B-401D-A001-9FCD807E05C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10" xr16:uid="{4BF03A8F-2A16-4AC1-AE60-85F576CF6E5D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40" xr16:uid="{5C96D07A-A5B5-4058-81F2-0BC43BE9879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" xr16:uid="{D298EDB1-C346-4D1B-AEAA-4C904F8E049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11" xr16:uid="{252E1721-578D-434A-B92A-172D20EFAB3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60" xr16:uid="{719632CA-1957-47DB-AE2A-69C8B94C8733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29" xr16:uid="{321C36BE-98C8-4E25-842B-6A12D853B1C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" xr16:uid="{693C4DD2-0198-4236-8B03-6113FA535E0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41" xr16:uid="{CA4D3694-42BB-4681-A5B7-C1D37314E27F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74" xr16:uid="{BFEFA2F7-0799-4A6C-B23E-ABE1FEE895A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25" xr16:uid="{58A7B3AB-F056-4AC7-AE9D-104F9F2142A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28" xr16:uid="{2B5F47CD-6409-4F8A-9E79-72AC4A7D161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3" xr16:uid="{43333482-4F80-4A6C-8A1B-F7423847A08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53" xr16:uid="{197538D7-FCAE-444A-9EC4-741DFA58B4B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27" xr16:uid="{736EC1B4-C466-4ABF-A695-F363F91224BF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39" xr16:uid="{D3DCAB6B-C7E1-4BFD-ACBB-66D07DBDA622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83" xr16:uid="{0F099B41-204C-45BF-B2E3-15B44D16765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" xr16:uid="{83011570-2D2E-45C2-BA37-6C78BAACECF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76" xr16:uid="{A757C31E-B9D5-4E54-960C-F285DF1945A7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32" xr16:uid="{62D0C8B9-B338-4B5B-9FE3-7BE804FE328D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8" xr16:uid="{E1815349-268E-47B7-9157-9A2E9385BE7C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" xr16:uid="{6FB4D59C-3CFE-4913-8A95-B96C0B3B0D34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75" xr16:uid="{E859EE13-FE64-4E12-A337-9808A8582F8C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38" xr16:uid="{0A1E9C8C-9CC4-4EA3-A324-4A6BE9F9728B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48" xr16:uid="{C88124F1-C5B2-4B64-ADEE-9A4FFF387484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064746B9-0FEC-4D3F-8919-984FA71131F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36" xr16:uid="{3C5668B0-7C67-45D2-802C-F6C12300167A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80" xr16:uid="{242F6864-9831-428A-9891-39BB6E82056D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33" xr16:uid="{E11EBF5E-AE10-4CD9-8FAD-1A70965AA3F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81" xr16:uid="{36CA0F45-1913-4766-954C-DF7F0AFCE73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42" xr16:uid="{33D1EB2B-C14A-458D-9789-5FB7B0DDC604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30" xr16:uid="{D910C1A4-33B8-40A7-A277-3FCD893E6E63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3" xr16:uid="{3BB531AD-F25E-41D7-812F-91E1FAEB5A47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23" xr16:uid="{6C50DBA3-3D92-4654-B8EB-2F648573E83B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31" xr16:uid="{0DCD0BA8-1926-470A-86B8-21CD37DD5F1E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62" xr16:uid="{A49649EE-D845-4908-A7E2-903E0F044CAB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10F196D0-384C-4955-B091-500B418FF116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" xr16:uid="{D6183FC1-0CEC-42A7-A9A2-90E78CC7FCB6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37" xr16:uid="{CC10BA34-B93A-4FBD-A687-63AEA73C655A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19" xr16:uid="{BFB0C4DF-5CB3-46E2-8A14-B79E2FBB7F1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70" xr16:uid="{28027B1A-0B5C-4866-8C86-B5C2813F4FCC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64" xr16:uid="{7AE745A5-DD46-48BE-B6CA-7EF3D50AFD6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9" xr16:uid="{89EE65AA-5695-42C9-8A15-2FF725A4B404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43" xr16:uid="{2F68AAF8-D8A7-407D-9A4B-16D1BC85BA92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44" xr16:uid="{8B63DB67-3990-4024-B185-D74111A0979E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79" xr16:uid="{7EECFB89-1A0A-465F-99B8-5034BD70806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61" xr16:uid="{1CE41A58-3537-4958-9FE7-42B3B444815A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46" xr16:uid="{6ACBE7FA-6E30-4A93-8602-168C53CB320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18" xr16:uid="{C797AE3B-7394-4BED-B992-EFE161898A8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3" xr16:uid="{489E180D-7707-47AC-8C7F-A9D0A64F5FDE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55" xr16:uid="{67DA0F39-63F5-420F-BA6D-ADDEF7A4B98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52" xr16:uid="{37CAFE2C-D71E-46DC-8A0B-2A299B53E598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54485B48-1144-4DC2-8C71-3A83200201B1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12" xr16:uid="{E7F2C156-8A59-4AD0-B63A-3552E1039E8A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14" xr16:uid="{B8DC6C2A-933C-4DFD-BB4B-C755519781E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6" xr16:uid="{4C909340-4610-4E30-BB0E-FFC7E2B7938D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" xr16:uid="{54AF9E55-94ED-4401-8014-31D9634F4462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77" xr16:uid="{6CB3CA17-BC15-4EED-8457-C3AE4DA1B714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AA55010C-7738-4CBC-8395-DA9D3C231FB3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50" xr16:uid="{8BA00A70-AF0E-4899-87C0-7A54FDA89F46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22" xr16:uid="{AAD439C7-E9C6-476D-8510-863DF6DFFA86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3" xr16:uid="{5F91C5FD-AB3E-4210-9911-A0F8632AC3AC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54" xr16:uid="{F5CEBFB1-9147-463A-984C-8B50651FA53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C3CBF394-C3B6-456D-B753-48F6EC7679AB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72" xr16:uid="{F6D864FD-C8FA-447F-9982-B09BF0F5B691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65" xr16:uid="{16684392-6E82-4C89-A947-DA16FC03488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51" xr16:uid="{58D58335-0300-48A2-8139-E6E1F961F4E8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82" xr16:uid="{FF07641A-D416-4B4B-AF92-72E14DE9C32C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47" xr16:uid="{538CC195-87FE-4489-AB00-97CF719570E9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15" xr16:uid="{CDE4B45C-41CD-494B-B1FC-B944EB55D013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67" xr16:uid="{3B67E009-339C-47BB-8171-A7A191D08084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6" xr16:uid="{4113DC86-F3CE-4ADC-9F85-F1581E90ED22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7" xr16:uid="{0CA2C94D-6E7D-4471-92EC-3DDFB70DB3B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73" xr16:uid="{F269ECA0-4CFB-468F-B24C-DA02E344EA36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68" xr16:uid="{1B23424C-7B9B-4B8C-82C0-CCEDDD839F3B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71" xr16:uid="{A5EF15EC-569D-4666-8602-FDDC5D2FFBBE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58" xr16:uid="{3B8DD009-30B8-4F8C-8004-CACEF37AF66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20" xr16:uid="{A8E775D7-910E-44BE-A8FD-B7F68032719A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57" xr16:uid="{C6C01AB4-C91D-4B59-9CBF-4F530EF804B1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" xr16:uid="{E98CA751-66F3-4B55-908E-0B3C8CC52362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59" xr16:uid="{3FE8552F-8AB6-45B6-810F-D8B8365F0A7B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FB80C83-C547-4B10-829C-8B6F7283D428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" xr16:uid="{BBC732F6-4C6A-4BC1-8BD1-B43193610F4A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78" xr16:uid="{529A4058-A42D-48BF-A221-94540BA5E8A3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45" xr16:uid="{BB3FD5BB-2D8C-4C15-A5B7-B22309C1C5E5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21" xr16:uid="{2E7AF72E-1A5F-4182-8361-1A176B3B1A69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8" xr16:uid="{D34D637F-23BD-41E8-A2AA-7176007FC2C9}" autoFormatId="16" applyNumberFormats="0" applyBorderFormats="0" applyFontFormats="0" applyPatternFormats="0" applyAlignmentFormats="0" applyWidthHeightFormats="0">
  <queryTableRefresh nextId="18">
    <queryTableFields count="1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7407BC-4637-4C2B-BDA8-E13D26C1E975}" name="NV" displayName="NV" ref="C4:S8" tableType="queryTable" totalsRowShown="0" headerRowDxfId="0">
  <autoFilter ref="C4:S8" xr:uid="{377407BC-4637-4C2B-BDA8-E13D26C1E975}"/>
  <tableColumns count="17">
    <tableColumn id="1" xr3:uid="{9F63E19B-CADA-45A6-AEBD-C9B074BCA1A7}" uniqueName="1" name="Column1" queryTableFieldId="1"/>
    <tableColumn id="2" xr3:uid="{CD91B195-43C9-467A-A35B-2BEA9801E86F}" uniqueName="2" name="Column2" queryTableFieldId="2"/>
    <tableColumn id="3" xr3:uid="{AA82F03F-E6A6-4E09-AE01-26389248DDA4}" uniqueName="3" name="Column3" queryTableFieldId="3"/>
    <tableColumn id="4" xr3:uid="{FE77B31D-4872-4693-B852-0C0C1C32645A}" uniqueName="4" name="Column4" queryTableFieldId="4"/>
    <tableColumn id="5" xr3:uid="{535C5E5E-F875-4AC9-A197-4505AC70DE0B}" uniqueName="5" name="Column5" queryTableFieldId="5"/>
    <tableColumn id="6" xr3:uid="{C86D4E4E-DAD1-4CFF-BD8A-3B6A6DF7FA5F}" uniqueName="6" name="Column6" queryTableFieldId="6"/>
    <tableColumn id="7" xr3:uid="{F128189D-79EB-425B-BE0A-FBAAC562B060}" uniqueName="7" name="Column7" queryTableFieldId="7"/>
    <tableColumn id="8" xr3:uid="{A4E56B09-2E8B-401A-9E4B-FD13EC35C925}" uniqueName="8" name="Column8" queryTableFieldId="8"/>
    <tableColumn id="9" xr3:uid="{B10DF809-D5B3-4764-BE27-FF5F7F87F302}" uniqueName="9" name="Column9" queryTableFieldId="9"/>
    <tableColumn id="10" xr3:uid="{BB1D9697-E7C4-4B89-A151-675007A4DC2F}" uniqueName="10" name="Column10" queryTableFieldId="10"/>
    <tableColumn id="11" xr3:uid="{07CEEFE9-1921-4FCF-BE35-BBF92D240DF1}" uniqueName="11" name="Column11" queryTableFieldId="11"/>
    <tableColumn id="12" xr3:uid="{F0631C65-DADF-4DE5-A18F-49D77ED010A5}" uniqueName="12" name="Column12" queryTableFieldId="12"/>
    <tableColumn id="13" xr3:uid="{6FACCDAE-F091-4A12-BB9E-C0B10BE451EF}" uniqueName="13" name="Column13" queryTableFieldId="13"/>
    <tableColumn id="14" xr3:uid="{15EC9704-9309-4AB4-B6ED-745C2CE9C963}" uniqueName="14" name="Column14" queryTableFieldId="14"/>
    <tableColumn id="15" xr3:uid="{6771F8F8-1C69-4B5A-80C2-BF63AFAA3C00}" uniqueName="15" name="Column15" queryTableFieldId="15"/>
    <tableColumn id="16" xr3:uid="{5337B84C-7E69-4DA1-B006-0A345B5A12F7}" uniqueName="16" name="Column16" queryTableFieldId="16"/>
    <tableColumn id="17" xr3:uid="{0BCDE3E6-3DB9-459F-A97C-59BCE0C6FE35}" uniqueName="17" name="Column17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3" Type="http://schemas.openxmlformats.org/officeDocument/2006/relationships/queryTable" Target="../queryTables/query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V39"/>
  <sheetViews>
    <sheetView topLeftCell="A11" zoomScale="110" zoomScaleNormal="110" workbookViewId="0"/>
  </sheetViews>
  <sheetFormatPr defaultColWidth="12.5546875" defaultRowHeight="13.2" x14ac:dyDescent="0.25"/>
  <cols>
    <col min="1" max="8" width="12.5546875" customWidth="1"/>
    <col min="10" max="10" width="12.5546875" customWidth="1"/>
  </cols>
  <sheetData>
    <row r="1" spans="1:15" ht="22.8" x14ac:dyDescent="0.4">
      <c r="A1" s="124" t="s">
        <v>32</v>
      </c>
      <c r="B1" s="124"/>
      <c r="C1" s="125"/>
      <c r="D1" s="125"/>
      <c r="E1" s="125"/>
      <c r="F1" s="125"/>
      <c r="G1" s="125"/>
      <c r="H1" s="125"/>
      <c r="I1" s="125"/>
      <c r="J1" s="126"/>
    </row>
    <row r="2" spans="1:15" x14ac:dyDescent="0.25">
      <c r="A2" s="62" t="s">
        <v>55</v>
      </c>
    </row>
    <row r="3" spans="1:15" ht="13.8" thickBot="1" x14ac:dyDescent="0.3">
      <c r="A3" s="62"/>
    </row>
    <row r="4" spans="1:15" ht="13.8" thickBot="1" x14ac:dyDescent="0.3">
      <c r="A4" s="61"/>
      <c r="B4" s="3" t="s">
        <v>57</v>
      </c>
    </row>
    <row r="5" spans="1:15" ht="13.8" thickBot="1" x14ac:dyDescent="0.3">
      <c r="A5" s="3"/>
      <c r="O5" s="24"/>
    </row>
    <row r="6" spans="1:15" s="58" customFormat="1" ht="16.2" thickBot="1" x14ac:dyDescent="0.35">
      <c r="A6" s="2" t="s">
        <v>56</v>
      </c>
      <c r="B6" s="2"/>
      <c r="C6" s="2"/>
      <c r="D6" s="129" t="s">
        <v>80</v>
      </c>
      <c r="F6" s="59" t="s">
        <v>109</v>
      </c>
      <c r="G6" s="161"/>
      <c r="H6" s="161"/>
      <c r="I6" s="161"/>
      <c r="J6"/>
      <c r="K6"/>
      <c r="L6"/>
      <c r="M6"/>
    </row>
    <row r="7" spans="1:15" s="58" customFormat="1" ht="15" x14ac:dyDescent="0.25">
      <c r="A7" s="2"/>
      <c r="B7" s="57"/>
      <c r="D7" s="127"/>
      <c r="L7"/>
    </row>
    <row r="8" spans="1:15" x14ac:dyDescent="0.25">
      <c r="A8" s="3"/>
      <c r="B8" s="3"/>
      <c r="C8" s="3"/>
      <c r="D8" s="3"/>
      <c r="E8" s="3"/>
    </row>
    <row r="9" spans="1:15" ht="13.8" thickBot="1" x14ac:dyDescent="0.3">
      <c r="A9" s="2" t="s">
        <v>95</v>
      </c>
      <c r="B9" s="3"/>
      <c r="C9" s="3"/>
      <c r="D9" s="3"/>
      <c r="E9" s="3"/>
      <c r="H9" s="1" t="s">
        <v>54</v>
      </c>
    </row>
    <row r="10" spans="1:15" ht="13.8" thickBot="1" x14ac:dyDescent="0.3">
      <c r="A10" s="2"/>
      <c r="B10" s="3"/>
      <c r="C10" s="3"/>
      <c r="D10" s="46">
        <f ca="1">DATE(YEAR(TODAY()),MONTH((DATEVALUE(D6&amp;"1"))),1)</f>
        <v>46143</v>
      </c>
      <c r="E10" s="130">
        <v>85000</v>
      </c>
      <c r="F10" s="2" t="s">
        <v>52</v>
      </c>
      <c r="G10" s="46">
        <f ca="1">D10</f>
        <v>46143</v>
      </c>
      <c r="H10" s="130">
        <v>0</v>
      </c>
      <c r="I10" s="2" t="s">
        <v>52</v>
      </c>
    </row>
    <row r="11" spans="1:15" ht="13.8" thickBot="1" x14ac:dyDescent="0.3">
      <c r="A11" s="3"/>
      <c r="B11" s="3"/>
      <c r="C11" s="3"/>
      <c r="D11" s="46">
        <f ca="1">DATE(YEAR(D10),MONTH(D10)+1,1)</f>
        <v>46174</v>
      </c>
      <c r="E11" s="130">
        <v>96000</v>
      </c>
      <c r="F11" s="2" t="s">
        <v>52</v>
      </c>
      <c r="G11" s="46">
        <f ca="1">D11</f>
        <v>46174</v>
      </c>
      <c r="H11" s="130">
        <v>0</v>
      </c>
      <c r="I11" s="2" t="s">
        <v>52</v>
      </c>
    </row>
    <row r="12" spans="1:15" x14ac:dyDescent="0.25">
      <c r="A12" s="3"/>
      <c r="B12" s="3"/>
      <c r="C12" s="3"/>
      <c r="D12" s="3"/>
      <c r="E12" s="3"/>
    </row>
    <row r="14" spans="1:15" x14ac:dyDescent="0.25">
      <c r="A14" s="2" t="s">
        <v>96</v>
      </c>
      <c r="B14" s="2"/>
      <c r="C14" s="2"/>
      <c r="D14" s="2"/>
      <c r="E14" s="60" cm="1">
        <f t="array" ref="E14:F14">'Davis Maint'!F2:G2</f>
        <v>46087</v>
      </c>
      <c r="F14">
        <v>0</v>
      </c>
    </row>
    <row r="15" spans="1:15" x14ac:dyDescent="0.25">
      <c r="A15" s="2" t="s">
        <v>97</v>
      </c>
      <c r="B15" s="2"/>
      <c r="C15" s="2"/>
      <c r="D15" s="2"/>
      <c r="E15" s="60">
        <f>'Parker Maint'!F2</f>
        <v>46087</v>
      </c>
    </row>
    <row r="17" spans="1:14" ht="13.8" thickBot="1" x14ac:dyDescent="0.3">
      <c r="A17" s="2" t="s">
        <v>98</v>
      </c>
      <c r="B17" s="2"/>
    </row>
    <row r="18" spans="1:14" ht="13.8" thickBot="1" x14ac:dyDescent="0.3">
      <c r="D18" s="46">
        <f ca="1">DATE(YEAR(TODAY()),MONTH((DATEVALUE(D6&amp;"1"))),1)</f>
        <v>46143</v>
      </c>
      <c r="E18" s="131">
        <v>643</v>
      </c>
      <c r="F18" s="2" t="s">
        <v>51</v>
      </c>
      <c r="G18" s="201">
        <f>('Res Lookup Tables'!I6)</f>
        <v>1759.2878461597256</v>
      </c>
      <c r="H18" s="2" t="s">
        <v>53</v>
      </c>
    </row>
    <row r="19" spans="1:14" ht="13.8" thickBot="1" x14ac:dyDescent="0.3">
      <c r="D19" s="46">
        <f ca="1">DATE(YEAR(D18),MONTH(D18)+1,1)</f>
        <v>46174</v>
      </c>
      <c r="E19" s="131">
        <v>643</v>
      </c>
      <c r="F19" s="2" t="s">
        <v>51</v>
      </c>
      <c r="G19" s="201">
        <f>'Res Lookup Tables'!J6</f>
        <v>1759.2878461597256</v>
      </c>
      <c r="H19" s="2" t="s">
        <v>53</v>
      </c>
    </row>
    <row r="20" spans="1:14" x14ac:dyDescent="0.25">
      <c r="D20" s="46"/>
      <c r="E20" s="53"/>
      <c r="F20" s="2"/>
      <c r="G20" s="202"/>
    </row>
    <row r="21" spans="1:14" ht="13.8" thickBot="1" x14ac:dyDescent="0.3">
      <c r="A21" s="2" t="s">
        <v>99</v>
      </c>
      <c r="B21" s="2"/>
      <c r="E21" s="47"/>
      <c r="G21" s="202"/>
    </row>
    <row r="22" spans="1:14" ht="13.8" thickBot="1" x14ac:dyDescent="0.3">
      <c r="A22" s="2"/>
      <c r="D22" s="46">
        <f ca="1">DATE(YEAR(TODAY()),MONTH((DATEVALUE($D$6&amp;"1"))),1)</f>
        <v>46143</v>
      </c>
      <c r="E22" s="131">
        <v>448.5</v>
      </c>
      <c r="F22" s="2" t="s">
        <v>51</v>
      </c>
      <c r="G22" s="203">
        <f>'Res Lookup Tables'!I4</f>
        <v>540.9510341459146</v>
      </c>
      <c r="H22" s="2" t="s">
        <v>53</v>
      </c>
    </row>
    <row r="23" spans="1:14" ht="13.8" thickBot="1" x14ac:dyDescent="0.3">
      <c r="A23" s="2"/>
      <c r="D23" s="46">
        <f ca="1">DATE(YEAR(D22),MONTH(D22)+1,1)</f>
        <v>46174</v>
      </c>
      <c r="E23" s="131">
        <v>448.5</v>
      </c>
      <c r="F23" s="2" t="s">
        <v>51</v>
      </c>
      <c r="G23" s="201">
        <f>'Res Lookup Tables'!J4</f>
        <v>540.9510341459146</v>
      </c>
      <c r="H23" s="2" t="s">
        <v>53</v>
      </c>
      <c r="L23" s="54"/>
    </row>
    <row r="24" spans="1:14" x14ac:dyDescent="0.25">
      <c r="A24" s="2"/>
      <c r="I24" s="54"/>
      <c r="J24" s="1"/>
      <c r="K24" s="24"/>
      <c r="L24" s="54"/>
    </row>
    <row r="25" spans="1:14" x14ac:dyDescent="0.25">
      <c r="A25" s="2"/>
      <c r="I25" s="54"/>
    </row>
    <row r="26" spans="1:14" x14ac:dyDescent="0.25">
      <c r="A26" s="2" t="s">
        <v>100</v>
      </c>
      <c r="J26" s="149"/>
      <c r="K26" s="63"/>
      <c r="L26" s="63"/>
    </row>
    <row r="27" spans="1:14" x14ac:dyDescent="0.25">
      <c r="J27" s="63"/>
      <c r="K27" s="63"/>
      <c r="L27" s="63"/>
      <c r="M27" s="63"/>
      <c r="N27" s="63"/>
    </row>
    <row r="28" spans="1:14" x14ac:dyDescent="0.25">
      <c r="L28" s="3"/>
      <c r="M28" s="63"/>
      <c r="N28" s="63"/>
    </row>
    <row r="32" spans="1:14" x14ac:dyDescent="0.25">
      <c r="A32" s="2" t="s">
        <v>104</v>
      </c>
    </row>
    <row r="33" spans="3:22" x14ac:dyDescent="0.25">
      <c r="C33" s="46" t="s">
        <v>101</v>
      </c>
      <c r="D33" s="48">
        <v>1</v>
      </c>
      <c r="E33" s="48">
        <f>D33+1</f>
        <v>2</v>
      </c>
      <c r="F33" s="48">
        <f t="shared" ref="F33:T33" si="0">E33+1</f>
        <v>3</v>
      </c>
      <c r="G33" s="48">
        <f t="shared" si="0"/>
        <v>4</v>
      </c>
      <c r="H33" s="48">
        <f t="shared" si="0"/>
        <v>5</v>
      </c>
      <c r="I33" s="48">
        <f t="shared" si="0"/>
        <v>6</v>
      </c>
      <c r="J33" s="48">
        <f t="shared" si="0"/>
        <v>7</v>
      </c>
      <c r="K33" s="48">
        <f t="shared" si="0"/>
        <v>8</v>
      </c>
      <c r="L33" s="48">
        <f t="shared" si="0"/>
        <v>9</v>
      </c>
      <c r="M33" s="48">
        <f t="shared" si="0"/>
        <v>10</v>
      </c>
      <c r="N33" s="48">
        <f t="shared" si="0"/>
        <v>11</v>
      </c>
      <c r="O33" s="48">
        <f t="shared" si="0"/>
        <v>12</v>
      </c>
      <c r="P33" s="48">
        <f t="shared" si="0"/>
        <v>13</v>
      </c>
      <c r="Q33" s="48">
        <f t="shared" si="0"/>
        <v>14</v>
      </c>
      <c r="R33" s="48">
        <f t="shared" si="0"/>
        <v>15</v>
      </c>
      <c r="S33" s="48">
        <f t="shared" si="0"/>
        <v>16</v>
      </c>
      <c r="T33" s="48">
        <f t="shared" si="0"/>
        <v>17</v>
      </c>
    </row>
    <row r="34" spans="3:22" x14ac:dyDescent="0.25">
      <c r="C34" s="46" t="s">
        <v>102</v>
      </c>
      <c r="D34" s="191" cm="1">
        <f t="array" ref="D34:T37">NV[#Data]</f>
        <v>46143</v>
      </c>
      <c r="E34" s="191">
        <v>46174</v>
      </c>
      <c r="F34" s="191">
        <v>46204</v>
      </c>
      <c r="G34" s="191">
        <v>46235</v>
      </c>
      <c r="H34" s="191">
        <v>46266</v>
      </c>
      <c r="I34" s="191">
        <v>46296</v>
      </c>
      <c r="J34" s="191">
        <v>46327</v>
      </c>
      <c r="K34" s="191">
        <v>46357</v>
      </c>
      <c r="L34" s="191">
        <v>46388</v>
      </c>
      <c r="M34" s="191">
        <v>46419</v>
      </c>
      <c r="N34" s="191">
        <v>46447</v>
      </c>
      <c r="O34" s="191">
        <v>46478</v>
      </c>
      <c r="P34" s="191">
        <v>46508</v>
      </c>
      <c r="Q34" s="191">
        <v>46539</v>
      </c>
      <c r="R34" s="191">
        <v>46569</v>
      </c>
      <c r="S34" s="191">
        <v>46600</v>
      </c>
      <c r="T34" s="191">
        <v>46631</v>
      </c>
    </row>
    <row r="35" spans="3:22" x14ac:dyDescent="0.25">
      <c r="C35" s="46" t="s">
        <v>90</v>
      </c>
      <c r="D35" s="52">
        <v>1386.6</v>
      </c>
      <c r="E35" s="52">
        <v>1386.6</v>
      </c>
      <c r="F35" s="52">
        <v>1386.6</v>
      </c>
      <c r="G35" s="52">
        <v>1390</v>
      </c>
      <c r="H35" s="52">
        <v>1404</v>
      </c>
      <c r="I35" s="52">
        <v>1404</v>
      </c>
      <c r="J35" s="52">
        <v>1390</v>
      </c>
      <c r="K35" s="52">
        <v>1404</v>
      </c>
      <c r="L35" s="52">
        <v>1418</v>
      </c>
      <c r="M35" s="52">
        <v>1432</v>
      </c>
      <c r="N35" s="52">
        <v>1404</v>
      </c>
      <c r="O35" s="52">
        <v>1386.6</v>
      </c>
      <c r="P35" s="52">
        <v>1335.4</v>
      </c>
      <c r="Q35" s="52">
        <v>1309.7999999999995</v>
      </c>
      <c r="R35" s="52">
        <v>1284.1999999999998</v>
      </c>
      <c r="S35" s="52">
        <v>1284.1999999999998</v>
      </c>
      <c r="T35" s="52">
        <v>1284.1999999999998</v>
      </c>
      <c r="U35" s="49"/>
      <c r="V35" s="50"/>
    </row>
    <row r="36" spans="3:22" x14ac:dyDescent="0.25">
      <c r="C36" s="46" t="s">
        <v>91</v>
      </c>
      <c r="D36" s="52">
        <v>1007.5</v>
      </c>
      <c r="E36" s="52">
        <v>1349.5000000000002</v>
      </c>
      <c r="F36" s="52">
        <v>1349.5000000000002</v>
      </c>
      <c r="G36" s="52">
        <v>1355</v>
      </c>
      <c r="H36" s="52">
        <v>1190.5</v>
      </c>
      <c r="I36" s="52">
        <v>819.5</v>
      </c>
      <c r="J36" s="52">
        <v>803</v>
      </c>
      <c r="K36" s="52">
        <v>1292.5</v>
      </c>
      <c r="L36" s="52">
        <v>1116</v>
      </c>
      <c r="M36" s="52">
        <v>877.5</v>
      </c>
      <c r="N36" s="52">
        <v>980.5</v>
      </c>
      <c r="O36" s="52">
        <v>1223.5999999999999</v>
      </c>
      <c r="P36" s="52">
        <v>1299.9000000000001</v>
      </c>
      <c r="Q36" s="52">
        <v>1273.7999999999995</v>
      </c>
      <c r="R36" s="52">
        <v>1248.1999999999998</v>
      </c>
      <c r="S36" s="52">
        <v>1248.1999999999998</v>
      </c>
      <c r="T36" s="52">
        <v>1248.1999999999998</v>
      </c>
      <c r="U36" s="49"/>
      <c r="V36" s="10"/>
    </row>
    <row r="37" spans="3:22" x14ac:dyDescent="0.25">
      <c r="C37" s="46" t="s">
        <v>103</v>
      </c>
      <c r="D37" s="193">
        <v>0.72659743256887344</v>
      </c>
      <c r="E37" s="193">
        <v>0.97324390595701726</v>
      </c>
      <c r="F37" s="193">
        <v>0.97324390595701726</v>
      </c>
      <c r="G37" s="193">
        <v>0.97482014388489213</v>
      </c>
      <c r="H37" s="193">
        <v>0.84793447293447288</v>
      </c>
      <c r="I37" s="193">
        <v>0.58368945868945865</v>
      </c>
      <c r="J37" s="193">
        <v>0.57769784172661875</v>
      </c>
      <c r="K37" s="193">
        <v>0.92058404558404561</v>
      </c>
      <c r="L37" s="193">
        <v>0.78702397743300423</v>
      </c>
      <c r="M37" s="193">
        <v>0.61277932960893855</v>
      </c>
      <c r="N37" s="193">
        <v>0.6983618233618234</v>
      </c>
      <c r="O37" s="193">
        <v>0.88244627145535848</v>
      </c>
      <c r="P37" s="193">
        <v>0.97341620488243219</v>
      </c>
      <c r="Q37" s="193">
        <v>0.97251488776912509</v>
      </c>
      <c r="R37" s="193">
        <v>0.97196698333592901</v>
      </c>
      <c r="S37" s="193">
        <v>0.97196698333592901</v>
      </c>
      <c r="T37" s="193">
        <v>0.97196698333592901</v>
      </c>
      <c r="U37" s="51"/>
      <c r="V37" s="52"/>
    </row>
    <row r="38" spans="3:22" x14ac:dyDescent="0.25">
      <c r="S38" s="1"/>
      <c r="T38" s="48"/>
      <c r="U38" s="49"/>
      <c r="V38" s="11"/>
    </row>
    <row r="39" spans="3:22" x14ac:dyDescent="0.25">
      <c r="D39" s="193"/>
    </row>
  </sheetData>
  <dataValidations count="1">
    <dataValidation type="list" showInputMessage="1" sqref="D6" xr:uid="{00000000-0002-0000-0000-000000000000}">
      <formula1>"January,February,March,April,May,June,July, August,September,October,November,December"</formula1>
    </dataValidation>
  </dataValidations>
  <pageMargins left="0.7" right="0.7" top="0.75" bottom="0.75" header="0.3" footer="0.3"/>
  <pageSetup orientation="portrait" r:id="rId1"/>
  <ignoredErrors>
    <ignoredError sqref="G22:G23 G18:G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AP">
                <anchor moveWithCells="1" sizeWithCells="1">
                  <from>
                    <xdr:col>0</xdr:col>
                    <xdr:colOff>716280</xdr:colOff>
                    <xdr:row>26</xdr:row>
                    <xdr:rowOff>152400</xdr:rowOff>
                  </from>
                  <to>
                    <xdr:col>2</xdr:col>
                    <xdr:colOff>685800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Hoover">
                <anchor moveWithCells="1" sizeWithCells="1">
                  <from>
                    <xdr:col>3</xdr:col>
                    <xdr:colOff>144780</xdr:colOff>
                    <xdr:row>26</xdr:row>
                    <xdr:rowOff>152400</xdr:rowOff>
                  </from>
                  <to>
                    <xdr:col>5</xdr:col>
                    <xdr:colOff>137160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Havasu">
                <anchor moveWithCells="1" sizeWithCells="1">
                  <from>
                    <xdr:col>5</xdr:col>
                    <xdr:colOff>441960</xdr:colOff>
                    <xdr:row>26</xdr:row>
                    <xdr:rowOff>152400</xdr:rowOff>
                  </from>
                  <to>
                    <xdr:col>7</xdr:col>
                    <xdr:colOff>411480</xdr:colOff>
                    <xdr:row>29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FFC000"/>
  </sheetPr>
  <dimension ref="A3:K15"/>
  <sheetViews>
    <sheetView zoomScaleNormal="100" workbookViewId="0">
      <selection activeCell="E9" sqref="E9"/>
    </sheetView>
  </sheetViews>
  <sheetFormatPr defaultRowHeight="13.2" x14ac:dyDescent="0.25"/>
  <cols>
    <col min="3" max="3" width="9.5546875" bestFit="1" customWidth="1"/>
    <col min="4" max="4" width="3.5546875" customWidth="1"/>
    <col min="5" max="5" width="9.44140625" bestFit="1" customWidth="1"/>
    <col min="6" max="6" width="3.5546875" customWidth="1"/>
    <col min="10" max="10" width="14.44140625" bestFit="1" customWidth="1"/>
  </cols>
  <sheetData>
    <row r="3" spans="1:11" ht="17.399999999999999" x14ac:dyDescent="0.3">
      <c r="A3" s="115" t="s">
        <v>0</v>
      </c>
      <c r="B3" s="118"/>
      <c r="C3" s="119" t="s">
        <v>10</v>
      </c>
      <c r="D3" s="116" t="s">
        <v>7</v>
      </c>
      <c r="E3" s="118"/>
      <c r="F3" s="117"/>
      <c r="G3" s="117"/>
    </row>
    <row r="4" spans="1:11" x14ac:dyDescent="0.25">
      <c r="C4" s="6" t="s">
        <v>11</v>
      </c>
      <c r="D4" s="6"/>
      <c r="E4" s="6" t="s">
        <v>12</v>
      </c>
      <c r="F4" s="6"/>
      <c r="G4" s="6" t="s">
        <v>13</v>
      </c>
    </row>
    <row r="5" spans="1:11" x14ac:dyDescent="0.25">
      <c r="B5" s="12" t="s">
        <v>15</v>
      </c>
      <c r="C5" s="120">
        <v>5</v>
      </c>
      <c r="D5" s="9"/>
      <c r="E5" s="120">
        <v>7</v>
      </c>
      <c r="G5" s="120">
        <v>0</v>
      </c>
    </row>
    <row r="6" spans="1:11" x14ac:dyDescent="0.25">
      <c r="B6" s="12" t="s">
        <v>8</v>
      </c>
      <c r="C6" s="9">
        <f>230*C5</f>
        <v>1150</v>
      </c>
      <c r="D6" s="9"/>
      <c r="E6" s="9">
        <f>230*E5</f>
        <v>1610</v>
      </c>
      <c r="F6" s="9"/>
      <c r="G6" s="9">
        <f>230*G5</f>
        <v>0</v>
      </c>
      <c r="J6" s="3" t="s">
        <v>93</v>
      </c>
      <c r="K6">
        <v>11616</v>
      </c>
    </row>
    <row r="7" spans="1:11" x14ac:dyDescent="0.25">
      <c r="B7" s="12" t="s">
        <v>9</v>
      </c>
      <c r="C7" s="9">
        <f>C6*1.9835</f>
        <v>2281.0250000000001</v>
      </c>
      <c r="D7" s="9"/>
      <c r="E7" s="9">
        <f>E6*1.9835</f>
        <v>3193.4349999999999</v>
      </c>
      <c r="F7" s="9"/>
      <c r="G7" s="9">
        <f>G6*1.9835</f>
        <v>0</v>
      </c>
      <c r="J7" s="3" t="s">
        <v>94</v>
      </c>
      <c r="K7" s="63"/>
    </row>
    <row r="8" spans="1:11" x14ac:dyDescent="0.25">
      <c r="B8" s="12" t="s">
        <v>14</v>
      </c>
      <c r="C8" s="120">
        <v>14</v>
      </c>
      <c r="D8" s="9"/>
      <c r="E8" s="120">
        <v>17</v>
      </c>
      <c r="F8" s="9"/>
      <c r="G8" s="120">
        <v>0</v>
      </c>
    </row>
    <row r="10" spans="1:11" x14ac:dyDescent="0.25">
      <c r="B10" s="12" t="s">
        <v>16</v>
      </c>
      <c r="C10" s="13">
        <f>C8*C6*1.9835</f>
        <v>31934.350000000002</v>
      </c>
      <c r="D10" s="13"/>
      <c r="E10" s="13">
        <f>E8*E7</f>
        <v>54288.394999999997</v>
      </c>
      <c r="F10" s="13"/>
      <c r="G10" s="13">
        <f>G8*G6*1.9835</f>
        <v>0</v>
      </c>
    </row>
    <row r="12" spans="1:11" ht="15.6" x14ac:dyDescent="0.3">
      <c r="B12" s="121" t="s">
        <v>60</v>
      </c>
      <c r="C12" s="122">
        <f>C10+E10+G10</f>
        <v>86222.744999999995</v>
      </c>
      <c r="D12" s="123"/>
      <c r="E12" s="123"/>
    </row>
    <row r="13" spans="1:11" x14ac:dyDescent="0.25">
      <c r="C13">
        <v>11616</v>
      </c>
    </row>
    <row r="14" spans="1:11" x14ac:dyDescent="0.25">
      <c r="C14" s="63">
        <f>SUM(C12:C13)</f>
        <v>97838.744999999995</v>
      </c>
      <c r="K14">
        <v>55411.68</v>
      </c>
    </row>
    <row r="15" spans="1:11" x14ac:dyDescent="0.25">
      <c r="J15" s="63">
        <f>C12+K6</f>
        <v>97838.744999999995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X42"/>
  <sheetViews>
    <sheetView topLeftCell="A3" zoomScale="90" zoomScaleNormal="90" workbookViewId="0">
      <selection activeCell="A8" sqref="A8:XFD8"/>
    </sheetView>
  </sheetViews>
  <sheetFormatPr defaultColWidth="9.44140625" defaultRowHeight="13.2" x14ac:dyDescent="0.25"/>
  <cols>
    <col min="1" max="1" width="12.5546875" customWidth="1"/>
    <col min="2" max="2" width="8.5546875" customWidth="1"/>
    <col min="3" max="17" width="9.5546875" customWidth="1"/>
    <col min="18" max="20" width="9.44140625" customWidth="1"/>
    <col min="21" max="21" width="3.5546875" customWidth="1"/>
    <col min="22" max="23" width="9.44140625" customWidth="1"/>
    <col min="24" max="24" width="14.44140625" bestFit="1" customWidth="1"/>
  </cols>
  <sheetData>
    <row r="1" spans="1:24" ht="16.2" thickBot="1" x14ac:dyDescent="0.35">
      <c r="A1" s="23" t="s">
        <v>34</v>
      </c>
    </row>
    <row r="2" spans="1:24" ht="16.2" thickBot="1" x14ac:dyDescent="0.35">
      <c r="A2" s="2" t="s">
        <v>70</v>
      </c>
      <c r="B2" s="21"/>
      <c r="C2" s="21"/>
      <c r="D2" s="24"/>
      <c r="F2" s="206">
        <v>46087</v>
      </c>
      <c r="G2" s="207"/>
      <c r="H2" s="156"/>
    </row>
    <row r="3" spans="1:24" ht="13.8" thickBot="1" x14ac:dyDescent="0.3"/>
    <row r="4" spans="1:24" s="9" customFormat="1" ht="16.2" thickBot="1" x14ac:dyDescent="0.35">
      <c r="A4" s="25"/>
      <c r="B4" s="22"/>
      <c r="C4" s="109"/>
      <c r="D4" s="110" t="s">
        <v>35</v>
      </c>
      <c r="E4" s="111"/>
      <c r="F4" s="109"/>
      <c r="G4" s="110" t="s">
        <v>36</v>
      </c>
      <c r="H4" s="111"/>
      <c r="I4" s="109"/>
      <c r="J4" s="110" t="s">
        <v>37</v>
      </c>
      <c r="K4" s="111"/>
      <c r="L4" s="109"/>
      <c r="M4" s="110" t="s">
        <v>38</v>
      </c>
      <c r="N4" s="111"/>
      <c r="O4" s="109"/>
      <c r="P4" s="110" t="s">
        <v>39</v>
      </c>
      <c r="Q4" s="111"/>
      <c r="R4" s="26"/>
      <c r="S4" s="27"/>
      <c r="T4" s="28"/>
      <c r="V4" s="87"/>
      <c r="W4" s="88"/>
    </row>
    <row r="5" spans="1:24" s="33" customFormat="1" ht="53.4" thickBot="1" x14ac:dyDescent="0.3">
      <c r="A5" s="31" t="s">
        <v>30</v>
      </c>
      <c r="B5" s="32" t="s">
        <v>40</v>
      </c>
      <c r="C5" s="112" t="s">
        <v>41</v>
      </c>
      <c r="D5" s="113" t="s">
        <v>42</v>
      </c>
      <c r="E5" s="114" t="s">
        <v>43</v>
      </c>
      <c r="F5" s="112" t="s">
        <v>41</v>
      </c>
      <c r="G5" s="113" t="s">
        <v>42</v>
      </c>
      <c r="H5" s="114" t="s">
        <v>43</v>
      </c>
      <c r="I5" s="112" t="s">
        <v>41</v>
      </c>
      <c r="J5" s="113" t="s">
        <v>42</v>
      </c>
      <c r="K5" s="114" t="s">
        <v>43</v>
      </c>
      <c r="L5" s="112" t="s">
        <v>41</v>
      </c>
      <c r="M5" s="113" t="s">
        <v>42</v>
      </c>
      <c r="N5" s="114" t="s">
        <v>43</v>
      </c>
      <c r="O5" s="112" t="s">
        <v>41</v>
      </c>
      <c r="P5" s="113" t="s">
        <v>42</v>
      </c>
      <c r="Q5" s="114" t="s">
        <v>43</v>
      </c>
      <c r="R5" s="29" t="s">
        <v>44</v>
      </c>
      <c r="S5" s="16" t="s">
        <v>45</v>
      </c>
      <c r="T5" s="30" t="s">
        <v>31</v>
      </c>
      <c r="V5" s="208" t="s">
        <v>59</v>
      </c>
      <c r="W5" s="209"/>
    </row>
    <row r="6" spans="1:24" x14ac:dyDescent="0.25">
      <c r="A6" s="64">
        <v>46023</v>
      </c>
      <c r="B6" s="65">
        <v>31</v>
      </c>
      <c r="C6" s="103"/>
      <c r="D6" s="104"/>
      <c r="E6" s="65">
        <f>IF(C6&gt;0,$B6-(D6-C6+1),$B6)</f>
        <v>31</v>
      </c>
      <c r="F6" s="103"/>
      <c r="G6" s="104"/>
      <c r="H6" s="65">
        <f>IF(F6&gt;0,$B6-(G6-F6+1),$B6)</f>
        <v>31</v>
      </c>
      <c r="I6" s="103">
        <v>1</v>
      </c>
      <c r="J6" s="104">
        <v>31</v>
      </c>
      <c r="K6" s="65">
        <f>IF(I6&gt;0,$B6-(J6-I6+1),$B6)</f>
        <v>0</v>
      </c>
      <c r="L6" s="103">
        <v>29</v>
      </c>
      <c r="M6" s="104">
        <v>31</v>
      </c>
      <c r="N6" s="65">
        <f t="shared" ref="N6:N29" si="0">IF(L6&gt;0,$B6-(M6-L6+1),$B6)</f>
        <v>28</v>
      </c>
      <c r="O6" s="103">
        <v>1</v>
      </c>
      <c r="P6" s="104">
        <v>5</v>
      </c>
      <c r="Q6" s="66">
        <f t="shared" ref="Q6:Q29" si="1">IF(O6&gt;0,$B6-(P6-O6+1),$B6)</f>
        <v>26</v>
      </c>
      <c r="R6" s="67">
        <f t="shared" ref="R6:R7" si="2">5*B6</f>
        <v>155</v>
      </c>
      <c r="S6" s="68">
        <f>SUM(E6,H6,K6,N6,Q6)</f>
        <v>116</v>
      </c>
      <c r="T6" s="69">
        <f t="shared" ref="T6:T29" si="3">ROUND(S6/R6,4)</f>
        <v>0.74839999999999995</v>
      </c>
      <c r="V6" s="82">
        <v>1</v>
      </c>
      <c r="W6" s="85">
        <f t="shared" ref="W6:W41" si="4">T6</f>
        <v>0.74839999999999995</v>
      </c>
      <c r="X6" s="55"/>
    </row>
    <row r="7" spans="1:24" x14ac:dyDescent="0.25">
      <c r="A7" s="70">
        <v>46054</v>
      </c>
      <c r="B7" s="71">
        <v>28</v>
      </c>
      <c r="C7" s="105"/>
      <c r="D7" s="106"/>
      <c r="E7" s="71">
        <f>IF(C7&gt;0,$B7-(D7-C7+1),$B7)</f>
        <v>28</v>
      </c>
      <c r="F7" s="105"/>
      <c r="G7" s="106"/>
      <c r="H7" s="71">
        <f>IF(F7&gt;0,$B7-(G7-F7+1),$B7)</f>
        <v>28</v>
      </c>
      <c r="I7" s="105">
        <v>1</v>
      </c>
      <c r="J7" s="106">
        <v>28</v>
      </c>
      <c r="K7" s="71">
        <f>IF(I7&gt;0,$B7-(J7-I7+1),$B7)</f>
        <v>0</v>
      </c>
      <c r="L7" s="105">
        <v>1</v>
      </c>
      <c r="M7" s="106">
        <v>28</v>
      </c>
      <c r="N7" s="71">
        <f t="shared" si="0"/>
        <v>0</v>
      </c>
      <c r="O7" s="105"/>
      <c r="P7" s="106"/>
      <c r="Q7" s="72">
        <f t="shared" si="1"/>
        <v>28</v>
      </c>
      <c r="R7" s="73">
        <f t="shared" si="2"/>
        <v>140</v>
      </c>
      <c r="S7" s="74">
        <f t="shared" ref="S7:S17" si="5">SUM(E7,H7,K7,N7,Q7)</f>
        <v>84</v>
      </c>
      <c r="T7" s="75">
        <f t="shared" si="3"/>
        <v>0.6</v>
      </c>
      <c r="V7" s="81">
        <f>V6+1</f>
        <v>2</v>
      </c>
      <c r="W7" s="83">
        <f t="shared" si="4"/>
        <v>0.6</v>
      </c>
      <c r="X7" s="55"/>
    </row>
    <row r="8" spans="1:24" x14ac:dyDescent="0.25">
      <c r="A8" s="70">
        <v>46082</v>
      </c>
      <c r="B8" s="71">
        <v>31</v>
      </c>
      <c r="C8" s="105"/>
      <c r="D8" s="106"/>
      <c r="E8" s="71">
        <f>IF(C8&gt;0,$B8-(D8-C8+1),$B8)</f>
        <v>31</v>
      </c>
      <c r="F8" s="105"/>
      <c r="G8" s="106"/>
      <c r="H8" s="71">
        <f>IF(F8&gt;0,$B8-(G8-F8+1),$B8)</f>
        <v>31</v>
      </c>
      <c r="I8" s="105">
        <v>1</v>
      </c>
      <c r="J8" s="106">
        <v>31</v>
      </c>
      <c r="K8" s="71">
        <f>IF(I8&gt;0,$B8-(J8-I8+1),$B8)</f>
        <v>0</v>
      </c>
      <c r="L8" s="105">
        <v>1</v>
      </c>
      <c r="M8" s="106">
        <v>2</v>
      </c>
      <c r="N8" s="71">
        <f t="shared" si="0"/>
        <v>29</v>
      </c>
      <c r="O8" s="105"/>
      <c r="P8" s="106"/>
      <c r="Q8" s="72">
        <f t="shared" si="1"/>
        <v>31</v>
      </c>
      <c r="R8" s="73">
        <f>5*B8</f>
        <v>155</v>
      </c>
      <c r="S8" s="74">
        <f t="shared" si="5"/>
        <v>122</v>
      </c>
      <c r="T8" s="75">
        <f t="shared" si="3"/>
        <v>0.78710000000000002</v>
      </c>
      <c r="V8" s="81">
        <f t="shared" ref="V8:V41" si="6">V7+1</f>
        <v>3</v>
      </c>
      <c r="W8" s="83">
        <f t="shared" si="4"/>
        <v>0.78710000000000002</v>
      </c>
      <c r="X8" s="55"/>
    </row>
    <row r="9" spans="1:24" x14ac:dyDescent="0.25">
      <c r="A9" s="70">
        <v>46113</v>
      </c>
      <c r="B9" s="71">
        <v>30</v>
      </c>
      <c r="C9" s="105"/>
      <c r="D9" s="106"/>
      <c r="E9" s="71">
        <f t="shared" ref="E9:E17" si="7">IF(C9&gt;0,$B9-(D9-C9+1),$B9)</f>
        <v>30</v>
      </c>
      <c r="F9" s="105"/>
      <c r="G9" s="106"/>
      <c r="H9" s="71">
        <f t="shared" ref="H9:H17" si="8">IF(F9&gt;0,$B9-(G9-F9+1),$B9)</f>
        <v>30</v>
      </c>
      <c r="I9" s="105">
        <v>1</v>
      </c>
      <c r="J9" s="106">
        <v>30</v>
      </c>
      <c r="K9" s="71">
        <f t="shared" ref="K9:K17" si="9">IF(I9&gt;0,$B9-(J9-I9+1),$B9)</f>
        <v>0</v>
      </c>
      <c r="L9" s="105"/>
      <c r="M9" s="106"/>
      <c r="N9" s="71">
        <f t="shared" si="0"/>
        <v>30</v>
      </c>
      <c r="O9" s="105"/>
      <c r="P9" s="106"/>
      <c r="Q9" s="72">
        <f t="shared" si="1"/>
        <v>30</v>
      </c>
      <c r="R9" s="73">
        <f t="shared" ref="R9:R29" si="10">5*B9</f>
        <v>150</v>
      </c>
      <c r="S9" s="74">
        <f t="shared" si="5"/>
        <v>120</v>
      </c>
      <c r="T9" s="75">
        <f t="shared" si="3"/>
        <v>0.8</v>
      </c>
      <c r="V9" s="81">
        <f t="shared" si="6"/>
        <v>4</v>
      </c>
      <c r="W9" s="83">
        <f t="shared" si="4"/>
        <v>0.8</v>
      </c>
      <c r="X9" s="55"/>
    </row>
    <row r="10" spans="1:24" x14ac:dyDescent="0.25">
      <c r="A10" s="70">
        <v>46143</v>
      </c>
      <c r="B10" s="71">
        <v>31</v>
      </c>
      <c r="C10" s="105"/>
      <c r="D10" s="106"/>
      <c r="E10" s="71">
        <f t="shared" si="7"/>
        <v>31</v>
      </c>
      <c r="F10" s="105"/>
      <c r="G10" s="106"/>
      <c r="H10" s="71">
        <f t="shared" si="8"/>
        <v>31</v>
      </c>
      <c r="I10" s="105">
        <v>1</v>
      </c>
      <c r="J10" s="106">
        <v>31</v>
      </c>
      <c r="K10" s="71">
        <f t="shared" si="9"/>
        <v>0</v>
      </c>
      <c r="L10" s="105"/>
      <c r="M10" s="106"/>
      <c r="N10" s="71">
        <f t="shared" si="0"/>
        <v>31</v>
      </c>
      <c r="O10" s="105"/>
      <c r="P10" s="106"/>
      <c r="Q10" s="72">
        <f t="shared" si="1"/>
        <v>31</v>
      </c>
      <c r="R10" s="73">
        <f t="shared" si="10"/>
        <v>155</v>
      </c>
      <c r="S10" s="74">
        <f t="shared" si="5"/>
        <v>124</v>
      </c>
      <c r="T10" s="75">
        <f t="shared" si="3"/>
        <v>0.8</v>
      </c>
      <c r="V10" s="81">
        <f t="shared" si="6"/>
        <v>5</v>
      </c>
      <c r="W10" s="83">
        <f t="shared" si="4"/>
        <v>0.8</v>
      </c>
    </row>
    <row r="11" spans="1:24" x14ac:dyDescent="0.25">
      <c r="A11" s="70">
        <v>46174</v>
      </c>
      <c r="B11" s="71">
        <v>30</v>
      </c>
      <c r="C11" s="105"/>
      <c r="D11" s="106"/>
      <c r="E11" s="71">
        <f t="shared" si="7"/>
        <v>30</v>
      </c>
      <c r="F11" s="105"/>
      <c r="G11" s="106"/>
      <c r="H11" s="71">
        <f t="shared" si="8"/>
        <v>30</v>
      </c>
      <c r="I11" s="105">
        <v>1</v>
      </c>
      <c r="J11" s="106">
        <v>1</v>
      </c>
      <c r="K11" s="71">
        <f t="shared" si="9"/>
        <v>29</v>
      </c>
      <c r="L11" s="105"/>
      <c r="M11" s="106"/>
      <c r="N11" s="71">
        <f t="shared" si="0"/>
        <v>30</v>
      </c>
      <c r="O11" s="105"/>
      <c r="P11" s="106"/>
      <c r="Q11" s="72">
        <f t="shared" si="1"/>
        <v>30</v>
      </c>
      <c r="R11" s="73">
        <f t="shared" si="10"/>
        <v>150</v>
      </c>
      <c r="S11" s="74">
        <f t="shared" si="5"/>
        <v>149</v>
      </c>
      <c r="T11" s="75">
        <f t="shared" si="3"/>
        <v>0.99329999999999996</v>
      </c>
      <c r="V11" s="81">
        <f t="shared" si="6"/>
        <v>6</v>
      </c>
      <c r="W11" s="83">
        <f t="shared" si="4"/>
        <v>0.99329999999999996</v>
      </c>
    </row>
    <row r="12" spans="1:24" x14ac:dyDescent="0.25">
      <c r="A12" s="70">
        <v>46204</v>
      </c>
      <c r="B12" s="71">
        <v>31</v>
      </c>
      <c r="C12" s="105"/>
      <c r="D12" s="106"/>
      <c r="E12" s="71">
        <f t="shared" si="7"/>
        <v>31</v>
      </c>
      <c r="F12" s="105"/>
      <c r="G12" s="106"/>
      <c r="H12" s="71">
        <f t="shared" si="8"/>
        <v>31</v>
      </c>
      <c r="I12" s="105"/>
      <c r="J12" s="106"/>
      <c r="K12" s="71">
        <f t="shared" si="9"/>
        <v>31</v>
      </c>
      <c r="L12" s="105"/>
      <c r="M12" s="106"/>
      <c r="N12" s="71">
        <f t="shared" si="0"/>
        <v>31</v>
      </c>
      <c r="O12" s="105"/>
      <c r="P12" s="106"/>
      <c r="Q12" s="72">
        <f t="shared" si="1"/>
        <v>31</v>
      </c>
      <c r="R12" s="73">
        <f t="shared" si="10"/>
        <v>155</v>
      </c>
      <c r="S12" s="74">
        <f t="shared" si="5"/>
        <v>155</v>
      </c>
      <c r="T12" s="75">
        <f t="shared" si="3"/>
        <v>1</v>
      </c>
      <c r="V12" s="81">
        <f t="shared" si="6"/>
        <v>7</v>
      </c>
      <c r="W12" s="83">
        <f t="shared" si="4"/>
        <v>1</v>
      </c>
    </row>
    <row r="13" spans="1:24" x14ac:dyDescent="0.25">
      <c r="A13" s="70">
        <v>46235</v>
      </c>
      <c r="B13" s="71">
        <v>31</v>
      </c>
      <c r="C13" s="105"/>
      <c r="D13" s="106"/>
      <c r="E13" s="71">
        <f t="shared" si="7"/>
        <v>31</v>
      </c>
      <c r="F13" s="105"/>
      <c r="G13" s="106"/>
      <c r="H13" s="71">
        <f t="shared" si="8"/>
        <v>31</v>
      </c>
      <c r="I13" s="105"/>
      <c r="J13" s="106"/>
      <c r="K13" s="71">
        <f t="shared" si="9"/>
        <v>31</v>
      </c>
      <c r="L13" s="105"/>
      <c r="M13" s="106"/>
      <c r="N13" s="71">
        <f t="shared" si="0"/>
        <v>31</v>
      </c>
      <c r="O13" s="105"/>
      <c r="P13" s="106"/>
      <c r="Q13" s="72">
        <f t="shared" si="1"/>
        <v>31</v>
      </c>
      <c r="R13" s="73">
        <f t="shared" si="10"/>
        <v>155</v>
      </c>
      <c r="S13" s="74">
        <f t="shared" si="5"/>
        <v>155</v>
      </c>
      <c r="T13" s="75">
        <f t="shared" si="3"/>
        <v>1</v>
      </c>
      <c r="V13" s="81">
        <f t="shared" si="6"/>
        <v>8</v>
      </c>
      <c r="W13" s="83">
        <f t="shared" si="4"/>
        <v>1</v>
      </c>
    </row>
    <row r="14" spans="1:24" x14ac:dyDescent="0.25">
      <c r="A14" s="70">
        <v>46266</v>
      </c>
      <c r="B14" s="71">
        <v>30</v>
      </c>
      <c r="C14" s="105"/>
      <c r="D14" s="106"/>
      <c r="E14" s="71">
        <f t="shared" si="7"/>
        <v>30</v>
      </c>
      <c r="F14" s="105"/>
      <c r="G14" s="106"/>
      <c r="H14" s="71">
        <f t="shared" si="8"/>
        <v>30</v>
      </c>
      <c r="I14" s="105"/>
      <c r="J14" s="106"/>
      <c r="K14" s="71">
        <f t="shared" si="9"/>
        <v>30</v>
      </c>
      <c r="L14" s="105"/>
      <c r="M14" s="106"/>
      <c r="N14" s="71">
        <f t="shared" si="0"/>
        <v>30</v>
      </c>
      <c r="O14" s="105"/>
      <c r="P14" s="106"/>
      <c r="Q14" s="72">
        <f t="shared" si="1"/>
        <v>30</v>
      </c>
      <c r="R14" s="73">
        <f t="shared" si="10"/>
        <v>150</v>
      </c>
      <c r="S14" s="74">
        <f t="shared" si="5"/>
        <v>150</v>
      </c>
      <c r="T14" s="75">
        <f t="shared" si="3"/>
        <v>1</v>
      </c>
      <c r="V14" s="81">
        <f t="shared" si="6"/>
        <v>9</v>
      </c>
      <c r="W14" s="83">
        <f t="shared" si="4"/>
        <v>1</v>
      </c>
    </row>
    <row r="15" spans="1:24" x14ac:dyDescent="0.25">
      <c r="A15" s="70">
        <v>46296</v>
      </c>
      <c r="B15" s="71">
        <v>31</v>
      </c>
      <c r="C15" s="105">
        <v>20</v>
      </c>
      <c r="D15" s="106">
        <v>31</v>
      </c>
      <c r="E15" s="71">
        <f t="shared" si="7"/>
        <v>19</v>
      </c>
      <c r="F15" s="105">
        <v>27</v>
      </c>
      <c r="G15" s="106">
        <v>31</v>
      </c>
      <c r="H15" s="71">
        <f t="shared" si="8"/>
        <v>26</v>
      </c>
      <c r="I15" s="105"/>
      <c r="J15" s="106"/>
      <c r="K15" s="71">
        <f t="shared" si="9"/>
        <v>31</v>
      </c>
      <c r="L15" s="105"/>
      <c r="M15" s="106"/>
      <c r="N15" s="71">
        <f t="shared" si="0"/>
        <v>31</v>
      </c>
      <c r="O15" s="105"/>
      <c r="P15" s="106"/>
      <c r="Q15" s="72">
        <f t="shared" si="1"/>
        <v>31</v>
      </c>
      <c r="R15" s="73">
        <f t="shared" si="10"/>
        <v>155</v>
      </c>
      <c r="S15" s="74">
        <f t="shared" si="5"/>
        <v>138</v>
      </c>
      <c r="T15" s="75">
        <f t="shared" si="3"/>
        <v>0.89029999999999998</v>
      </c>
      <c r="V15" s="81">
        <f t="shared" si="6"/>
        <v>10</v>
      </c>
      <c r="W15" s="83">
        <f t="shared" si="4"/>
        <v>0.89029999999999998</v>
      </c>
    </row>
    <row r="16" spans="1:24" x14ac:dyDescent="0.25">
      <c r="A16" s="70">
        <v>46327</v>
      </c>
      <c r="B16" s="71">
        <v>30</v>
      </c>
      <c r="C16" s="105">
        <v>1</v>
      </c>
      <c r="D16" s="106">
        <v>26</v>
      </c>
      <c r="E16" s="71">
        <f t="shared" si="7"/>
        <v>4</v>
      </c>
      <c r="F16" s="105">
        <v>1</v>
      </c>
      <c r="G16" s="106">
        <v>30</v>
      </c>
      <c r="H16" s="71">
        <f t="shared" si="8"/>
        <v>0</v>
      </c>
      <c r="I16" s="105"/>
      <c r="J16" s="106"/>
      <c r="K16" s="71">
        <f t="shared" si="9"/>
        <v>30</v>
      </c>
      <c r="L16" s="105"/>
      <c r="M16" s="106"/>
      <c r="N16" s="71">
        <f t="shared" si="0"/>
        <v>30</v>
      </c>
      <c r="O16" s="105"/>
      <c r="P16" s="106"/>
      <c r="Q16" s="72">
        <f t="shared" si="1"/>
        <v>30</v>
      </c>
      <c r="R16" s="73">
        <f t="shared" si="10"/>
        <v>150</v>
      </c>
      <c r="S16" s="74">
        <f t="shared" si="5"/>
        <v>94</v>
      </c>
      <c r="T16" s="75">
        <f t="shared" si="3"/>
        <v>0.62670000000000003</v>
      </c>
      <c r="V16" s="81">
        <f t="shared" si="6"/>
        <v>11</v>
      </c>
      <c r="W16" s="83">
        <f t="shared" si="4"/>
        <v>0.62670000000000003</v>
      </c>
    </row>
    <row r="17" spans="1:23" ht="13.8" thickBot="1" x14ac:dyDescent="0.3">
      <c r="A17" s="70">
        <v>46357</v>
      </c>
      <c r="B17" s="76">
        <v>31</v>
      </c>
      <c r="C17" s="107"/>
      <c r="D17" s="108"/>
      <c r="E17" s="76">
        <f t="shared" si="7"/>
        <v>31</v>
      </c>
      <c r="F17" s="107">
        <v>1</v>
      </c>
      <c r="G17" s="108">
        <v>31</v>
      </c>
      <c r="H17" s="76">
        <f t="shared" si="8"/>
        <v>0</v>
      </c>
      <c r="I17" s="107">
        <v>2</v>
      </c>
      <c r="J17" s="108">
        <v>31</v>
      </c>
      <c r="K17" s="76">
        <f t="shared" si="9"/>
        <v>1</v>
      </c>
      <c r="L17" s="107"/>
      <c r="M17" s="108"/>
      <c r="N17" s="76">
        <f t="shared" si="0"/>
        <v>31</v>
      </c>
      <c r="O17" s="107"/>
      <c r="P17" s="108"/>
      <c r="Q17" s="77">
        <f t="shared" si="1"/>
        <v>31</v>
      </c>
      <c r="R17" s="78">
        <f t="shared" si="10"/>
        <v>155</v>
      </c>
      <c r="S17" s="79">
        <f t="shared" si="5"/>
        <v>94</v>
      </c>
      <c r="T17" s="80">
        <f t="shared" si="3"/>
        <v>0.60650000000000004</v>
      </c>
      <c r="V17" s="86">
        <f t="shared" si="6"/>
        <v>12</v>
      </c>
      <c r="W17" s="84">
        <f t="shared" si="4"/>
        <v>0.60650000000000004</v>
      </c>
    </row>
    <row r="18" spans="1:23" x14ac:dyDescent="0.25">
      <c r="A18" s="64">
        <v>46388</v>
      </c>
      <c r="B18" s="65">
        <v>31</v>
      </c>
      <c r="C18" s="103"/>
      <c r="D18" s="104"/>
      <c r="E18" s="65">
        <f>IF(C18&gt;0,$B18-(D18-C18+1),$B18)</f>
        <v>31</v>
      </c>
      <c r="F18" s="103">
        <v>1</v>
      </c>
      <c r="G18" s="104">
        <v>31</v>
      </c>
      <c r="H18" s="65">
        <f>IF(F18&gt;0,$B18-(G18-F18+1),$B18)</f>
        <v>0</v>
      </c>
      <c r="I18" s="103">
        <v>1</v>
      </c>
      <c r="J18" s="104">
        <v>24</v>
      </c>
      <c r="K18" s="65">
        <f>IF(I18&gt;0,$B18-(J18-I18+1),$B18)</f>
        <v>7</v>
      </c>
      <c r="L18" s="103">
        <v>27</v>
      </c>
      <c r="M18" s="104">
        <v>31</v>
      </c>
      <c r="N18" s="65">
        <f t="shared" si="0"/>
        <v>26</v>
      </c>
      <c r="O18" s="103"/>
      <c r="P18" s="104"/>
      <c r="Q18" s="66">
        <f t="shared" si="1"/>
        <v>31</v>
      </c>
      <c r="R18" s="67">
        <f t="shared" si="10"/>
        <v>155</v>
      </c>
      <c r="S18" s="68">
        <f>SUM(E18,H18,K18,N18,Q18)</f>
        <v>95</v>
      </c>
      <c r="T18" s="69">
        <f t="shared" si="3"/>
        <v>0.6129</v>
      </c>
      <c r="V18" s="82">
        <f t="shared" si="6"/>
        <v>13</v>
      </c>
      <c r="W18" s="85">
        <f t="shared" si="4"/>
        <v>0.6129</v>
      </c>
    </row>
    <row r="19" spans="1:23" x14ac:dyDescent="0.25">
      <c r="A19" s="70">
        <v>46419</v>
      </c>
      <c r="B19" s="71">
        <v>28</v>
      </c>
      <c r="C19" s="105"/>
      <c r="D19" s="106"/>
      <c r="E19" s="71">
        <f>IF(C19&gt;0,$B19-(D19-C19+1),$B19)</f>
        <v>28</v>
      </c>
      <c r="F19" s="105">
        <v>1</v>
      </c>
      <c r="G19" s="106">
        <v>28</v>
      </c>
      <c r="H19" s="71">
        <f>IF(F19&gt;0,$B19-(G19-F19+1),$B19)</f>
        <v>0</v>
      </c>
      <c r="I19" s="105"/>
      <c r="J19" s="106"/>
      <c r="K19" s="71">
        <f>IF(I19&gt;0,$B19-(J19-I19+1),$B19)</f>
        <v>28</v>
      </c>
      <c r="L19" s="105">
        <v>1</v>
      </c>
      <c r="M19" s="106">
        <v>21</v>
      </c>
      <c r="N19" s="71">
        <f t="shared" si="0"/>
        <v>7</v>
      </c>
      <c r="O19" s="105">
        <v>24</v>
      </c>
      <c r="P19" s="106">
        <v>28</v>
      </c>
      <c r="Q19" s="72">
        <f t="shared" si="1"/>
        <v>23</v>
      </c>
      <c r="R19" s="73">
        <f t="shared" si="10"/>
        <v>140</v>
      </c>
      <c r="S19" s="74">
        <f t="shared" ref="S19:S29" si="11">SUM(E19,H19,K19,N19,Q19)</f>
        <v>86</v>
      </c>
      <c r="T19" s="75">
        <f t="shared" si="3"/>
        <v>0.61429999999999996</v>
      </c>
      <c r="V19" s="81">
        <f t="shared" si="6"/>
        <v>14</v>
      </c>
      <c r="W19" s="83">
        <f t="shared" si="4"/>
        <v>0.61429999999999996</v>
      </c>
    </row>
    <row r="20" spans="1:23" x14ac:dyDescent="0.25">
      <c r="A20" s="70">
        <v>46447</v>
      </c>
      <c r="B20" s="71">
        <v>31</v>
      </c>
      <c r="C20" s="105"/>
      <c r="D20" s="106"/>
      <c r="E20" s="71">
        <f>IF(C20&gt;0,$B20-(D20-C20+1),$B20)</f>
        <v>31</v>
      </c>
      <c r="F20" s="105">
        <v>1</v>
      </c>
      <c r="G20" s="106">
        <v>6</v>
      </c>
      <c r="H20" s="71">
        <f>IF(F20&gt;0,$B20-(G20-F20+1),$B20)</f>
        <v>25</v>
      </c>
      <c r="I20" s="105"/>
      <c r="J20" s="106"/>
      <c r="K20" s="71">
        <f>IF(I20&gt;0,$B20-(J20-I20+1),$B20)</f>
        <v>31</v>
      </c>
      <c r="L20" s="105"/>
      <c r="M20" s="106"/>
      <c r="N20" s="71">
        <f t="shared" si="0"/>
        <v>31</v>
      </c>
      <c r="O20" s="105">
        <v>1</v>
      </c>
      <c r="P20" s="106">
        <v>31</v>
      </c>
      <c r="Q20" s="72">
        <f t="shared" si="1"/>
        <v>0</v>
      </c>
      <c r="R20" s="73">
        <f t="shared" si="10"/>
        <v>155</v>
      </c>
      <c r="S20" s="74">
        <f t="shared" si="11"/>
        <v>118</v>
      </c>
      <c r="T20" s="75">
        <f t="shared" si="3"/>
        <v>0.76129999999999998</v>
      </c>
      <c r="V20" s="81">
        <f t="shared" si="6"/>
        <v>15</v>
      </c>
      <c r="W20" s="83">
        <f t="shared" si="4"/>
        <v>0.76129999999999998</v>
      </c>
    </row>
    <row r="21" spans="1:23" x14ac:dyDescent="0.25">
      <c r="A21" s="70">
        <v>46478</v>
      </c>
      <c r="B21" s="71">
        <v>30</v>
      </c>
      <c r="C21" s="105"/>
      <c r="D21" s="106"/>
      <c r="E21" s="71">
        <f t="shared" ref="E21:E29" si="12">IF(C21&gt;0,$B21-(D21-C21+1),$B21)</f>
        <v>30</v>
      </c>
      <c r="F21" s="105"/>
      <c r="G21" s="106"/>
      <c r="H21" s="71">
        <f t="shared" ref="H21:H29" si="13">IF(F21&gt;0,$B21-(G21-F21+1),$B21)</f>
        <v>30</v>
      </c>
      <c r="I21" s="105"/>
      <c r="J21" s="106"/>
      <c r="K21" s="71">
        <f t="shared" ref="K21:K29" si="14">IF(I21&gt;0,$B21-(J21-I21+1),$B21)</f>
        <v>30</v>
      </c>
      <c r="L21" s="105"/>
      <c r="M21" s="106"/>
      <c r="N21" s="71">
        <f t="shared" si="0"/>
        <v>30</v>
      </c>
      <c r="O21" s="105">
        <v>1</v>
      </c>
      <c r="P21" s="106">
        <v>3</v>
      </c>
      <c r="Q21" s="72">
        <f t="shared" si="1"/>
        <v>27</v>
      </c>
      <c r="R21" s="73">
        <f t="shared" si="10"/>
        <v>150</v>
      </c>
      <c r="S21" s="74">
        <f t="shared" si="11"/>
        <v>147</v>
      </c>
      <c r="T21" s="75">
        <f t="shared" si="3"/>
        <v>0.98</v>
      </c>
      <c r="V21" s="81">
        <f t="shared" si="6"/>
        <v>16</v>
      </c>
      <c r="W21" s="83">
        <f t="shared" si="4"/>
        <v>0.98</v>
      </c>
    </row>
    <row r="22" spans="1:23" x14ac:dyDescent="0.25">
      <c r="A22" s="70">
        <v>46508</v>
      </c>
      <c r="B22" s="71">
        <v>31</v>
      </c>
      <c r="C22" s="105"/>
      <c r="D22" s="106"/>
      <c r="E22" s="71">
        <f t="shared" si="12"/>
        <v>31</v>
      </c>
      <c r="F22" s="105"/>
      <c r="G22" s="106"/>
      <c r="H22" s="71">
        <f t="shared" si="13"/>
        <v>31</v>
      </c>
      <c r="I22" s="105"/>
      <c r="J22" s="106"/>
      <c r="K22" s="71">
        <f t="shared" si="14"/>
        <v>31</v>
      </c>
      <c r="L22" s="105"/>
      <c r="M22" s="106"/>
      <c r="N22" s="71">
        <f t="shared" si="0"/>
        <v>31</v>
      </c>
      <c r="O22" s="105"/>
      <c r="P22" s="106"/>
      <c r="Q22" s="72">
        <f t="shared" si="1"/>
        <v>31</v>
      </c>
      <c r="R22" s="73">
        <f t="shared" si="10"/>
        <v>155</v>
      </c>
      <c r="S22" s="74">
        <f t="shared" si="11"/>
        <v>155</v>
      </c>
      <c r="T22" s="75">
        <f t="shared" si="3"/>
        <v>1</v>
      </c>
      <c r="V22" s="81">
        <f t="shared" si="6"/>
        <v>17</v>
      </c>
      <c r="W22" s="83">
        <f t="shared" si="4"/>
        <v>1</v>
      </c>
    </row>
    <row r="23" spans="1:23" x14ac:dyDescent="0.25">
      <c r="A23" s="70">
        <v>46539</v>
      </c>
      <c r="B23" s="71">
        <v>30</v>
      </c>
      <c r="C23" s="105"/>
      <c r="D23" s="106"/>
      <c r="E23" s="71">
        <f t="shared" si="12"/>
        <v>30</v>
      </c>
      <c r="F23" s="105"/>
      <c r="G23" s="106"/>
      <c r="H23" s="71">
        <f t="shared" si="13"/>
        <v>30</v>
      </c>
      <c r="I23" s="105"/>
      <c r="J23" s="106"/>
      <c r="K23" s="71">
        <f t="shared" si="14"/>
        <v>30</v>
      </c>
      <c r="L23" s="105"/>
      <c r="M23" s="106"/>
      <c r="N23" s="71">
        <f t="shared" si="0"/>
        <v>30</v>
      </c>
      <c r="O23" s="105"/>
      <c r="P23" s="106"/>
      <c r="Q23" s="72">
        <f t="shared" si="1"/>
        <v>30</v>
      </c>
      <c r="R23" s="73">
        <f t="shared" si="10"/>
        <v>150</v>
      </c>
      <c r="S23" s="74">
        <f t="shared" si="11"/>
        <v>150</v>
      </c>
      <c r="T23" s="75">
        <f t="shared" si="3"/>
        <v>1</v>
      </c>
      <c r="V23" s="81">
        <f t="shared" si="6"/>
        <v>18</v>
      </c>
      <c r="W23" s="83">
        <f t="shared" si="4"/>
        <v>1</v>
      </c>
    </row>
    <row r="24" spans="1:23" x14ac:dyDescent="0.25">
      <c r="A24" s="70">
        <v>46569</v>
      </c>
      <c r="B24" s="71">
        <v>31</v>
      </c>
      <c r="C24" s="105"/>
      <c r="D24" s="106"/>
      <c r="E24" s="71">
        <f t="shared" si="12"/>
        <v>31</v>
      </c>
      <c r="F24" s="105"/>
      <c r="G24" s="106"/>
      <c r="H24" s="71">
        <f t="shared" si="13"/>
        <v>31</v>
      </c>
      <c r="I24" s="105"/>
      <c r="J24" s="106"/>
      <c r="K24" s="71">
        <f t="shared" si="14"/>
        <v>31</v>
      </c>
      <c r="L24" s="105"/>
      <c r="M24" s="106"/>
      <c r="N24" s="71">
        <f t="shared" si="0"/>
        <v>31</v>
      </c>
      <c r="O24" s="105"/>
      <c r="P24" s="106"/>
      <c r="Q24" s="72">
        <f t="shared" si="1"/>
        <v>31</v>
      </c>
      <c r="R24" s="73">
        <f t="shared" si="10"/>
        <v>155</v>
      </c>
      <c r="S24" s="74">
        <f t="shared" si="11"/>
        <v>155</v>
      </c>
      <c r="T24" s="75">
        <f t="shared" si="3"/>
        <v>1</v>
      </c>
      <c r="V24" s="81">
        <f t="shared" si="6"/>
        <v>19</v>
      </c>
      <c r="W24" s="83">
        <f t="shared" si="4"/>
        <v>1</v>
      </c>
    </row>
    <row r="25" spans="1:23" x14ac:dyDescent="0.25">
      <c r="A25" s="70">
        <v>46600</v>
      </c>
      <c r="B25" s="71">
        <v>31</v>
      </c>
      <c r="C25" s="105"/>
      <c r="D25" s="106"/>
      <c r="E25" s="71">
        <f t="shared" si="12"/>
        <v>31</v>
      </c>
      <c r="F25" s="105"/>
      <c r="G25" s="106"/>
      <c r="H25" s="71">
        <f t="shared" si="13"/>
        <v>31</v>
      </c>
      <c r="I25" s="105"/>
      <c r="J25" s="106"/>
      <c r="K25" s="71">
        <f t="shared" si="14"/>
        <v>31</v>
      </c>
      <c r="L25" s="105"/>
      <c r="M25" s="106"/>
      <c r="N25" s="71">
        <f t="shared" si="0"/>
        <v>31</v>
      </c>
      <c r="O25" s="105"/>
      <c r="P25" s="106"/>
      <c r="Q25" s="72">
        <f t="shared" si="1"/>
        <v>31</v>
      </c>
      <c r="R25" s="73">
        <f t="shared" si="10"/>
        <v>155</v>
      </c>
      <c r="S25" s="74">
        <f t="shared" si="11"/>
        <v>155</v>
      </c>
      <c r="T25" s="75">
        <f t="shared" si="3"/>
        <v>1</v>
      </c>
      <c r="V25" s="81">
        <f t="shared" si="6"/>
        <v>20</v>
      </c>
      <c r="W25" s="83">
        <f t="shared" si="4"/>
        <v>1</v>
      </c>
    </row>
    <row r="26" spans="1:23" x14ac:dyDescent="0.25">
      <c r="A26" s="70">
        <v>46631</v>
      </c>
      <c r="B26" s="71">
        <v>30</v>
      </c>
      <c r="C26" s="105"/>
      <c r="D26" s="106"/>
      <c r="E26" s="71">
        <f t="shared" si="12"/>
        <v>30</v>
      </c>
      <c r="F26" s="105"/>
      <c r="G26" s="106"/>
      <c r="H26" s="71">
        <f t="shared" si="13"/>
        <v>30</v>
      </c>
      <c r="I26" s="105"/>
      <c r="J26" s="106"/>
      <c r="K26" s="71">
        <f t="shared" si="14"/>
        <v>30</v>
      </c>
      <c r="L26" s="105"/>
      <c r="M26" s="106"/>
      <c r="N26" s="71">
        <f t="shared" si="0"/>
        <v>30</v>
      </c>
      <c r="O26" s="105"/>
      <c r="P26" s="106"/>
      <c r="Q26" s="72">
        <f t="shared" si="1"/>
        <v>30</v>
      </c>
      <c r="R26" s="73">
        <f t="shared" si="10"/>
        <v>150</v>
      </c>
      <c r="S26" s="74">
        <f t="shared" si="11"/>
        <v>150</v>
      </c>
      <c r="T26" s="75">
        <f t="shared" si="3"/>
        <v>1</v>
      </c>
      <c r="V26" s="81">
        <f t="shared" si="6"/>
        <v>21</v>
      </c>
      <c r="W26" s="83">
        <f t="shared" si="4"/>
        <v>1</v>
      </c>
    </row>
    <row r="27" spans="1:23" x14ac:dyDescent="0.25">
      <c r="A27" s="70">
        <v>46661</v>
      </c>
      <c r="B27" s="71">
        <v>31</v>
      </c>
      <c r="C27" s="105">
        <v>20</v>
      </c>
      <c r="D27" s="106">
        <v>31</v>
      </c>
      <c r="E27" s="71">
        <f t="shared" si="12"/>
        <v>19</v>
      </c>
      <c r="F27" s="105">
        <v>27</v>
      </c>
      <c r="G27" s="106">
        <v>31</v>
      </c>
      <c r="H27" s="71">
        <f t="shared" si="13"/>
        <v>26</v>
      </c>
      <c r="I27" s="105"/>
      <c r="J27" s="106"/>
      <c r="K27" s="71">
        <f t="shared" si="14"/>
        <v>31</v>
      </c>
      <c r="L27" s="105"/>
      <c r="M27" s="106"/>
      <c r="N27" s="71">
        <f t="shared" si="0"/>
        <v>31</v>
      </c>
      <c r="O27" s="105"/>
      <c r="P27" s="106"/>
      <c r="Q27" s="72">
        <f t="shared" si="1"/>
        <v>31</v>
      </c>
      <c r="R27" s="73">
        <f t="shared" si="10"/>
        <v>155</v>
      </c>
      <c r="S27" s="74">
        <f t="shared" si="11"/>
        <v>138</v>
      </c>
      <c r="T27" s="75">
        <f t="shared" si="3"/>
        <v>0.89029999999999998</v>
      </c>
      <c r="V27" s="81">
        <f t="shared" si="6"/>
        <v>22</v>
      </c>
      <c r="W27" s="83">
        <f t="shared" si="4"/>
        <v>0.89029999999999998</v>
      </c>
    </row>
    <row r="28" spans="1:23" x14ac:dyDescent="0.25">
      <c r="A28" s="70">
        <v>46692</v>
      </c>
      <c r="B28" s="71">
        <v>30</v>
      </c>
      <c r="C28" s="105">
        <v>1</v>
      </c>
      <c r="D28" s="106">
        <v>26</v>
      </c>
      <c r="E28" s="71">
        <f t="shared" si="12"/>
        <v>4</v>
      </c>
      <c r="F28" s="105">
        <v>1</v>
      </c>
      <c r="G28" s="106">
        <v>30</v>
      </c>
      <c r="H28" s="71">
        <f t="shared" si="13"/>
        <v>0</v>
      </c>
      <c r="I28" s="105"/>
      <c r="J28" s="106"/>
      <c r="K28" s="71">
        <f t="shared" si="14"/>
        <v>30</v>
      </c>
      <c r="L28" s="105"/>
      <c r="M28" s="106"/>
      <c r="N28" s="71">
        <f t="shared" si="0"/>
        <v>30</v>
      </c>
      <c r="O28" s="105"/>
      <c r="P28" s="106"/>
      <c r="Q28" s="72">
        <f t="shared" si="1"/>
        <v>30</v>
      </c>
      <c r="R28" s="73">
        <f t="shared" si="10"/>
        <v>150</v>
      </c>
      <c r="S28" s="74">
        <f t="shared" si="11"/>
        <v>94</v>
      </c>
      <c r="T28" s="75">
        <f t="shared" si="3"/>
        <v>0.62670000000000003</v>
      </c>
      <c r="V28" s="81">
        <f t="shared" si="6"/>
        <v>23</v>
      </c>
      <c r="W28" s="83">
        <f t="shared" si="4"/>
        <v>0.62670000000000003</v>
      </c>
    </row>
    <row r="29" spans="1:23" ht="13.8" thickBot="1" x14ac:dyDescent="0.3">
      <c r="A29" s="70">
        <v>46722</v>
      </c>
      <c r="B29" s="76">
        <v>31</v>
      </c>
      <c r="C29" s="107"/>
      <c r="D29" s="108"/>
      <c r="E29" s="76">
        <f t="shared" si="12"/>
        <v>31</v>
      </c>
      <c r="F29" s="107">
        <v>1</v>
      </c>
      <c r="G29" s="108">
        <v>31</v>
      </c>
      <c r="H29" s="76">
        <f t="shared" si="13"/>
        <v>0</v>
      </c>
      <c r="I29" s="107">
        <v>2</v>
      </c>
      <c r="J29" s="108">
        <v>31</v>
      </c>
      <c r="K29" s="76">
        <f t="shared" si="14"/>
        <v>1</v>
      </c>
      <c r="L29" s="107"/>
      <c r="M29" s="108"/>
      <c r="N29" s="76">
        <f t="shared" si="0"/>
        <v>31</v>
      </c>
      <c r="O29" s="107"/>
      <c r="P29" s="108"/>
      <c r="Q29" s="77">
        <f t="shared" si="1"/>
        <v>31</v>
      </c>
      <c r="R29" s="78">
        <f t="shared" si="10"/>
        <v>155</v>
      </c>
      <c r="S29" s="79">
        <f t="shared" si="11"/>
        <v>94</v>
      </c>
      <c r="T29" s="80">
        <f t="shared" si="3"/>
        <v>0.60650000000000004</v>
      </c>
      <c r="V29" s="86">
        <f t="shared" si="6"/>
        <v>24</v>
      </c>
      <c r="W29" s="84">
        <f t="shared" si="4"/>
        <v>0.60650000000000004</v>
      </c>
    </row>
    <row r="30" spans="1:23" x14ac:dyDescent="0.25">
      <c r="A30" s="64">
        <v>46753</v>
      </c>
      <c r="B30" s="65">
        <v>31</v>
      </c>
      <c r="C30" s="103"/>
      <c r="D30" s="104"/>
      <c r="E30" s="65">
        <f>IF(C30&gt;0,$B30-(D30-C30+1),$B30)</f>
        <v>31</v>
      </c>
      <c r="F30" s="103">
        <v>1</v>
      </c>
      <c r="G30" s="104">
        <v>31</v>
      </c>
      <c r="H30" s="65">
        <f>IF(F30&gt;0,$B30-(G30-F30+1),$B30)</f>
        <v>0</v>
      </c>
      <c r="I30" s="103">
        <v>1</v>
      </c>
      <c r="J30" s="104">
        <v>24</v>
      </c>
      <c r="K30" s="65">
        <f>IF(I30&gt;0,$B30-(J30-I30+1),$B30)</f>
        <v>7</v>
      </c>
      <c r="L30" s="103">
        <v>27</v>
      </c>
      <c r="M30" s="104">
        <v>31</v>
      </c>
      <c r="N30" s="65">
        <f t="shared" ref="N30:N41" si="15">IF(L30&gt;0,$B30-(M30-L30+1),$B30)</f>
        <v>26</v>
      </c>
      <c r="O30" s="103"/>
      <c r="P30" s="104"/>
      <c r="Q30" s="66">
        <f t="shared" ref="Q30:Q41" si="16">IF(O30&gt;0,$B30-(P30-O30+1),$B30)</f>
        <v>31</v>
      </c>
      <c r="R30" s="67">
        <f t="shared" ref="R30:R41" si="17">5*B30</f>
        <v>155</v>
      </c>
      <c r="S30" s="68">
        <f>SUM(E30,H30,K30,N30,Q30)</f>
        <v>95</v>
      </c>
      <c r="T30" s="69">
        <f t="shared" ref="T30:T41" si="18">ROUND(S30/R30,4)</f>
        <v>0.6129</v>
      </c>
      <c r="V30" s="82">
        <f t="shared" si="6"/>
        <v>25</v>
      </c>
      <c r="W30" s="85">
        <f t="shared" si="4"/>
        <v>0.6129</v>
      </c>
    </row>
    <row r="31" spans="1:23" x14ac:dyDescent="0.25">
      <c r="A31" s="70">
        <v>46784</v>
      </c>
      <c r="B31" s="71">
        <v>28</v>
      </c>
      <c r="C31" s="105"/>
      <c r="D31" s="106"/>
      <c r="E31" s="71">
        <f>IF(C31&gt;0,$B31-(D31-C31+1),$B31)</f>
        <v>28</v>
      </c>
      <c r="F31" s="105">
        <v>1</v>
      </c>
      <c r="G31" s="106">
        <v>28</v>
      </c>
      <c r="H31" s="71">
        <f>IF(F31&gt;0,$B31-(G31-F31+1),$B31)</f>
        <v>0</v>
      </c>
      <c r="I31" s="105"/>
      <c r="J31" s="106"/>
      <c r="K31" s="71">
        <f>IF(I31&gt;0,$B31-(J31-I31+1),$B31)</f>
        <v>28</v>
      </c>
      <c r="L31" s="105">
        <v>1</v>
      </c>
      <c r="M31" s="106">
        <v>21</v>
      </c>
      <c r="N31" s="71">
        <f t="shared" si="15"/>
        <v>7</v>
      </c>
      <c r="O31" s="105">
        <v>24</v>
      </c>
      <c r="P31" s="106">
        <v>28</v>
      </c>
      <c r="Q31" s="72">
        <f t="shared" si="16"/>
        <v>23</v>
      </c>
      <c r="R31" s="73">
        <f t="shared" si="17"/>
        <v>140</v>
      </c>
      <c r="S31" s="74">
        <f t="shared" ref="S31:S41" si="19">SUM(E31,H31,K31,N31,Q31)</f>
        <v>86</v>
      </c>
      <c r="T31" s="75">
        <f t="shared" si="18"/>
        <v>0.61429999999999996</v>
      </c>
      <c r="V31" s="81">
        <f t="shared" si="6"/>
        <v>26</v>
      </c>
      <c r="W31" s="83">
        <f t="shared" si="4"/>
        <v>0.61429999999999996</v>
      </c>
    </row>
    <row r="32" spans="1:23" x14ac:dyDescent="0.25">
      <c r="A32" s="70">
        <v>46813</v>
      </c>
      <c r="B32" s="71">
        <v>31</v>
      </c>
      <c r="C32" s="105"/>
      <c r="D32" s="106"/>
      <c r="E32" s="71">
        <f>IF(C32&gt;0,$B32-(D32-C32+1),$B32)</f>
        <v>31</v>
      </c>
      <c r="F32" s="105">
        <v>1</v>
      </c>
      <c r="G32" s="106">
        <v>6</v>
      </c>
      <c r="H32" s="71">
        <f>IF(F32&gt;0,$B32-(G32-F32+1),$B32)</f>
        <v>25</v>
      </c>
      <c r="I32" s="105"/>
      <c r="J32" s="106"/>
      <c r="K32" s="71">
        <f>IF(I32&gt;0,$B32-(J32-I32+1),$B32)</f>
        <v>31</v>
      </c>
      <c r="L32" s="105"/>
      <c r="M32" s="106"/>
      <c r="N32" s="71">
        <f t="shared" si="15"/>
        <v>31</v>
      </c>
      <c r="O32" s="105">
        <v>1</v>
      </c>
      <c r="P32" s="106">
        <v>31</v>
      </c>
      <c r="Q32" s="72">
        <f t="shared" si="16"/>
        <v>0</v>
      </c>
      <c r="R32" s="73">
        <f t="shared" si="17"/>
        <v>155</v>
      </c>
      <c r="S32" s="74">
        <f t="shared" si="19"/>
        <v>118</v>
      </c>
      <c r="T32" s="75">
        <f t="shared" si="18"/>
        <v>0.76129999999999998</v>
      </c>
      <c r="V32" s="81">
        <f t="shared" si="6"/>
        <v>27</v>
      </c>
      <c r="W32" s="83">
        <f t="shared" si="4"/>
        <v>0.76129999999999998</v>
      </c>
    </row>
    <row r="33" spans="1:23" x14ac:dyDescent="0.25">
      <c r="A33" s="70">
        <v>46844</v>
      </c>
      <c r="B33" s="71">
        <v>30</v>
      </c>
      <c r="C33" s="105"/>
      <c r="D33" s="106"/>
      <c r="E33" s="71">
        <f t="shared" ref="E33:E41" si="20">IF(C33&gt;0,$B33-(D33-C33+1),$B33)</f>
        <v>30</v>
      </c>
      <c r="F33" s="105"/>
      <c r="G33" s="106"/>
      <c r="H33" s="71">
        <f t="shared" ref="H33:H41" si="21">IF(F33&gt;0,$B33-(G33-F33+1),$B33)</f>
        <v>30</v>
      </c>
      <c r="I33" s="105"/>
      <c r="J33" s="106"/>
      <c r="K33" s="71">
        <f t="shared" ref="K33:K41" si="22">IF(I33&gt;0,$B33-(J33-I33+1),$B33)</f>
        <v>30</v>
      </c>
      <c r="L33" s="105"/>
      <c r="M33" s="106"/>
      <c r="N33" s="71">
        <f t="shared" si="15"/>
        <v>30</v>
      </c>
      <c r="O33" s="105">
        <v>1</v>
      </c>
      <c r="P33" s="106">
        <v>3</v>
      </c>
      <c r="Q33" s="72">
        <f t="shared" si="16"/>
        <v>27</v>
      </c>
      <c r="R33" s="73">
        <f t="shared" si="17"/>
        <v>150</v>
      </c>
      <c r="S33" s="74">
        <f t="shared" si="19"/>
        <v>147</v>
      </c>
      <c r="T33" s="75">
        <f t="shared" si="18"/>
        <v>0.98</v>
      </c>
      <c r="V33" s="81">
        <f t="shared" si="6"/>
        <v>28</v>
      </c>
      <c r="W33" s="83">
        <f t="shared" si="4"/>
        <v>0.98</v>
      </c>
    </row>
    <row r="34" spans="1:23" x14ac:dyDescent="0.25">
      <c r="A34" s="70">
        <v>46874</v>
      </c>
      <c r="B34" s="71">
        <v>31</v>
      </c>
      <c r="C34" s="105"/>
      <c r="D34" s="106"/>
      <c r="E34" s="71">
        <f t="shared" si="20"/>
        <v>31</v>
      </c>
      <c r="F34" s="105"/>
      <c r="G34" s="106"/>
      <c r="H34" s="71">
        <f t="shared" si="21"/>
        <v>31</v>
      </c>
      <c r="I34" s="105"/>
      <c r="J34" s="106"/>
      <c r="K34" s="71">
        <f t="shared" si="22"/>
        <v>31</v>
      </c>
      <c r="L34" s="105"/>
      <c r="M34" s="106"/>
      <c r="N34" s="71">
        <f t="shared" si="15"/>
        <v>31</v>
      </c>
      <c r="O34" s="105"/>
      <c r="P34" s="106"/>
      <c r="Q34" s="72">
        <f t="shared" si="16"/>
        <v>31</v>
      </c>
      <c r="R34" s="73">
        <f t="shared" si="17"/>
        <v>155</v>
      </c>
      <c r="S34" s="74">
        <f t="shared" si="19"/>
        <v>155</v>
      </c>
      <c r="T34" s="75">
        <f t="shared" si="18"/>
        <v>1</v>
      </c>
      <c r="V34" s="81">
        <f t="shared" si="6"/>
        <v>29</v>
      </c>
      <c r="W34" s="83">
        <f t="shared" si="4"/>
        <v>1</v>
      </c>
    </row>
    <row r="35" spans="1:23" x14ac:dyDescent="0.25">
      <c r="A35" s="70">
        <v>46905</v>
      </c>
      <c r="B35" s="71">
        <v>30</v>
      </c>
      <c r="C35" s="105"/>
      <c r="D35" s="106"/>
      <c r="E35" s="71">
        <f t="shared" si="20"/>
        <v>30</v>
      </c>
      <c r="F35" s="105"/>
      <c r="G35" s="106"/>
      <c r="H35" s="71">
        <f t="shared" si="21"/>
        <v>30</v>
      </c>
      <c r="I35" s="105"/>
      <c r="J35" s="106"/>
      <c r="K35" s="71">
        <f t="shared" si="22"/>
        <v>30</v>
      </c>
      <c r="L35" s="105"/>
      <c r="M35" s="106"/>
      <c r="N35" s="71">
        <f t="shared" si="15"/>
        <v>30</v>
      </c>
      <c r="O35" s="105"/>
      <c r="P35" s="106"/>
      <c r="Q35" s="72">
        <f t="shared" si="16"/>
        <v>30</v>
      </c>
      <c r="R35" s="73">
        <f t="shared" si="17"/>
        <v>150</v>
      </c>
      <c r="S35" s="74">
        <f t="shared" si="19"/>
        <v>150</v>
      </c>
      <c r="T35" s="75">
        <f t="shared" si="18"/>
        <v>1</v>
      </c>
      <c r="V35" s="81">
        <f t="shared" si="6"/>
        <v>30</v>
      </c>
      <c r="W35" s="83">
        <f t="shared" si="4"/>
        <v>1</v>
      </c>
    </row>
    <row r="36" spans="1:23" x14ac:dyDescent="0.25">
      <c r="A36" s="70">
        <v>46935</v>
      </c>
      <c r="B36" s="71">
        <v>31</v>
      </c>
      <c r="C36" s="105"/>
      <c r="D36" s="106"/>
      <c r="E36" s="71">
        <f t="shared" si="20"/>
        <v>31</v>
      </c>
      <c r="F36" s="105"/>
      <c r="G36" s="106"/>
      <c r="H36" s="71">
        <f t="shared" si="21"/>
        <v>31</v>
      </c>
      <c r="I36" s="105"/>
      <c r="J36" s="106"/>
      <c r="K36" s="71">
        <f t="shared" si="22"/>
        <v>31</v>
      </c>
      <c r="L36" s="105"/>
      <c r="M36" s="106"/>
      <c r="N36" s="71">
        <f t="shared" si="15"/>
        <v>31</v>
      </c>
      <c r="O36" s="105"/>
      <c r="P36" s="106"/>
      <c r="Q36" s="72">
        <f t="shared" si="16"/>
        <v>31</v>
      </c>
      <c r="R36" s="73">
        <f t="shared" si="17"/>
        <v>155</v>
      </c>
      <c r="S36" s="74">
        <f t="shared" si="19"/>
        <v>155</v>
      </c>
      <c r="T36" s="75">
        <f t="shared" si="18"/>
        <v>1</v>
      </c>
      <c r="V36" s="81">
        <f t="shared" si="6"/>
        <v>31</v>
      </c>
      <c r="W36" s="83">
        <f t="shared" si="4"/>
        <v>1</v>
      </c>
    </row>
    <row r="37" spans="1:23" x14ac:dyDescent="0.25">
      <c r="A37" s="70">
        <v>46966</v>
      </c>
      <c r="B37" s="71">
        <v>31</v>
      </c>
      <c r="C37" s="105"/>
      <c r="D37" s="106"/>
      <c r="E37" s="71">
        <f t="shared" si="20"/>
        <v>31</v>
      </c>
      <c r="F37" s="105"/>
      <c r="G37" s="106"/>
      <c r="H37" s="71">
        <f t="shared" si="21"/>
        <v>31</v>
      </c>
      <c r="I37" s="105"/>
      <c r="J37" s="106"/>
      <c r="K37" s="71">
        <f t="shared" si="22"/>
        <v>31</v>
      </c>
      <c r="L37" s="105"/>
      <c r="M37" s="106"/>
      <c r="N37" s="71">
        <f t="shared" si="15"/>
        <v>31</v>
      </c>
      <c r="O37" s="105"/>
      <c r="P37" s="106"/>
      <c r="Q37" s="72">
        <f t="shared" si="16"/>
        <v>31</v>
      </c>
      <c r="R37" s="73">
        <f t="shared" si="17"/>
        <v>155</v>
      </c>
      <c r="S37" s="74">
        <f t="shared" si="19"/>
        <v>155</v>
      </c>
      <c r="T37" s="75">
        <f t="shared" si="18"/>
        <v>1</v>
      </c>
      <c r="V37" s="81">
        <f t="shared" si="6"/>
        <v>32</v>
      </c>
      <c r="W37" s="83">
        <f t="shared" si="4"/>
        <v>1</v>
      </c>
    </row>
    <row r="38" spans="1:23" x14ac:dyDescent="0.25">
      <c r="A38" s="70">
        <v>46997</v>
      </c>
      <c r="B38" s="71">
        <v>30</v>
      </c>
      <c r="C38" s="105"/>
      <c r="D38" s="106"/>
      <c r="E38" s="71">
        <f t="shared" si="20"/>
        <v>30</v>
      </c>
      <c r="F38" s="105"/>
      <c r="G38" s="106"/>
      <c r="H38" s="71">
        <f t="shared" si="21"/>
        <v>30</v>
      </c>
      <c r="I38" s="105"/>
      <c r="J38" s="106"/>
      <c r="K38" s="71">
        <f t="shared" si="22"/>
        <v>30</v>
      </c>
      <c r="L38" s="105"/>
      <c r="M38" s="106"/>
      <c r="N38" s="71">
        <f t="shared" si="15"/>
        <v>30</v>
      </c>
      <c r="O38" s="105"/>
      <c r="P38" s="106"/>
      <c r="Q38" s="72">
        <f t="shared" si="16"/>
        <v>30</v>
      </c>
      <c r="R38" s="73">
        <f t="shared" si="17"/>
        <v>150</v>
      </c>
      <c r="S38" s="74">
        <f t="shared" si="19"/>
        <v>150</v>
      </c>
      <c r="T38" s="75">
        <f t="shared" si="18"/>
        <v>1</v>
      </c>
      <c r="V38" s="81">
        <f t="shared" si="6"/>
        <v>33</v>
      </c>
      <c r="W38" s="83">
        <f t="shared" si="4"/>
        <v>1</v>
      </c>
    </row>
    <row r="39" spans="1:23" x14ac:dyDescent="0.25">
      <c r="A39" s="70">
        <v>47027</v>
      </c>
      <c r="B39" s="71">
        <v>31</v>
      </c>
      <c r="C39" s="105">
        <v>20</v>
      </c>
      <c r="D39" s="106">
        <v>31</v>
      </c>
      <c r="E39" s="71">
        <f t="shared" si="20"/>
        <v>19</v>
      </c>
      <c r="F39" s="105">
        <v>27</v>
      </c>
      <c r="G39" s="106">
        <v>31</v>
      </c>
      <c r="H39" s="71">
        <f t="shared" si="21"/>
        <v>26</v>
      </c>
      <c r="I39" s="105"/>
      <c r="J39" s="106"/>
      <c r="K39" s="71">
        <f t="shared" si="22"/>
        <v>31</v>
      </c>
      <c r="L39" s="105"/>
      <c r="M39" s="106"/>
      <c r="N39" s="71">
        <f t="shared" si="15"/>
        <v>31</v>
      </c>
      <c r="O39" s="105"/>
      <c r="P39" s="106"/>
      <c r="Q39" s="72">
        <f t="shared" si="16"/>
        <v>31</v>
      </c>
      <c r="R39" s="73">
        <f t="shared" si="17"/>
        <v>155</v>
      </c>
      <c r="S39" s="74">
        <f t="shared" si="19"/>
        <v>138</v>
      </c>
      <c r="T39" s="75">
        <f t="shared" si="18"/>
        <v>0.89029999999999998</v>
      </c>
      <c r="V39" s="81">
        <f t="shared" si="6"/>
        <v>34</v>
      </c>
      <c r="W39" s="83">
        <f t="shared" si="4"/>
        <v>0.89029999999999998</v>
      </c>
    </row>
    <row r="40" spans="1:23" x14ac:dyDescent="0.25">
      <c r="A40" s="70">
        <v>47058</v>
      </c>
      <c r="B40" s="71">
        <v>30</v>
      </c>
      <c r="C40" s="105">
        <v>1</v>
      </c>
      <c r="D40" s="106">
        <v>26</v>
      </c>
      <c r="E40" s="71">
        <f t="shared" si="20"/>
        <v>4</v>
      </c>
      <c r="F40" s="105">
        <v>1</v>
      </c>
      <c r="G40" s="106">
        <v>30</v>
      </c>
      <c r="H40" s="71">
        <f t="shared" si="21"/>
        <v>0</v>
      </c>
      <c r="I40" s="105"/>
      <c r="J40" s="106"/>
      <c r="K40" s="71">
        <f t="shared" si="22"/>
        <v>30</v>
      </c>
      <c r="L40" s="105"/>
      <c r="M40" s="106"/>
      <c r="N40" s="71">
        <f t="shared" si="15"/>
        <v>30</v>
      </c>
      <c r="O40" s="105"/>
      <c r="P40" s="106"/>
      <c r="Q40" s="72">
        <f t="shared" si="16"/>
        <v>30</v>
      </c>
      <c r="R40" s="73">
        <f t="shared" si="17"/>
        <v>150</v>
      </c>
      <c r="S40" s="74">
        <f t="shared" si="19"/>
        <v>94</v>
      </c>
      <c r="T40" s="75">
        <f t="shared" si="18"/>
        <v>0.62670000000000003</v>
      </c>
      <c r="V40" s="81">
        <f t="shared" si="6"/>
        <v>35</v>
      </c>
      <c r="W40" s="83">
        <f t="shared" si="4"/>
        <v>0.62670000000000003</v>
      </c>
    </row>
    <row r="41" spans="1:23" ht="13.8" thickBot="1" x14ac:dyDescent="0.3">
      <c r="A41" s="70">
        <v>47088</v>
      </c>
      <c r="B41" s="76">
        <v>31</v>
      </c>
      <c r="C41" s="107"/>
      <c r="D41" s="108"/>
      <c r="E41" s="76">
        <f t="shared" si="20"/>
        <v>31</v>
      </c>
      <c r="F41" s="107">
        <v>1</v>
      </c>
      <c r="G41" s="108">
        <v>31</v>
      </c>
      <c r="H41" s="76">
        <f t="shared" si="21"/>
        <v>0</v>
      </c>
      <c r="I41" s="107">
        <v>2</v>
      </c>
      <c r="J41" s="108">
        <v>31</v>
      </c>
      <c r="K41" s="76">
        <f t="shared" si="22"/>
        <v>1</v>
      </c>
      <c r="L41" s="107"/>
      <c r="M41" s="108"/>
      <c r="N41" s="76">
        <f t="shared" si="15"/>
        <v>31</v>
      </c>
      <c r="O41" s="107"/>
      <c r="P41" s="108"/>
      <c r="Q41" s="77">
        <f t="shared" si="16"/>
        <v>31</v>
      </c>
      <c r="R41" s="78">
        <f t="shared" si="17"/>
        <v>155</v>
      </c>
      <c r="S41" s="79">
        <f t="shared" si="19"/>
        <v>94</v>
      </c>
      <c r="T41" s="80">
        <f t="shared" si="18"/>
        <v>0.60650000000000004</v>
      </c>
      <c r="V41" s="86">
        <f t="shared" si="6"/>
        <v>36</v>
      </c>
      <c r="W41" s="84">
        <f t="shared" si="4"/>
        <v>0.60650000000000004</v>
      </c>
    </row>
    <row r="42" spans="1:23" x14ac:dyDescent="0.25">
      <c r="A42" s="204"/>
    </row>
  </sheetData>
  <mergeCells count="2">
    <mergeCell ref="F2:G2"/>
    <mergeCell ref="V5:W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T42"/>
  <sheetViews>
    <sheetView zoomScaleNormal="100" workbookViewId="0">
      <selection activeCell="G9" sqref="G9"/>
    </sheetView>
  </sheetViews>
  <sheetFormatPr defaultColWidth="9.44140625" defaultRowHeight="13.2" x14ac:dyDescent="0.25"/>
  <cols>
    <col min="1" max="1" width="12.5546875" customWidth="1"/>
    <col min="2" max="2" width="8.5546875" customWidth="1"/>
    <col min="3" max="14" width="9.5546875" customWidth="1"/>
    <col min="15" max="17" width="9.44140625" customWidth="1"/>
    <col min="19" max="20" width="9.44140625" customWidth="1"/>
  </cols>
  <sheetData>
    <row r="1" spans="1:20" ht="16.2" thickBot="1" x14ac:dyDescent="0.35">
      <c r="A1" s="23" t="s">
        <v>46</v>
      </c>
    </row>
    <row r="2" spans="1:20" ht="16.2" thickBot="1" x14ac:dyDescent="0.35">
      <c r="A2" s="2" t="s">
        <v>70</v>
      </c>
      <c r="B2" s="21"/>
      <c r="C2" s="21"/>
      <c r="D2" s="24"/>
      <c r="F2" s="210">
        <v>46087</v>
      </c>
      <c r="G2" s="211"/>
      <c r="I2" s="12"/>
    </row>
    <row r="3" spans="1:20" ht="13.8" thickBot="1" x14ac:dyDescent="0.3"/>
    <row r="4" spans="1:20" s="9" customFormat="1" ht="16.2" thickBot="1" x14ac:dyDescent="0.35">
      <c r="A4" s="25"/>
      <c r="B4" s="22"/>
      <c r="C4" s="98"/>
      <c r="D4" s="99" t="s">
        <v>47</v>
      </c>
      <c r="E4" s="100"/>
      <c r="F4" s="98"/>
      <c r="G4" s="99" t="s">
        <v>48</v>
      </c>
      <c r="H4" s="101"/>
      <c r="I4" s="102"/>
      <c r="J4" s="99" t="s">
        <v>49</v>
      </c>
      <c r="K4" s="101"/>
      <c r="L4" s="102"/>
      <c r="M4" s="99" t="s">
        <v>50</v>
      </c>
      <c r="N4" s="100"/>
      <c r="O4" s="26"/>
      <c r="P4" s="27"/>
      <c r="Q4" s="28"/>
      <c r="S4" s="87"/>
      <c r="T4" s="88"/>
    </row>
    <row r="5" spans="1:20" s="33" customFormat="1" ht="53.4" thickBot="1" x14ac:dyDescent="0.3">
      <c r="A5" s="158" t="s">
        <v>30</v>
      </c>
      <c r="B5" s="32" t="s">
        <v>40</v>
      </c>
      <c r="C5" s="95" t="s">
        <v>41</v>
      </c>
      <c r="D5" s="96" t="s">
        <v>42</v>
      </c>
      <c r="E5" s="97" t="s">
        <v>43</v>
      </c>
      <c r="F5" s="95" t="s">
        <v>41</v>
      </c>
      <c r="G5" s="96" t="s">
        <v>42</v>
      </c>
      <c r="H5" s="97" t="s">
        <v>43</v>
      </c>
      <c r="I5" s="95" t="s">
        <v>41</v>
      </c>
      <c r="J5" s="96" t="s">
        <v>42</v>
      </c>
      <c r="K5" s="97" t="s">
        <v>43</v>
      </c>
      <c r="L5" s="95" t="s">
        <v>41</v>
      </c>
      <c r="M5" s="96" t="s">
        <v>42</v>
      </c>
      <c r="N5" s="97" t="s">
        <v>43</v>
      </c>
      <c r="O5" s="29" t="s">
        <v>44</v>
      </c>
      <c r="P5" s="16" t="s">
        <v>45</v>
      </c>
      <c r="Q5" s="30" t="s">
        <v>31</v>
      </c>
      <c r="S5" s="208" t="s">
        <v>59</v>
      </c>
      <c r="T5" s="209"/>
    </row>
    <row r="6" spans="1:20" x14ac:dyDescent="0.25">
      <c r="A6" s="159">
        <v>46023</v>
      </c>
      <c r="B6" s="34">
        <v>31</v>
      </c>
      <c r="C6" s="89">
        <v>5</v>
      </c>
      <c r="D6" s="90">
        <v>27</v>
      </c>
      <c r="E6" s="34">
        <f>IF(C6&gt;0,$B6-(D6-C6+1),$B6)</f>
        <v>8</v>
      </c>
      <c r="F6" s="89"/>
      <c r="G6" s="90"/>
      <c r="H6" s="34">
        <f>IF(F6&gt;0,$B6-(G6-F6+1),$B6)</f>
        <v>31</v>
      </c>
      <c r="I6" s="89"/>
      <c r="J6" s="90"/>
      <c r="K6" s="34">
        <f>IF(I6&gt;0,$B6-(J6-I6+1),$B6)</f>
        <v>31</v>
      </c>
      <c r="L6" s="89"/>
      <c r="M6" s="90"/>
      <c r="N6" s="34">
        <f t="shared" ref="N6:N29" si="0">IF(L6&gt;0,$B6-(M6-L6+1),$B6)</f>
        <v>31</v>
      </c>
      <c r="O6" s="40">
        <f t="shared" ref="O6:O29" si="1">4*B6</f>
        <v>124</v>
      </c>
      <c r="P6" s="41">
        <f t="shared" ref="P6:P29" si="2">SUM(E6,H6,K6,N6)</f>
        <v>101</v>
      </c>
      <c r="Q6" s="39">
        <f t="shared" ref="Q6:Q29" si="3">ROUND(P6/O6,4)</f>
        <v>0.8145</v>
      </c>
      <c r="S6" s="82">
        <v>1</v>
      </c>
      <c r="T6" s="85">
        <f t="shared" ref="T6:T41" si="4">Q6</f>
        <v>0.8145</v>
      </c>
    </row>
    <row r="7" spans="1:20" x14ac:dyDescent="0.25">
      <c r="A7" s="160">
        <v>46054</v>
      </c>
      <c r="B7" s="35">
        <v>28</v>
      </c>
      <c r="C7" s="91"/>
      <c r="D7" s="92"/>
      <c r="E7" s="35">
        <f>IF(C7&gt;0,$B7-(D7-C7+1),$B7)</f>
        <v>28</v>
      </c>
      <c r="F7" s="91">
        <v>2</v>
      </c>
      <c r="G7" s="92">
        <v>27</v>
      </c>
      <c r="H7" s="35">
        <f>IF(F7&gt;0,$B7-(G7-F7+1),$B7)</f>
        <v>2</v>
      </c>
      <c r="I7" s="91"/>
      <c r="J7" s="92"/>
      <c r="K7" s="35">
        <f>IF(I7&gt;0,$B7-(J7-I7+1),$B7)</f>
        <v>28</v>
      </c>
      <c r="L7" s="91"/>
      <c r="M7" s="92"/>
      <c r="N7" s="35">
        <f t="shared" si="0"/>
        <v>28</v>
      </c>
      <c r="O7" s="17">
        <f t="shared" si="1"/>
        <v>112</v>
      </c>
      <c r="P7" s="18">
        <f t="shared" si="2"/>
        <v>86</v>
      </c>
      <c r="Q7" s="37">
        <f t="shared" si="3"/>
        <v>0.76790000000000003</v>
      </c>
      <c r="S7" s="81">
        <f>S6+1</f>
        <v>2</v>
      </c>
      <c r="T7" s="83">
        <f t="shared" si="4"/>
        <v>0.76790000000000003</v>
      </c>
    </row>
    <row r="8" spans="1:20" x14ac:dyDescent="0.25">
      <c r="A8" s="160">
        <v>46082</v>
      </c>
      <c r="B8" s="35">
        <v>31</v>
      </c>
      <c r="C8" s="91"/>
      <c r="D8" s="92"/>
      <c r="E8" s="35">
        <f>IF(C8&gt;0,$B8-(D8-C8+1),$B8)</f>
        <v>31</v>
      </c>
      <c r="F8" s="91">
        <v>5</v>
      </c>
      <c r="G8" s="92">
        <v>9</v>
      </c>
      <c r="H8" s="35">
        <f>IF(F8&gt;0,$B8-(G8-F8+1),$B8)</f>
        <v>26</v>
      </c>
      <c r="I8" s="91"/>
      <c r="J8" s="92"/>
      <c r="K8" s="35">
        <f>IF(I8&gt;0,$B8-(J8-I8+1),$B8)</f>
        <v>31</v>
      </c>
      <c r="L8" s="91"/>
      <c r="M8" s="92"/>
      <c r="N8" s="35">
        <f t="shared" si="0"/>
        <v>31</v>
      </c>
      <c r="O8" s="17">
        <f t="shared" si="1"/>
        <v>124</v>
      </c>
      <c r="P8" s="18">
        <f t="shared" si="2"/>
        <v>119</v>
      </c>
      <c r="Q8" s="37">
        <f t="shared" si="3"/>
        <v>0.9597</v>
      </c>
      <c r="S8" s="81">
        <f t="shared" ref="S8:S41" si="5">S7+1</f>
        <v>3</v>
      </c>
      <c r="T8" s="83">
        <f t="shared" si="4"/>
        <v>0.9597</v>
      </c>
    </row>
    <row r="9" spans="1:20" x14ac:dyDescent="0.25">
      <c r="A9" s="160">
        <v>46113</v>
      </c>
      <c r="B9" s="35">
        <v>30</v>
      </c>
      <c r="C9" s="91"/>
      <c r="D9" s="92"/>
      <c r="E9" s="35">
        <f t="shared" ref="E9:E17" si="6">IF(C9&gt;0,$B9-(D9-C9+1),$B9)</f>
        <v>30</v>
      </c>
      <c r="F9" s="91"/>
      <c r="G9" s="92"/>
      <c r="H9" s="35">
        <f t="shared" ref="H9:H17" si="7">IF(F9&gt;0,$B9-(G9-F9+1),$B9)</f>
        <v>30</v>
      </c>
      <c r="I9" s="91"/>
      <c r="J9" s="92"/>
      <c r="K9" s="35">
        <f t="shared" ref="K9:K17" si="8">IF(I9&gt;0,$B9-(J9-I9+1),$B9)</f>
        <v>30</v>
      </c>
      <c r="L9" s="91"/>
      <c r="M9" s="92"/>
      <c r="N9" s="35">
        <f t="shared" si="0"/>
        <v>30</v>
      </c>
      <c r="O9" s="17">
        <f t="shared" si="1"/>
        <v>120</v>
      </c>
      <c r="P9" s="18">
        <f t="shared" si="2"/>
        <v>120</v>
      </c>
      <c r="Q9" s="37">
        <f t="shared" si="3"/>
        <v>1</v>
      </c>
      <c r="S9" s="81">
        <f t="shared" si="5"/>
        <v>4</v>
      </c>
      <c r="T9" s="83">
        <f t="shared" si="4"/>
        <v>1</v>
      </c>
    </row>
    <row r="10" spans="1:20" x14ac:dyDescent="0.25">
      <c r="A10" s="160">
        <v>46143</v>
      </c>
      <c r="B10" s="35">
        <v>31</v>
      </c>
      <c r="C10" s="91"/>
      <c r="D10" s="92"/>
      <c r="E10" s="35">
        <f t="shared" si="6"/>
        <v>31</v>
      </c>
      <c r="F10" s="91"/>
      <c r="G10" s="92"/>
      <c r="H10" s="35">
        <f t="shared" si="7"/>
        <v>31</v>
      </c>
      <c r="I10" s="91"/>
      <c r="J10" s="92"/>
      <c r="K10" s="35">
        <f t="shared" si="8"/>
        <v>31</v>
      </c>
      <c r="L10" s="91"/>
      <c r="M10" s="92"/>
      <c r="N10" s="35">
        <f t="shared" si="0"/>
        <v>31</v>
      </c>
      <c r="O10" s="17">
        <f t="shared" si="1"/>
        <v>124</v>
      </c>
      <c r="P10" s="18">
        <f t="shared" si="2"/>
        <v>124</v>
      </c>
      <c r="Q10" s="37">
        <f t="shared" si="3"/>
        <v>1</v>
      </c>
      <c r="S10" s="81">
        <f t="shared" si="5"/>
        <v>5</v>
      </c>
      <c r="T10" s="83">
        <f t="shared" si="4"/>
        <v>1</v>
      </c>
    </row>
    <row r="11" spans="1:20" x14ac:dyDescent="0.25">
      <c r="A11" s="160">
        <v>46174</v>
      </c>
      <c r="B11" s="35">
        <v>30</v>
      </c>
      <c r="C11" s="91"/>
      <c r="D11" s="92"/>
      <c r="E11" s="35">
        <f t="shared" si="6"/>
        <v>30</v>
      </c>
      <c r="F11" s="91"/>
      <c r="G11" s="92"/>
      <c r="H11" s="35">
        <f t="shared" si="7"/>
        <v>30</v>
      </c>
      <c r="I11" s="91"/>
      <c r="J11" s="92"/>
      <c r="K11" s="35">
        <f t="shared" si="8"/>
        <v>30</v>
      </c>
      <c r="L11" s="91"/>
      <c r="M11" s="92"/>
      <c r="N11" s="35">
        <f t="shared" si="0"/>
        <v>30</v>
      </c>
      <c r="O11" s="17">
        <f t="shared" si="1"/>
        <v>120</v>
      </c>
      <c r="P11" s="18">
        <f t="shared" si="2"/>
        <v>120</v>
      </c>
      <c r="Q11" s="37">
        <f t="shared" si="3"/>
        <v>1</v>
      </c>
      <c r="S11" s="81">
        <f t="shared" si="5"/>
        <v>6</v>
      </c>
      <c r="T11" s="83">
        <f t="shared" si="4"/>
        <v>1</v>
      </c>
    </row>
    <row r="12" spans="1:20" x14ac:dyDescent="0.25">
      <c r="A12" s="160">
        <v>46204</v>
      </c>
      <c r="B12" s="35">
        <v>31</v>
      </c>
      <c r="C12" s="91"/>
      <c r="D12" s="92"/>
      <c r="E12" s="35">
        <f t="shared" si="6"/>
        <v>31</v>
      </c>
      <c r="F12" s="91"/>
      <c r="G12" s="92"/>
      <c r="H12" s="35">
        <f t="shared" si="7"/>
        <v>31</v>
      </c>
      <c r="I12" s="91"/>
      <c r="J12" s="92"/>
      <c r="K12" s="35">
        <f t="shared" si="8"/>
        <v>31</v>
      </c>
      <c r="L12" s="91"/>
      <c r="M12" s="92"/>
      <c r="N12" s="35">
        <f t="shared" si="0"/>
        <v>31</v>
      </c>
      <c r="O12" s="17">
        <f t="shared" si="1"/>
        <v>124</v>
      </c>
      <c r="P12" s="18">
        <f t="shared" si="2"/>
        <v>124</v>
      </c>
      <c r="Q12" s="37">
        <f t="shared" si="3"/>
        <v>1</v>
      </c>
      <c r="S12" s="81">
        <f t="shared" si="5"/>
        <v>7</v>
      </c>
      <c r="T12" s="83">
        <f t="shared" si="4"/>
        <v>1</v>
      </c>
    </row>
    <row r="13" spans="1:20" x14ac:dyDescent="0.25">
      <c r="A13" s="160">
        <v>46235</v>
      </c>
      <c r="B13" s="35">
        <v>31</v>
      </c>
      <c r="C13" s="91"/>
      <c r="D13" s="92"/>
      <c r="E13" s="35">
        <f t="shared" si="6"/>
        <v>31</v>
      </c>
      <c r="F13" s="91"/>
      <c r="G13" s="92"/>
      <c r="H13" s="35">
        <f t="shared" si="7"/>
        <v>31</v>
      </c>
      <c r="I13" s="91"/>
      <c r="J13" s="92"/>
      <c r="K13" s="35">
        <f t="shared" si="8"/>
        <v>31</v>
      </c>
      <c r="L13" s="91"/>
      <c r="M13" s="92"/>
      <c r="N13" s="35">
        <f t="shared" si="0"/>
        <v>31</v>
      </c>
      <c r="O13" s="17">
        <f t="shared" si="1"/>
        <v>124</v>
      </c>
      <c r="P13" s="18">
        <f t="shared" si="2"/>
        <v>124</v>
      </c>
      <c r="Q13" s="37">
        <f t="shared" si="3"/>
        <v>1</v>
      </c>
      <c r="S13" s="81">
        <f t="shared" si="5"/>
        <v>8</v>
      </c>
      <c r="T13" s="83">
        <f t="shared" si="4"/>
        <v>1</v>
      </c>
    </row>
    <row r="14" spans="1:20" x14ac:dyDescent="0.25">
      <c r="A14" s="160">
        <v>46266</v>
      </c>
      <c r="B14" s="35">
        <v>30</v>
      </c>
      <c r="C14" s="91"/>
      <c r="D14" s="92"/>
      <c r="E14" s="35">
        <f t="shared" si="6"/>
        <v>30</v>
      </c>
      <c r="F14" s="91"/>
      <c r="G14" s="92"/>
      <c r="H14" s="35">
        <f t="shared" si="7"/>
        <v>30</v>
      </c>
      <c r="I14" s="91"/>
      <c r="J14" s="92"/>
      <c r="K14" s="35">
        <f t="shared" si="8"/>
        <v>30</v>
      </c>
      <c r="L14" s="91"/>
      <c r="M14" s="92"/>
      <c r="N14" s="35">
        <f t="shared" si="0"/>
        <v>30</v>
      </c>
      <c r="O14" s="17">
        <f t="shared" si="1"/>
        <v>120</v>
      </c>
      <c r="P14" s="18">
        <f t="shared" si="2"/>
        <v>120</v>
      </c>
      <c r="Q14" s="37">
        <f t="shared" si="3"/>
        <v>1</v>
      </c>
      <c r="S14" s="81">
        <f t="shared" si="5"/>
        <v>9</v>
      </c>
      <c r="T14" s="83">
        <f t="shared" si="4"/>
        <v>1</v>
      </c>
    </row>
    <row r="15" spans="1:20" x14ac:dyDescent="0.25">
      <c r="A15" s="160">
        <v>46296</v>
      </c>
      <c r="B15" s="35">
        <v>31</v>
      </c>
      <c r="C15" s="91"/>
      <c r="D15" s="92"/>
      <c r="E15" s="35">
        <f t="shared" si="6"/>
        <v>31</v>
      </c>
      <c r="F15" s="91"/>
      <c r="G15" s="92"/>
      <c r="H15" s="35">
        <f t="shared" si="7"/>
        <v>31</v>
      </c>
      <c r="I15" s="91"/>
      <c r="J15" s="92"/>
      <c r="K15" s="35">
        <f t="shared" si="8"/>
        <v>31</v>
      </c>
      <c r="L15" s="91">
        <v>5</v>
      </c>
      <c r="M15" s="92">
        <v>31</v>
      </c>
      <c r="N15" s="35">
        <f t="shared" si="0"/>
        <v>4</v>
      </c>
      <c r="O15" s="17">
        <f t="shared" si="1"/>
        <v>124</v>
      </c>
      <c r="P15" s="18">
        <f t="shared" si="2"/>
        <v>97</v>
      </c>
      <c r="Q15" s="37">
        <f t="shared" si="3"/>
        <v>0.7823</v>
      </c>
      <c r="S15" s="81">
        <f t="shared" si="5"/>
        <v>10</v>
      </c>
      <c r="T15" s="83">
        <f t="shared" si="4"/>
        <v>0.7823</v>
      </c>
    </row>
    <row r="16" spans="1:20" x14ac:dyDescent="0.25">
      <c r="A16" s="160">
        <v>46327</v>
      </c>
      <c r="B16" s="35">
        <v>30</v>
      </c>
      <c r="C16" s="91">
        <v>16</v>
      </c>
      <c r="D16" s="92">
        <v>30</v>
      </c>
      <c r="E16" s="35">
        <f t="shared" si="6"/>
        <v>15</v>
      </c>
      <c r="F16" s="91"/>
      <c r="G16" s="92"/>
      <c r="H16" s="35">
        <f t="shared" si="7"/>
        <v>30</v>
      </c>
      <c r="I16" s="91"/>
      <c r="J16" s="92"/>
      <c r="K16" s="35">
        <f t="shared" si="8"/>
        <v>30</v>
      </c>
      <c r="L16" s="91">
        <v>1</v>
      </c>
      <c r="M16" s="92">
        <v>13</v>
      </c>
      <c r="N16" s="35">
        <f t="shared" si="0"/>
        <v>17</v>
      </c>
      <c r="O16" s="17">
        <f t="shared" si="1"/>
        <v>120</v>
      </c>
      <c r="P16" s="18">
        <f t="shared" si="2"/>
        <v>92</v>
      </c>
      <c r="Q16" s="37">
        <f t="shared" si="3"/>
        <v>0.76670000000000005</v>
      </c>
      <c r="S16" s="81">
        <f t="shared" si="5"/>
        <v>11</v>
      </c>
      <c r="T16" s="83">
        <f t="shared" si="4"/>
        <v>0.76670000000000005</v>
      </c>
    </row>
    <row r="17" spans="1:20" ht="13.8" thickBot="1" x14ac:dyDescent="0.3">
      <c r="A17" s="160">
        <v>46357</v>
      </c>
      <c r="B17" s="36">
        <v>31</v>
      </c>
      <c r="C17" s="93">
        <v>1</v>
      </c>
      <c r="D17" s="94">
        <v>18</v>
      </c>
      <c r="E17" s="36">
        <f t="shared" si="6"/>
        <v>13</v>
      </c>
      <c r="F17" s="93"/>
      <c r="G17" s="94"/>
      <c r="H17" s="36">
        <f t="shared" si="7"/>
        <v>31</v>
      </c>
      <c r="I17" s="93"/>
      <c r="J17" s="94"/>
      <c r="K17" s="36">
        <f t="shared" si="8"/>
        <v>31</v>
      </c>
      <c r="L17" s="93"/>
      <c r="M17" s="94"/>
      <c r="N17" s="36">
        <f t="shared" si="0"/>
        <v>31</v>
      </c>
      <c r="O17" s="19">
        <f t="shared" si="1"/>
        <v>124</v>
      </c>
      <c r="P17" s="20">
        <f t="shared" si="2"/>
        <v>106</v>
      </c>
      <c r="Q17" s="38">
        <f t="shared" si="3"/>
        <v>0.8548</v>
      </c>
      <c r="S17" s="86">
        <f t="shared" si="5"/>
        <v>12</v>
      </c>
      <c r="T17" s="84">
        <f t="shared" si="4"/>
        <v>0.8548</v>
      </c>
    </row>
    <row r="18" spans="1:20" x14ac:dyDescent="0.25">
      <c r="A18" s="159">
        <v>46388</v>
      </c>
      <c r="B18" s="34">
        <v>31</v>
      </c>
      <c r="C18" s="89"/>
      <c r="D18" s="90"/>
      <c r="E18" s="34">
        <f>IF(C18&gt;0,$B18-(D18-C18+1),$B18)</f>
        <v>31</v>
      </c>
      <c r="F18" s="89">
        <v>4</v>
      </c>
      <c r="G18" s="90">
        <v>31</v>
      </c>
      <c r="H18" s="34">
        <f>IF(F18&gt;0,$B18-(G18-F18+1),$B18)</f>
        <v>3</v>
      </c>
      <c r="I18" s="89"/>
      <c r="J18" s="90"/>
      <c r="K18" s="34">
        <f>IF(I18&gt;0,$B18-(J18-I18+1),$B18)</f>
        <v>31</v>
      </c>
      <c r="L18" s="89"/>
      <c r="M18" s="90"/>
      <c r="N18" s="34">
        <f t="shared" si="0"/>
        <v>31</v>
      </c>
      <c r="O18" s="40">
        <f t="shared" si="1"/>
        <v>124</v>
      </c>
      <c r="P18" s="41">
        <f t="shared" si="2"/>
        <v>96</v>
      </c>
      <c r="Q18" s="39">
        <f t="shared" si="3"/>
        <v>0.7742</v>
      </c>
      <c r="S18" s="82">
        <f>S17+1</f>
        <v>13</v>
      </c>
      <c r="T18" s="85">
        <f t="shared" si="4"/>
        <v>0.7742</v>
      </c>
    </row>
    <row r="19" spans="1:20" x14ac:dyDescent="0.25">
      <c r="A19" s="160">
        <v>46419</v>
      </c>
      <c r="B19" s="35">
        <v>28</v>
      </c>
      <c r="C19" s="91"/>
      <c r="D19" s="92"/>
      <c r="E19" s="35">
        <f>IF(C19&gt;0,$B19-(D19-C19+1),$B19)</f>
        <v>28</v>
      </c>
      <c r="F19" s="91">
        <v>1</v>
      </c>
      <c r="G19" s="92">
        <v>5</v>
      </c>
      <c r="H19" s="35">
        <f>IF(F19&gt;0,$B19-(G19-F19+1),$B19)</f>
        <v>23</v>
      </c>
      <c r="I19" s="91">
        <v>8</v>
      </c>
      <c r="J19" s="92">
        <v>28</v>
      </c>
      <c r="K19" s="35">
        <f>IF(I19&gt;0,$B19-(J19-I19+1),$B19)</f>
        <v>7</v>
      </c>
      <c r="L19" s="91"/>
      <c r="M19" s="92"/>
      <c r="N19" s="35">
        <f t="shared" si="0"/>
        <v>28</v>
      </c>
      <c r="O19" s="17">
        <f t="shared" si="1"/>
        <v>112</v>
      </c>
      <c r="P19" s="18">
        <f t="shared" si="2"/>
        <v>86</v>
      </c>
      <c r="Q19" s="37">
        <f t="shared" si="3"/>
        <v>0.76790000000000003</v>
      </c>
      <c r="S19" s="81">
        <f t="shared" si="5"/>
        <v>14</v>
      </c>
      <c r="T19" s="83">
        <f t="shared" si="4"/>
        <v>0.76790000000000003</v>
      </c>
    </row>
    <row r="20" spans="1:20" x14ac:dyDescent="0.25">
      <c r="A20" s="160">
        <v>46447</v>
      </c>
      <c r="B20" s="35">
        <v>31</v>
      </c>
      <c r="C20" s="91"/>
      <c r="D20" s="92"/>
      <c r="E20" s="35">
        <f>IF(C20&gt;0,$B20-(D20-C20+1),$B20)</f>
        <v>31</v>
      </c>
      <c r="F20" s="91"/>
      <c r="G20" s="92"/>
      <c r="H20" s="35">
        <f>IF(F20&gt;0,$B20-(G20-F20+1),$B20)</f>
        <v>31</v>
      </c>
      <c r="I20" s="91">
        <v>1</v>
      </c>
      <c r="J20" s="92">
        <v>12</v>
      </c>
      <c r="K20" s="35">
        <f>IF(I20&gt;0,$B20-(J20-I20+1),$B20)</f>
        <v>19</v>
      </c>
      <c r="L20" s="91"/>
      <c r="M20" s="92"/>
      <c r="N20" s="35">
        <f t="shared" si="0"/>
        <v>31</v>
      </c>
      <c r="O20" s="17">
        <f t="shared" si="1"/>
        <v>124</v>
      </c>
      <c r="P20" s="18">
        <f t="shared" si="2"/>
        <v>112</v>
      </c>
      <c r="Q20" s="37">
        <f t="shared" si="3"/>
        <v>0.9032</v>
      </c>
      <c r="S20" s="81">
        <f t="shared" si="5"/>
        <v>15</v>
      </c>
      <c r="T20" s="83">
        <f t="shared" si="4"/>
        <v>0.9032</v>
      </c>
    </row>
    <row r="21" spans="1:20" x14ac:dyDescent="0.25">
      <c r="A21" s="160">
        <v>46478</v>
      </c>
      <c r="B21" s="35">
        <v>30</v>
      </c>
      <c r="C21" s="91"/>
      <c r="D21" s="92"/>
      <c r="E21" s="35">
        <f t="shared" ref="E21:E29" si="9">IF(C21&gt;0,$B21-(D21-C21+1),$B21)</f>
        <v>30</v>
      </c>
      <c r="F21" s="91"/>
      <c r="G21" s="92"/>
      <c r="H21" s="35">
        <f t="shared" ref="H21:H29" si="10">IF(F21&gt;0,$B21-(G21-F21+1),$B21)</f>
        <v>30</v>
      </c>
      <c r="I21" s="91"/>
      <c r="J21" s="92"/>
      <c r="K21" s="35">
        <f t="shared" ref="K21:K29" si="11">IF(I21&gt;0,$B21-(J21-I21+1),$B21)</f>
        <v>30</v>
      </c>
      <c r="L21" s="91"/>
      <c r="M21" s="92"/>
      <c r="N21" s="35">
        <f t="shared" si="0"/>
        <v>30</v>
      </c>
      <c r="O21" s="17">
        <f t="shared" si="1"/>
        <v>120</v>
      </c>
      <c r="P21" s="18">
        <f t="shared" si="2"/>
        <v>120</v>
      </c>
      <c r="Q21" s="37">
        <f t="shared" si="3"/>
        <v>1</v>
      </c>
      <c r="S21" s="81">
        <f t="shared" si="5"/>
        <v>16</v>
      </c>
      <c r="T21" s="83">
        <f t="shared" si="4"/>
        <v>1</v>
      </c>
    </row>
    <row r="22" spans="1:20" x14ac:dyDescent="0.25">
      <c r="A22" s="160">
        <v>46508</v>
      </c>
      <c r="B22" s="35">
        <v>31</v>
      </c>
      <c r="C22" s="91"/>
      <c r="D22" s="92"/>
      <c r="E22" s="35">
        <f t="shared" si="9"/>
        <v>31</v>
      </c>
      <c r="F22" s="91"/>
      <c r="G22" s="92"/>
      <c r="H22" s="35">
        <f t="shared" si="10"/>
        <v>31</v>
      </c>
      <c r="I22" s="91"/>
      <c r="J22" s="92"/>
      <c r="K22" s="35">
        <f t="shared" si="11"/>
        <v>31</v>
      </c>
      <c r="L22" s="91"/>
      <c r="M22" s="92"/>
      <c r="N22" s="35">
        <f t="shared" si="0"/>
        <v>31</v>
      </c>
      <c r="O22" s="17">
        <f t="shared" si="1"/>
        <v>124</v>
      </c>
      <c r="P22" s="18">
        <f t="shared" si="2"/>
        <v>124</v>
      </c>
      <c r="Q22" s="37">
        <f t="shared" si="3"/>
        <v>1</v>
      </c>
      <c r="S22" s="81">
        <f t="shared" si="5"/>
        <v>17</v>
      </c>
      <c r="T22" s="83">
        <f t="shared" si="4"/>
        <v>1</v>
      </c>
    </row>
    <row r="23" spans="1:20" x14ac:dyDescent="0.25">
      <c r="A23" s="160">
        <v>46539</v>
      </c>
      <c r="B23" s="35">
        <v>30</v>
      </c>
      <c r="C23" s="91"/>
      <c r="D23" s="92"/>
      <c r="E23" s="35">
        <f t="shared" si="9"/>
        <v>30</v>
      </c>
      <c r="F23" s="91"/>
      <c r="G23" s="92"/>
      <c r="H23" s="35">
        <f t="shared" si="10"/>
        <v>30</v>
      </c>
      <c r="I23" s="91"/>
      <c r="J23" s="92"/>
      <c r="K23" s="35">
        <f t="shared" si="11"/>
        <v>30</v>
      </c>
      <c r="L23" s="91"/>
      <c r="M23" s="92"/>
      <c r="N23" s="35">
        <f t="shared" si="0"/>
        <v>30</v>
      </c>
      <c r="O23" s="17">
        <f t="shared" si="1"/>
        <v>120</v>
      </c>
      <c r="P23" s="18">
        <f t="shared" si="2"/>
        <v>120</v>
      </c>
      <c r="Q23" s="37">
        <f t="shared" si="3"/>
        <v>1</v>
      </c>
      <c r="S23" s="81">
        <f t="shared" si="5"/>
        <v>18</v>
      </c>
      <c r="T23" s="83">
        <f t="shared" si="4"/>
        <v>1</v>
      </c>
    </row>
    <row r="24" spans="1:20" x14ac:dyDescent="0.25">
      <c r="A24" s="160">
        <v>46569</v>
      </c>
      <c r="B24" s="35">
        <v>31</v>
      </c>
      <c r="C24" s="91"/>
      <c r="D24" s="92"/>
      <c r="E24" s="35">
        <f t="shared" si="9"/>
        <v>31</v>
      </c>
      <c r="F24" s="91"/>
      <c r="G24" s="92"/>
      <c r="H24" s="35">
        <f t="shared" si="10"/>
        <v>31</v>
      </c>
      <c r="I24" s="91"/>
      <c r="J24" s="92"/>
      <c r="K24" s="35">
        <f t="shared" si="11"/>
        <v>31</v>
      </c>
      <c r="L24" s="91"/>
      <c r="M24" s="92"/>
      <c r="N24" s="35">
        <f t="shared" si="0"/>
        <v>31</v>
      </c>
      <c r="O24" s="17">
        <f t="shared" si="1"/>
        <v>124</v>
      </c>
      <c r="P24" s="18">
        <f t="shared" si="2"/>
        <v>124</v>
      </c>
      <c r="Q24" s="37">
        <f t="shared" si="3"/>
        <v>1</v>
      </c>
      <c r="S24" s="81">
        <f t="shared" si="5"/>
        <v>19</v>
      </c>
      <c r="T24" s="83">
        <f t="shared" si="4"/>
        <v>1</v>
      </c>
    </row>
    <row r="25" spans="1:20" x14ac:dyDescent="0.25">
      <c r="A25" s="160">
        <v>46600</v>
      </c>
      <c r="B25" s="35">
        <v>31</v>
      </c>
      <c r="C25" s="91"/>
      <c r="D25" s="92"/>
      <c r="E25" s="35">
        <f t="shared" si="9"/>
        <v>31</v>
      </c>
      <c r="F25" s="91"/>
      <c r="G25" s="92"/>
      <c r="H25" s="35">
        <f t="shared" si="10"/>
        <v>31</v>
      </c>
      <c r="I25" s="91"/>
      <c r="J25" s="92"/>
      <c r="K25" s="35">
        <f t="shared" si="11"/>
        <v>31</v>
      </c>
      <c r="L25" s="91"/>
      <c r="M25" s="92"/>
      <c r="N25" s="35">
        <f t="shared" si="0"/>
        <v>31</v>
      </c>
      <c r="O25" s="17">
        <f t="shared" si="1"/>
        <v>124</v>
      </c>
      <c r="P25" s="18">
        <f t="shared" si="2"/>
        <v>124</v>
      </c>
      <c r="Q25" s="37">
        <f t="shared" si="3"/>
        <v>1</v>
      </c>
      <c r="S25" s="81">
        <f t="shared" si="5"/>
        <v>20</v>
      </c>
      <c r="T25" s="83">
        <f t="shared" si="4"/>
        <v>1</v>
      </c>
    </row>
    <row r="26" spans="1:20" x14ac:dyDescent="0.25">
      <c r="A26" s="160">
        <v>46631</v>
      </c>
      <c r="B26" s="35">
        <v>30</v>
      </c>
      <c r="C26" s="91"/>
      <c r="D26" s="92"/>
      <c r="E26" s="35">
        <f t="shared" si="9"/>
        <v>30</v>
      </c>
      <c r="F26" s="91"/>
      <c r="G26" s="92"/>
      <c r="H26" s="35">
        <f t="shared" si="10"/>
        <v>30</v>
      </c>
      <c r="I26" s="91"/>
      <c r="J26" s="92"/>
      <c r="K26" s="35">
        <f t="shared" si="11"/>
        <v>30</v>
      </c>
      <c r="L26" s="91"/>
      <c r="M26" s="92"/>
      <c r="N26" s="35">
        <f t="shared" si="0"/>
        <v>30</v>
      </c>
      <c r="O26" s="17">
        <f t="shared" si="1"/>
        <v>120</v>
      </c>
      <c r="P26" s="18">
        <f t="shared" si="2"/>
        <v>120</v>
      </c>
      <c r="Q26" s="37">
        <f t="shared" si="3"/>
        <v>1</v>
      </c>
      <c r="S26" s="81">
        <f t="shared" si="5"/>
        <v>21</v>
      </c>
      <c r="T26" s="83">
        <f t="shared" si="4"/>
        <v>1</v>
      </c>
    </row>
    <row r="27" spans="1:20" x14ac:dyDescent="0.25">
      <c r="A27" s="160">
        <v>46661</v>
      </c>
      <c r="B27" s="35">
        <v>31</v>
      </c>
      <c r="C27" s="91"/>
      <c r="D27" s="92"/>
      <c r="E27" s="35">
        <f t="shared" si="9"/>
        <v>31</v>
      </c>
      <c r="F27" s="91"/>
      <c r="G27" s="92"/>
      <c r="H27" s="35">
        <f t="shared" si="10"/>
        <v>31</v>
      </c>
      <c r="I27" s="91"/>
      <c r="J27" s="92"/>
      <c r="K27" s="35">
        <f t="shared" si="11"/>
        <v>31</v>
      </c>
      <c r="L27" s="91">
        <v>1</v>
      </c>
      <c r="M27" s="92">
        <v>31</v>
      </c>
      <c r="N27" s="35">
        <f t="shared" si="0"/>
        <v>0</v>
      </c>
      <c r="O27" s="17">
        <f t="shared" si="1"/>
        <v>124</v>
      </c>
      <c r="P27" s="18">
        <f t="shared" si="2"/>
        <v>93</v>
      </c>
      <c r="Q27" s="37">
        <f t="shared" si="3"/>
        <v>0.75</v>
      </c>
      <c r="S27" s="81">
        <f t="shared" si="5"/>
        <v>22</v>
      </c>
      <c r="T27" s="83">
        <f t="shared" si="4"/>
        <v>0.75</v>
      </c>
    </row>
    <row r="28" spans="1:20" x14ac:dyDescent="0.25">
      <c r="A28" s="160">
        <v>46692</v>
      </c>
      <c r="B28" s="35">
        <v>30</v>
      </c>
      <c r="C28" s="91">
        <v>16</v>
      </c>
      <c r="D28" s="92">
        <v>30</v>
      </c>
      <c r="E28" s="35">
        <f t="shared" si="9"/>
        <v>15</v>
      </c>
      <c r="F28" s="91"/>
      <c r="G28" s="92"/>
      <c r="H28" s="35">
        <f t="shared" si="10"/>
        <v>30</v>
      </c>
      <c r="I28" s="91"/>
      <c r="J28" s="92"/>
      <c r="K28" s="35">
        <f t="shared" si="11"/>
        <v>30</v>
      </c>
      <c r="L28" s="91">
        <v>1</v>
      </c>
      <c r="M28" s="92">
        <v>13</v>
      </c>
      <c r="N28" s="35">
        <f t="shared" si="0"/>
        <v>17</v>
      </c>
      <c r="O28" s="17">
        <f t="shared" si="1"/>
        <v>120</v>
      </c>
      <c r="P28" s="18">
        <f t="shared" si="2"/>
        <v>92</v>
      </c>
      <c r="Q28" s="37">
        <f t="shared" si="3"/>
        <v>0.76670000000000005</v>
      </c>
      <c r="S28" s="81">
        <f t="shared" si="5"/>
        <v>23</v>
      </c>
      <c r="T28" s="83">
        <f t="shared" si="4"/>
        <v>0.76670000000000005</v>
      </c>
    </row>
    <row r="29" spans="1:20" ht="13.8" thickBot="1" x14ac:dyDescent="0.3">
      <c r="A29" s="160">
        <v>46722</v>
      </c>
      <c r="B29" s="36">
        <v>31</v>
      </c>
      <c r="C29" s="93">
        <v>1</v>
      </c>
      <c r="D29" s="94">
        <v>11</v>
      </c>
      <c r="E29" s="36">
        <f t="shared" si="9"/>
        <v>20</v>
      </c>
      <c r="F29" s="93"/>
      <c r="G29" s="94"/>
      <c r="H29" s="36">
        <f t="shared" si="10"/>
        <v>31</v>
      </c>
      <c r="I29" s="93"/>
      <c r="J29" s="94"/>
      <c r="K29" s="36">
        <f t="shared" si="11"/>
        <v>31</v>
      </c>
      <c r="L29" s="93"/>
      <c r="M29" s="94"/>
      <c r="N29" s="36">
        <f t="shared" si="0"/>
        <v>31</v>
      </c>
      <c r="O29" s="19">
        <f t="shared" si="1"/>
        <v>124</v>
      </c>
      <c r="P29" s="20">
        <f t="shared" si="2"/>
        <v>113</v>
      </c>
      <c r="Q29" s="38">
        <f t="shared" si="3"/>
        <v>0.9113</v>
      </c>
      <c r="S29" s="86">
        <f t="shared" si="5"/>
        <v>24</v>
      </c>
      <c r="T29" s="84">
        <f t="shared" si="4"/>
        <v>0.9113</v>
      </c>
    </row>
    <row r="30" spans="1:20" x14ac:dyDescent="0.25">
      <c r="A30" s="159">
        <v>46753</v>
      </c>
      <c r="B30" s="34">
        <v>31</v>
      </c>
      <c r="C30" s="89"/>
      <c r="D30" s="90"/>
      <c r="E30" s="34">
        <f>IF(C30&gt;0,$B30-(D30-C30+1),$B30)</f>
        <v>31</v>
      </c>
      <c r="F30" s="89">
        <v>4</v>
      </c>
      <c r="G30" s="90">
        <v>31</v>
      </c>
      <c r="H30" s="34">
        <f>IF(F30&gt;0,$B30-(G30-F30+1),$B30)</f>
        <v>3</v>
      </c>
      <c r="I30" s="89"/>
      <c r="J30" s="90"/>
      <c r="K30" s="34">
        <f>IF(I30&gt;0,$B30-(J30-I30+1),$B30)</f>
        <v>31</v>
      </c>
      <c r="L30" s="89"/>
      <c r="M30" s="90"/>
      <c r="N30" s="34">
        <f t="shared" ref="N30:N41" si="12">IF(L30&gt;0,$B30-(M30-L30+1),$B30)</f>
        <v>31</v>
      </c>
      <c r="O30" s="40">
        <f t="shared" ref="O30:O41" si="13">4*B30</f>
        <v>124</v>
      </c>
      <c r="P30" s="41">
        <f t="shared" ref="P30:P41" si="14">SUM(E30,H30,K30,N30)</f>
        <v>96</v>
      </c>
      <c r="Q30" s="39">
        <f t="shared" ref="Q30:Q41" si="15">ROUND(P30/O30,4)</f>
        <v>0.7742</v>
      </c>
      <c r="S30" s="82">
        <f t="shared" si="5"/>
        <v>25</v>
      </c>
      <c r="T30" s="85">
        <f t="shared" si="4"/>
        <v>0.7742</v>
      </c>
    </row>
    <row r="31" spans="1:20" x14ac:dyDescent="0.25">
      <c r="A31" s="160">
        <v>46784</v>
      </c>
      <c r="B31" s="35">
        <v>28</v>
      </c>
      <c r="C31" s="91"/>
      <c r="D31" s="92"/>
      <c r="E31" s="35">
        <f>IF(C31&gt;0,$B31-(D31-C31+1),$B31)</f>
        <v>28</v>
      </c>
      <c r="F31" s="91">
        <v>1</v>
      </c>
      <c r="G31" s="92">
        <v>5</v>
      </c>
      <c r="H31" s="35">
        <f>IF(F31&gt;0,$B31-(G31-F31+1),$B31)</f>
        <v>23</v>
      </c>
      <c r="I31" s="91">
        <v>8</v>
      </c>
      <c r="J31" s="92">
        <v>28</v>
      </c>
      <c r="K31" s="35">
        <f>IF(I31&gt;0,$B31-(J31-I31+1),$B31)</f>
        <v>7</v>
      </c>
      <c r="L31" s="91"/>
      <c r="M31" s="92"/>
      <c r="N31" s="35">
        <f t="shared" si="12"/>
        <v>28</v>
      </c>
      <c r="O31" s="17">
        <f t="shared" si="13"/>
        <v>112</v>
      </c>
      <c r="P31" s="18">
        <f t="shared" si="14"/>
        <v>86</v>
      </c>
      <c r="Q31" s="37">
        <f t="shared" si="15"/>
        <v>0.76790000000000003</v>
      </c>
      <c r="S31" s="81">
        <f t="shared" si="5"/>
        <v>26</v>
      </c>
      <c r="T31" s="83">
        <f t="shared" si="4"/>
        <v>0.76790000000000003</v>
      </c>
    </row>
    <row r="32" spans="1:20" x14ac:dyDescent="0.25">
      <c r="A32" s="160">
        <v>46813</v>
      </c>
      <c r="B32" s="35">
        <v>31</v>
      </c>
      <c r="C32" s="91"/>
      <c r="D32" s="92"/>
      <c r="E32" s="35">
        <f>IF(C32&gt;0,$B32-(D32-C32+1),$B32)</f>
        <v>31</v>
      </c>
      <c r="F32" s="91"/>
      <c r="G32" s="92"/>
      <c r="H32" s="35">
        <f>IF(F32&gt;0,$B32-(G32-F32+1),$B32)</f>
        <v>31</v>
      </c>
      <c r="I32" s="91">
        <v>1</v>
      </c>
      <c r="J32" s="92">
        <v>12</v>
      </c>
      <c r="K32" s="35">
        <f>IF(I32&gt;0,$B32-(J32-I32+1),$B32)</f>
        <v>19</v>
      </c>
      <c r="L32" s="91"/>
      <c r="M32" s="92"/>
      <c r="N32" s="35">
        <f t="shared" si="12"/>
        <v>31</v>
      </c>
      <c r="O32" s="17">
        <f t="shared" si="13"/>
        <v>124</v>
      </c>
      <c r="P32" s="18">
        <f t="shared" si="14"/>
        <v>112</v>
      </c>
      <c r="Q32" s="37">
        <f t="shared" si="15"/>
        <v>0.9032</v>
      </c>
      <c r="S32" s="81">
        <f t="shared" si="5"/>
        <v>27</v>
      </c>
      <c r="T32" s="83">
        <f t="shared" si="4"/>
        <v>0.9032</v>
      </c>
    </row>
    <row r="33" spans="1:20" x14ac:dyDescent="0.25">
      <c r="A33" s="160">
        <v>46844</v>
      </c>
      <c r="B33" s="35">
        <v>30</v>
      </c>
      <c r="C33" s="91"/>
      <c r="D33" s="92"/>
      <c r="E33" s="35">
        <f t="shared" ref="E33:E41" si="16">IF(C33&gt;0,$B33-(D33-C33+1),$B33)</f>
        <v>30</v>
      </c>
      <c r="F33" s="91"/>
      <c r="G33" s="92"/>
      <c r="H33" s="35">
        <f t="shared" ref="H33:H41" si="17">IF(F33&gt;0,$B33-(G33-F33+1),$B33)</f>
        <v>30</v>
      </c>
      <c r="I33" s="91"/>
      <c r="J33" s="92"/>
      <c r="K33" s="35">
        <f t="shared" ref="K33:K41" si="18">IF(I33&gt;0,$B33-(J33-I33+1),$B33)</f>
        <v>30</v>
      </c>
      <c r="L33" s="91"/>
      <c r="M33" s="92"/>
      <c r="N33" s="35">
        <f t="shared" si="12"/>
        <v>30</v>
      </c>
      <c r="O33" s="17">
        <f t="shared" si="13"/>
        <v>120</v>
      </c>
      <c r="P33" s="18">
        <f t="shared" si="14"/>
        <v>120</v>
      </c>
      <c r="Q33" s="37">
        <f t="shared" si="15"/>
        <v>1</v>
      </c>
      <c r="S33" s="81">
        <f t="shared" si="5"/>
        <v>28</v>
      </c>
      <c r="T33" s="83">
        <f t="shared" si="4"/>
        <v>1</v>
      </c>
    </row>
    <row r="34" spans="1:20" x14ac:dyDescent="0.25">
      <c r="A34" s="160">
        <v>46874</v>
      </c>
      <c r="B34" s="35">
        <v>31</v>
      </c>
      <c r="C34" s="91"/>
      <c r="D34" s="92"/>
      <c r="E34" s="35">
        <f t="shared" si="16"/>
        <v>31</v>
      </c>
      <c r="F34" s="91"/>
      <c r="G34" s="92"/>
      <c r="H34" s="35">
        <f t="shared" si="17"/>
        <v>31</v>
      </c>
      <c r="I34" s="91"/>
      <c r="J34" s="92"/>
      <c r="K34" s="35">
        <f t="shared" si="18"/>
        <v>31</v>
      </c>
      <c r="L34" s="91"/>
      <c r="M34" s="92"/>
      <c r="N34" s="35">
        <f t="shared" si="12"/>
        <v>31</v>
      </c>
      <c r="O34" s="17">
        <f t="shared" si="13"/>
        <v>124</v>
      </c>
      <c r="P34" s="18">
        <f t="shared" si="14"/>
        <v>124</v>
      </c>
      <c r="Q34" s="37">
        <f t="shared" si="15"/>
        <v>1</v>
      </c>
      <c r="S34" s="81">
        <f t="shared" si="5"/>
        <v>29</v>
      </c>
      <c r="T34" s="83">
        <f t="shared" si="4"/>
        <v>1</v>
      </c>
    </row>
    <row r="35" spans="1:20" x14ac:dyDescent="0.25">
      <c r="A35" s="160">
        <v>46905</v>
      </c>
      <c r="B35" s="35">
        <v>30</v>
      </c>
      <c r="C35" s="91"/>
      <c r="D35" s="92"/>
      <c r="E35" s="35">
        <f t="shared" si="16"/>
        <v>30</v>
      </c>
      <c r="F35" s="91"/>
      <c r="G35" s="92"/>
      <c r="H35" s="35">
        <f t="shared" si="17"/>
        <v>30</v>
      </c>
      <c r="I35" s="91"/>
      <c r="J35" s="92"/>
      <c r="K35" s="35">
        <f t="shared" si="18"/>
        <v>30</v>
      </c>
      <c r="L35" s="91"/>
      <c r="M35" s="92"/>
      <c r="N35" s="35">
        <f t="shared" si="12"/>
        <v>30</v>
      </c>
      <c r="O35" s="17">
        <f t="shared" si="13"/>
        <v>120</v>
      </c>
      <c r="P35" s="18">
        <f t="shared" si="14"/>
        <v>120</v>
      </c>
      <c r="Q35" s="37">
        <f t="shared" si="15"/>
        <v>1</v>
      </c>
      <c r="S35" s="81">
        <f t="shared" si="5"/>
        <v>30</v>
      </c>
      <c r="T35" s="83">
        <f t="shared" si="4"/>
        <v>1</v>
      </c>
    </row>
    <row r="36" spans="1:20" x14ac:dyDescent="0.25">
      <c r="A36" s="160">
        <v>46935</v>
      </c>
      <c r="B36" s="35">
        <v>31</v>
      </c>
      <c r="C36" s="91"/>
      <c r="D36" s="92"/>
      <c r="E36" s="35">
        <f t="shared" si="16"/>
        <v>31</v>
      </c>
      <c r="F36" s="91"/>
      <c r="G36" s="92"/>
      <c r="H36" s="35">
        <f t="shared" si="17"/>
        <v>31</v>
      </c>
      <c r="I36" s="91"/>
      <c r="J36" s="92"/>
      <c r="K36" s="35">
        <f t="shared" si="18"/>
        <v>31</v>
      </c>
      <c r="L36" s="91"/>
      <c r="M36" s="92"/>
      <c r="N36" s="35">
        <f t="shared" si="12"/>
        <v>31</v>
      </c>
      <c r="O36" s="17">
        <f t="shared" si="13"/>
        <v>124</v>
      </c>
      <c r="P36" s="18">
        <f t="shared" si="14"/>
        <v>124</v>
      </c>
      <c r="Q36" s="37">
        <f t="shared" si="15"/>
        <v>1</v>
      </c>
      <c r="S36" s="81">
        <f t="shared" si="5"/>
        <v>31</v>
      </c>
      <c r="T36" s="83">
        <f t="shared" si="4"/>
        <v>1</v>
      </c>
    </row>
    <row r="37" spans="1:20" x14ac:dyDescent="0.25">
      <c r="A37" s="160">
        <v>46966</v>
      </c>
      <c r="B37" s="35">
        <v>31</v>
      </c>
      <c r="C37" s="91"/>
      <c r="D37" s="92"/>
      <c r="E37" s="35">
        <f t="shared" si="16"/>
        <v>31</v>
      </c>
      <c r="F37" s="91"/>
      <c r="G37" s="92"/>
      <c r="H37" s="35">
        <f t="shared" si="17"/>
        <v>31</v>
      </c>
      <c r="I37" s="91"/>
      <c r="J37" s="92"/>
      <c r="K37" s="35">
        <f t="shared" si="18"/>
        <v>31</v>
      </c>
      <c r="L37" s="91"/>
      <c r="M37" s="92"/>
      <c r="N37" s="35">
        <f t="shared" si="12"/>
        <v>31</v>
      </c>
      <c r="O37" s="17">
        <f t="shared" si="13"/>
        <v>124</v>
      </c>
      <c r="P37" s="18">
        <f t="shared" si="14"/>
        <v>124</v>
      </c>
      <c r="Q37" s="37">
        <f t="shared" si="15"/>
        <v>1</v>
      </c>
      <c r="S37" s="81">
        <f t="shared" si="5"/>
        <v>32</v>
      </c>
      <c r="T37" s="83">
        <f t="shared" si="4"/>
        <v>1</v>
      </c>
    </row>
    <row r="38" spans="1:20" x14ac:dyDescent="0.25">
      <c r="A38" s="160">
        <v>46997</v>
      </c>
      <c r="B38" s="35">
        <v>30</v>
      </c>
      <c r="C38" s="91"/>
      <c r="D38" s="92"/>
      <c r="E38" s="35">
        <f t="shared" si="16"/>
        <v>30</v>
      </c>
      <c r="F38" s="91"/>
      <c r="G38" s="92"/>
      <c r="H38" s="35">
        <f t="shared" si="17"/>
        <v>30</v>
      </c>
      <c r="I38" s="91"/>
      <c r="J38" s="92"/>
      <c r="K38" s="35">
        <f t="shared" si="18"/>
        <v>30</v>
      </c>
      <c r="L38" s="91"/>
      <c r="M38" s="92"/>
      <c r="N38" s="35">
        <f t="shared" si="12"/>
        <v>30</v>
      </c>
      <c r="O38" s="17">
        <f t="shared" si="13"/>
        <v>120</v>
      </c>
      <c r="P38" s="18">
        <f t="shared" si="14"/>
        <v>120</v>
      </c>
      <c r="Q38" s="37">
        <f t="shared" si="15"/>
        <v>1</v>
      </c>
      <c r="S38" s="81">
        <f t="shared" si="5"/>
        <v>33</v>
      </c>
      <c r="T38" s="83">
        <f t="shared" si="4"/>
        <v>1</v>
      </c>
    </row>
    <row r="39" spans="1:20" x14ac:dyDescent="0.25">
      <c r="A39" s="160">
        <v>47027</v>
      </c>
      <c r="B39" s="35">
        <v>31</v>
      </c>
      <c r="C39" s="91"/>
      <c r="D39" s="92"/>
      <c r="E39" s="35">
        <f t="shared" si="16"/>
        <v>31</v>
      </c>
      <c r="F39" s="91"/>
      <c r="G39" s="92"/>
      <c r="H39" s="35">
        <f t="shared" si="17"/>
        <v>31</v>
      </c>
      <c r="I39" s="91"/>
      <c r="J39" s="92"/>
      <c r="K39" s="35">
        <f t="shared" si="18"/>
        <v>31</v>
      </c>
      <c r="L39" s="91">
        <v>1</v>
      </c>
      <c r="M39" s="92">
        <v>31</v>
      </c>
      <c r="N39" s="35">
        <f t="shared" si="12"/>
        <v>0</v>
      </c>
      <c r="O39" s="17">
        <f t="shared" si="13"/>
        <v>124</v>
      </c>
      <c r="P39" s="18">
        <f t="shared" si="14"/>
        <v>93</v>
      </c>
      <c r="Q39" s="37">
        <f t="shared" si="15"/>
        <v>0.75</v>
      </c>
      <c r="S39" s="81">
        <f t="shared" si="5"/>
        <v>34</v>
      </c>
      <c r="T39" s="83">
        <f t="shared" si="4"/>
        <v>0.75</v>
      </c>
    </row>
    <row r="40" spans="1:20" x14ac:dyDescent="0.25">
      <c r="A40" s="160">
        <v>47058</v>
      </c>
      <c r="B40" s="35">
        <v>30</v>
      </c>
      <c r="C40" s="91">
        <v>16</v>
      </c>
      <c r="D40" s="92">
        <v>30</v>
      </c>
      <c r="E40" s="35">
        <f t="shared" si="16"/>
        <v>15</v>
      </c>
      <c r="F40" s="91"/>
      <c r="G40" s="92"/>
      <c r="H40" s="35">
        <f t="shared" si="17"/>
        <v>30</v>
      </c>
      <c r="I40" s="91"/>
      <c r="J40" s="92"/>
      <c r="K40" s="35">
        <f t="shared" si="18"/>
        <v>30</v>
      </c>
      <c r="L40" s="91">
        <v>1</v>
      </c>
      <c r="M40" s="92">
        <v>13</v>
      </c>
      <c r="N40" s="35">
        <f t="shared" si="12"/>
        <v>17</v>
      </c>
      <c r="O40" s="17">
        <f t="shared" si="13"/>
        <v>120</v>
      </c>
      <c r="P40" s="18">
        <f t="shared" si="14"/>
        <v>92</v>
      </c>
      <c r="Q40" s="37">
        <f t="shared" si="15"/>
        <v>0.76670000000000005</v>
      </c>
      <c r="S40" s="81">
        <f t="shared" si="5"/>
        <v>35</v>
      </c>
      <c r="T40" s="83">
        <f t="shared" si="4"/>
        <v>0.76670000000000005</v>
      </c>
    </row>
    <row r="41" spans="1:20" ht="13.8" thickBot="1" x14ac:dyDescent="0.3">
      <c r="A41" s="160">
        <v>47088</v>
      </c>
      <c r="B41" s="36">
        <v>31</v>
      </c>
      <c r="C41" s="93">
        <v>1</v>
      </c>
      <c r="D41" s="94">
        <v>11</v>
      </c>
      <c r="E41" s="36">
        <f t="shared" si="16"/>
        <v>20</v>
      </c>
      <c r="F41" s="93"/>
      <c r="G41" s="94"/>
      <c r="H41" s="36">
        <f t="shared" si="17"/>
        <v>31</v>
      </c>
      <c r="I41" s="93"/>
      <c r="J41" s="94"/>
      <c r="K41" s="36">
        <f t="shared" si="18"/>
        <v>31</v>
      </c>
      <c r="L41" s="93"/>
      <c r="M41" s="94"/>
      <c r="N41" s="36">
        <f t="shared" si="12"/>
        <v>31</v>
      </c>
      <c r="O41" s="19">
        <f t="shared" si="13"/>
        <v>124</v>
      </c>
      <c r="P41" s="20">
        <f t="shared" si="14"/>
        <v>113</v>
      </c>
      <c r="Q41" s="38">
        <f t="shared" si="15"/>
        <v>0.9113</v>
      </c>
      <c r="S41" s="86">
        <f t="shared" si="5"/>
        <v>36</v>
      </c>
      <c r="T41" s="84">
        <f t="shared" si="4"/>
        <v>0.9113</v>
      </c>
    </row>
    <row r="42" spans="1:20" x14ac:dyDescent="0.25">
      <c r="A42" s="204"/>
      <c r="B42" s="205"/>
    </row>
  </sheetData>
  <mergeCells count="2">
    <mergeCell ref="F2:G2"/>
    <mergeCell ref="S5:T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92D050"/>
  </sheetPr>
  <dimension ref="A3:P46"/>
  <sheetViews>
    <sheetView tabSelected="1" zoomScale="80" zoomScaleNormal="80" workbookViewId="0">
      <selection activeCell="K7" sqref="K7"/>
    </sheetView>
  </sheetViews>
  <sheetFormatPr defaultRowHeight="13.2" x14ac:dyDescent="0.25"/>
  <cols>
    <col min="1" max="1" width="16.5546875" customWidth="1"/>
    <col min="2" max="2" width="16.5546875" hidden="1" customWidth="1"/>
    <col min="3" max="3" width="16.5546875" style="15" customWidth="1"/>
    <col min="4" max="4" width="12.5546875" style="15" customWidth="1"/>
    <col min="5" max="6" width="3.5546875" style="15" customWidth="1"/>
    <col min="7" max="7" width="15.44140625" style="15" customWidth="1"/>
    <col min="8" max="16" width="12.5546875" style="15" customWidth="1"/>
  </cols>
  <sheetData>
    <row r="3" spans="1:16" ht="26.4" x14ac:dyDescent="0.25">
      <c r="A3" s="212" t="s">
        <v>58</v>
      </c>
      <c r="B3" s="177"/>
      <c r="C3" s="181" t="s">
        <v>20</v>
      </c>
      <c r="D3" s="168" t="s">
        <v>18</v>
      </c>
      <c r="E3" s="169"/>
      <c r="F3" s="169"/>
      <c r="G3" s="168" t="s">
        <v>21</v>
      </c>
      <c r="H3" s="168" t="s">
        <v>22</v>
      </c>
      <c r="I3" s="168" t="s">
        <v>24</v>
      </c>
      <c r="J3" s="168" t="s">
        <v>25</v>
      </c>
      <c r="K3" s="168" t="s">
        <v>33</v>
      </c>
      <c r="L3" s="168" t="s">
        <v>27</v>
      </c>
      <c r="M3" s="168" t="s">
        <v>29</v>
      </c>
    </row>
    <row r="4" spans="1:16" ht="28.35" customHeight="1" thickBot="1" x14ac:dyDescent="0.3">
      <c r="A4" s="213"/>
      <c r="B4" s="178"/>
      <c r="C4" s="182" t="s">
        <v>17</v>
      </c>
      <c r="D4" s="176" t="s">
        <v>19</v>
      </c>
      <c r="E4" s="176"/>
      <c r="F4" s="176"/>
      <c r="G4" s="176" t="s">
        <v>67</v>
      </c>
      <c r="H4" s="176" t="s">
        <v>23</v>
      </c>
      <c r="I4" s="176" t="s">
        <v>23</v>
      </c>
      <c r="J4" s="176" t="s">
        <v>26</v>
      </c>
      <c r="K4" s="176" t="s">
        <v>28</v>
      </c>
      <c r="L4" s="176" t="s">
        <v>28</v>
      </c>
      <c r="M4" s="176" t="s">
        <v>28</v>
      </c>
      <c r="N4" s="14"/>
      <c r="O4" s="14"/>
      <c r="P4" s="14"/>
    </row>
    <row r="5" spans="1:16" x14ac:dyDescent="0.25">
      <c r="A5" s="175">
        <f ca="1">DATE(YEAR(TODAY()),MONTH((DATEVALUE(Input!D6&amp;"1"))),1)</f>
        <v>46143</v>
      </c>
      <c r="B5" s="179">
        <v>0</v>
      </c>
      <c r="C5" s="183">
        <v>175699</v>
      </c>
      <c r="D5" s="171">
        <f>Input!E10-Input!H10</f>
        <v>85000</v>
      </c>
      <c r="E5" s="172"/>
      <c r="F5" s="172"/>
      <c r="G5" s="171">
        <v>640666.61564570107</v>
      </c>
      <c r="H5" s="173">
        <f>'Res Lookup Tables'!I6</f>
        <v>1759.2878461597256</v>
      </c>
      <c r="I5" s="173">
        <f>'Res Lookup Tables'!I4</f>
        <v>540.9510341459146</v>
      </c>
      <c r="J5" s="189" cm="1">
        <f t="array" ref="J5:J21">_xlfn.CHOOSECOLS(TRANSPOSE(NV[#Data]),2)</f>
        <v>1386.6</v>
      </c>
      <c r="K5" s="174" cm="1">
        <f t="array" ref="K5:K21">_xlfn.CHOOSECOLS(TRANSPOSE(NV[#Data]),4)</f>
        <v>0.72659743256887344</v>
      </c>
      <c r="L5" s="174" cm="1">
        <f t="array" aca="1" ref="L5:L32" ca="1">_xlfn.XLOOKUP(A5:A32,'Davis Maint'!A6:A41,'Davis Maint'!T6:T41,,0)</f>
        <v>0.8</v>
      </c>
      <c r="M5" s="174" cm="1">
        <f t="array" aca="1" ref="M5:M32" ca="1">_xlfn.XLOOKUP(A5:A32,'Parker Maint'!A6:A41,'Parker Maint'!Q6:Q41,,0)</f>
        <v>1</v>
      </c>
      <c r="O5" s="190"/>
      <c r="P5" s="190"/>
    </row>
    <row r="6" spans="1:16" x14ac:dyDescent="0.25">
      <c r="A6" s="170">
        <f ca="1">DATE(YEAR(A5),MONTH(A5)+1,1)</f>
        <v>46174</v>
      </c>
      <c r="B6" s="180">
        <v>1</v>
      </c>
      <c r="C6" s="184">
        <v>105605</v>
      </c>
      <c r="D6" s="162">
        <f>Input!E11-Input!H11</f>
        <v>96000</v>
      </c>
      <c r="E6" s="165"/>
      <c r="F6" s="165"/>
      <c r="G6" s="162">
        <v>650588</v>
      </c>
      <c r="H6" s="164">
        <f>'Res Lookup Tables'!J6</f>
        <v>1759.2878461597256</v>
      </c>
      <c r="I6" s="164">
        <f>'Res Lookup Tables'!J4</f>
        <v>540.9510341459146</v>
      </c>
      <c r="J6" s="188">
        <v>1386.6</v>
      </c>
      <c r="K6" s="166">
        <v>0.97324390595701726</v>
      </c>
      <c r="L6" s="166">
        <f ca="1"/>
        <v>0.99329999999999996</v>
      </c>
      <c r="M6" s="166">
        <f ca="1"/>
        <v>1</v>
      </c>
      <c r="O6" s="190"/>
      <c r="P6" s="190"/>
    </row>
    <row r="7" spans="1:16" x14ac:dyDescent="0.25">
      <c r="A7" s="170">
        <f t="shared" ref="A7:A32" ca="1" si="0">DATE(YEAR(A6),MONTH(A6)+1,1)</f>
        <v>46204</v>
      </c>
      <c r="B7" s="180">
        <v>2</v>
      </c>
      <c r="C7" s="184">
        <v>31000</v>
      </c>
      <c r="D7" s="163"/>
      <c r="E7" s="165"/>
      <c r="F7" s="165"/>
      <c r="G7" s="165"/>
      <c r="H7" s="165"/>
      <c r="I7" s="165"/>
      <c r="J7" s="188">
        <v>1386.6</v>
      </c>
      <c r="K7" s="166">
        <v>0.97324390595701726</v>
      </c>
      <c r="L7" s="166">
        <f ca="1"/>
        <v>1</v>
      </c>
      <c r="M7" s="166">
        <f ca="1"/>
        <v>1</v>
      </c>
      <c r="O7" s="190"/>
      <c r="P7" s="190"/>
    </row>
    <row r="8" spans="1:16" x14ac:dyDescent="0.25">
      <c r="A8" s="170">
        <f t="shared" ca="1" si="0"/>
        <v>46235</v>
      </c>
      <c r="B8" s="180">
        <v>3</v>
      </c>
      <c r="C8" s="184">
        <v>22000</v>
      </c>
      <c r="D8" s="163"/>
      <c r="E8" s="165"/>
      <c r="F8" s="165"/>
      <c r="G8" s="165"/>
      <c r="H8" s="165"/>
      <c r="I8" s="165"/>
      <c r="J8" s="188">
        <v>1390</v>
      </c>
      <c r="K8" s="166">
        <v>0.97482014388489213</v>
      </c>
      <c r="L8" s="166">
        <f ca="1"/>
        <v>1</v>
      </c>
      <c r="M8" s="166">
        <f ca="1"/>
        <v>1</v>
      </c>
      <c r="O8" s="190"/>
      <c r="P8" s="190"/>
    </row>
    <row r="9" spans="1:16" x14ac:dyDescent="0.25">
      <c r="A9" s="170">
        <f t="shared" ca="1" si="0"/>
        <v>46266</v>
      </c>
      <c r="B9" s="180">
        <v>4</v>
      </c>
      <c r="C9" s="184">
        <v>91500</v>
      </c>
      <c r="D9" s="163"/>
      <c r="E9" s="165"/>
      <c r="F9" s="165"/>
      <c r="G9" s="165"/>
      <c r="H9" s="165"/>
      <c r="I9" s="165"/>
      <c r="J9" s="188">
        <v>1404</v>
      </c>
      <c r="K9" s="166">
        <v>0.84793447293447288</v>
      </c>
      <c r="L9" s="166">
        <f ca="1"/>
        <v>1</v>
      </c>
      <c r="M9" s="166">
        <f ca="1"/>
        <v>1</v>
      </c>
      <c r="O9" s="190"/>
      <c r="P9" s="190"/>
    </row>
    <row r="10" spans="1:16" x14ac:dyDescent="0.25">
      <c r="A10" s="170">
        <f t="shared" ca="1" si="0"/>
        <v>46296</v>
      </c>
      <c r="B10" s="180">
        <v>5</v>
      </c>
      <c r="C10" s="184">
        <v>80000</v>
      </c>
      <c r="D10" s="163"/>
      <c r="E10" s="165"/>
      <c r="F10" s="165"/>
      <c r="G10" s="165"/>
      <c r="H10" s="165"/>
      <c r="I10" s="165"/>
      <c r="J10" s="188">
        <v>1404</v>
      </c>
      <c r="K10" s="166">
        <v>0.58368945868945865</v>
      </c>
      <c r="L10" s="166">
        <f ca="1"/>
        <v>0.89029999999999998</v>
      </c>
      <c r="M10" s="166">
        <f ca="1"/>
        <v>0.7823</v>
      </c>
      <c r="O10" s="190"/>
      <c r="P10" s="190"/>
    </row>
    <row r="11" spans="1:16" x14ac:dyDescent="0.25">
      <c r="A11" s="170">
        <f t="shared" ca="1" si="0"/>
        <v>46327</v>
      </c>
      <c r="B11" s="180">
        <v>6</v>
      </c>
      <c r="C11" s="184">
        <v>119000</v>
      </c>
      <c r="D11" s="163"/>
      <c r="E11" s="165"/>
      <c r="F11" s="165"/>
      <c r="G11" s="165"/>
      <c r="H11" s="165"/>
      <c r="I11" s="165"/>
      <c r="J11" s="188">
        <v>1390</v>
      </c>
      <c r="K11" s="166">
        <v>0.57769784172661875</v>
      </c>
      <c r="L11" s="166">
        <f ca="1"/>
        <v>0.62670000000000003</v>
      </c>
      <c r="M11" s="166">
        <f ca="1"/>
        <v>0.76670000000000005</v>
      </c>
      <c r="O11" s="190"/>
      <c r="P11" s="190"/>
    </row>
    <row r="12" spans="1:16" x14ac:dyDescent="0.25">
      <c r="A12" s="170">
        <f t="shared" ca="1" si="0"/>
        <v>46357</v>
      </c>
      <c r="B12" s="180">
        <v>7</v>
      </c>
      <c r="C12" s="184">
        <v>44010</v>
      </c>
      <c r="D12" s="163"/>
      <c r="E12" s="165"/>
      <c r="F12" s="165"/>
      <c r="G12" s="165"/>
      <c r="H12" s="165"/>
      <c r="I12" s="165"/>
      <c r="J12" s="188">
        <v>1404</v>
      </c>
      <c r="K12" s="166">
        <v>0.92058404558404561</v>
      </c>
      <c r="L12" s="166">
        <f ca="1"/>
        <v>0.60650000000000004</v>
      </c>
      <c r="M12" s="166">
        <f ca="1"/>
        <v>0.8548</v>
      </c>
      <c r="O12" s="190"/>
      <c r="P12" s="190"/>
    </row>
    <row r="13" spans="1:16" x14ac:dyDescent="0.25">
      <c r="A13" s="170">
        <f t="shared" ca="1" si="0"/>
        <v>46388</v>
      </c>
      <c r="B13" s="180">
        <v>8</v>
      </c>
      <c r="C13" s="184"/>
      <c r="D13" s="163"/>
      <c r="E13" s="165"/>
      <c r="F13" s="165"/>
      <c r="G13" s="165"/>
      <c r="H13" s="165"/>
      <c r="I13" s="165"/>
      <c r="J13" s="188">
        <v>1418</v>
      </c>
      <c r="K13" s="166">
        <v>0.78702397743300423</v>
      </c>
      <c r="L13" s="166">
        <f ca="1"/>
        <v>0.6129</v>
      </c>
      <c r="M13" s="166">
        <f ca="1"/>
        <v>0.7742</v>
      </c>
      <c r="O13" s="190"/>
      <c r="P13" s="190"/>
    </row>
    <row r="14" spans="1:16" x14ac:dyDescent="0.25">
      <c r="A14" s="170">
        <f t="shared" ca="1" si="0"/>
        <v>46419</v>
      </c>
      <c r="B14" s="180">
        <v>9</v>
      </c>
      <c r="C14" s="184"/>
      <c r="D14" s="163"/>
      <c r="E14" s="165"/>
      <c r="F14" s="165"/>
      <c r="G14" s="165"/>
      <c r="H14" s="165"/>
      <c r="I14" s="165"/>
      <c r="J14" s="188">
        <v>1432</v>
      </c>
      <c r="K14" s="166">
        <v>0.61277932960893855</v>
      </c>
      <c r="L14" s="166">
        <f ca="1"/>
        <v>0.61429999999999996</v>
      </c>
      <c r="M14" s="166">
        <f ca="1"/>
        <v>0.76790000000000003</v>
      </c>
      <c r="O14" s="190"/>
      <c r="P14" s="190"/>
    </row>
    <row r="15" spans="1:16" x14ac:dyDescent="0.25">
      <c r="A15" s="170">
        <f t="shared" ca="1" si="0"/>
        <v>46447</v>
      </c>
      <c r="B15" s="180">
        <v>10</v>
      </c>
      <c r="C15" s="184"/>
      <c r="D15" s="163"/>
      <c r="E15" s="165"/>
      <c r="F15" s="165"/>
      <c r="G15" s="165"/>
      <c r="H15" s="165"/>
      <c r="I15" s="165"/>
      <c r="J15" s="188">
        <v>1404</v>
      </c>
      <c r="K15" s="166">
        <v>0.6983618233618234</v>
      </c>
      <c r="L15" s="166">
        <f ca="1"/>
        <v>0.76129999999999998</v>
      </c>
      <c r="M15" s="166">
        <f ca="1"/>
        <v>0.9032</v>
      </c>
      <c r="O15" s="190"/>
      <c r="P15" s="190"/>
    </row>
    <row r="16" spans="1:16" x14ac:dyDescent="0.25">
      <c r="A16" s="170">
        <f t="shared" ca="1" si="0"/>
        <v>46478</v>
      </c>
      <c r="B16" s="180">
        <v>11</v>
      </c>
      <c r="C16" s="184"/>
      <c r="D16" s="163"/>
      <c r="E16" s="165"/>
      <c r="F16" s="165"/>
      <c r="G16" s="165"/>
      <c r="H16" s="165"/>
      <c r="I16" s="165"/>
      <c r="J16" s="188">
        <v>1386.6</v>
      </c>
      <c r="K16" s="166">
        <v>0.88244627145535848</v>
      </c>
      <c r="L16" s="166">
        <f ca="1"/>
        <v>0.98</v>
      </c>
      <c r="M16" s="166">
        <f ca="1"/>
        <v>1</v>
      </c>
      <c r="O16" s="190"/>
      <c r="P16" s="190"/>
    </row>
    <row r="17" spans="1:16" x14ac:dyDescent="0.25">
      <c r="A17" s="170">
        <f t="shared" ca="1" si="0"/>
        <v>46508</v>
      </c>
      <c r="B17" s="180">
        <v>12</v>
      </c>
      <c r="C17" s="184"/>
      <c r="D17" s="163"/>
      <c r="E17" s="165"/>
      <c r="F17" s="165"/>
      <c r="G17" s="165"/>
      <c r="H17" s="165"/>
      <c r="I17" s="165"/>
      <c r="J17" s="188">
        <v>1335.4</v>
      </c>
      <c r="K17" s="166">
        <v>0.97341620488243219</v>
      </c>
      <c r="L17" s="166">
        <f ca="1"/>
        <v>1</v>
      </c>
      <c r="M17" s="166">
        <f ca="1"/>
        <v>1</v>
      </c>
      <c r="O17" s="190"/>
      <c r="P17" s="190"/>
    </row>
    <row r="18" spans="1:16" x14ac:dyDescent="0.25">
      <c r="A18" s="170">
        <f t="shared" ca="1" si="0"/>
        <v>46539</v>
      </c>
      <c r="B18" s="180">
        <v>13</v>
      </c>
      <c r="C18" s="184"/>
      <c r="D18" s="165"/>
      <c r="E18" s="165"/>
      <c r="F18" s="165"/>
      <c r="G18" s="165"/>
      <c r="H18" s="165"/>
      <c r="I18" s="165"/>
      <c r="J18" s="188">
        <v>1309.7999999999995</v>
      </c>
      <c r="K18" s="166">
        <v>0.97251488776912509</v>
      </c>
      <c r="L18" s="166">
        <f ca="1"/>
        <v>1</v>
      </c>
      <c r="M18" s="166">
        <f ca="1"/>
        <v>1</v>
      </c>
      <c r="O18" s="190"/>
      <c r="P18" s="190"/>
    </row>
    <row r="19" spans="1:16" x14ac:dyDescent="0.25">
      <c r="A19" s="170">
        <f t="shared" ca="1" si="0"/>
        <v>46569</v>
      </c>
      <c r="B19" s="180">
        <v>14</v>
      </c>
      <c r="C19" s="184"/>
      <c r="D19" s="165"/>
      <c r="E19" s="165"/>
      <c r="F19" s="165"/>
      <c r="G19" s="165"/>
      <c r="H19" s="165"/>
      <c r="I19" s="165"/>
      <c r="J19" s="188">
        <v>1284.1999999999998</v>
      </c>
      <c r="K19" s="166">
        <v>0.97196698333592901</v>
      </c>
      <c r="L19" s="166">
        <f ca="1"/>
        <v>1</v>
      </c>
      <c r="M19" s="166">
        <f ca="1"/>
        <v>1</v>
      </c>
      <c r="O19" s="190"/>
      <c r="P19" s="190"/>
    </row>
    <row r="20" spans="1:16" x14ac:dyDescent="0.25">
      <c r="A20" s="170">
        <f t="shared" ca="1" si="0"/>
        <v>46600</v>
      </c>
      <c r="B20" s="180">
        <v>15</v>
      </c>
      <c r="C20" s="184"/>
      <c r="D20" s="165"/>
      <c r="E20" s="165"/>
      <c r="F20" s="165"/>
      <c r="G20" s="165"/>
      <c r="H20" s="165"/>
      <c r="I20" s="165"/>
      <c r="J20" s="188">
        <v>1284.1999999999998</v>
      </c>
      <c r="K20" s="166">
        <v>0.97196698333592901</v>
      </c>
      <c r="L20" s="166">
        <f ca="1"/>
        <v>1</v>
      </c>
      <c r="M20" s="166">
        <f ca="1"/>
        <v>1</v>
      </c>
      <c r="O20" s="190"/>
      <c r="P20" s="190"/>
    </row>
    <row r="21" spans="1:16" x14ac:dyDescent="0.25">
      <c r="A21" s="170">
        <f t="shared" ca="1" si="0"/>
        <v>46631</v>
      </c>
      <c r="B21" s="180">
        <v>16</v>
      </c>
      <c r="C21" s="184"/>
      <c r="D21" s="165"/>
      <c r="E21" s="165"/>
      <c r="F21" s="165"/>
      <c r="G21" s="165"/>
      <c r="H21" s="165"/>
      <c r="I21" s="165"/>
      <c r="J21" s="188">
        <v>1284.1999999999998</v>
      </c>
      <c r="K21" s="166">
        <v>0.97196698333592901</v>
      </c>
      <c r="L21" s="166">
        <f ca="1"/>
        <v>1</v>
      </c>
      <c r="M21" s="166">
        <f ca="1"/>
        <v>1</v>
      </c>
      <c r="O21" s="190"/>
      <c r="P21" s="190"/>
    </row>
    <row r="22" spans="1:16" x14ac:dyDescent="0.25">
      <c r="A22" s="170">
        <f t="shared" ca="1" si="0"/>
        <v>46661</v>
      </c>
      <c r="B22" s="180">
        <v>17</v>
      </c>
      <c r="C22" s="184"/>
      <c r="D22" s="165"/>
      <c r="E22" s="165"/>
      <c r="F22" s="165"/>
      <c r="G22" s="165"/>
      <c r="H22" s="165"/>
      <c r="I22" s="165"/>
      <c r="J22" s="165"/>
      <c r="K22" s="165"/>
      <c r="L22" s="166">
        <f ca="1"/>
        <v>0.89029999999999998</v>
      </c>
      <c r="M22" s="166">
        <f ca="1"/>
        <v>0.75</v>
      </c>
      <c r="O22" s="190"/>
      <c r="P22" s="190"/>
    </row>
    <row r="23" spans="1:16" x14ac:dyDescent="0.25">
      <c r="A23" s="170">
        <f t="shared" ca="1" si="0"/>
        <v>46692</v>
      </c>
      <c r="B23" s="180">
        <v>18</v>
      </c>
      <c r="C23" s="184"/>
      <c r="D23" s="165"/>
      <c r="E23" s="165"/>
      <c r="F23" s="165"/>
      <c r="G23" s="165"/>
      <c r="H23" s="165"/>
      <c r="I23" s="165"/>
      <c r="J23" s="165"/>
      <c r="K23" s="166"/>
      <c r="L23" s="166">
        <f ca="1"/>
        <v>0.62670000000000003</v>
      </c>
      <c r="M23" s="166">
        <f ca="1"/>
        <v>0.76670000000000005</v>
      </c>
      <c r="O23" s="190"/>
      <c r="P23" s="190"/>
    </row>
    <row r="24" spans="1:16" x14ac:dyDescent="0.25">
      <c r="A24" s="170">
        <f t="shared" ca="1" si="0"/>
        <v>46722</v>
      </c>
      <c r="B24" s="180">
        <v>19</v>
      </c>
      <c r="C24" s="184"/>
      <c r="D24" s="165"/>
      <c r="E24" s="165"/>
      <c r="F24" s="165"/>
      <c r="G24" s="165"/>
      <c r="H24" s="165"/>
      <c r="I24" s="165"/>
      <c r="J24" s="165"/>
      <c r="K24" s="166"/>
      <c r="L24" s="166">
        <f ca="1"/>
        <v>0.60650000000000004</v>
      </c>
      <c r="M24" s="166">
        <f ca="1"/>
        <v>0.9113</v>
      </c>
      <c r="O24" s="190"/>
      <c r="P24" s="190"/>
    </row>
    <row r="25" spans="1:16" x14ac:dyDescent="0.25">
      <c r="A25" s="170">
        <f t="shared" ca="1" si="0"/>
        <v>46753</v>
      </c>
      <c r="B25" s="180">
        <v>20</v>
      </c>
      <c r="C25" s="184"/>
      <c r="D25" s="165"/>
      <c r="E25" s="165"/>
      <c r="F25" s="165"/>
      <c r="G25" s="165"/>
      <c r="H25" s="165"/>
      <c r="I25" s="165"/>
      <c r="J25" s="165"/>
      <c r="K25" s="166"/>
      <c r="L25" s="166">
        <f ca="1"/>
        <v>0.6129</v>
      </c>
      <c r="M25" s="166">
        <f ca="1"/>
        <v>0.7742</v>
      </c>
      <c r="O25" s="190"/>
      <c r="P25" s="190"/>
    </row>
    <row r="26" spans="1:16" x14ac:dyDescent="0.25">
      <c r="A26" s="170">
        <f t="shared" ca="1" si="0"/>
        <v>46784</v>
      </c>
      <c r="B26" s="180">
        <v>21</v>
      </c>
      <c r="C26" s="184"/>
      <c r="D26" s="165"/>
      <c r="E26" s="165"/>
      <c r="F26" s="165"/>
      <c r="G26" s="165"/>
      <c r="H26" s="165"/>
      <c r="I26" s="165"/>
      <c r="J26" s="165"/>
      <c r="K26" s="166"/>
      <c r="L26" s="166">
        <f ca="1"/>
        <v>0.61429999999999996</v>
      </c>
      <c r="M26" s="166">
        <f ca="1"/>
        <v>0.76790000000000003</v>
      </c>
      <c r="O26" s="190"/>
      <c r="P26" s="190"/>
    </row>
    <row r="27" spans="1:16" x14ac:dyDescent="0.25">
      <c r="A27" s="170">
        <f t="shared" ca="1" si="0"/>
        <v>46813</v>
      </c>
      <c r="B27" s="180">
        <v>22</v>
      </c>
      <c r="C27" s="184"/>
      <c r="D27" s="165"/>
      <c r="E27" s="165"/>
      <c r="F27" s="165"/>
      <c r="G27" s="165"/>
      <c r="H27" s="165"/>
      <c r="I27" s="165"/>
      <c r="J27" s="165"/>
      <c r="K27" s="166"/>
      <c r="L27" s="166">
        <f ca="1"/>
        <v>0.76129999999999998</v>
      </c>
      <c r="M27" s="166">
        <f ca="1"/>
        <v>0.9032</v>
      </c>
      <c r="O27" s="190"/>
      <c r="P27" s="190"/>
    </row>
    <row r="28" spans="1:16" x14ac:dyDescent="0.25">
      <c r="A28" s="170">
        <f t="shared" ca="1" si="0"/>
        <v>46844</v>
      </c>
      <c r="B28" s="180">
        <v>23</v>
      </c>
      <c r="C28" s="184"/>
      <c r="D28" s="165"/>
      <c r="E28" s="165"/>
      <c r="F28" s="165"/>
      <c r="G28" s="165"/>
      <c r="H28" s="165"/>
      <c r="I28" s="165"/>
      <c r="J28" s="165"/>
      <c r="K28" s="166"/>
      <c r="L28" s="166">
        <f ca="1"/>
        <v>0.98</v>
      </c>
      <c r="M28" s="166">
        <f ca="1"/>
        <v>1</v>
      </c>
      <c r="O28" s="190"/>
      <c r="P28" s="190"/>
    </row>
    <row r="29" spans="1:16" x14ac:dyDescent="0.25">
      <c r="A29" s="170">
        <f t="shared" ca="1" si="0"/>
        <v>46874</v>
      </c>
      <c r="B29" s="180">
        <v>24</v>
      </c>
      <c r="C29" s="184"/>
      <c r="D29" s="165"/>
      <c r="E29" s="165"/>
      <c r="F29" s="165"/>
      <c r="G29" s="165"/>
      <c r="H29" s="165"/>
      <c r="I29" s="165"/>
      <c r="J29" s="165"/>
      <c r="K29" s="166"/>
      <c r="L29" s="166">
        <f ca="1"/>
        <v>1</v>
      </c>
      <c r="M29" s="166">
        <f ca="1"/>
        <v>1</v>
      </c>
      <c r="O29" s="190"/>
      <c r="P29" s="190"/>
    </row>
    <row r="30" spans="1:16" x14ac:dyDescent="0.25">
      <c r="A30" s="170">
        <f t="shared" ca="1" si="0"/>
        <v>46905</v>
      </c>
      <c r="B30" s="180">
        <v>25</v>
      </c>
      <c r="C30" s="184"/>
      <c r="D30" s="165"/>
      <c r="E30" s="165"/>
      <c r="F30" s="165"/>
      <c r="G30" s="165"/>
      <c r="H30" s="165"/>
      <c r="I30" s="165"/>
      <c r="J30" s="165"/>
      <c r="K30" s="166"/>
      <c r="L30" s="166">
        <f ca="1"/>
        <v>1</v>
      </c>
      <c r="M30" s="166">
        <f ca="1"/>
        <v>1</v>
      </c>
      <c r="O30" s="190"/>
      <c r="P30" s="190"/>
    </row>
    <row r="31" spans="1:16" x14ac:dyDescent="0.25">
      <c r="A31" s="170">
        <f t="shared" ca="1" si="0"/>
        <v>46935</v>
      </c>
      <c r="B31" s="180">
        <v>26</v>
      </c>
      <c r="C31" s="184"/>
      <c r="D31" s="165"/>
      <c r="E31" s="165"/>
      <c r="F31" s="165"/>
      <c r="G31" s="165"/>
      <c r="H31" s="165"/>
      <c r="I31" s="165"/>
      <c r="J31" s="165"/>
      <c r="K31" s="166"/>
      <c r="L31" s="166">
        <f ca="1"/>
        <v>1</v>
      </c>
      <c r="M31" s="166">
        <f ca="1"/>
        <v>1</v>
      </c>
      <c r="O31" s="190"/>
      <c r="P31" s="190"/>
    </row>
    <row r="32" spans="1:16" x14ac:dyDescent="0.25">
      <c r="A32" s="170">
        <f t="shared" ca="1" si="0"/>
        <v>46966</v>
      </c>
      <c r="B32" s="180">
        <v>27</v>
      </c>
      <c r="C32" s="184"/>
      <c r="D32" s="165"/>
      <c r="E32" s="165"/>
      <c r="F32" s="165"/>
      <c r="G32" s="165"/>
      <c r="H32" s="165"/>
      <c r="I32" s="165"/>
      <c r="J32" s="165"/>
      <c r="K32" s="166"/>
      <c r="L32" s="166">
        <f ca="1"/>
        <v>1</v>
      </c>
      <c r="M32" s="166">
        <f ca="1"/>
        <v>1</v>
      </c>
      <c r="O32" s="190"/>
      <c r="P32" s="190"/>
    </row>
    <row r="33" spans="1:7" x14ac:dyDescent="0.25">
      <c r="A33" s="128"/>
      <c r="B33" s="167"/>
    </row>
    <row r="41" spans="1:7" x14ac:dyDescent="0.25">
      <c r="G41" s="144"/>
    </row>
    <row r="42" spans="1:7" x14ac:dyDescent="0.25">
      <c r="G42" s="144"/>
    </row>
    <row r="43" spans="1:7" x14ac:dyDescent="0.25">
      <c r="G43" s="144"/>
    </row>
    <row r="44" spans="1:7" x14ac:dyDescent="0.25">
      <c r="G44" s="144"/>
    </row>
    <row r="45" spans="1:7" x14ac:dyDescent="0.25">
      <c r="G45" s="144"/>
    </row>
    <row r="46" spans="1:7" x14ac:dyDescent="0.25">
      <c r="G46" s="144"/>
    </row>
  </sheetData>
  <mergeCells count="1">
    <mergeCell ref="A3:A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FF00"/>
  </sheetPr>
  <dimension ref="A1:R46"/>
  <sheetViews>
    <sheetView topLeftCell="A4" workbookViewId="0">
      <selection activeCell="B22" sqref="B22"/>
    </sheetView>
  </sheetViews>
  <sheetFormatPr defaultColWidth="9.44140625" defaultRowHeight="13.2" x14ac:dyDescent="0.25"/>
  <cols>
    <col min="1" max="1" width="5" style="144" customWidth="1"/>
    <col min="2" max="2" width="14.5546875" style="144" customWidth="1"/>
    <col min="3" max="15" width="9.44140625" style="144"/>
    <col min="16" max="16" width="17.44140625" style="144" customWidth="1"/>
    <col min="17" max="16384" width="9.44140625" style="144"/>
  </cols>
  <sheetData>
    <row r="1" spans="1:18" x14ac:dyDescent="0.25">
      <c r="B1" s="144" t="s">
        <v>135</v>
      </c>
      <c r="E1" s="146"/>
      <c r="P1" s="147"/>
    </row>
    <row r="3" spans="1:18" x14ac:dyDescent="0.25">
      <c r="B3" s="144" t="s">
        <v>71</v>
      </c>
    </row>
    <row r="4" spans="1:18" ht="13.8" x14ac:dyDescent="0.25">
      <c r="B4" s="144" t="s">
        <v>129</v>
      </c>
      <c r="P4" s="148"/>
      <c r="Q4" s="147"/>
    </row>
    <row r="5" spans="1:18" x14ac:dyDescent="0.25">
      <c r="B5" s="144" t="s">
        <v>72</v>
      </c>
    </row>
    <row r="6" spans="1:18" x14ac:dyDescent="0.25">
      <c r="B6" s="144" t="s">
        <v>73</v>
      </c>
    </row>
    <row r="7" spans="1:18" x14ac:dyDescent="0.25">
      <c r="P7" s="147" t="s">
        <v>136</v>
      </c>
      <c r="R7" s="147"/>
    </row>
    <row r="8" spans="1:18" x14ac:dyDescent="0.25">
      <c r="C8" s="144" t="s">
        <v>130</v>
      </c>
    </row>
    <row r="9" spans="1:18" x14ac:dyDescent="0.25">
      <c r="C9" s="144" t="s">
        <v>92</v>
      </c>
      <c r="D9" s="144" t="s">
        <v>75</v>
      </c>
      <c r="E9" s="144" t="s">
        <v>74</v>
      </c>
      <c r="N9" s="147"/>
    </row>
    <row r="10" spans="1:18" x14ac:dyDescent="0.25">
      <c r="C10" s="144">
        <v>2026</v>
      </c>
      <c r="D10" s="144">
        <v>2026</v>
      </c>
      <c r="E10" s="144">
        <v>2026</v>
      </c>
    </row>
    <row r="11" spans="1:18" x14ac:dyDescent="0.25">
      <c r="B11" s="144" t="s">
        <v>76</v>
      </c>
      <c r="C11" s="144">
        <v>55000</v>
      </c>
      <c r="D11" s="187">
        <v>70334</v>
      </c>
      <c r="E11" s="185"/>
    </row>
    <row r="12" spans="1:18" x14ac:dyDescent="0.25">
      <c r="A12"/>
      <c r="B12" s="144" t="s">
        <v>77</v>
      </c>
      <c r="C12" s="144">
        <v>60000</v>
      </c>
      <c r="D12" s="144">
        <v>51273</v>
      </c>
      <c r="E12" s="185"/>
      <c r="R12" s="145"/>
    </row>
    <row r="13" spans="1:18" x14ac:dyDescent="0.25">
      <c r="A13"/>
      <c r="B13" s="144" t="s">
        <v>78</v>
      </c>
      <c r="C13" s="144">
        <v>158000</v>
      </c>
      <c r="D13" s="144">
        <v>71542</v>
      </c>
      <c r="E13" s="186"/>
    </row>
    <row r="14" spans="1:18" x14ac:dyDescent="0.25">
      <c r="A14"/>
      <c r="B14" s="144" t="s">
        <v>79</v>
      </c>
      <c r="C14" s="144">
        <v>175000</v>
      </c>
      <c r="D14" s="144">
        <v>74616</v>
      </c>
      <c r="E14" s="186">
        <v>54550</v>
      </c>
    </row>
    <row r="15" spans="1:18" x14ac:dyDescent="0.25">
      <c r="A15"/>
      <c r="B15" s="144" t="s">
        <v>80</v>
      </c>
      <c r="C15" s="144">
        <v>172000</v>
      </c>
      <c r="D15" s="144">
        <v>0</v>
      </c>
      <c r="E15" s="186">
        <v>175699</v>
      </c>
    </row>
    <row r="16" spans="1:18" x14ac:dyDescent="0.25">
      <c r="A16"/>
      <c r="B16" s="144" t="s">
        <v>81</v>
      </c>
      <c r="C16" s="144">
        <v>43000</v>
      </c>
      <c r="D16" s="144">
        <v>0</v>
      </c>
      <c r="E16" s="186">
        <v>105605</v>
      </c>
    </row>
    <row r="17" spans="1:16" x14ac:dyDescent="0.25">
      <c r="A17"/>
      <c r="B17" s="144" t="s">
        <v>82</v>
      </c>
      <c r="C17" s="144">
        <v>12000</v>
      </c>
      <c r="D17" s="144">
        <v>0</v>
      </c>
      <c r="E17" s="186">
        <v>31000</v>
      </c>
    </row>
    <row r="18" spans="1:16" x14ac:dyDescent="0.25">
      <c r="A18"/>
      <c r="B18" s="144" t="s">
        <v>83</v>
      </c>
      <c r="C18" s="144">
        <v>16000</v>
      </c>
      <c r="D18" s="144">
        <v>0</v>
      </c>
      <c r="E18" s="186">
        <v>22000</v>
      </c>
    </row>
    <row r="19" spans="1:16" x14ac:dyDescent="0.25">
      <c r="A19"/>
      <c r="B19" s="147" t="s">
        <v>84</v>
      </c>
      <c r="C19" s="144">
        <v>67000</v>
      </c>
      <c r="D19" s="144">
        <v>0</v>
      </c>
      <c r="E19" s="186">
        <v>91500</v>
      </c>
    </row>
    <row r="20" spans="1:16" x14ac:dyDescent="0.25">
      <c r="A20"/>
      <c r="B20" s="144" t="s">
        <v>85</v>
      </c>
      <c r="C20" s="144">
        <v>59000</v>
      </c>
      <c r="D20" s="144">
        <v>0</v>
      </c>
      <c r="E20" s="186">
        <v>80000</v>
      </c>
    </row>
    <row r="21" spans="1:16" x14ac:dyDescent="0.25">
      <c r="A21"/>
      <c r="B21" s="144" t="s">
        <v>86</v>
      </c>
      <c r="C21" s="144">
        <v>49000</v>
      </c>
      <c r="D21" s="144">
        <v>0</v>
      </c>
      <c r="E21" s="186">
        <v>119000</v>
      </c>
    </row>
    <row r="22" spans="1:16" x14ac:dyDescent="0.25">
      <c r="A22"/>
      <c r="B22" s="144" t="s">
        <v>87</v>
      </c>
      <c r="C22" s="144">
        <v>28541</v>
      </c>
      <c r="D22" s="144">
        <v>0</v>
      </c>
      <c r="E22" s="186">
        <v>44010</v>
      </c>
    </row>
    <row r="23" spans="1:16" x14ac:dyDescent="0.25">
      <c r="A23"/>
      <c r="B23" s="157" t="s">
        <v>88</v>
      </c>
      <c r="C23" s="144">
        <v>894541</v>
      </c>
      <c r="E23" s="144">
        <v>991129</v>
      </c>
      <c r="P23" s="147"/>
    </row>
    <row r="25" spans="1:16" x14ac:dyDescent="0.25">
      <c r="B25" s="144" t="s">
        <v>89</v>
      </c>
      <c r="C25" s="146"/>
      <c r="E25" s="146"/>
    </row>
    <row r="26" spans="1:16" ht="66" x14ac:dyDescent="0.25">
      <c r="B26" s="196" t="s">
        <v>133</v>
      </c>
    </row>
    <row r="27" spans="1:16" ht="171.6" x14ac:dyDescent="0.25">
      <c r="B27" s="157" t="s">
        <v>131</v>
      </c>
    </row>
    <row r="29" spans="1:16" x14ac:dyDescent="0.25">
      <c r="B29" s="146" t="s">
        <v>132</v>
      </c>
    </row>
    <row r="30" spans="1:16" x14ac:dyDescent="0.25">
      <c r="B30" s="146">
        <v>44245</v>
      </c>
      <c r="C30" s="144">
        <v>871468</v>
      </c>
    </row>
    <row r="31" spans="1:16" x14ac:dyDescent="0.25">
      <c r="B31" s="146">
        <v>46098</v>
      </c>
      <c r="C31" s="144">
        <v>876114</v>
      </c>
    </row>
    <row r="32" spans="1:16" x14ac:dyDescent="0.25">
      <c r="B32" s="146">
        <v>46132</v>
      </c>
      <c r="C32" s="144">
        <v>890871</v>
      </c>
    </row>
    <row r="33" spans="2:2" x14ac:dyDescent="0.25">
      <c r="B33" s="146"/>
    </row>
    <row r="34" spans="2:2" x14ac:dyDescent="0.25">
      <c r="B34" s="146"/>
    </row>
    <row r="35" spans="2:2" x14ac:dyDescent="0.25">
      <c r="B35" s="146"/>
    </row>
    <row r="36" spans="2:2" x14ac:dyDescent="0.25">
      <c r="B36" s="146"/>
    </row>
    <row r="37" spans="2:2" x14ac:dyDescent="0.25">
      <c r="B37" s="146"/>
    </row>
    <row r="38" spans="2:2" x14ac:dyDescent="0.25">
      <c r="B38" s="146"/>
    </row>
    <row r="39" spans="2:2" x14ac:dyDescent="0.25">
      <c r="B39" s="146"/>
    </row>
    <row r="40" spans="2:2" x14ac:dyDescent="0.25">
      <c r="B40" s="146"/>
    </row>
    <row r="41" spans="2:2" x14ac:dyDescent="0.25">
      <c r="B41" s="146"/>
    </row>
    <row r="42" spans="2:2" x14ac:dyDescent="0.25">
      <c r="B42" s="146"/>
    </row>
    <row r="43" spans="2:2" x14ac:dyDescent="0.25">
      <c r="B43" s="146"/>
    </row>
    <row r="44" spans="2:2" x14ac:dyDescent="0.25">
      <c r="B44" s="146"/>
    </row>
    <row r="45" spans="2:2" x14ac:dyDescent="0.25">
      <c r="B45" s="146"/>
    </row>
    <row r="46" spans="2:2" x14ac:dyDescent="0.25">
      <c r="B46" s="146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FFFF00"/>
  </sheetPr>
  <dimension ref="A1:AK35"/>
  <sheetViews>
    <sheetView workbookViewId="0">
      <selection activeCell="K5" sqref="K5"/>
    </sheetView>
  </sheetViews>
  <sheetFormatPr defaultColWidth="9.44140625" defaultRowHeight="13.2" x14ac:dyDescent="0.25"/>
  <cols>
    <col min="1" max="1" width="13.33203125" bestFit="1" customWidth="1"/>
    <col min="2" max="2" width="15.44140625" bestFit="1" customWidth="1"/>
    <col min="3" max="3" width="9" bestFit="1" customWidth="1"/>
    <col min="5" max="5" width="12.21875" bestFit="1" customWidth="1"/>
    <col min="6" max="6" width="12" bestFit="1" customWidth="1"/>
    <col min="7" max="7" width="9.44140625" style="138"/>
    <col min="8" max="8" width="8.44140625" customWidth="1"/>
    <col min="9" max="9" width="13.33203125" bestFit="1" customWidth="1"/>
    <col min="10" max="10" width="15.44140625" bestFit="1" customWidth="1"/>
    <col min="11" max="11" width="9" bestFit="1" customWidth="1"/>
    <col min="12" max="12" width="8.44140625" style="138" customWidth="1"/>
    <col min="13" max="13" width="13.44140625" bestFit="1" customWidth="1"/>
    <col min="14" max="14" width="5.5546875" customWidth="1"/>
    <col min="16" max="16" width="18.44140625" bestFit="1" customWidth="1"/>
    <col min="17" max="17" width="13.44140625" bestFit="1" customWidth="1"/>
  </cols>
  <sheetData>
    <row r="1" spans="1:23" ht="22.8" x14ac:dyDescent="0.4">
      <c r="A1" s="215" t="s">
        <v>65</v>
      </c>
      <c r="B1" s="216"/>
      <c r="C1" s="216"/>
      <c r="D1" s="216"/>
      <c r="E1" s="216"/>
      <c r="F1" s="216"/>
      <c r="G1" s="217"/>
      <c r="H1" s="215" t="s">
        <v>62</v>
      </c>
      <c r="I1" s="216"/>
      <c r="J1" s="216"/>
      <c r="K1" s="216"/>
      <c r="L1" s="217"/>
      <c r="M1" s="137"/>
    </row>
    <row r="2" spans="1:23" ht="13.8" thickBot="1" x14ac:dyDescent="0.3"/>
    <row r="3" spans="1:23" ht="13.5" customHeight="1" thickBot="1" x14ac:dyDescent="0.3">
      <c r="A3" s="214" t="s">
        <v>61</v>
      </c>
      <c r="B3" s="214"/>
      <c r="C3" s="214"/>
      <c r="E3" s="218" t="s">
        <v>66</v>
      </c>
      <c r="F3" s="218"/>
      <c r="I3" s="214" t="s">
        <v>61</v>
      </c>
      <c r="J3" s="214"/>
      <c r="K3" s="214"/>
      <c r="L3" s="140"/>
      <c r="P3" s="139" t="s">
        <v>63</v>
      </c>
      <c r="Q3" s="142">
        <f>SUM(C5:C50,F5:F50)</f>
        <v>322998.04166660004</v>
      </c>
      <c r="R3" s="145"/>
    </row>
    <row r="4" spans="1:23" ht="13.8" thickBot="1" x14ac:dyDescent="0.3">
      <c r="A4" s="197" t="s">
        <v>105</v>
      </c>
      <c r="B4" s="197" t="s">
        <v>106</v>
      </c>
      <c r="C4" s="197" t="s">
        <v>107</v>
      </c>
      <c r="E4" s="197" t="s">
        <v>105</v>
      </c>
      <c r="F4" s="197" t="s">
        <v>108</v>
      </c>
      <c r="H4" s="134"/>
      <c r="I4" s="197" t="s">
        <v>105</v>
      </c>
      <c r="J4" s="197" t="s">
        <v>106</v>
      </c>
      <c r="K4" s="197" t="s">
        <v>107</v>
      </c>
      <c r="L4" s="140"/>
      <c r="M4" s="134"/>
      <c r="N4" s="134"/>
      <c r="O4" s="134"/>
      <c r="P4" s="144"/>
      <c r="Q4" s="144"/>
      <c r="R4" s="144"/>
    </row>
    <row r="5" spans="1:23" ht="13.8" thickBot="1" x14ac:dyDescent="0.3">
      <c r="A5" s="132">
        <v>46150</v>
      </c>
      <c r="B5" s="133">
        <v>4</v>
      </c>
      <c r="C5" s="133">
        <v>10700</v>
      </c>
      <c r="E5" s="132">
        <v>46143</v>
      </c>
      <c r="F5" s="133">
        <v>9644.75</v>
      </c>
      <c r="H5" s="135"/>
      <c r="I5" s="132">
        <v>46174</v>
      </c>
      <c r="J5" s="133">
        <v>4</v>
      </c>
      <c r="K5" s="198">
        <v>10800</v>
      </c>
      <c r="L5" s="141"/>
      <c r="M5" s="135"/>
      <c r="N5" s="136"/>
      <c r="O5" s="136"/>
      <c r="P5" s="139" t="s">
        <v>64</v>
      </c>
      <c r="Q5" s="142">
        <f>SUM(K5:K50)</f>
        <v>328000</v>
      </c>
      <c r="R5" s="144"/>
    </row>
    <row r="6" spans="1:23" x14ac:dyDescent="0.25">
      <c r="A6" s="132">
        <v>46151</v>
      </c>
      <c r="B6" s="133">
        <v>4</v>
      </c>
      <c r="C6" s="133">
        <v>11500</v>
      </c>
      <c r="E6" s="132">
        <v>46144</v>
      </c>
      <c r="F6" s="133">
        <v>11539.458333299999</v>
      </c>
      <c r="H6" s="135"/>
      <c r="I6" s="132">
        <v>46175</v>
      </c>
      <c r="J6" s="133">
        <v>4</v>
      </c>
      <c r="K6" s="198">
        <v>10800</v>
      </c>
      <c r="L6" s="141"/>
      <c r="M6" s="135"/>
      <c r="N6" s="136"/>
      <c r="O6" s="136"/>
      <c r="P6" s="144"/>
      <c r="Q6" s="144"/>
      <c r="R6" s="144"/>
    </row>
    <row r="7" spans="1:23" ht="13.8" x14ac:dyDescent="0.25">
      <c r="A7" s="132">
        <v>46152</v>
      </c>
      <c r="B7" s="133">
        <v>4</v>
      </c>
      <c r="C7" s="133">
        <v>11200</v>
      </c>
      <c r="E7" s="132">
        <v>46145</v>
      </c>
      <c r="F7" s="133">
        <v>11573.666666700001</v>
      </c>
      <c r="H7" s="135"/>
      <c r="I7" s="132">
        <v>46176</v>
      </c>
      <c r="J7" s="133">
        <v>4</v>
      </c>
      <c r="K7" s="198">
        <v>10800</v>
      </c>
      <c r="L7" s="141"/>
      <c r="M7" s="135"/>
      <c r="N7" s="136"/>
      <c r="O7" s="136"/>
      <c r="P7" s="148" t="s">
        <v>137</v>
      </c>
      <c r="Q7" s="147"/>
      <c r="R7" s="144"/>
      <c r="W7" s="136"/>
    </row>
    <row r="8" spans="1:23" x14ac:dyDescent="0.25">
      <c r="A8" s="132">
        <v>46153</v>
      </c>
      <c r="B8" s="133">
        <v>4</v>
      </c>
      <c r="C8" s="133">
        <v>10700</v>
      </c>
      <c r="E8" s="132">
        <v>46146</v>
      </c>
      <c r="F8" s="133">
        <v>10577.291666700001</v>
      </c>
      <c r="H8" s="135"/>
      <c r="I8" s="132">
        <v>46177</v>
      </c>
      <c r="J8" s="133">
        <v>4</v>
      </c>
      <c r="K8" s="198">
        <v>10800</v>
      </c>
      <c r="L8" s="141"/>
      <c r="M8" s="135"/>
      <c r="N8" s="136"/>
      <c r="O8" s="136"/>
    </row>
    <row r="9" spans="1:23" x14ac:dyDescent="0.25">
      <c r="A9" s="132">
        <v>46154</v>
      </c>
      <c r="B9" s="133">
        <v>4</v>
      </c>
      <c r="C9" s="133">
        <v>10800</v>
      </c>
      <c r="E9" s="132">
        <v>46147</v>
      </c>
      <c r="F9" s="133">
        <v>10238.458333299999</v>
      </c>
      <c r="H9" s="135"/>
      <c r="I9" s="132">
        <v>46178</v>
      </c>
      <c r="J9" s="133">
        <v>4</v>
      </c>
      <c r="K9" s="198">
        <v>10800</v>
      </c>
      <c r="L9" s="141"/>
      <c r="M9" s="135"/>
      <c r="N9" s="136"/>
      <c r="O9" s="136"/>
    </row>
    <row r="10" spans="1:23" x14ac:dyDescent="0.25">
      <c r="A10" s="132">
        <v>46155</v>
      </c>
      <c r="B10" s="133">
        <v>4</v>
      </c>
      <c r="C10" s="133">
        <v>10100</v>
      </c>
      <c r="E10" s="132">
        <v>46148</v>
      </c>
      <c r="F10" s="133">
        <v>10233.583333299999</v>
      </c>
      <c r="H10" s="135"/>
      <c r="I10" s="132">
        <v>46179</v>
      </c>
      <c r="J10" s="133">
        <v>4</v>
      </c>
      <c r="K10" s="198">
        <v>10800</v>
      </c>
      <c r="L10" s="141"/>
      <c r="M10" s="135"/>
      <c r="N10" s="136"/>
      <c r="O10" s="136"/>
    </row>
    <row r="11" spans="1:23" x14ac:dyDescent="0.25">
      <c r="A11" s="132">
        <v>46156</v>
      </c>
      <c r="B11" s="133">
        <v>4</v>
      </c>
      <c r="C11" s="133">
        <v>6600</v>
      </c>
      <c r="E11" s="132">
        <v>46149</v>
      </c>
      <c r="F11" s="133">
        <v>6690.8333333</v>
      </c>
      <c r="H11" s="135"/>
      <c r="I11" s="132">
        <v>46180</v>
      </c>
      <c r="J11" s="133">
        <v>4</v>
      </c>
      <c r="K11" s="198">
        <v>10800</v>
      </c>
      <c r="L11" s="141"/>
      <c r="M11" s="135"/>
      <c r="N11" s="136"/>
      <c r="O11" s="136"/>
    </row>
    <row r="12" spans="1:23" x14ac:dyDescent="0.25">
      <c r="A12" s="132">
        <v>46157</v>
      </c>
      <c r="B12" s="133">
        <v>4</v>
      </c>
      <c r="C12" s="133">
        <v>10000</v>
      </c>
      <c r="E12" s="132"/>
      <c r="F12" s="133"/>
      <c r="H12" s="135"/>
      <c r="I12" s="132">
        <v>46181</v>
      </c>
      <c r="J12" s="133">
        <v>4</v>
      </c>
      <c r="K12" s="198">
        <v>10800</v>
      </c>
      <c r="L12" s="141"/>
      <c r="M12" s="135"/>
      <c r="N12" s="136"/>
      <c r="O12" s="136"/>
    </row>
    <row r="13" spans="1:23" x14ac:dyDescent="0.25">
      <c r="A13" s="132">
        <v>46158</v>
      </c>
      <c r="B13" s="133">
        <v>4</v>
      </c>
      <c r="C13" s="133">
        <v>10000</v>
      </c>
      <c r="E13" s="132"/>
      <c r="F13" s="133"/>
      <c r="H13" s="135"/>
      <c r="I13" s="132">
        <v>46182</v>
      </c>
      <c r="J13" s="133">
        <v>4</v>
      </c>
      <c r="K13" s="198">
        <v>10800</v>
      </c>
      <c r="L13" s="141"/>
      <c r="M13" s="135"/>
      <c r="N13" s="136"/>
      <c r="O13" s="136"/>
    </row>
    <row r="14" spans="1:23" x14ac:dyDescent="0.25">
      <c r="A14" s="132">
        <v>46159</v>
      </c>
      <c r="B14" s="133">
        <v>4</v>
      </c>
      <c r="C14" s="133">
        <v>10000</v>
      </c>
      <c r="E14" s="132"/>
      <c r="F14" s="133"/>
      <c r="H14" s="135"/>
      <c r="I14" s="132">
        <v>46183</v>
      </c>
      <c r="J14" s="133">
        <v>4</v>
      </c>
      <c r="K14" s="198">
        <v>10800</v>
      </c>
      <c r="L14" s="141"/>
      <c r="M14" s="135"/>
      <c r="N14" s="136"/>
      <c r="O14" s="136"/>
    </row>
    <row r="15" spans="1:23" x14ac:dyDescent="0.25">
      <c r="A15" s="132">
        <v>46160</v>
      </c>
      <c r="B15" s="133">
        <v>4</v>
      </c>
      <c r="C15" s="133">
        <v>11700</v>
      </c>
      <c r="E15" s="132"/>
      <c r="F15" s="133"/>
      <c r="H15" s="135"/>
      <c r="I15" s="132">
        <v>46184</v>
      </c>
      <c r="J15" s="133">
        <v>4</v>
      </c>
      <c r="K15" s="198">
        <v>10800</v>
      </c>
      <c r="L15" s="141"/>
      <c r="M15" s="135"/>
      <c r="N15" s="136"/>
      <c r="O15" s="136"/>
      <c r="R15" s="143"/>
    </row>
    <row r="16" spans="1:23" x14ac:dyDescent="0.25">
      <c r="A16" s="132">
        <v>46161</v>
      </c>
      <c r="B16" s="133">
        <v>4</v>
      </c>
      <c r="C16" s="133">
        <v>11700</v>
      </c>
      <c r="E16" s="132"/>
      <c r="F16" s="133"/>
      <c r="H16" s="135"/>
      <c r="I16" s="132">
        <v>46185</v>
      </c>
      <c r="J16" s="133">
        <v>4</v>
      </c>
      <c r="K16" s="198">
        <v>10800</v>
      </c>
      <c r="L16" s="141"/>
      <c r="M16" s="135"/>
      <c r="N16" s="136"/>
      <c r="O16" s="136"/>
    </row>
    <row r="17" spans="1:37" x14ac:dyDescent="0.25">
      <c r="A17" s="132">
        <v>46162</v>
      </c>
      <c r="B17" s="133">
        <v>4</v>
      </c>
      <c r="C17" s="133">
        <v>11700</v>
      </c>
      <c r="E17" s="132"/>
      <c r="F17" s="133"/>
      <c r="H17" s="135"/>
      <c r="I17" s="132">
        <v>46186</v>
      </c>
      <c r="J17" s="133">
        <v>4</v>
      </c>
      <c r="K17" s="198">
        <v>10800</v>
      </c>
      <c r="L17" s="141"/>
      <c r="M17" s="135"/>
      <c r="N17" s="136"/>
      <c r="O17" s="136"/>
    </row>
    <row r="18" spans="1:37" x14ac:dyDescent="0.25">
      <c r="A18" s="132">
        <v>46163</v>
      </c>
      <c r="B18" s="133">
        <v>4</v>
      </c>
      <c r="C18" s="133">
        <v>6600</v>
      </c>
      <c r="E18" s="132"/>
      <c r="F18" s="133"/>
      <c r="H18" s="135"/>
      <c r="I18" s="132">
        <v>46187</v>
      </c>
      <c r="J18" s="133">
        <v>4</v>
      </c>
      <c r="K18" s="198">
        <v>10800</v>
      </c>
      <c r="L18" s="141"/>
      <c r="M18" s="135"/>
      <c r="N18" s="136"/>
      <c r="O18" s="136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</row>
    <row r="19" spans="1:37" x14ac:dyDescent="0.25">
      <c r="A19" s="132">
        <v>46164</v>
      </c>
      <c r="B19" s="133">
        <v>4</v>
      </c>
      <c r="C19" s="133">
        <v>11400</v>
      </c>
      <c r="E19" s="132"/>
      <c r="F19" s="133"/>
      <c r="H19" s="135"/>
      <c r="I19" s="132">
        <v>46188</v>
      </c>
      <c r="J19" s="133">
        <v>4</v>
      </c>
      <c r="K19" s="198">
        <v>10800</v>
      </c>
      <c r="L19" s="141"/>
      <c r="M19" s="135"/>
      <c r="N19" s="136"/>
      <c r="O19" s="136"/>
    </row>
    <row r="20" spans="1:37" x14ac:dyDescent="0.25">
      <c r="A20" s="132">
        <v>46165</v>
      </c>
      <c r="B20" s="133">
        <v>4</v>
      </c>
      <c r="C20" s="133">
        <v>11400</v>
      </c>
      <c r="E20" s="132"/>
      <c r="F20" s="133"/>
      <c r="H20" s="135"/>
      <c r="I20" s="132">
        <v>46189</v>
      </c>
      <c r="J20" s="133">
        <v>4</v>
      </c>
      <c r="K20" s="198">
        <v>10800</v>
      </c>
      <c r="L20" s="141"/>
      <c r="M20" s="135"/>
      <c r="N20" s="136"/>
      <c r="O20" s="136"/>
    </row>
    <row r="21" spans="1:37" x14ac:dyDescent="0.25">
      <c r="A21" s="132">
        <v>46166</v>
      </c>
      <c r="B21" s="133">
        <v>4</v>
      </c>
      <c r="C21" s="133">
        <v>11400</v>
      </c>
      <c r="E21" s="132"/>
      <c r="F21" s="133"/>
      <c r="H21" s="135"/>
      <c r="I21" s="132">
        <v>46190</v>
      </c>
      <c r="J21" s="133">
        <v>4</v>
      </c>
      <c r="K21" s="198">
        <v>10800</v>
      </c>
      <c r="L21" s="141"/>
      <c r="M21" s="135"/>
      <c r="N21" s="136"/>
      <c r="O21" s="136"/>
    </row>
    <row r="22" spans="1:37" x14ac:dyDescent="0.25">
      <c r="A22" s="132">
        <v>46167</v>
      </c>
      <c r="B22" s="133">
        <v>4</v>
      </c>
      <c r="C22" s="133">
        <v>11400</v>
      </c>
      <c r="E22" s="132"/>
      <c r="F22" s="133"/>
      <c r="H22" s="135"/>
      <c r="I22" s="132">
        <v>46191</v>
      </c>
      <c r="J22" s="133">
        <v>4</v>
      </c>
      <c r="K22" s="198">
        <v>10800</v>
      </c>
      <c r="L22" s="141"/>
      <c r="M22" s="135"/>
      <c r="N22" s="136"/>
      <c r="O22" s="136"/>
    </row>
    <row r="23" spans="1:37" x14ac:dyDescent="0.25">
      <c r="A23" s="132">
        <v>46168</v>
      </c>
      <c r="B23" s="133">
        <v>4</v>
      </c>
      <c r="C23" s="133">
        <v>11400</v>
      </c>
      <c r="E23" s="132"/>
      <c r="F23" s="133"/>
      <c r="H23" s="135"/>
      <c r="I23" s="132">
        <v>46192</v>
      </c>
      <c r="J23" s="133">
        <v>4</v>
      </c>
      <c r="K23" s="198">
        <v>10800</v>
      </c>
      <c r="L23" s="141"/>
      <c r="M23" s="135"/>
      <c r="N23" s="136"/>
      <c r="O23" s="136"/>
    </row>
    <row r="24" spans="1:37" x14ac:dyDescent="0.25">
      <c r="A24" s="132">
        <v>46169</v>
      </c>
      <c r="B24" s="133">
        <v>4</v>
      </c>
      <c r="C24" s="133">
        <v>11400</v>
      </c>
      <c r="E24" s="132"/>
      <c r="F24" s="133"/>
      <c r="H24" s="135"/>
      <c r="I24" s="132">
        <v>46193</v>
      </c>
      <c r="J24" s="133">
        <v>4</v>
      </c>
      <c r="K24" s="198">
        <v>10800</v>
      </c>
      <c r="L24" s="141"/>
      <c r="M24" s="135"/>
      <c r="N24" s="136"/>
      <c r="O24" s="136"/>
    </row>
    <row r="25" spans="1:37" x14ac:dyDescent="0.25">
      <c r="A25" s="132">
        <v>46170</v>
      </c>
      <c r="B25" s="133">
        <v>4</v>
      </c>
      <c r="C25" s="133">
        <v>6600</v>
      </c>
      <c r="E25" s="132"/>
      <c r="F25" s="133"/>
      <c r="H25" s="135"/>
      <c r="I25" s="132">
        <v>46194</v>
      </c>
      <c r="J25" s="133">
        <v>4</v>
      </c>
      <c r="K25" s="198">
        <v>11200</v>
      </c>
      <c r="L25" s="141"/>
      <c r="M25" s="135"/>
      <c r="N25" s="136"/>
      <c r="O25" s="136"/>
    </row>
    <row r="26" spans="1:37" x14ac:dyDescent="0.25">
      <c r="A26" s="132">
        <v>46171</v>
      </c>
      <c r="B26" s="133">
        <v>4</v>
      </c>
      <c r="C26" s="133">
        <v>11400</v>
      </c>
      <c r="H26" s="135"/>
      <c r="I26" s="132">
        <v>46195</v>
      </c>
      <c r="J26" s="133">
        <v>4</v>
      </c>
      <c r="K26" s="198">
        <v>11200</v>
      </c>
      <c r="L26" s="141"/>
      <c r="M26" s="135"/>
      <c r="N26" s="136"/>
      <c r="O26" s="136"/>
    </row>
    <row r="27" spans="1:37" x14ac:dyDescent="0.25">
      <c r="A27" s="132">
        <v>46172</v>
      </c>
      <c r="B27" s="133">
        <v>4</v>
      </c>
      <c r="C27" s="133">
        <v>11400</v>
      </c>
      <c r="H27" s="135"/>
      <c r="I27" s="132">
        <v>46196</v>
      </c>
      <c r="J27" s="133">
        <v>4</v>
      </c>
      <c r="K27" s="198">
        <v>11200</v>
      </c>
      <c r="L27" s="141"/>
      <c r="M27" s="135"/>
      <c r="N27" s="136"/>
      <c r="O27" s="136"/>
    </row>
    <row r="28" spans="1:37" x14ac:dyDescent="0.25">
      <c r="A28" s="132">
        <v>46173</v>
      </c>
      <c r="B28" s="133">
        <v>4</v>
      </c>
      <c r="C28" s="133">
        <v>11400</v>
      </c>
      <c r="H28" s="135"/>
      <c r="I28" s="132">
        <v>46197</v>
      </c>
      <c r="J28" s="133">
        <v>4</v>
      </c>
      <c r="K28" s="198">
        <v>11200</v>
      </c>
      <c r="L28" s="141"/>
      <c r="M28" s="135"/>
      <c r="N28" s="136"/>
      <c r="O28" s="136"/>
    </row>
    <row r="29" spans="1:37" x14ac:dyDescent="0.25">
      <c r="A29" s="132"/>
      <c r="B29" s="133"/>
      <c r="C29" s="133"/>
      <c r="H29" s="135"/>
      <c r="I29" s="132">
        <v>46198</v>
      </c>
      <c r="J29" s="133">
        <v>4</v>
      </c>
      <c r="K29" s="198">
        <v>11200</v>
      </c>
      <c r="L29" s="141"/>
      <c r="M29" s="135"/>
      <c r="N29" s="136"/>
      <c r="O29" s="136"/>
    </row>
    <row r="30" spans="1:37" x14ac:dyDescent="0.25">
      <c r="A30" s="132"/>
      <c r="B30" s="133"/>
      <c r="C30" s="133"/>
      <c r="H30" s="135"/>
      <c r="I30" s="132">
        <v>46199</v>
      </c>
      <c r="J30" s="133">
        <v>4</v>
      </c>
      <c r="K30" s="198">
        <v>11200</v>
      </c>
      <c r="L30" s="141"/>
      <c r="M30" s="135"/>
      <c r="N30" s="136"/>
      <c r="O30" s="136"/>
    </row>
    <row r="31" spans="1:37" x14ac:dyDescent="0.25">
      <c r="A31" s="132"/>
      <c r="B31" s="133"/>
      <c r="C31" s="133"/>
      <c r="H31" s="135"/>
      <c r="I31" s="132">
        <v>46200</v>
      </c>
      <c r="J31" s="133">
        <v>4</v>
      </c>
      <c r="K31" s="198">
        <v>11200</v>
      </c>
      <c r="L31" s="141"/>
      <c r="M31" s="135"/>
      <c r="N31" s="136"/>
      <c r="O31" s="136"/>
    </row>
    <row r="32" spans="1:37" x14ac:dyDescent="0.25">
      <c r="A32" s="132"/>
      <c r="B32" s="133"/>
      <c r="C32" s="133"/>
      <c r="H32" s="135"/>
      <c r="I32" s="132">
        <v>46201</v>
      </c>
      <c r="J32" s="133">
        <v>4</v>
      </c>
      <c r="K32" s="198">
        <v>11200</v>
      </c>
      <c r="L32" s="141"/>
      <c r="M32" s="135"/>
      <c r="N32" s="136"/>
      <c r="O32" s="136"/>
    </row>
    <row r="33" spans="1:15" x14ac:dyDescent="0.25">
      <c r="A33" s="194"/>
      <c r="B33" s="195"/>
      <c r="C33" s="195"/>
      <c r="H33" s="135"/>
      <c r="I33" s="132">
        <v>46202</v>
      </c>
      <c r="J33" s="133">
        <v>4</v>
      </c>
      <c r="K33" s="198">
        <v>11200</v>
      </c>
      <c r="L33" s="141"/>
      <c r="M33" s="135"/>
      <c r="N33" s="136"/>
      <c r="O33" s="136"/>
    </row>
    <row r="34" spans="1:15" x14ac:dyDescent="0.25">
      <c r="A34" s="132"/>
      <c r="B34" s="133"/>
      <c r="C34" s="133"/>
      <c r="H34" s="135"/>
      <c r="I34" s="132">
        <v>46203</v>
      </c>
      <c r="J34" s="133">
        <v>4</v>
      </c>
      <c r="K34" s="198">
        <v>11200</v>
      </c>
      <c r="L34" s="141"/>
      <c r="M34" s="135"/>
      <c r="N34" s="136"/>
      <c r="O34" s="136"/>
    </row>
    <row r="35" spans="1:15" x14ac:dyDescent="0.25">
      <c r="I35" s="132"/>
      <c r="J35" s="133"/>
      <c r="K35" s="133"/>
    </row>
  </sheetData>
  <mergeCells count="5">
    <mergeCell ref="I3:K3"/>
    <mergeCell ref="H1:L1"/>
    <mergeCell ref="A1:G1"/>
    <mergeCell ref="A3:C3"/>
    <mergeCell ref="E3:F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B1:S9"/>
  <sheetViews>
    <sheetView topLeftCell="C1" zoomScaleNormal="100" workbookViewId="0">
      <selection activeCell="Q12" sqref="Q12"/>
    </sheetView>
  </sheetViews>
  <sheetFormatPr defaultRowHeight="13.2" x14ac:dyDescent="0.25"/>
  <cols>
    <col min="1" max="1" width="8.5546875" customWidth="1"/>
    <col min="2" max="2" width="11.44140625" bestFit="1" customWidth="1"/>
    <col min="3" max="11" width="10.88671875" bestFit="1" customWidth="1"/>
    <col min="12" max="19" width="11.88671875" bestFit="1" customWidth="1"/>
    <col min="20" max="26" width="8.5546875" customWidth="1"/>
    <col min="33" max="33" width="9.44140625" bestFit="1" customWidth="1"/>
    <col min="36" max="36" width="9.44140625" bestFit="1" customWidth="1"/>
  </cols>
  <sheetData>
    <row r="1" spans="2:19" x14ac:dyDescent="0.25">
      <c r="C1" s="3" t="s">
        <v>134</v>
      </c>
    </row>
    <row r="4" spans="2:19" x14ac:dyDescent="0.25">
      <c r="B4" s="24"/>
      <c r="C4" s="24" t="s">
        <v>110</v>
      </c>
      <c r="D4" s="24" t="s">
        <v>111</v>
      </c>
      <c r="E4" s="24" t="s">
        <v>112</v>
      </c>
      <c r="F4" s="24" t="s">
        <v>113</v>
      </c>
      <c r="G4" s="24" t="s">
        <v>114</v>
      </c>
      <c r="H4" s="24" t="s">
        <v>115</v>
      </c>
      <c r="I4" s="24" t="s">
        <v>116</v>
      </c>
      <c r="J4" s="24" t="s">
        <v>117</v>
      </c>
      <c r="K4" s="24" t="s">
        <v>118</v>
      </c>
      <c r="L4" s="24" t="s">
        <v>119</v>
      </c>
      <c r="M4" s="24" t="s">
        <v>120</v>
      </c>
      <c r="N4" s="24" t="s">
        <v>121</v>
      </c>
      <c r="O4" s="24" t="s">
        <v>122</v>
      </c>
      <c r="P4" s="24" t="s">
        <v>123</v>
      </c>
      <c r="Q4" s="24" t="s">
        <v>124</v>
      </c>
      <c r="R4" s="24" t="s">
        <v>125</v>
      </c>
      <c r="S4" s="24" t="s">
        <v>126</v>
      </c>
    </row>
    <row r="5" spans="2:19" x14ac:dyDescent="0.25">
      <c r="C5" s="24">
        <v>46143</v>
      </c>
      <c r="D5" s="24">
        <v>46174</v>
      </c>
      <c r="E5" s="24">
        <v>46204</v>
      </c>
      <c r="F5" s="24">
        <v>46235</v>
      </c>
      <c r="G5" s="24">
        <v>46266</v>
      </c>
      <c r="H5" s="24">
        <v>46296</v>
      </c>
      <c r="I5" s="24">
        <v>46327</v>
      </c>
      <c r="J5" s="24">
        <v>46357</v>
      </c>
      <c r="K5" s="24">
        <v>46388</v>
      </c>
      <c r="L5" s="24">
        <v>46419</v>
      </c>
      <c r="M5" s="24">
        <v>46447</v>
      </c>
      <c r="N5" s="24">
        <v>46478</v>
      </c>
      <c r="O5" s="24">
        <v>46508</v>
      </c>
      <c r="P5" s="24">
        <v>46539</v>
      </c>
      <c r="Q5" s="24">
        <v>46569</v>
      </c>
      <c r="R5" s="24">
        <v>46600</v>
      </c>
      <c r="S5" s="24">
        <v>46631</v>
      </c>
    </row>
    <row r="6" spans="2:19" x14ac:dyDescent="0.25">
      <c r="C6">
        <v>1386.6</v>
      </c>
      <c r="D6">
        <v>1386.6</v>
      </c>
      <c r="E6">
        <v>1386.6</v>
      </c>
      <c r="F6">
        <v>1390</v>
      </c>
      <c r="G6">
        <v>1404</v>
      </c>
      <c r="H6">
        <v>1404</v>
      </c>
      <c r="I6">
        <v>1390</v>
      </c>
      <c r="J6">
        <v>1404</v>
      </c>
      <c r="K6">
        <v>1418</v>
      </c>
      <c r="L6">
        <v>1432</v>
      </c>
      <c r="M6">
        <v>1404</v>
      </c>
      <c r="N6">
        <v>1386.6</v>
      </c>
      <c r="O6">
        <v>1335.4</v>
      </c>
      <c r="P6">
        <v>1309.7999999999995</v>
      </c>
      <c r="Q6">
        <v>1284.1999999999998</v>
      </c>
      <c r="R6">
        <v>1284.1999999999998</v>
      </c>
      <c r="S6">
        <v>1284.1999999999998</v>
      </c>
    </row>
    <row r="7" spans="2:19" x14ac:dyDescent="0.25">
      <c r="B7" s="192"/>
      <c r="C7">
        <v>1007.5</v>
      </c>
      <c r="D7">
        <v>1349.5000000000002</v>
      </c>
      <c r="E7">
        <v>1349.5000000000002</v>
      </c>
      <c r="F7">
        <v>1355</v>
      </c>
      <c r="G7">
        <v>1190.5</v>
      </c>
      <c r="H7">
        <v>819.5</v>
      </c>
      <c r="I7">
        <v>803</v>
      </c>
      <c r="J7">
        <v>1292.5</v>
      </c>
      <c r="K7">
        <v>1116</v>
      </c>
      <c r="L7">
        <v>877.5</v>
      </c>
      <c r="M7">
        <v>980.5</v>
      </c>
      <c r="N7">
        <v>1223.5999999999999</v>
      </c>
      <c r="O7">
        <v>1299.9000000000001</v>
      </c>
      <c r="P7">
        <f>P6-36</f>
        <v>1273.7999999999995</v>
      </c>
      <c r="Q7">
        <f t="shared" ref="Q7:S7" si="0">Q6-36</f>
        <v>1248.1999999999998</v>
      </c>
      <c r="R7">
        <f t="shared" si="0"/>
        <v>1248.1999999999998</v>
      </c>
      <c r="S7">
        <f t="shared" si="0"/>
        <v>1248.1999999999998</v>
      </c>
    </row>
    <row r="8" spans="2:19" x14ac:dyDescent="0.25">
      <c r="B8" s="192"/>
      <c r="C8" s="192">
        <v>0.72659743256887344</v>
      </c>
      <c r="D8" s="192">
        <v>0.97324390595701726</v>
      </c>
      <c r="E8" s="192">
        <v>0.97324390595701726</v>
      </c>
      <c r="F8" s="192">
        <v>0.97482014388489213</v>
      </c>
      <c r="G8" s="192">
        <v>0.84793447293447288</v>
      </c>
      <c r="H8" s="192">
        <v>0.58368945868945865</v>
      </c>
      <c r="I8" s="192">
        <v>0.57769784172661875</v>
      </c>
      <c r="J8" s="192">
        <v>0.92058404558404561</v>
      </c>
      <c r="K8" s="192">
        <v>0.78702397743300423</v>
      </c>
      <c r="L8" s="192">
        <v>0.61277932960893855</v>
      </c>
      <c r="M8" s="192">
        <v>0.6983618233618234</v>
      </c>
      <c r="N8" s="192">
        <v>0.88244627145535848</v>
      </c>
      <c r="O8" s="192">
        <v>0.97341620488243219</v>
      </c>
      <c r="P8" s="192">
        <f>P7/P6</f>
        <v>0.97251488776912509</v>
      </c>
      <c r="Q8" s="192">
        <f t="shared" ref="Q8:S8" si="1">Q7/Q6</f>
        <v>0.97196698333592901</v>
      </c>
      <c r="R8" s="192">
        <f t="shared" si="1"/>
        <v>0.97196698333592901</v>
      </c>
      <c r="S8" s="192">
        <f t="shared" si="1"/>
        <v>0.97196698333592901</v>
      </c>
    </row>
    <row r="9" spans="2:19" x14ac:dyDescent="0.25"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</row>
  </sheetData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FFFF00"/>
  </sheetPr>
  <dimension ref="B1:AC8006"/>
  <sheetViews>
    <sheetView topLeftCell="A2" workbookViewId="0">
      <selection activeCell="K16" sqref="K16"/>
    </sheetView>
  </sheetViews>
  <sheetFormatPr defaultColWidth="9.44140625" defaultRowHeight="13.2" x14ac:dyDescent="0.25"/>
  <cols>
    <col min="1" max="1" width="5.5546875" style="3" customWidth="1"/>
    <col min="2" max="3" width="14.5546875" style="3" customWidth="1"/>
    <col min="4" max="4" width="5.5546875" style="3" customWidth="1"/>
    <col min="5" max="6" width="15.5546875" style="3" customWidth="1"/>
    <col min="7" max="7" width="5.5546875" style="3" customWidth="1"/>
    <col min="8" max="8" width="15.5546875" style="3" customWidth="1"/>
    <col min="9" max="10" width="12.5546875" style="6" customWidth="1"/>
    <col min="11" max="11" width="9.44140625" style="3"/>
    <col min="12" max="12" width="12.5546875" style="6" customWidth="1"/>
    <col min="13" max="13" width="12.5546875" customWidth="1"/>
    <col min="16" max="24" width="9.44140625" style="6"/>
    <col min="25" max="16384" width="9.44140625" style="3"/>
  </cols>
  <sheetData>
    <row r="1" spans="2:29" ht="13.8" thickBot="1" x14ac:dyDescent="0.3"/>
    <row r="2" spans="2:29" ht="14.4" thickTop="1" thickBot="1" x14ac:dyDescent="0.3">
      <c r="H2" s="150"/>
      <c r="I2" s="151">
        <f ca="1">Input!D18</f>
        <v>46143</v>
      </c>
      <c r="J2" s="151">
        <f ca="1">Input!D19</f>
        <v>46174</v>
      </c>
    </row>
    <row r="3" spans="2:29" ht="15" customHeight="1" thickTop="1" x14ac:dyDescent="0.25">
      <c r="B3" s="219" t="s">
        <v>1</v>
      </c>
      <c r="C3" s="219" t="s">
        <v>127</v>
      </c>
      <c r="D3" s="5"/>
      <c r="E3" s="219" t="s">
        <v>2</v>
      </c>
      <c r="F3" s="219" t="s">
        <v>128</v>
      </c>
      <c r="H3" s="3" t="s">
        <v>3</v>
      </c>
      <c r="I3" s="153">
        <f>Input!E22</f>
        <v>448.5</v>
      </c>
      <c r="J3" s="153">
        <f>Input!E23</f>
        <v>448.5</v>
      </c>
      <c r="K3" s="3" t="s">
        <v>68</v>
      </c>
    </row>
    <row r="4" spans="2:29" ht="13.8" x14ac:dyDescent="0.25">
      <c r="B4" s="219"/>
      <c r="C4" s="219"/>
      <c r="D4" s="5"/>
      <c r="E4" s="219"/>
      <c r="F4" s="219"/>
      <c r="H4" s="3" t="s">
        <v>6</v>
      </c>
      <c r="I4" s="154">
        <f>VLOOKUP(I3,E6:F1006,2)</f>
        <v>540.9510341459146</v>
      </c>
      <c r="J4" s="154">
        <f>VLOOKUP(J3,E6:F1006,2)</f>
        <v>540.9510341459146</v>
      </c>
      <c r="K4" s="3" t="s">
        <v>69</v>
      </c>
      <c r="V4" s="43"/>
    </row>
    <row r="5" spans="2:29" ht="13.8" x14ac:dyDescent="0.25">
      <c r="B5" s="220"/>
      <c r="C5" s="220"/>
      <c r="D5" s="5"/>
      <c r="E5" s="220"/>
      <c r="F5" s="220"/>
      <c r="H5" s="3" t="s">
        <v>4</v>
      </c>
      <c r="I5" s="153">
        <f>Input!E18</f>
        <v>643</v>
      </c>
      <c r="J5" s="153">
        <f>Input!E19</f>
        <v>643</v>
      </c>
      <c r="U5" s="43"/>
      <c r="V5" s="43"/>
    </row>
    <row r="6" spans="2:29" ht="13.8" thickBot="1" x14ac:dyDescent="0.3">
      <c r="B6" s="4">
        <v>570</v>
      </c>
      <c r="C6" s="199">
        <v>238.8643969530801</v>
      </c>
      <c r="D6" s="7"/>
      <c r="E6" s="4">
        <v>440</v>
      </c>
      <c r="F6" s="200">
        <v>393.41567188928298</v>
      </c>
      <c r="H6" s="152" t="s">
        <v>5</v>
      </c>
      <c r="I6" s="155">
        <f>VLOOKUP(I5,B6:C8006,2)</f>
        <v>1759.2878461597256</v>
      </c>
      <c r="J6" s="155">
        <f>VLOOKUP(J5,B6:C8006,2)</f>
        <v>1759.2878461597256</v>
      </c>
      <c r="T6" s="43"/>
      <c r="U6" s="43"/>
      <c r="V6" s="43"/>
    </row>
    <row r="7" spans="2:29" x14ac:dyDescent="0.25">
      <c r="B7" s="4">
        <f>+B6+0.01</f>
        <v>570.01</v>
      </c>
      <c r="C7" s="199">
        <v>238.99702739518742</v>
      </c>
      <c r="D7" s="7"/>
      <c r="E7" s="4">
        <f>+E6+0.01</f>
        <v>440.01</v>
      </c>
      <c r="F7" s="200">
        <v>393.57185944323248</v>
      </c>
      <c r="S7" s="43"/>
      <c r="T7" s="43"/>
      <c r="U7" s="43"/>
      <c r="V7" s="43"/>
    </row>
    <row r="8" spans="2:29" x14ac:dyDescent="0.25">
      <c r="B8" s="4">
        <f t="shared" ref="B8:B71" si="0">+B7+0.01</f>
        <v>570.02</v>
      </c>
      <c r="C8" s="199">
        <v>239.12986182746491</v>
      </c>
      <c r="D8" s="7"/>
      <c r="E8" s="4">
        <f t="shared" ref="E8:E71" si="1">+E7+0.01</f>
        <v>440.02</v>
      </c>
      <c r="F8" s="200">
        <v>393.72804699718205</v>
      </c>
      <c r="R8" s="43"/>
      <c r="S8" s="43"/>
      <c r="T8" s="43"/>
      <c r="U8" s="43"/>
      <c r="V8" s="43"/>
    </row>
    <row r="9" spans="2:29" x14ac:dyDescent="0.25">
      <c r="B9" s="4">
        <f t="shared" si="0"/>
        <v>570.03</v>
      </c>
      <c r="C9" s="199">
        <v>239.26269625974302</v>
      </c>
      <c r="D9" s="7"/>
      <c r="E9" s="4">
        <f t="shared" si="1"/>
        <v>440.03</v>
      </c>
      <c r="F9" s="200">
        <v>393.88423455113167</v>
      </c>
      <c r="Q9" s="43"/>
      <c r="R9" s="43"/>
      <c r="S9" s="43"/>
      <c r="T9" s="43"/>
      <c r="U9" s="43"/>
      <c r="V9" s="43"/>
    </row>
    <row r="10" spans="2:29" x14ac:dyDescent="0.25">
      <c r="B10" s="4">
        <f t="shared" si="0"/>
        <v>570.04</v>
      </c>
      <c r="C10" s="199">
        <v>239.39553069202074</v>
      </c>
      <c r="D10" s="7"/>
      <c r="E10" s="4">
        <f t="shared" si="1"/>
        <v>440.03999999999996</v>
      </c>
      <c r="F10" s="200">
        <v>394.04042210508163</v>
      </c>
      <c r="Y10" s="6"/>
      <c r="Z10" s="6"/>
      <c r="AA10" s="6"/>
      <c r="AB10" s="6"/>
      <c r="AC10" s="6"/>
    </row>
    <row r="11" spans="2:29" x14ac:dyDescent="0.25">
      <c r="B11" s="4">
        <f t="shared" si="0"/>
        <v>570.04999999999995</v>
      </c>
      <c r="C11" s="199">
        <v>239.52836512429849</v>
      </c>
      <c r="D11" s="7"/>
      <c r="E11" s="4">
        <f t="shared" si="1"/>
        <v>440.04999999999995</v>
      </c>
      <c r="F11" s="200">
        <v>394.1966096590312</v>
      </c>
      <c r="Y11" s="6"/>
      <c r="Z11" s="6"/>
      <c r="AA11" s="6"/>
      <c r="AB11" s="6"/>
      <c r="AC11" s="6"/>
    </row>
    <row r="12" spans="2:29" x14ac:dyDescent="0.25">
      <c r="B12" s="4">
        <f t="shared" si="0"/>
        <v>570.05999999999995</v>
      </c>
      <c r="C12" s="199">
        <v>239.66119955657641</v>
      </c>
      <c r="D12" s="7"/>
      <c r="E12" s="4">
        <f t="shared" si="1"/>
        <v>440.05999999999995</v>
      </c>
      <c r="F12" s="200">
        <v>394.35279721298076</v>
      </c>
      <c r="J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2:29" x14ac:dyDescent="0.25">
      <c r="B13" s="4">
        <f t="shared" si="0"/>
        <v>570.06999999999994</v>
      </c>
      <c r="C13" s="199">
        <v>239.79403398885418</v>
      </c>
      <c r="D13" s="7"/>
      <c r="E13" s="4">
        <f t="shared" si="1"/>
        <v>440.06999999999994</v>
      </c>
      <c r="F13" s="200">
        <v>394.50898476693033</v>
      </c>
      <c r="I13" s="43"/>
      <c r="J13" s="45"/>
      <c r="L13" s="55"/>
      <c r="P13" s="43"/>
      <c r="Q13" s="43"/>
      <c r="R13" s="43"/>
      <c r="S13" s="43"/>
      <c r="T13" s="43"/>
      <c r="U13" s="43"/>
      <c r="V13" s="43"/>
      <c r="W13" s="43"/>
      <c r="X13" s="43"/>
    </row>
    <row r="14" spans="2:29" x14ac:dyDescent="0.25">
      <c r="B14" s="4">
        <f t="shared" si="0"/>
        <v>570.07999999999993</v>
      </c>
      <c r="C14" s="199">
        <v>239.92686842113193</v>
      </c>
      <c r="D14" s="7"/>
      <c r="E14" s="4">
        <f t="shared" si="1"/>
        <v>440.07999999999993</v>
      </c>
      <c r="F14" s="200">
        <v>394.66517232087983</v>
      </c>
      <c r="I14" s="43"/>
      <c r="J14" s="45"/>
      <c r="K14" s="42"/>
      <c r="L14" s="56"/>
      <c r="P14" s="43"/>
      <c r="Q14" s="43"/>
      <c r="R14" s="43"/>
      <c r="S14" s="43"/>
      <c r="T14" s="43"/>
      <c r="U14" s="43"/>
      <c r="V14" s="43"/>
      <c r="W14" s="43"/>
    </row>
    <row r="15" spans="2:29" x14ac:dyDescent="0.25">
      <c r="B15" s="4">
        <f t="shared" si="0"/>
        <v>570.08999999999992</v>
      </c>
      <c r="C15" s="199">
        <v>240.05970285340979</v>
      </c>
      <c r="D15" s="7"/>
      <c r="E15" s="4">
        <f t="shared" si="1"/>
        <v>440.08999999999992</v>
      </c>
      <c r="F15" s="200">
        <v>394.82167545459328</v>
      </c>
      <c r="I15" s="43"/>
      <c r="J15" s="45"/>
      <c r="K15" s="42"/>
      <c r="L15" s="55"/>
      <c r="P15" s="43"/>
      <c r="Q15" s="43"/>
      <c r="R15" s="43"/>
      <c r="S15" s="43"/>
      <c r="T15" s="43"/>
      <c r="U15" s="43"/>
      <c r="V15" s="43"/>
    </row>
    <row r="16" spans="2:29" x14ac:dyDescent="0.25">
      <c r="B16" s="4">
        <f t="shared" si="0"/>
        <v>570.09999999999991</v>
      </c>
      <c r="C16" s="199">
        <v>240.19253728568688</v>
      </c>
      <c r="D16" s="7"/>
      <c r="E16" s="4">
        <f t="shared" si="1"/>
        <v>440.09999999999991</v>
      </c>
      <c r="F16" s="200">
        <v>394.97817858830882</v>
      </c>
      <c r="I16" s="43"/>
      <c r="J16" s="45"/>
      <c r="K16" s="42"/>
      <c r="L16" s="55"/>
      <c r="P16" s="43"/>
      <c r="Q16" s="43"/>
      <c r="R16" s="43"/>
      <c r="S16" s="43"/>
      <c r="T16" s="43"/>
      <c r="U16" s="43"/>
    </row>
    <row r="17" spans="2:20" x14ac:dyDescent="0.25">
      <c r="B17" s="4">
        <f t="shared" si="0"/>
        <v>570.1099999999999</v>
      </c>
      <c r="C17" s="199">
        <v>240.32537171796463</v>
      </c>
      <c r="D17" s="7"/>
      <c r="E17" s="4">
        <f t="shared" si="1"/>
        <v>440.1099999999999</v>
      </c>
      <c r="F17" s="200">
        <v>395.13468172202437</v>
      </c>
      <c r="I17" s="43"/>
      <c r="J17" s="45"/>
      <c r="K17" s="42"/>
      <c r="L17" s="55"/>
      <c r="P17" s="43"/>
      <c r="Q17" s="43"/>
      <c r="R17" s="43"/>
      <c r="S17" s="43"/>
      <c r="T17" s="43"/>
    </row>
    <row r="18" spans="2:20" x14ac:dyDescent="0.25">
      <c r="B18" s="4">
        <f t="shared" si="0"/>
        <v>570.11999999999989</v>
      </c>
      <c r="C18" s="199">
        <v>240.45841071163755</v>
      </c>
      <c r="D18" s="7"/>
      <c r="E18" s="4">
        <f t="shared" si="1"/>
        <v>440.11999999999989</v>
      </c>
      <c r="F18" s="200">
        <v>395.2911848557394</v>
      </c>
      <c r="I18" s="43"/>
      <c r="J18" s="45"/>
      <c r="K18" s="42"/>
      <c r="L18" s="55"/>
      <c r="P18" s="43"/>
      <c r="Q18" s="43"/>
      <c r="R18" s="43"/>
      <c r="S18" s="43"/>
    </row>
    <row r="19" spans="2:20" x14ac:dyDescent="0.25">
      <c r="B19" s="4">
        <f t="shared" si="0"/>
        <v>570.12999999999988</v>
      </c>
      <c r="C19" s="199">
        <v>240.59144970531483</v>
      </c>
      <c r="D19" s="7"/>
      <c r="E19" s="4">
        <f t="shared" si="1"/>
        <v>440.12999999999988</v>
      </c>
      <c r="F19" s="200">
        <v>395.44768798945586</v>
      </c>
      <c r="I19" s="43"/>
      <c r="J19" s="45"/>
      <c r="K19" s="42"/>
      <c r="L19" s="55"/>
      <c r="P19" s="43"/>
      <c r="Q19" s="43"/>
      <c r="R19" s="43"/>
    </row>
    <row r="20" spans="2:20" x14ac:dyDescent="0.25">
      <c r="B20" s="4">
        <f t="shared" si="0"/>
        <v>570.13999999999987</v>
      </c>
      <c r="C20" s="199">
        <v>240.72448869899193</v>
      </c>
      <c r="D20" s="7"/>
      <c r="E20" s="4">
        <f t="shared" si="1"/>
        <v>440.13999999999987</v>
      </c>
      <c r="F20" s="200">
        <v>395.60419112317089</v>
      </c>
      <c r="I20" s="43"/>
      <c r="J20" s="45"/>
      <c r="K20" s="42"/>
      <c r="L20" s="55"/>
      <c r="P20" s="43"/>
      <c r="Q20" s="43"/>
    </row>
    <row r="21" spans="2:20" x14ac:dyDescent="0.25">
      <c r="B21" s="4">
        <f t="shared" si="0"/>
        <v>570.14999999999986</v>
      </c>
      <c r="C21" s="199">
        <v>240.85752769266915</v>
      </c>
      <c r="D21" s="7"/>
      <c r="E21" s="4">
        <f t="shared" si="1"/>
        <v>440.14999999999986</v>
      </c>
      <c r="F21" s="200">
        <v>395.76069425688638</v>
      </c>
      <c r="I21" s="43"/>
      <c r="J21" s="45"/>
      <c r="K21" s="42"/>
      <c r="L21" s="55"/>
      <c r="P21" s="43"/>
    </row>
    <row r="22" spans="2:20" x14ac:dyDescent="0.25">
      <c r="B22" s="4">
        <f t="shared" si="0"/>
        <v>570.15999999999985</v>
      </c>
      <c r="C22" s="199">
        <v>240.99056668634569</v>
      </c>
      <c r="D22" s="7"/>
      <c r="E22" s="4">
        <f t="shared" si="1"/>
        <v>440.15999999999985</v>
      </c>
      <c r="F22" s="200">
        <v>395.91719739060142</v>
      </c>
      <c r="I22" s="43"/>
      <c r="J22" s="45"/>
      <c r="K22" s="42"/>
      <c r="L22" s="55"/>
    </row>
    <row r="23" spans="2:20" x14ac:dyDescent="0.25">
      <c r="B23" s="4">
        <f t="shared" si="0"/>
        <v>570.16999999999985</v>
      </c>
      <c r="C23" s="199">
        <v>241.12360568002279</v>
      </c>
      <c r="D23" s="7"/>
      <c r="E23" s="4">
        <f t="shared" si="1"/>
        <v>440.16999999999985</v>
      </c>
      <c r="F23" s="200">
        <v>396.07370052431702</v>
      </c>
      <c r="I23" s="43"/>
      <c r="J23" s="45"/>
      <c r="K23" s="42"/>
      <c r="L23" s="55"/>
    </row>
    <row r="24" spans="2:20" x14ac:dyDescent="0.25">
      <c r="B24" s="4">
        <f t="shared" si="0"/>
        <v>570.17999999999984</v>
      </c>
      <c r="C24" s="199">
        <v>241.25664467370001</v>
      </c>
      <c r="D24" s="7"/>
      <c r="E24" s="4">
        <f t="shared" si="1"/>
        <v>440.17999999999984</v>
      </c>
      <c r="F24" s="200">
        <v>396.23020365803251</v>
      </c>
      <c r="I24" s="43"/>
      <c r="J24" s="45"/>
      <c r="K24" s="42"/>
      <c r="L24" s="55"/>
    </row>
    <row r="25" spans="2:20" x14ac:dyDescent="0.25">
      <c r="B25" s="4">
        <f t="shared" si="0"/>
        <v>570.18999999999983</v>
      </c>
      <c r="C25" s="199">
        <v>241.3896836673762</v>
      </c>
      <c r="D25" s="7"/>
      <c r="E25" s="4">
        <f t="shared" si="1"/>
        <v>440.18999999999983</v>
      </c>
      <c r="F25" s="200">
        <v>396.38702771620291</v>
      </c>
      <c r="I25" s="43"/>
      <c r="J25" s="45"/>
      <c r="K25" s="42"/>
      <c r="L25" s="55"/>
    </row>
    <row r="26" spans="2:20" x14ac:dyDescent="0.25">
      <c r="B26" s="4">
        <f t="shared" si="0"/>
        <v>570.19999999999982</v>
      </c>
      <c r="C26" s="199">
        <v>241.52272266105368</v>
      </c>
      <c r="D26" s="7"/>
      <c r="E26" s="4">
        <f t="shared" si="1"/>
        <v>440.19999999999982</v>
      </c>
      <c r="F26" s="200">
        <v>396.54385177437536</v>
      </c>
      <c r="I26" s="43"/>
      <c r="J26" s="45"/>
      <c r="L26" s="55"/>
    </row>
    <row r="27" spans="2:20" x14ac:dyDescent="0.25">
      <c r="B27" s="4">
        <f t="shared" si="0"/>
        <v>570.20999999999981</v>
      </c>
      <c r="C27" s="199">
        <v>241.65576165473081</v>
      </c>
      <c r="D27" s="7"/>
      <c r="E27" s="4">
        <f t="shared" si="1"/>
        <v>440.20999999999981</v>
      </c>
      <c r="F27" s="200">
        <v>396.7006758325482</v>
      </c>
      <c r="I27" s="43"/>
      <c r="J27" s="45"/>
      <c r="L27" s="55"/>
    </row>
    <row r="28" spans="2:20" x14ac:dyDescent="0.25">
      <c r="B28" s="4">
        <f t="shared" si="0"/>
        <v>570.2199999999998</v>
      </c>
      <c r="C28" s="199">
        <v>241.78900733004838</v>
      </c>
      <c r="D28" s="7"/>
      <c r="E28" s="4">
        <f t="shared" si="1"/>
        <v>440.2199999999998</v>
      </c>
      <c r="F28" s="200">
        <v>396.85749989072065</v>
      </c>
      <c r="I28" s="43"/>
      <c r="J28" s="45"/>
      <c r="L28" s="55"/>
    </row>
    <row r="29" spans="2:20" x14ac:dyDescent="0.25">
      <c r="B29" s="4">
        <f t="shared" si="0"/>
        <v>570.22999999999979</v>
      </c>
      <c r="C29" s="199">
        <v>241.92225300536498</v>
      </c>
      <c r="D29" s="7"/>
      <c r="E29" s="4">
        <f t="shared" si="1"/>
        <v>440.22999999999979</v>
      </c>
      <c r="F29" s="200">
        <v>397.01432394889213</v>
      </c>
      <c r="I29" s="43"/>
      <c r="J29" s="45"/>
      <c r="L29" s="55"/>
    </row>
    <row r="30" spans="2:20" x14ac:dyDescent="0.25">
      <c r="B30" s="4">
        <f t="shared" si="0"/>
        <v>570.23999999999978</v>
      </c>
      <c r="C30" s="199">
        <v>242.0554986806809</v>
      </c>
      <c r="D30" s="7"/>
      <c r="E30" s="4">
        <f t="shared" si="1"/>
        <v>440.23999999999978</v>
      </c>
      <c r="F30" s="200">
        <v>397.17114800706452</v>
      </c>
      <c r="I30" s="43"/>
      <c r="J30" s="45"/>
      <c r="L30" s="55"/>
    </row>
    <row r="31" spans="2:20" x14ac:dyDescent="0.25">
      <c r="B31" s="4">
        <f t="shared" si="0"/>
        <v>570.24999999999977</v>
      </c>
      <c r="C31" s="199">
        <v>242.18874435599776</v>
      </c>
      <c r="D31" s="7"/>
      <c r="E31" s="4">
        <f t="shared" si="1"/>
        <v>440.24999999999977</v>
      </c>
      <c r="F31" s="200">
        <v>397.32797206523736</v>
      </c>
      <c r="I31" s="43"/>
      <c r="J31" s="45"/>
      <c r="L31" s="55"/>
    </row>
    <row r="32" spans="2:20" x14ac:dyDescent="0.25">
      <c r="B32" s="4">
        <f t="shared" si="0"/>
        <v>570.25999999999976</v>
      </c>
      <c r="C32" s="199">
        <v>242.32199003131367</v>
      </c>
      <c r="D32" s="7"/>
      <c r="E32" s="4">
        <f t="shared" si="1"/>
        <v>440.25999999999976</v>
      </c>
      <c r="F32" s="200">
        <v>397.48479612340975</v>
      </c>
      <c r="I32" s="43"/>
      <c r="J32" s="45"/>
      <c r="L32" s="55"/>
    </row>
    <row r="33" spans="2:12" x14ac:dyDescent="0.25">
      <c r="B33" s="4">
        <f t="shared" si="0"/>
        <v>570.26999999999975</v>
      </c>
      <c r="C33" s="199">
        <v>242.4552357066305</v>
      </c>
      <c r="D33" s="7"/>
      <c r="E33" s="4">
        <f t="shared" si="1"/>
        <v>440.26999999999975</v>
      </c>
      <c r="F33" s="200">
        <v>397.6416201815822</v>
      </c>
      <c r="I33" s="43"/>
      <c r="J33" s="45"/>
      <c r="L33" s="55"/>
    </row>
    <row r="34" spans="2:12" x14ac:dyDescent="0.25">
      <c r="B34" s="4">
        <f t="shared" si="0"/>
        <v>570.27999999999975</v>
      </c>
      <c r="C34" s="199">
        <v>242.58848138194639</v>
      </c>
      <c r="D34" s="7"/>
      <c r="E34" s="4">
        <f t="shared" si="1"/>
        <v>440.27999999999975</v>
      </c>
      <c r="F34" s="200">
        <v>397.79844423975459</v>
      </c>
      <c r="I34" s="43"/>
      <c r="J34" s="45"/>
      <c r="L34" s="55"/>
    </row>
    <row r="35" spans="2:12" x14ac:dyDescent="0.25">
      <c r="B35" s="4">
        <f t="shared" si="0"/>
        <v>570.28999999999974</v>
      </c>
      <c r="C35" s="199">
        <v>242.72172705726308</v>
      </c>
      <c r="D35" s="7"/>
      <c r="E35" s="4">
        <f t="shared" si="1"/>
        <v>440.28999999999974</v>
      </c>
      <c r="F35" s="200">
        <v>397.95559341910496</v>
      </c>
      <c r="I35" s="43"/>
      <c r="J35" s="45"/>
      <c r="L35" s="55"/>
    </row>
    <row r="36" spans="2:12" x14ac:dyDescent="0.25">
      <c r="B36" s="4">
        <f t="shared" si="0"/>
        <v>570.29999999999973</v>
      </c>
      <c r="C36" s="199">
        <v>242.85497273257909</v>
      </c>
      <c r="D36" s="7"/>
      <c r="E36" s="4">
        <f t="shared" si="1"/>
        <v>440.29999999999973</v>
      </c>
      <c r="F36" s="200">
        <v>398.11274259845703</v>
      </c>
      <c r="I36" s="43"/>
      <c r="J36" s="45"/>
      <c r="L36" s="55"/>
    </row>
    <row r="37" spans="2:12" x14ac:dyDescent="0.25">
      <c r="B37" s="4">
        <f t="shared" si="0"/>
        <v>570.30999999999972</v>
      </c>
      <c r="C37" s="199">
        <v>242.98821840789589</v>
      </c>
      <c r="D37" s="7"/>
      <c r="E37" s="4">
        <f t="shared" si="1"/>
        <v>440.30999999999972</v>
      </c>
      <c r="F37" s="200">
        <v>398.26989177781041</v>
      </c>
      <c r="I37" s="43"/>
      <c r="J37" s="45"/>
      <c r="L37" s="55"/>
    </row>
    <row r="38" spans="2:12" x14ac:dyDescent="0.25">
      <c r="B38" s="4">
        <f t="shared" si="0"/>
        <v>570.31999999999971</v>
      </c>
      <c r="C38" s="199">
        <v>243.12166922536932</v>
      </c>
      <c r="D38" s="7"/>
      <c r="E38" s="4">
        <f t="shared" si="1"/>
        <v>440.31999999999971</v>
      </c>
      <c r="F38" s="200">
        <v>398.42704095716294</v>
      </c>
      <c r="I38" s="43"/>
      <c r="J38" s="45"/>
      <c r="L38" s="55"/>
    </row>
    <row r="39" spans="2:12" x14ac:dyDescent="0.25">
      <c r="B39" s="4">
        <f t="shared" si="0"/>
        <v>570.3299999999997</v>
      </c>
      <c r="C39" s="199">
        <v>243.25512004284587</v>
      </c>
      <c r="D39" s="7"/>
      <c r="E39" s="4">
        <f t="shared" si="1"/>
        <v>440.3299999999997</v>
      </c>
      <c r="F39" s="200">
        <v>398.58419013651599</v>
      </c>
      <c r="I39" s="43"/>
      <c r="J39" s="45"/>
      <c r="L39" s="55"/>
    </row>
    <row r="40" spans="2:12" x14ac:dyDescent="0.25">
      <c r="B40" s="4">
        <f t="shared" si="0"/>
        <v>570.33999999999969</v>
      </c>
      <c r="C40" s="199">
        <v>243.38857086032243</v>
      </c>
      <c r="D40" s="7"/>
      <c r="E40" s="4">
        <f t="shared" si="1"/>
        <v>440.33999999999969</v>
      </c>
      <c r="F40" s="200">
        <v>398.74133931586846</v>
      </c>
      <c r="I40" s="43"/>
      <c r="J40" s="45"/>
      <c r="L40" s="55"/>
    </row>
    <row r="41" spans="2:12" x14ac:dyDescent="0.25">
      <c r="B41" s="4">
        <f t="shared" si="0"/>
        <v>570.34999999999968</v>
      </c>
      <c r="C41" s="199">
        <v>243.52202167779905</v>
      </c>
      <c r="D41" s="7"/>
      <c r="E41" s="4">
        <f t="shared" si="1"/>
        <v>440.34999999999968</v>
      </c>
      <c r="F41" s="200">
        <v>398.89848849522093</v>
      </c>
      <c r="I41" s="43"/>
      <c r="J41" s="45"/>
      <c r="L41" s="55"/>
    </row>
    <row r="42" spans="2:12" x14ac:dyDescent="0.25">
      <c r="B42" s="4">
        <f t="shared" si="0"/>
        <v>570.35999999999967</v>
      </c>
      <c r="C42" s="199">
        <v>243.65547249527566</v>
      </c>
      <c r="D42" s="7"/>
      <c r="E42" s="4">
        <f t="shared" si="1"/>
        <v>440.35999999999967</v>
      </c>
      <c r="F42" s="200">
        <v>399.05563767457392</v>
      </c>
      <c r="I42" s="43"/>
      <c r="J42" s="45"/>
      <c r="L42" s="55"/>
    </row>
    <row r="43" spans="2:12" x14ac:dyDescent="0.25">
      <c r="B43" s="4">
        <f t="shared" si="0"/>
        <v>570.36999999999966</v>
      </c>
      <c r="C43" s="199">
        <v>243.78892331275227</v>
      </c>
      <c r="D43" s="7"/>
      <c r="E43" s="4">
        <f t="shared" si="1"/>
        <v>440.36999999999966</v>
      </c>
      <c r="F43" s="200">
        <v>399.21278685392639</v>
      </c>
      <c r="I43" s="43"/>
      <c r="J43" s="45"/>
      <c r="L43" s="55"/>
    </row>
    <row r="44" spans="2:12" x14ac:dyDescent="0.25">
      <c r="B44" s="4">
        <f t="shared" si="0"/>
        <v>570.37999999999965</v>
      </c>
      <c r="C44" s="199">
        <v>243.92237413022877</v>
      </c>
      <c r="D44" s="7"/>
      <c r="E44" s="4">
        <f t="shared" si="1"/>
        <v>440.37999999999965</v>
      </c>
      <c r="F44" s="200">
        <v>399.36993603327898</v>
      </c>
      <c r="I44" s="43"/>
      <c r="J44" s="45"/>
      <c r="L44" s="55"/>
    </row>
    <row r="45" spans="2:12" x14ac:dyDescent="0.25">
      <c r="B45" s="4">
        <f t="shared" si="0"/>
        <v>570.38999999999965</v>
      </c>
      <c r="C45" s="199">
        <v>244.05582494770539</v>
      </c>
      <c r="D45" s="7"/>
      <c r="E45" s="4">
        <f t="shared" si="1"/>
        <v>440.38999999999965</v>
      </c>
      <c r="F45" s="200">
        <v>399.52742102457256</v>
      </c>
      <c r="I45" s="43"/>
      <c r="J45" s="45"/>
      <c r="L45" s="55"/>
    </row>
    <row r="46" spans="2:12" x14ac:dyDescent="0.25">
      <c r="B46" s="4">
        <f t="shared" si="0"/>
        <v>570.39999999999964</v>
      </c>
      <c r="C46" s="199">
        <v>244.189275765182</v>
      </c>
      <c r="D46" s="7"/>
      <c r="E46" s="4">
        <f t="shared" si="1"/>
        <v>440.39999999999964</v>
      </c>
      <c r="F46" s="200">
        <v>399.68490601586865</v>
      </c>
      <c r="I46" s="43"/>
      <c r="J46" s="45"/>
      <c r="L46" s="55"/>
    </row>
    <row r="47" spans="2:12" x14ac:dyDescent="0.25">
      <c r="B47" s="4">
        <f t="shared" si="0"/>
        <v>570.40999999999963</v>
      </c>
      <c r="C47" s="199">
        <v>244.32272658265862</v>
      </c>
      <c r="D47" s="7"/>
      <c r="E47" s="4">
        <f t="shared" si="1"/>
        <v>440.40999999999963</v>
      </c>
      <c r="F47" s="200">
        <v>399.84239100716462</v>
      </c>
      <c r="I47" s="43"/>
      <c r="J47" s="45"/>
    </row>
    <row r="48" spans="2:12" x14ac:dyDescent="0.25">
      <c r="B48" s="4">
        <f t="shared" si="0"/>
        <v>570.41999999999962</v>
      </c>
      <c r="C48" s="199">
        <v>244.45638484237418</v>
      </c>
      <c r="D48" s="7"/>
      <c r="E48" s="4">
        <f t="shared" si="1"/>
        <v>440.41999999999962</v>
      </c>
      <c r="F48" s="200">
        <v>399.99987599846168</v>
      </c>
      <c r="I48" s="43"/>
      <c r="J48" s="45"/>
    </row>
    <row r="49" spans="2:24" x14ac:dyDescent="0.25">
      <c r="B49" s="4">
        <f t="shared" si="0"/>
        <v>570.42999999999961</v>
      </c>
      <c r="C49" s="199">
        <v>244.59004310209025</v>
      </c>
      <c r="D49" s="7"/>
      <c r="E49" s="4">
        <f t="shared" si="1"/>
        <v>440.42999999999961</v>
      </c>
      <c r="F49" s="200">
        <v>400.15736098975765</v>
      </c>
      <c r="I49" s="43"/>
      <c r="J49" s="45"/>
      <c r="P49" s="44"/>
    </row>
    <row r="50" spans="2:24" x14ac:dyDescent="0.25">
      <c r="B50" s="4">
        <f t="shared" si="0"/>
        <v>570.4399999999996</v>
      </c>
      <c r="C50" s="199">
        <v>244.7237013618053</v>
      </c>
      <c r="D50" s="7"/>
      <c r="E50" s="4">
        <f t="shared" si="1"/>
        <v>440.4399999999996</v>
      </c>
      <c r="F50" s="200">
        <v>400.3148459810547</v>
      </c>
      <c r="I50" s="43"/>
      <c r="J50" s="45"/>
    </row>
    <row r="51" spans="2:24" x14ac:dyDescent="0.25">
      <c r="B51" s="4">
        <f t="shared" si="0"/>
        <v>570.44999999999959</v>
      </c>
      <c r="C51" s="199">
        <v>244.85735962152046</v>
      </c>
      <c r="D51" s="7"/>
      <c r="E51" s="4">
        <f t="shared" si="1"/>
        <v>440.44999999999959</v>
      </c>
      <c r="F51" s="200">
        <v>400.47233097235073</v>
      </c>
      <c r="I51" s="43"/>
      <c r="J51" s="45"/>
      <c r="L51" s="3"/>
    </row>
    <row r="52" spans="2:24" x14ac:dyDescent="0.25">
      <c r="B52" s="4">
        <f t="shared" si="0"/>
        <v>570.45999999999958</v>
      </c>
      <c r="C52" s="199">
        <v>244.99101788123625</v>
      </c>
      <c r="D52" s="7"/>
      <c r="E52" s="4">
        <f t="shared" si="1"/>
        <v>440.45999999999958</v>
      </c>
      <c r="F52" s="200">
        <v>400.62981596364682</v>
      </c>
      <c r="I52" s="43"/>
      <c r="J52" s="45"/>
      <c r="L52" s="3"/>
    </row>
    <row r="53" spans="2:24" x14ac:dyDescent="0.25">
      <c r="B53" s="4">
        <f t="shared" si="0"/>
        <v>570.46999999999957</v>
      </c>
      <c r="C53" s="199">
        <v>245.12467614095129</v>
      </c>
      <c r="D53" s="7"/>
      <c r="E53" s="4">
        <f t="shared" si="1"/>
        <v>440.46999999999957</v>
      </c>
      <c r="F53" s="200">
        <v>400.78730095494387</v>
      </c>
      <c r="I53" s="43"/>
      <c r="J53" s="45"/>
      <c r="L53" s="3"/>
      <c r="U53" s="3"/>
      <c r="V53" s="3"/>
      <c r="W53" s="3"/>
      <c r="X53" s="3"/>
    </row>
    <row r="54" spans="2:24" x14ac:dyDescent="0.25">
      <c r="B54" s="4">
        <f t="shared" si="0"/>
        <v>570.47999999999956</v>
      </c>
      <c r="C54" s="199">
        <v>245.25833440066742</v>
      </c>
      <c r="D54" s="7"/>
      <c r="E54" s="4">
        <f t="shared" si="1"/>
        <v>440.47999999999956</v>
      </c>
      <c r="F54" s="200">
        <v>400.9447859462399</v>
      </c>
      <c r="L54" s="3"/>
      <c r="U54" s="3"/>
      <c r="V54" s="3"/>
      <c r="W54" s="3"/>
      <c r="X54" s="3"/>
    </row>
    <row r="55" spans="2:24" x14ac:dyDescent="0.25">
      <c r="B55" s="4">
        <f t="shared" si="0"/>
        <v>570.48999999999955</v>
      </c>
      <c r="C55" s="199">
        <v>245.39199266038247</v>
      </c>
      <c r="D55" s="7"/>
      <c r="E55" s="4">
        <f t="shared" si="1"/>
        <v>440.48999999999955</v>
      </c>
      <c r="F55" s="200">
        <v>401.10260814972526</v>
      </c>
      <c r="L55" s="3"/>
      <c r="U55" s="3"/>
      <c r="V55" s="3"/>
      <c r="W55" s="3"/>
      <c r="X55" s="3"/>
    </row>
    <row r="56" spans="2:24" x14ac:dyDescent="0.25">
      <c r="B56" s="4">
        <f t="shared" si="0"/>
        <v>570.49999999999955</v>
      </c>
      <c r="C56" s="199">
        <v>245.52565092009763</v>
      </c>
      <c r="D56" s="7"/>
      <c r="E56" s="4">
        <f t="shared" si="1"/>
        <v>440.49999999999955</v>
      </c>
      <c r="F56" s="200">
        <v>401.26043035321248</v>
      </c>
      <c r="L56" s="3"/>
      <c r="U56" s="3"/>
      <c r="V56" s="3"/>
      <c r="W56" s="3"/>
      <c r="X56" s="3"/>
    </row>
    <row r="57" spans="2:24" x14ac:dyDescent="0.25">
      <c r="B57" s="4">
        <f t="shared" si="0"/>
        <v>570.50999999999954</v>
      </c>
      <c r="C57" s="199">
        <v>245.65930917981365</v>
      </c>
      <c r="D57" s="7"/>
      <c r="E57" s="4">
        <f t="shared" si="1"/>
        <v>440.50999999999954</v>
      </c>
      <c r="F57" s="200">
        <v>401.41825255669966</v>
      </c>
      <c r="L57" s="3"/>
      <c r="U57" s="3"/>
      <c r="V57" s="3"/>
      <c r="W57" s="3"/>
      <c r="X57" s="3"/>
    </row>
    <row r="58" spans="2:24" x14ac:dyDescent="0.25">
      <c r="B58" s="4">
        <f t="shared" si="0"/>
        <v>570.51999999999953</v>
      </c>
      <c r="C58" s="199">
        <v>245.79317457065486</v>
      </c>
      <c r="D58" s="7"/>
      <c r="E58" s="4">
        <f t="shared" si="1"/>
        <v>440.51999999999953</v>
      </c>
      <c r="F58" s="200">
        <v>401.57607476018643</v>
      </c>
      <c r="L58" s="3"/>
      <c r="U58" s="3"/>
      <c r="V58" s="3"/>
      <c r="W58" s="3"/>
      <c r="X58" s="3"/>
    </row>
    <row r="59" spans="2:24" x14ac:dyDescent="0.25">
      <c r="B59" s="4">
        <f t="shared" si="0"/>
        <v>570.52999999999952</v>
      </c>
      <c r="C59" s="199">
        <v>245.92703996149999</v>
      </c>
      <c r="D59" s="7"/>
      <c r="E59" s="4">
        <f t="shared" si="1"/>
        <v>440.52999999999952</v>
      </c>
      <c r="F59" s="200">
        <v>401.73389696367354</v>
      </c>
      <c r="L59" s="3"/>
      <c r="U59" s="3"/>
      <c r="V59" s="3"/>
      <c r="W59" s="3"/>
      <c r="X59" s="3"/>
    </row>
    <row r="60" spans="2:24" x14ac:dyDescent="0.25">
      <c r="B60" s="4">
        <f t="shared" si="0"/>
        <v>570.53999999999951</v>
      </c>
      <c r="C60" s="199">
        <v>246.06090535234489</v>
      </c>
      <c r="D60" s="7"/>
      <c r="E60" s="4">
        <f t="shared" si="1"/>
        <v>440.53999999999951</v>
      </c>
      <c r="F60" s="200">
        <v>401.89171916716072</v>
      </c>
      <c r="L60" s="3"/>
      <c r="U60" s="3"/>
      <c r="V60" s="3"/>
      <c r="W60" s="3"/>
      <c r="X60" s="3"/>
    </row>
    <row r="61" spans="2:24" x14ac:dyDescent="0.25">
      <c r="B61" s="4">
        <f t="shared" si="0"/>
        <v>570.5499999999995</v>
      </c>
      <c r="C61" s="199">
        <v>246.19477074318917</v>
      </c>
      <c r="D61" s="7"/>
      <c r="E61" s="4">
        <f t="shared" si="1"/>
        <v>440.5499999999995</v>
      </c>
      <c r="F61" s="200">
        <v>402.04954137064749</v>
      </c>
      <c r="L61" s="3"/>
      <c r="U61" s="3"/>
      <c r="V61" s="3"/>
      <c r="W61" s="3"/>
      <c r="X61" s="3"/>
    </row>
    <row r="62" spans="2:24" x14ac:dyDescent="0.25">
      <c r="B62" s="4">
        <f t="shared" si="0"/>
        <v>570.55999999999949</v>
      </c>
      <c r="C62" s="199">
        <v>246.32863613403424</v>
      </c>
      <c r="D62" s="7"/>
      <c r="E62" s="4">
        <f t="shared" si="1"/>
        <v>440.55999999999949</v>
      </c>
      <c r="F62" s="200">
        <v>402.20736357413563</v>
      </c>
      <c r="L62" s="3"/>
      <c r="U62" s="3"/>
      <c r="V62" s="3"/>
      <c r="W62" s="3"/>
      <c r="X62" s="3"/>
    </row>
    <row r="63" spans="2:24" x14ac:dyDescent="0.25">
      <c r="B63" s="4">
        <f t="shared" si="0"/>
        <v>570.56999999999948</v>
      </c>
      <c r="C63" s="199">
        <v>246.46250152487914</v>
      </c>
      <c r="D63" s="7"/>
      <c r="E63" s="4">
        <f t="shared" si="1"/>
        <v>440.56999999999948</v>
      </c>
      <c r="F63" s="200">
        <v>402.3651857776228</v>
      </c>
      <c r="L63" s="3"/>
      <c r="U63" s="3"/>
      <c r="V63" s="3"/>
      <c r="W63" s="3"/>
      <c r="X63" s="3"/>
    </row>
    <row r="64" spans="2:24" x14ac:dyDescent="0.25">
      <c r="B64" s="4">
        <f t="shared" si="0"/>
        <v>570.57999999999947</v>
      </c>
      <c r="C64" s="199">
        <v>246.59636691572422</v>
      </c>
      <c r="D64" s="7"/>
      <c r="E64" s="4">
        <f t="shared" si="1"/>
        <v>440.57999999999947</v>
      </c>
      <c r="F64" s="200">
        <v>402.52300798110946</v>
      </c>
      <c r="L64" s="3"/>
      <c r="U64" s="3"/>
      <c r="V64" s="3"/>
      <c r="W64" s="3"/>
      <c r="X64" s="3"/>
    </row>
    <row r="65" spans="2:24" x14ac:dyDescent="0.25">
      <c r="B65" s="4">
        <f t="shared" si="0"/>
        <v>570.58999999999946</v>
      </c>
      <c r="C65" s="199">
        <v>246.7302323065685</v>
      </c>
      <c r="D65" s="7"/>
      <c r="E65" s="4">
        <f t="shared" si="1"/>
        <v>440.58999999999946</v>
      </c>
      <c r="F65" s="200">
        <v>402.68116557836089</v>
      </c>
      <c r="L65" s="3"/>
      <c r="U65" s="3"/>
      <c r="V65" s="3"/>
      <c r="W65" s="3"/>
      <c r="X65" s="3"/>
    </row>
    <row r="66" spans="2:24" x14ac:dyDescent="0.25">
      <c r="B66" s="4">
        <f t="shared" si="0"/>
        <v>570.59999999999945</v>
      </c>
      <c r="C66" s="199">
        <v>246.86409769741351</v>
      </c>
      <c r="D66" s="7"/>
      <c r="E66" s="4">
        <f t="shared" si="1"/>
        <v>440.59999999999945</v>
      </c>
      <c r="F66" s="200">
        <v>402.83932317561374</v>
      </c>
      <c r="L66" s="3"/>
      <c r="U66" s="3"/>
      <c r="V66" s="3"/>
      <c r="W66" s="3"/>
      <c r="X66" s="3"/>
    </row>
    <row r="67" spans="2:24" x14ac:dyDescent="0.25">
      <c r="B67" s="4">
        <f t="shared" si="0"/>
        <v>570.60999999999945</v>
      </c>
      <c r="C67" s="199">
        <v>246.99796308825847</v>
      </c>
      <c r="D67" s="7"/>
      <c r="E67" s="4">
        <f t="shared" si="1"/>
        <v>440.60999999999945</v>
      </c>
      <c r="F67" s="200">
        <v>402.99748077286699</v>
      </c>
      <c r="L67" s="3"/>
      <c r="U67" s="3"/>
      <c r="V67" s="3"/>
      <c r="W67" s="3"/>
      <c r="X67" s="3"/>
    </row>
    <row r="68" spans="2:24" x14ac:dyDescent="0.25">
      <c r="B68" s="4">
        <f t="shared" si="0"/>
        <v>570.61999999999944</v>
      </c>
      <c r="C68" s="199">
        <v>247.13203598161078</v>
      </c>
      <c r="D68" s="7"/>
      <c r="E68" s="4">
        <f t="shared" si="1"/>
        <v>440.61999999999944</v>
      </c>
      <c r="F68" s="200">
        <v>403.1556383701199</v>
      </c>
      <c r="L68" s="3"/>
      <c r="U68" s="3"/>
      <c r="V68" s="3"/>
      <c r="W68" s="3"/>
      <c r="X68" s="3"/>
    </row>
    <row r="69" spans="2:24" x14ac:dyDescent="0.25">
      <c r="B69" s="4">
        <f t="shared" si="0"/>
        <v>570.62999999999943</v>
      </c>
      <c r="C69" s="199">
        <v>247.26610887496383</v>
      </c>
      <c r="D69" s="7"/>
      <c r="E69" s="4">
        <f t="shared" si="1"/>
        <v>440.62999999999943</v>
      </c>
      <c r="F69" s="200">
        <v>403.31379596737321</v>
      </c>
      <c r="L69" s="3"/>
      <c r="U69" s="3"/>
      <c r="V69" s="3"/>
      <c r="W69" s="3"/>
      <c r="X69" s="3"/>
    </row>
    <row r="70" spans="2:24" x14ac:dyDescent="0.25">
      <c r="B70" s="4">
        <f t="shared" si="0"/>
        <v>570.63999999999942</v>
      </c>
      <c r="C70" s="199">
        <v>247.40018176831654</v>
      </c>
      <c r="D70" s="7"/>
      <c r="E70" s="4">
        <f t="shared" si="1"/>
        <v>440.63999999999942</v>
      </c>
      <c r="F70" s="200">
        <v>403.47195356462606</v>
      </c>
      <c r="L70" s="3"/>
      <c r="U70" s="3"/>
      <c r="V70" s="3"/>
      <c r="W70" s="3"/>
      <c r="X70" s="3"/>
    </row>
    <row r="71" spans="2:24" x14ac:dyDescent="0.25">
      <c r="B71" s="4">
        <f t="shared" si="0"/>
        <v>570.64999999999941</v>
      </c>
      <c r="C71" s="199">
        <v>247.53425466166857</v>
      </c>
      <c r="D71" s="7"/>
      <c r="E71" s="4">
        <f t="shared" si="1"/>
        <v>440.64999999999941</v>
      </c>
      <c r="F71" s="200">
        <v>403.63011116187988</v>
      </c>
      <c r="L71" s="3"/>
      <c r="U71" s="3"/>
      <c r="V71" s="3"/>
      <c r="W71" s="3"/>
      <c r="X71" s="3"/>
    </row>
    <row r="72" spans="2:24" x14ac:dyDescent="0.25">
      <c r="B72" s="4">
        <f t="shared" ref="B72:B135" si="2">+B71+0.01</f>
        <v>570.6599999999994</v>
      </c>
      <c r="C72" s="199">
        <v>247.66832755502139</v>
      </c>
      <c r="D72" s="7"/>
      <c r="E72" s="4">
        <f t="shared" ref="E72:E135" si="3">+E71+0.01</f>
        <v>440.6599999999994</v>
      </c>
      <c r="F72" s="200">
        <v>403.78826875913228</v>
      </c>
      <c r="L72" s="3"/>
      <c r="U72" s="3"/>
      <c r="V72" s="3"/>
      <c r="W72" s="3"/>
      <c r="X72" s="3"/>
    </row>
    <row r="73" spans="2:24" x14ac:dyDescent="0.25">
      <c r="B73" s="4">
        <f t="shared" si="2"/>
        <v>570.66999999999939</v>
      </c>
      <c r="C73" s="199">
        <v>247.80240044837433</v>
      </c>
      <c r="D73" s="7"/>
      <c r="E73" s="4">
        <f t="shared" si="3"/>
        <v>440.66999999999939</v>
      </c>
      <c r="F73" s="200">
        <v>403.94642635638604</v>
      </c>
      <c r="L73" s="3"/>
      <c r="U73" s="3"/>
      <c r="V73" s="3"/>
      <c r="W73" s="3"/>
      <c r="X73" s="3"/>
    </row>
    <row r="74" spans="2:24" x14ac:dyDescent="0.25">
      <c r="B74" s="4">
        <f t="shared" si="2"/>
        <v>570.67999999999938</v>
      </c>
      <c r="C74" s="199">
        <v>247.93647334172618</v>
      </c>
      <c r="D74" s="7"/>
      <c r="E74" s="4">
        <f t="shared" si="3"/>
        <v>440.67999999999938</v>
      </c>
      <c r="F74" s="200">
        <v>404.10458395363844</v>
      </c>
      <c r="L74" s="3"/>
      <c r="U74" s="3"/>
      <c r="V74" s="3"/>
      <c r="W74" s="3"/>
      <c r="X74" s="3"/>
    </row>
    <row r="75" spans="2:24" x14ac:dyDescent="0.25">
      <c r="B75" s="4">
        <f t="shared" si="2"/>
        <v>570.68999999999937</v>
      </c>
      <c r="C75" s="199">
        <v>248.07054623507889</v>
      </c>
      <c r="D75" s="7"/>
      <c r="E75" s="4">
        <f t="shared" si="3"/>
        <v>440.68999999999937</v>
      </c>
      <c r="F75" s="200">
        <v>404.26308454889102</v>
      </c>
      <c r="L75" s="3"/>
      <c r="U75" s="3"/>
      <c r="V75" s="3"/>
      <c r="W75" s="3"/>
      <c r="X75" s="3"/>
    </row>
    <row r="76" spans="2:24" x14ac:dyDescent="0.25">
      <c r="B76" s="4">
        <f t="shared" si="2"/>
        <v>570.69999999999936</v>
      </c>
      <c r="C76" s="199">
        <v>248.20461912843189</v>
      </c>
      <c r="D76" s="7"/>
      <c r="E76" s="4">
        <f t="shared" si="3"/>
        <v>440.69999999999936</v>
      </c>
      <c r="F76" s="200">
        <v>404.42158514414444</v>
      </c>
      <c r="L76" s="3"/>
      <c r="U76" s="3"/>
      <c r="V76" s="3"/>
      <c r="W76" s="3"/>
      <c r="X76" s="3"/>
    </row>
    <row r="77" spans="2:24" x14ac:dyDescent="0.25">
      <c r="B77" s="4">
        <f t="shared" si="2"/>
        <v>570.70999999999935</v>
      </c>
      <c r="C77" s="199">
        <v>248.33869202178471</v>
      </c>
      <c r="D77" s="7"/>
      <c r="E77" s="4">
        <f t="shared" si="3"/>
        <v>440.70999999999935</v>
      </c>
      <c r="F77" s="200">
        <v>404.58008573939935</v>
      </c>
      <c r="L77" s="3"/>
      <c r="U77" s="3"/>
      <c r="V77" s="3"/>
      <c r="W77" s="3"/>
      <c r="X77" s="3"/>
    </row>
    <row r="78" spans="2:24" x14ac:dyDescent="0.25">
      <c r="B78" s="4">
        <f t="shared" si="2"/>
        <v>570.71999999999935</v>
      </c>
      <c r="C78" s="199">
        <v>248.47297420995852</v>
      </c>
      <c r="D78" s="7"/>
      <c r="E78" s="4">
        <f t="shared" si="3"/>
        <v>440.71999999999935</v>
      </c>
      <c r="F78" s="200">
        <v>404.73858633465323</v>
      </c>
      <c r="L78" s="3"/>
      <c r="U78" s="3"/>
      <c r="V78" s="3"/>
      <c r="W78" s="3"/>
      <c r="X78" s="3"/>
    </row>
    <row r="79" spans="2:24" x14ac:dyDescent="0.25">
      <c r="B79" s="4">
        <f t="shared" si="2"/>
        <v>570.72999999999934</v>
      </c>
      <c r="C79" s="199">
        <v>248.60725639813654</v>
      </c>
      <c r="D79" s="7"/>
      <c r="E79" s="4">
        <f t="shared" si="3"/>
        <v>440.72999999999934</v>
      </c>
      <c r="F79" s="200">
        <v>404.89708692990814</v>
      </c>
      <c r="L79" s="3"/>
    </row>
    <row r="80" spans="2:24" x14ac:dyDescent="0.25">
      <c r="B80" s="4">
        <f t="shared" si="2"/>
        <v>570.73999999999933</v>
      </c>
      <c r="C80" s="199">
        <v>248.74153858631456</v>
      </c>
      <c r="D80" s="7"/>
      <c r="E80" s="4">
        <f t="shared" si="3"/>
        <v>440.73999999999933</v>
      </c>
      <c r="F80" s="200">
        <v>405.05558752516151</v>
      </c>
      <c r="L80" s="3"/>
    </row>
    <row r="81" spans="2:12" x14ac:dyDescent="0.25">
      <c r="B81" s="4">
        <f t="shared" si="2"/>
        <v>570.74999999999932</v>
      </c>
      <c r="C81" s="199">
        <v>248.87582077449144</v>
      </c>
      <c r="D81" s="7"/>
      <c r="E81" s="4">
        <f t="shared" si="3"/>
        <v>440.74999999999932</v>
      </c>
      <c r="F81" s="200">
        <v>405.21408812041551</v>
      </c>
      <c r="L81" s="3"/>
    </row>
    <row r="82" spans="2:12" x14ac:dyDescent="0.25">
      <c r="B82" s="4">
        <f t="shared" si="2"/>
        <v>570.75999999999931</v>
      </c>
      <c r="C82" s="199">
        <v>249.01010296266946</v>
      </c>
      <c r="D82" s="7"/>
      <c r="E82" s="4">
        <f t="shared" si="3"/>
        <v>440.75999999999931</v>
      </c>
      <c r="F82" s="200">
        <v>405.3725887156703</v>
      </c>
      <c r="L82" s="3"/>
    </row>
    <row r="83" spans="2:12" x14ac:dyDescent="0.25">
      <c r="B83" s="4">
        <f t="shared" si="2"/>
        <v>570.7699999999993</v>
      </c>
      <c r="C83" s="199">
        <v>249.14438515084743</v>
      </c>
      <c r="D83" s="7"/>
      <c r="E83" s="4">
        <f t="shared" si="3"/>
        <v>440.7699999999993</v>
      </c>
      <c r="F83" s="200">
        <v>405.53108931092379</v>
      </c>
      <c r="L83" s="3"/>
    </row>
    <row r="84" spans="2:12" x14ac:dyDescent="0.25">
      <c r="B84" s="4">
        <f t="shared" si="2"/>
        <v>570.77999999999929</v>
      </c>
      <c r="C84" s="199">
        <v>249.27866733902437</v>
      </c>
      <c r="D84" s="7"/>
      <c r="E84" s="4">
        <f t="shared" si="3"/>
        <v>440.77999999999929</v>
      </c>
      <c r="F84" s="200">
        <v>405.68958990617864</v>
      </c>
      <c r="L84" s="3"/>
    </row>
    <row r="85" spans="2:12" x14ac:dyDescent="0.25">
      <c r="B85" s="4">
        <f t="shared" si="2"/>
        <v>570.78999999999928</v>
      </c>
      <c r="C85" s="199">
        <v>249.41294952720233</v>
      </c>
      <c r="D85" s="7"/>
      <c r="E85" s="4">
        <f t="shared" si="3"/>
        <v>440.78999999999928</v>
      </c>
      <c r="F85" s="200">
        <v>405.8484319805836</v>
      </c>
      <c r="L85" s="3"/>
    </row>
    <row r="86" spans="2:12" x14ac:dyDescent="0.25">
      <c r="B86" s="4">
        <f t="shared" si="2"/>
        <v>570.79999999999927</v>
      </c>
      <c r="C86" s="199">
        <v>249.54723171538018</v>
      </c>
      <c r="D86" s="7"/>
      <c r="E86" s="4">
        <f t="shared" si="3"/>
        <v>440.79999999999927</v>
      </c>
      <c r="F86" s="200">
        <v>406.00727405499231</v>
      </c>
      <c r="L86" s="3"/>
    </row>
    <row r="87" spans="2:12" x14ac:dyDescent="0.25">
      <c r="B87" s="4">
        <f t="shared" si="2"/>
        <v>570.80999999999926</v>
      </c>
      <c r="C87" s="199">
        <v>249.68151390355735</v>
      </c>
      <c r="D87" s="7"/>
      <c r="E87" s="4">
        <f t="shared" si="3"/>
        <v>440.80999999999926</v>
      </c>
      <c r="F87" s="200">
        <v>406.16611612940034</v>
      </c>
      <c r="L87" s="3"/>
    </row>
    <row r="88" spans="2:12" x14ac:dyDescent="0.25">
      <c r="B88" s="4">
        <f t="shared" si="2"/>
        <v>570.81999999999925</v>
      </c>
      <c r="C88" s="199">
        <v>249.81600736720583</v>
      </c>
      <c r="D88" s="7"/>
      <c r="E88" s="4">
        <f t="shared" si="3"/>
        <v>440.81999999999925</v>
      </c>
      <c r="F88" s="200">
        <v>406.32495820380854</v>
      </c>
      <c r="L88" s="3"/>
    </row>
    <row r="89" spans="2:12" x14ac:dyDescent="0.25">
      <c r="B89" s="4">
        <f t="shared" si="2"/>
        <v>570.82999999999925</v>
      </c>
      <c r="C89" s="199">
        <v>249.9505008308526</v>
      </c>
      <c r="D89" s="7"/>
      <c r="E89" s="4">
        <f t="shared" si="3"/>
        <v>440.82999999999925</v>
      </c>
      <c r="F89" s="200">
        <v>406.48380027821628</v>
      </c>
    </row>
    <row r="90" spans="2:12" x14ac:dyDescent="0.25">
      <c r="B90" s="4">
        <f t="shared" si="2"/>
        <v>570.83999999999924</v>
      </c>
      <c r="C90" s="199">
        <v>250.08499429449853</v>
      </c>
      <c r="D90" s="7"/>
      <c r="E90" s="4">
        <f t="shared" si="3"/>
        <v>440.83999999999924</v>
      </c>
      <c r="F90" s="200">
        <v>406.64264235262442</v>
      </c>
    </row>
    <row r="91" spans="2:12" x14ac:dyDescent="0.25">
      <c r="B91" s="4">
        <f t="shared" si="2"/>
        <v>570.84999999999923</v>
      </c>
      <c r="C91" s="199">
        <v>250.21948775814553</v>
      </c>
      <c r="D91" s="7"/>
      <c r="E91" s="4">
        <f t="shared" si="3"/>
        <v>440.84999999999923</v>
      </c>
      <c r="F91" s="200">
        <v>406.80148442703256</v>
      </c>
    </row>
    <row r="92" spans="2:12" x14ac:dyDescent="0.25">
      <c r="B92" s="4">
        <f t="shared" si="2"/>
        <v>570.85999999999922</v>
      </c>
      <c r="C92" s="199">
        <v>250.35398122179231</v>
      </c>
      <c r="D92" s="7"/>
      <c r="E92" s="4">
        <f t="shared" si="3"/>
        <v>440.85999999999922</v>
      </c>
      <c r="F92" s="200">
        <v>406.96032650144076</v>
      </c>
    </row>
    <row r="93" spans="2:12" x14ac:dyDescent="0.25">
      <c r="B93" s="4">
        <f t="shared" si="2"/>
        <v>570.86999999999921</v>
      </c>
      <c r="C93" s="199">
        <v>250.4884746854392</v>
      </c>
      <c r="D93" s="7"/>
      <c r="E93" s="4">
        <f t="shared" si="3"/>
        <v>440.86999999999921</v>
      </c>
      <c r="F93" s="200">
        <v>407.11916857584936</v>
      </c>
    </row>
    <row r="94" spans="2:12" x14ac:dyDescent="0.25">
      <c r="B94" s="4">
        <f t="shared" si="2"/>
        <v>570.8799999999992</v>
      </c>
      <c r="C94" s="199">
        <v>250.62296814908598</v>
      </c>
      <c r="D94" s="7"/>
      <c r="E94" s="4">
        <f t="shared" si="3"/>
        <v>440.8799999999992</v>
      </c>
      <c r="F94" s="200">
        <v>407.27801065025756</v>
      </c>
    </row>
    <row r="95" spans="2:12" x14ac:dyDescent="0.25">
      <c r="B95" s="4">
        <f t="shared" si="2"/>
        <v>570.88999999999919</v>
      </c>
      <c r="C95" s="199">
        <v>250.75746161273293</v>
      </c>
      <c r="D95" s="7"/>
      <c r="E95" s="4">
        <f t="shared" si="3"/>
        <v>440.88999999999919</v>
      </c>
      <c r="F95" s="200">
        <v>407.43719599180764</v>
      </c>
    </row>
    <row r="96" spans="2:12" x14ac:dyDescent="0.25">
      <c r="B96" s="4">
        <f t="shared" si="2"/>
        <v>570.89999999999918</v>
      </c>
      <c r="C96" s="199">
        <v>250.89195507637982</v>
      </c>
      <c r="D96" s="7"/>
      <c r="E96" s="4">
        <f t="shared" si="3"/>
        <v>440.89999999999918</v>
      </c>
      <c r="F96" s="200">
        <v>407.59638133336085</v>
      </c>
    </row>
    <row r="97" spans="2:6" x14ac:dyDescent="0.25">
      <c r="B97" s="4">
        <f t="shared" si="2"/>
        <v>570.90999999999917</v>
      </c>
      <c r="C97" s="199">
        <v>251.02644854002659</v>
      </c>
      <c r="D97" s="7"/>
      <c r="E97" s="4">
        <f t="shared" si="3"/>
        <v>440.90999999999917</v>
      </c>
      <c r="F97" s="200">
        <v>407.75556667491361</v>
      </c>
    </row>
    <row r="98" spans="2:6" x14ac:dyDescent="0.25">
      <c r="B98" s="4">
        <f t="shared" si="2"/>
        <v>570.91999999999916</v>
      </c>
      <c r="C98" s="199">
        <v>251.16115431870475</v>
      </c>
      <c r="D98" s="7"/>
      <c r="E98" s="4">
        <f t="shared" si="3"/>
        <v>440.91999999999916</v>
      </c>
      <c r="F98" s="200">
        <v>407.91475201646585</v>
      </c>
    </row>
    <row r="99" spans="2:6" x14ac:dyDescent="0.25">
      <c r="B99" s="4">
        <f t="shared" si="2"/>
        <v>570.92999999999915</v>
      </c>
      <c r="C99" s="199">
        <v>251.29586009738591</v>
      </c>
      <c r="D99" s="7"/>
      <c r="E99" s="4">
        <f t="shared" si="3"/>
        <v>440.92999999999915</v>
      </c>
      <c r="F99" s="200">
        <v>408.07393735801861</v>
      </c>
    </row>
    <row r="100" spans="2:6" x14ac:dyDescent="0.25">
      <c r="B100" s="4">
        <f t="shared" si="2"/>
        <v>570.93999999999915</v>
      </c>
      <c r="C100" s="199">
        <v>251.43056587606605</v>
      </c>
      <c r="D100" s="7"/>
      <c r="E100" s="4">
        <f t="shared" si="3"/>
        <v>440.93999999999915</v>
      </c>
      <c r="F100" s="200">
        <v>408.23312269957188</v>
      </c>
    </row>
    <row r="101" spans="2:6" x14ac:dyDescent="0.25">
      <c r="B101" s="4">
        <f t="shared" si="2"/>
        <v>570.94999999999914</v>
      </c>
      <c r="C101" s="199">
        <v>251.56527165474739</v>
      </c>
      <c r="D101" s="7"/>
      <c r="E101" s="4">
        <f t="shared" si="3"/>
        <v>440.94999999999914</v>
      </c>
      <c r="F101" s="200">
        <v>408.39230804112367</v>
      </c>
    </row>
    <row r="102" spans="2:6" x14ac:dyDescent="0.25">
      <c r="B102" s="4">
        <f t="shared" si="2"/>
        <v>570.95999999999913</v>
      </c>
      <c r="C102" s="199">
        <v>251.6999774334285</v>
      </c>
      <c r="D102" s="7"/>
      <c r="E102" s="4">
        <f t="shared" si="3"/>
        <v>440.95999999999913</v>
      </c>
      <c r="F102" s="200">
        <v>408.55149338267643</v>
      </c>
    </row>
    <row r="103" spans="2:6" x14ac:dyDescent="0.25">
      <c r="B103" s="4">
        <f t="shared" si="2"/>
        <v>570.96999999999912</v>
      </c>
      <c r="C103" s="199">
        <v>251.83468321210881</v>
      </c>
      <c r="D103" s="7"/>
      <c r="E103" s="4">
        <f t="shared" si="3"/>
        <v>440.96999999999912</v>
      </c>
      <c r="F103" s="200">
        <v>408.71067872422964</v>
      </c>
    </row>
    <row r="104" spans="2:6" x14ac:dyDescent="0.25">
      <c r="B104" s="4">
        <f t="shared" si="2"/>
        <v>570.97999999999911</v>
      </c>
      <c r="C104" s="199">
        <v>251.96938899078987</v>
      </c>
      <c r="D104" s="7"/>
      <c r="E104" s="4">
        <f t="shared" si="3"/>
        <v>440.97999999999911</v>
      </c>
      <c r="F104" s="200">
        <v>408.86986406578143</v>
      </c>
    </row>
    <row r="105" spans="2:6" x14ac:dyDescent="0.25">
      <c r="B105" s="4">
        <f t="shared" si="2"/>
        <v>570.9899999999991</v>
      </c>
      <c r="C105" s="199">
        <v>252.1040947694712</v>
      </c>
      <c r="D105" s="7"/>
      <c r="E105" s="4">
        <f t="shared" si="3"/>
        <v>440.9899999999991</v>
      </c>
      <c r="F105" s="200">
        <v>409.02939849134185</v>
      </c>
    </row>
    <row r="106" spans="2:6" x14ac:dyDescent="0.25">
      <c r="B106" s="4">
        <f t="shared" si="2"/>
        <v>570.99999999999909</v>
      </c>
      <c r="C106" s="199">
        <v>252.23880054815135</v>
      </c>
      <c r="D106" s="7"/>
      <c r="E106" s="4">
        <f t="shared" si="3"/>
        <v>440.99999999999909</v>
      </c>
      <c r="F106" s="200">
        <v>409.18893291690455</v>
      </c>
    </row>
    <row r="107" spans="2:6" x14ac:dyDescent="0.25">
      <c r="B107" s="4">
        <f t="shared" si="2"/>
        <v>571.00999999999908</v>
      </c>
      <c r="C107" s="199">
        <v>252.37350632683251</v>
      </c>
      <c r="D107" s="7"/>
      <c r="E107" s="4">
        <f t="shared" si="3"/>
        <v>441.00999999999908</v>
      </c>
      <c r="F107" s="200">
        <v>409.34846734246861</v>
      </c>
    </row>
    <row r="108" spans="2:6" x14ac:dyDescent="0.25">
      <c r="B108" s="4">
        <f t="shared" si="2"/>
        <v>571.01999999999907</v>
      </c>
      <c r="C108" s="199">
        <v>252.50842515814753</v>
      </c>
      <c r="D108" s="7"/>
      <c r="E108" s="4">
        <f t="shared" si="3"/>
        <v>441.01999999999907</v>
      </c>
      <c r="F108" s="200">
        <v>409.50800176803125</v>
      </c>
    </row>
    <row r="109" spans="2:6" x14ac:dyDescent="0.25">
      <c r="B109" s="4">
        <f t="shared" si="2"/>
        <v>571.02999999999906</v>
      </c>
      <c r="C109" s="199">
        <v>252.64334398946255</v>
      </c>
      <c r="D109" s="7"/>
      <c r="E109" s="4">
        <f t="shared" si="3"/>
        <v>441.02999999999906</v>
      </c>
      <c r="F109" s="200">
        <v>409.66753619359389</v>
      </c>
    </row>
    <row r="110" spans="2:6" x14ac:dyDescent="0.25">
      <c r="B110" s="4">
        <f t="shared" si="2"/>
        <v>571.03999999999905</v>
      </c>
      <c r="C110" s="199">
        <v>252.77826282077677</v>
      </c>
      <c r="D110" s="7"/>
      <c r="E110" s="4">
        <f t="shared" si="3"/>
        <v>441.03999999999905</v>
      </c>
      <c r="F110" s="200">
        <v>409.8270706191575</v>
      </c>
    </row>
    <row r="111" spans="2:6" x14ac:dyDescent="0.25">
      <c r="B111" s="4">
        <f t="shared" si="2"/>
        <v>571.04999999999905</v>
      </c>
      <c r="C111" s="199">
        <v>252.91318165209191</v>
      </c>
      <c r="D111" s="7"/>
      <c r="E111" s="4">
        <f t="shared" si="3"/>
        <v>441.04999999999905</v>
      </c>
      <c r="F111" s="200">
        <v>409.98660504472014</v>
      </c>
    </row>
    <row r="112" spans="2:6" x14ac:dyDescent="0.25">
      <c r="B112" s="4">
        <f t="shared" si="2"/>
        <v>571.05999999999904</v>
      </c>
      <c r="C112" s="199">
        <v>253.0481004834059</v>
      </c>
      <c r="D112" s="7"/>
      <c r="E112" s="4">
        <f t="shared" si="3"/>
        <v>441.05999999999904</v>
      </c>
      <c r="F112" s="200">
        <v>410.14613947028374</v>
      </c>
    </row>
    <row r="113" spans="2:6" x14ac:dyDescent="0.25">
      <c r="B113" s="4">
        <f t="shared" si="2"/>
        <v>571.06999999999903</v>
      </c>
      <c r="C113" s="199">
        <v>253.18301931472121</v>
      </c>
      <c r="D113" s="7"/>
      <c r="E113" s="4">
        <f t="shared" si="3"/>
        <v>441.06999999999903</v>
      </c>
      <c r="F113" s="200">
        <v>410.30567389584644</v>
      </c>
    </row>
    <row r="114" spans="2:6" x14ac:dyDescent="0.25">
      <c r="B114" s="4">
        <f t="shared" si="2"/>
        <v>571.07999999999902</v>
      </c>
      <c r="C114" s="199">
        <v>253.31793814603549</v>
      </c>
      <c r="D114" s="7"/>
      <c r="E114" s="4">
        <f t="shared" si="3"/>
        <v>441.07999999999902</v>
      </c>
      <c r="F114" s="200">
        <v>410.46520832140908</v>
      </c>
    </row>
    <row r="115" spans="2:6" x14ac:dyDescent="0.25">
      <c r="B115" s="4">
        <f t="shared" si="2"/>
        <v>571.08999999999901</v>
      </c>
      <c r="C115" s="199">
        <v>253.45285697734943</v>
      </c>
      <c r="D115" s="7"/>
      <c r="E115" s="4">
        <f t="shared" si="3"/>
        <v>441.08999999999901</v>
      </c>
      <c r="F115" s="200">
        <v>410.62509817006213</v>
      </c>
    </row>
    <row r="116" spans="2:6" x14ac:dyDescent="0.25">
      <c r="B116" s="4">
        <f t="shared" si="2"/>
        <v>571.099999999999</v>
      </c>
      <c r="C116" s="199">
        <v>253.58777580866456</v>
      </c>
      <c r="D116" s="7"/>
      <c r="E116" s="4">
        <f t="shared" si="3"/>
        <v>441.099999999999</v>
      </c>
      <c r="F116" s="200">
        <v>410.78498801871774</v>
      </c>
    </row>
    <row r="117" spans="2:6" x14ac:dyDescent="0.25">
      <c r="B117" s="4">
        <f t="shared" si="2"/>
        <v>571.10999999999899</v>
      </c>
      <c r="C117" s="199">
        <v>253.72269463997895</v>
      </c>
      <c r="D117" s="7"/>
      <c r="E117" s="4">
        <f t="shared" si="3"/>
        <v>441.10999999999899</v>
      </c>
      <c r="F117" s="200">
        <v>410.9448778673729</v>
      </c>
    </row>
    <row r="118" spans="2:6" x14ac:dyDescent="0.25">
      <c r="B118" s="4">
        <f t="shared" si="2"/>
        <v>571.11999999999898</v>
      </c>
      <c r="C118" s="199">
        <v>253.85782923304839</v>
      </c>
      <c r="D118" s="7"/>
      <c r="E118" s="4">
        <f t="shared" si="3"/>
        <v>441.11999999999898</v>
      </c>
      <c r="F118" s="200">
        <v>411.10476771602805</v>
      </c>
    </row>
    <row r="119" spans="2:6" x14ac:dyDescent="0.25">
      <c r="B119" s="4">
        <f t="shared" si="2"/>
        <v>571.12999999999897</v>
      </c>
      <c r="C119" s="199">
        <v>253.99296382612209</v>
      </c>
      <c r="D119" s="7"/>
      <c r="E119" s="4">
        <f t="shared" si="3"/>
        <v>441.12999999999897</v>
      </c>
      <c r="F119" s="200">
        <v>411.26465756468224</v>
      </c>
    </row>
    <row r="120" spans="2:6" x14ac:dyDescent="0.25">
      <c r="B120" s="4">
        <f t="shared" si="2"/>
        <v>571.13999999999896</v>
      </c>
      <c r="C120" s="199">
        <v>254.12809841919562</v>
      </c>
      <c r="D120" s="7"/>
      <c r="E120" s="4">
        <f t="shared" si="3"/>
        <v>441.13999999999896</v>
      </c>
      <c r="F120" s="200">
        <v>411.42454741333745</v>
      </c>
    </row>
    <row r="121" spans="2:6" x14ac:dyDescent="0.25">
      <c r="B121" s="4">
        <f t="shared" si="2"/>
        <v>571.14999999999895</v>
      </c>
      <c r="C121" s="199">
        <v>254.26323301226842</v>
      </c>
      <c r="D121" s="7"/>
      <c r="E121" s="4">
        <f t="shared" si="3"/>
        <v>441.14999999999895</v>
      </c>
      <c r="F121" s="200">
        <v>411.58443726199255</v>
      </c>
    </row>
    <row r="122" spans="2:6" x14ac:dyDescent="0.25">
      <c r="B122" s="4">
        <f t="shared" si="2"/>
        <v>571.15999999999894</v>
      </c>
      <c r="C122" s="199">
        <v>254.39836760534217</v>
      </c>
      <c r="D122" s="7"/>
      <c r="E122" s="4">
        <f t="shared" si="3"/>
        <v>441.15999999999894</v>
      </c>
      <c r="F122" s="200">
        <v>411.7443271106477</v>
      </c>
    </row>
    <row r="123" spans="2:6" x14ac:dyDescent="0.25">
      <c r="B123" s="4">
        <f t="shared" si="2"/>
        <v>571.16999999999894</v>
      </c>
      <c r="C123" s="199">
        <v>254.53350219841587</v>
      </c>
      <c r="D123" s="7"/>
      <c r="E123" s="4">
        <f t="shared" si="3"/>
        <v>441.16999999999894</v>
      </c>
      <c r="F123" s="200">
        <v>411.9042169593024</v>
      </c>
    </row>
    <row r="124" spans="2:6" x14ac:dyDescent="0.25">
      <c r="B124" s="4">
        <f t="shared" si="2"/>
        <v>571.17999999999893</v>
      </c>
      <c r="C124" s="199">
        <v>254.66863679148872</v>
      </c>
      <c r="D124" s="7"/>
      <c r="E124" s="4">
        <f t="shared" si="3"/>
        <v>441.17999999999893</v>
      </c>
      <c r="F124" s="200">
        <v>412.06410680795756</v>
      </c>
    </row>
    <row r="125" spans="2:6" x14ac:dyDescent="0.25">
      <c r="B125" s="4">
        <f t="shared" si="2"/>
        <v>571.18999999999892</v>
      </c>
      <c r="C125" s="199">
        <v>254.80377138456237</v>
      </c>
      <c r="D125" s="7"/>
      <c r="E125" s="4">
        <f t="shared" si="3"/>
        <v>441.18999999999892</v>
      </c>
      <c r="F125" s="200">
        <v>412.22435775315529</v>
      </c>
    </row>
    <row r="126" spans="2:6" x14ac:dyDescent="0.25">
      <c r="B126" s="4">
        <f t="shared" si="2"/>
        <v>571.19999999999891</v>
      </c>
      <c r="C126" s="199">
        <v>254.93890597763624</v>
      </c>
      <c r="D126" s="7"/>
      <c r="E126" s="4">
        <f t="shared" si="3"/>
        <v>441.19999999999891</v>
      </c>
      <c r="F126" s="200">
        <v>412.38460869835654</v>
      </c>
    </row>
    <row r="127" spans="2:6" x14ac:dyDescent="0.25">
      <c r="B127" s="4">
        <f t="shared" si="2"/>
        <v>571.2099999999989</v>
      </c>
      <c r="C127" s="199">
        <v>255.07404057070903</v>
      </c>
      <c r="D127" s="7"/>
      <c r="E127" s="4">
        <f t="shared" si="3"/>
        <v>441.2099999999989</v>
      </c>
      <c r="F127" s="200">
        <v>412.54485964355689</v>
      </c>
    </row>
    <row r="128" spans="2:6" x14ac:dyDescent="0.25">
      <c r="B128" s="4">
        <f t="shared" si="2"/>
        <v>571.21999999999889</v>
      </c>
      <c r="C128" s="199">
        <v>255.20939425238714</v>
      </c>
      <c r="D128" s="7"/>
      <c r="E128" s="4">
        <f t="shared" si="3"/>
        <v>441.21999999999889</v>
      </c>
      <c r="F128" s="200">
        <v>412.70511058875724</v>
      </c>
    </row>
    <row r="129" spans="2:6" x14ac:dyDescent="0.25">
      <c r="B129" s="4">
        <f t="shared" si="2"/>
        <v>571.22999999999888</v>
      </c>
      <c r="C129" s="199">
        <v>255.3447479340644</v>
      </c>
      <c r="D129" s="7"/>
      <c r="E129" s="4">
        <f t="shared" si="3"/>
        <v>441.22999999999888</v>
      </c>
      <c r="F129" s="200">
        <v>412.86536153395849</v>
      </c>
    </row>
    <row r="130" spans="2:6" x14ac:dyDescent="0.25">
      <c r="B130" s="4">
        <f t="shared" si="2"/>
        <v>571.23999999999887</v>
      </c>
      <c r="C130" s="199">
        <v>255.48010161574098</v>
      </c>
      <c r="D130" s="7"/>
      <c r="E130" s="4">
        <f t="shared" si="3"/>
        <v>441.23999999999887</v>
      </c>
      <c r="F130" s="200">
        <v>413.02561247915895</v>
      </c>
    </row>
    <row r="131" spans="2:6" x14ac:dyDescent="0.25">
      <c r="B131" s="4">
        <f t="shared" si="2"/>
        <v>571.24999999999886</v>
      </c>
      <c r="C131" s="199">
        <v>255.61545529741852</v>
      </c>
      <c r="D131" s="7"/>
      <c r="E131" s="4">
        <f t="shared" si="3"/>
        <v>441.24999999999886</v>
      </c>
      <c r="F131" s="200">
        <v>413.18586342436066</v>
      </c>
    </row>
    <row r="132" spans="2:6" x14ac:dyDescent="0.25">
      <c r="B132" s="4">
        <f t="shared" si="2"/>
        <v>571.25999999999885</v>
      </c>
      <c r="C132" s="199">
        <v>255.7508089790951</v>
      </c>
      <c r="D132" s="7"/>
      <c r="E132" s="4">
        <f t="shared" si="3"/>
        <v>441.25999999999885</v>
      </c>
      <c r="F132" s="200">
        <v>413.34611436956106</v>
      </c>
    </row>
    <row r="133" spans="2:6" x14ac:dyDescent="0.25">
      <c r="B133" s="4">
        <f t="shared" si="2"/>
        <v>571.26999999999884</v>
      </c>
      <c r="C133" s="199">
        <v>255.88616266077253</v>
      </c>
      <c r="D133" s="7"/>
      <c r="E133" s="4">
        <f t="shared" si="3"/>
        <v>441.26999999999884</v>
      </c>
      <c r="F133" s="200">
        <v>413.50636531476141</v>
      </c>
    </row>
    <row r="134" spans="2:6" x14ac:dyDescent="0.25">
      <c r="B134" s="4">
        <f t="shared" si="2"/>
        <v>571.27999999999884</v>
      </c>
      <c r="C134" s="199">
        <v>256.0215163424491</v>
      </c>
      <c r="D134" s="7"/>
      <c r="E134" s="4">
        <f t="shared" si="3"/>
        <v>441.27999999999884</v>
      </c>
      <c r="F134" s="200">
        <v>413.66661625996267</v>
      </c>
    </row>
    <row r="135" spans="2:6" x14ac:dyDescent="0.25">
      <c r="B135" s="4">
        <f t="shared" si="2"/>
        <v>571.28999999999883</v>
      </c>
      <c r="C135" s="199">
        <v>256.15687002412665</v>
      </c>
      <c r="D135" s="7"/>
      <c r="E135" s="4">
        <f t="shared" si="3"/>
        <v>441.28999999999883</v>
      </c>
      <c r="F135" s="200">
        <v>413.82723277023757</v>
      </c>
    </row>
    <row r="136" spans="2:6" x14ac:dyDescent="0.25">
      <c r="B136" s="4">
        <f t="shared" ref="B136:B199" si="4">+B135+0.01</f>
        <v>571.29999999999882</v>
      </c>
      <c r="C136" s="199">
        <v>256.29222370580419</v>
      </c>
      <c r="D136" s="7"/>
      <c r="E136" s="4">
        <f t="shared" ref="E136:E199" si="5">+E135+0.01</f>
        <v>441.29999999999882</v>
      </c>
      <c r="F136" s="200">
        <v>413.98784928051572</v>
      </c>
    </row>
    <row r="137" spans="2:6" x14ac:dyDescent="0.25">
      <c r="B137" s="4">
        <f t="shared" si="4"/>
        <v>571.30999999999881</v>
      </c>
      <c r="C137" s="199">
        <v>256.42757738748071</v>
      </c>
      <c r="D137" s="7"/>
      <c r="E137" s="4">
        <f t="shared" si="5"/>
        <v>441.30999999999881</v>
      </c>
      <c r="F137" s="200">
        <v>414.1484657907925</v>
      </c>
    </row>
    <row r="138" spans="2:6" x14ac:dyDescent="0.25">
      <c r="B138" s="4">
        <f t="shared" si="4"/>
        <v>571.3199999999988</v>
      </c>
      <c r="C138" s="199">
        <v>256.56315232925994</v>
      </c>
      <c r="D138" s="7"/>
      <c r="E138" s="4">
        <f t="shared" si="5"/>
        <v>441.3199999999988</v>
      </c>
      <c r="F138" s="200">
        <v>414.3090823010707</v>
      </c>
    </row>
    <row r="139" spans="2:6" x14ac:dyDescent="0.25">
      <c r="B139" s="4">
        <f t="shared" si="4"/>
        <v>571.32999999999879</v>
      </c>
      <c r="C139" s="199">
        <v>256.69872727104269</v>
      </c>
      <c r="D139" s="7"/>
      <c r="E139" s="4">
        <f t="shared" si="5"/>
        <v>441.32999999999879</v>
      </c>
      <c r="F139" s="200">
        <v>414.46969881134845</v>
      </c>
    </row>
    <row r="140" spans="2:6" x14ac:dyDescent="0.25">
      <c r="B140" s="4">
        <f t="shared" si="4"/>
        <v>571.33999999999878</v>
      </c>
      <c r="C140" s="199">
        <v>256.83430221282589</v>
      </c>
      <c r="D140" s="7"/>
      <c r="E140" s="4">
        <f t="shared" si="5"/>
        <v>441.33999999999878</v>
      </c>
      <c r="F140" s="200">
        <v>414.6303153216266</v>
      </c>
    </row>
    <row r="141" spans="2:6" x14ac:dyDescent="0.25">
      <c r="B141" s="4">
        <f t="shared" si="4"/>
        <v>571.34999999999877</v>
      </c>
      <c r="C141" s="199">
        <v>256.96987715460955</v>
      </c>
      <c r="D141" s="7"/>
      <c r="E141" s="4">
        <f t="shared" si="5"/>
        <v>441.34999999999877</v>
      </c>
      <c r="F141" s="200">
        <v>414.79093183190435</v>
      </c>
    </row>
    <row r="142" spans="2:6" x14ac:dyDescent="0.25">
      <c r="B142" s="4">
        <f t="shared" si="4"/>
        <v>571.35999999999876</v>
      </c>
      <c r="C142" s="199">
        <v>257.10545209639236</v>
      </c>
      <c r="D142" s="7"/>
      <c r="E142" s="4">
        <f t="shared" si="5"/>
        <v>441.35999999999876</v>
      </c>
      <c r="F142" s="200">
        <v>414.95154834218113</v>
      </c>
    </row>
    <row r="143" spans="2:6" x14ac:dyDescent="0.25">
      <c r="B143" s="4">
        <f t="shared" si="4"/>
        <v>571.36999999999875</v>
      </c>
      <c r="C143" s="199">
        <v>257.2410270381755</v>
      </c>
      <c r="D143" s="7"/>
      <c r="E143" s="4">
        <f t="shared" si="5"/>
        <v>441.36999999999875</v>
      </c>
      <c r="F143" s="200">
        <v>415.11216485245933</v>
      </c>
    </row>
    <row r="144" spans="2:6" x14ac:dyDescent="0.25">
      <c r="B144" s="4">
        <f t="shared" si="4"/>
        <v>571.37999999999874</v>
      </c>
      <c r="C144" s="199">
        <v>257.37660197995916</v>
      </c>
      <c r="D144" s="7"/>
      <c r="E144" s="4">
        <f t="shared" si="5"/>
        <v>441.37999999999874</v>
      </c>
      <c r="F144" s="200">
        <v>415.27278136273696</v>
      </c>
    </row>
    <row r="145" spans="2:6" x14ac:dyDescent="0.25">
      <c r="B145" s="4">
        <f t="shared" si="4"/>
        <v>571.38999999999874</v>
      </c>
      <c r="C145" s="199">
        <v>257.51217692174208</v>
      </c>
      <c r="D145" s="7"/>
      <c r="E145" s="4">
        <f t="shared" si="5"/>
        <v>441.38999999999874</v>
      </c>
      <c r="F145" s="200">
        <v>415.43376797003276</v>
      </c>
    </row>
    <row r="146" spans="2:6" x14ac:dyDescent="0.25">
      <c r="B146" s="4">
        <f t="shared" si="4"/>
        <v>571.39999999999873</v>
      </c>
      <c r="C146" s="199">
        <v>257.64775186352489</v>
      </c>
      <c r="D146" s="7"/>
      <c r="E146" s="4">
        <f t="shared" si="5"/>
        <v>441.39999999999873</v>
      </c>
      <c r="F146" s="200">
        <v>415.59475457732987</v>
      </c>
    </row>
    <row r="147" spans="2:6" x14ac:dyDescent="0.25">
      <c r="B147" s="4">
        <f t="shared" si="4"/>
        <v>571.40999999999872</v>
      </c>
      <c r="C147" s="199">
        <v>257.783326805309</v>
      </c>
      <c r="D147" s="7"/>
      <c r="E147" s="4">
        <f t="shared" si="5"/>
        <v>441.40999999999872</v>
      </c>
      <c r="F147" s="200">
        <v>415.75574118462708</v>
      </c>
    </row>
    <row r="148" spans="2:6" x14ac:dyDescent="0.25">
      <c r="B148" s="4">
        <f t="shared" si="4"/>
        <v>571.41999999999871</v>
      </c>
      <c r="C148" s="199">
        <v>257.9191224359999</v>
      </c>
      <c r="D148" s="7"/>
      <c r="E148" s="4">
        <f t="shared" si="5"/>
        <v>441.41999999999871</v>
      </c>
      <c r="F148" s="200">
        <v>415.91672779192521</v>
      </c>
    </row>
    <row r="149" spans="2:6" x14ac:dyDescent="0.25">
      <c r="B149" s="4">
        <f t="shared" si="4"/>
        <v>571.4299999999987</v>
      </c>
      <c r="C149" s="199">
        <v>258.05491806669107</v>
      </c>
      <c r="D149" s="7"/>
      <c r="E149" s="4">
        <f t="shared" si="5"/>
        <v>441.4299999999987</v>
      </c>
      <c r="F149" s="200">
        <v>416.07771439922243</v>
      </c>
    </row>
    <row r="150" spans="2:6" x14ac:dyDescent="0.25">
      <c r="B150" s="4">
        <f t="shared" si="4"/>
        <v>571.43999999999869</v>
      </c>
      <c r="C150" s="199">
        <v>258.19071369738225</v>
      </c>
      <c r="D150" s="7"/>
      <c r="E150" s="4">
        <f t="shared" si="5"/>
        <v>441.43999999999869</v>
      </c>
      <c r="F150" s="200">
        <v>416.2387010065201</v>
      </c>
    </row>
    <row r="151" spans="2:6" x14ac:dyDescent="0.25">
      <c r="B151" s="4">
        <f t="shared" si="4"/>
        <v>571.44999999999868</v>
      </c>
      <c r="C151" s="199">
        <v>258.32650932807371</v>
      </c>
      <c r="D151" s="7"/>
      <c r="E151" s="4">
        <f t="shared" si="5"/>
        <v>441.44999999999868</v>
      </c>
      <c r="F151" s="200">
        <v>416.39968761381726</v>
      </c>
    </row>
    <row r="152" spans="2:6" x14ac:dyDescent="0.25">
      <c r="B152" s="4">
        <f t="shared" si="4"/>
        <v>571.45999999999867</v>
      </c>
      <c r="C152" s="199">
        <v>258.46230495876392</v>
      </c>
      <c r="D152" s="7"/>
      <c r="E152" s="4">
        <f t="shared" si="5"/>
        <v>441.45999999999867</v>
      </c>
      <c r="F152" s="200">
        <v>416.56067422111528</v>
      </c>
    </row>
    <row r="153" spans="2:6" x14ac:dyDescent="0.25">
      <c r="B153" s="4">
        <f t="shared" si="4"/>
        <v>571.46999999999866</v>
      </c>
      <c r="C153" s="199">
        <v>258.59810058945504</v>
      </c>
      <c r="D153" s="7"/>
      <c r="E153" s="4">
        <f t="shared" si="5"/>
        <v>441.46999999999866</v>
      </c>
      <c r="F153" s="200">
        <v>416.7216608284125</v>
      </c>
    </row>
    <row r="154" spans="2:6" x14ac:dyDescent="0.25">
      <c r="B154" s="4">
        <f t="shared" si="4"/>
        <v>571.47999999999865</v>
      </c>
      <c r="C154" s="199">
        <v>258.73389622014628</v>
      </c>
      <c r="D154" s="7"/>
      <c r="E154" s="4">
        <f t="shared" si="5"/>
        <v>441.47999999999865</v>
      </c>
      <c r="F154" s="200">
        <v>416.88264743571062</v>
      </c>
    </row>
    <row r="155" spans="2:6" x14ac:dyDescent="0.25">
      <c r="B155" s="4">
        <f t="shared" si="4"/>
        <v>571.48999999999864</v>
      </c>
      <c r="C155" s="199">
        <v>258.86969185083666</v>
      </c>
      <c r="D155" s="7"/>
      <c r="E155" s="4">
        <f t="shared" si="5"/>
        <v>441.48999999999864</v>
      </c>
      <c r="F155" s="200">
        <v>417.04401113957022</v>
      </c>
    </row>
    <row r="156" spans="2:6" x14ac:dyDescent="0.25">
      <c r="B156" s="4">
        <f t="shared" si="4"/>
        <v>571.49999999999864</v>
      </c>
      <c r="C156" s="199">
        <v>259.00548748152789</v>
      </c>
      <c r="D156" s="7"/>
      <c r="E156" s="4">
        <f t="shared" si="5"/>
        <v>441.49999999999864</v>
      </c>
      <c r="F156" s="200">
        <v>417.20537484343248</v>
      </c>
    </row>
    <row r="157" spans="2:6" x14ac:dyDescent="0.25">
      <c r="B157" s="4">
        <f t="shared" si="4"/>
        <v>571.50999999999863</v>
      </c>
      <c r="C157" s="199">
        <v>259.14128311221907</v>
      </c>
      <c r="D157" s="7"/>
      <c r="E157" s="4">
        <f t="shared" si="5"/>
        <v>441.50999999999863</v>
      </c>
      <c r="F157" s="200">
        <v>417.36673854729577</v>
      </c>
    </row>
    <row r="158" spans="2:6" x14ac:dyDescent="0.25">
      <c r="B158" s="4">
        <f t="shared" si="4"/>
        <v>571.51999999999862</v>
      </c>
      <c r="C158" s="199">
        <v>259.27729659626795</v>
      </c>
      <c r="D158" s="7"/>
      <c r="E158" s="4">
        <f t="shared" si="5"/>
        <v>441.51999999999862</v>
      </c>
      <c r="F158" s="200">
        <v>417.52810225115752</v>
      </c>
    </row>
    <row r="159" spans="2:6" x14ac:dyDescent="0.25">
      <c r="B159" s="4">
        <f t="shared" si="4"/>
        <v>571.52999999999861</v>
      </c>
      <c r="C159" s="199">
        <v>259.41331008031898</v>
      </c>
      <c r="D159" s="7"/>
      <c r="E159" s="4">
        <f t="shared" si="5"/>
        <v>441.52999999999861</v>
      </c>
      <c r="F159" s="200">
        <v>417.68946595501978</v>
      </c>
    </row>
    <row r="160" spans="2:6" x14ac:dyDescent="0.25">
      <c r="B160" s="4">
        <f t="shared" si="4"/>
        <v>571.5399999999986</v>
      </c>
      <c r="C160" s="199">
        <v>259.54932356437001</v>
      </c>
      <c r="D160" s="7"/>
      <c r="E160" s="4">
        <f t="shared" si="5"/>
        <v>441.5399999999986</v>
      </c>
      <c r="F160" s="200">
        <v>417.85082965888307</v>
      </c>
    </row>
    <row r="161" spans="2:6" x14ac:dyDescent="0.25">
      <c r="B161" s="4">
        <f t="shared" si="4"/>
        <v>571.54999999999859</v>
      </c>
      <c r="C161" s="199">
        <v>259.68533704842184</v>
      </c>
      <c r="D161" s="7"/>
      <c r="E161" s="4">
        <f t="shared" si="5"/>
        <v>441.54999999999859</v>
      </c>
      <c r="F161" s="200">
        <v>418.01219336274534</v>
      </c>
    </row>
    <row r="162" spans="2:6" x14ac:dyDescent="0.25">
      <c r="B162" s="4">
        <f t="shared" si="4"/>
        <v>571.55999999999858</v>
      </c>
      <c r="C162" s="199">
        <v>259.82135053247305</v>
      </c>
      <c r="D162" s="7"/>
      <c r="E162" s="4">
        <f t="shared" si="5"/>
        <v>441.55999999999858</v>
      </c>
      <c r="F162" s="200">
        <v>418.17355706660811</v>
      </c>
    </row>
    <row r="163" spans="2:6" x14ac:dyDescent="0.25">
      <c r="B163" s="4">
        <f t="shared" si="4"/>
        <v>571.56999999999857</v>
      </c>
      <c r="C163" s="199">
        <v>259.95736401652505</v>
      </c>
      <c r="D163" s="7"/>
      <c r="E163" s="4">
        <f t="shared" si="5"/>
        <v>441.56999999999857</v>
      </c>
      <c r="F163" s="200">
        <v>418.33492077047043</v>
      </c>
    </row>
    <row r="164" spans="2:6" x14ac:dyDescent="0.25">
      <c r="B164" s="4">
        <f t="shared" si="4"/>
        <v>571.57999999999856</v>
      </c>
      <c r="C164" s="199">
        <v>260.09337750057597</v>
      </c>
      <c r="D164" s="7"/>
      <c r="E164" s="4">
        <f t="shared" si="5"/>
        <v>441.57999999999856</v>
      </c>
      <c r="F164" s="200">
        <v>418.49628447433372</v>
      </c>
    </row>
    <row r="165" spans="2:6" x14ac:dyDescent="0.25">
      <c r="B165" s="4">
        <f t="shared" si="4"/>
        <v>571.58999999999855</v>
      </c>
      <c r="C165" s="199">
        <v>260.22939098462791</v>
      </c>
      <c r="D165" s="7"/>
      <c r="E165" s="4">
        <f t="shared" si="5"/>
        <v>441.58999999999855</v>
      </c>
      <c r="F165" s="200">
        <v>418.65803384020438</v>
      </c>
    </row>
    <row r="166" spans="2:6" x14ac:dyDescent="0.25">
      <c r="B166" s="4">
        <f t="shared" si="4"/>
        <v>571.59999999999854</v>
      </c>
      <c r="C166" s="199">
        <v>260.36540446867917</v>
      </c>
      <c r="D166" s="7"/>
      <c r="E166" s="4">
        <f t="shared" si="5"/>
        <v>441.59999999999854</v>
      </c>
      <c r="F166" s="200">
        <v>418.81978320607686</v>
      </c>
    </row>
    <row r="167" spans="2:6" x14ac:dyDescent="0.25">
      <c r="B167" s="4">
        <f t="shared" si="4"/>
        <v>571.60999999999854</v>
      </c>
      <c r="C167" s="199">
        <v>260.501417952731</v>
      </c>
      <c r="D167" s="7"/>
      <c r="E167" s="4">
        <f t="shared" si="5"/>
        <v>441.60999999999854</v>
      </c>
      <c r="F167" s="200">
        <v>418.98153257194929</v>
      </c>
    </row>
    <row r="168" spans="2:6" x14ac:dyDescent="0.25">
      <c r="B168" s="4">
        <f t="shared" si="4"/>
        <v>571.61999999999853</v>
      </c>
      <c r="C168" s="199">
        <v>260.63764841770694</v>
      </c>
      <c r="D168" s="7"/>
      <c r="E168" s="4">
        <f t="shared" si="5"/>
        <v>441.61999999999853</v>
      </c>
      <c r="F168" s="200">
        <v>419.14328193782177</v>
      </c>
    </row>
    <row r="169" spans="2:6" x14ac:dyDescent="0.25">
      <c r="B169" s="4">
        <f t="shared" si="4"/>
        <v>571.62999999999852</v>
      </c>
      <c r="C169" s="199">
        <v>260.77387888268294</v>
      </c>
      <c r="D169" s="7"/>
      <c r="E169" s="4">
        <f t="shared" si="5"/>
        <v>441.62999999999852</v>
      </c>
      <c r="F169" s="200">
        <v>419.30503130369374</v>
      </c>
    </row>
    <row r="170" spans="2:6" x14ac:dyDescent="0.25">
      <c r="B170" s="4">
        <f t="shared" si="4"/>
        <v>571.63999999999851</v>
      </c>
      <c r="C170" s="199">
        <v>260.9101093476595</v>
      </c>
      <c r="D170" s="7"/>
      <c r="E170" s="4">
        <f t="shared" si="5"/>
        <v>441.63999999999851</v>
      </c>
      <c r="F170" s="200">
        <v>419.46678066956719</v>
      </c>
    </row>
    <row r="171" spans="2:6" x14ac:dyDescent="0.25">
      <c r="B171" s="4">
        <f t="shared" si="4"/>
        <v>571.6499999999985</v>
      </c>
      <c r="C171" s="199">
        <v>261.04633981263549</v>
      </c>
      <c r="D171" s="7"/>
      <c r="E171" s="4">
        <f t="shared" si="5"/>
        <v>441.6499999999985</v>
      </c>
      <c r="F171" s="200">
        <v>419.62853003543967</v>
      </c>
    </row>
    <row r="172" spans="2:6" x14ac:dyDescent="0.25">
      <c r="B172" s="4">
        <f t="shared" si="4"/>
        <v>571.65999999999849</v>
      </c>
      <c r="C172" s="199">
        <v>261.18257027761206</v>
      </c>
      <c r="D172" s="7"/>
      <c r="E172" s="4">
        <f t="shared" si="5"/>
        <v>441.65999999999849</v>
      </c>
      <c r="F172" s="200">
        <v>419.79027940131215</v>
      </c>
    </row>
    <row r="173" spans="2:6" x14ac:dyDescent="0.25">
      <c r="B173" s="4">
        <f t="shared" si="4"/>
        <v>571.66999999999848</v>
      </c>
      <c r="C173" s="199">
        <v>261.31880074258794</v>
      </c>
      <c r="D173" s="7"/>
      <c r="E173" s="4">
        <f t="shared" si="5"/>
        <v>441.66999999999848</v>
      </c>
      <c r="F173" s="200">
        <v>419.95202876718469</v>
      </c>
    </row>
    <row r="174" spans="2:6" x14ac:dyDescent="0.25">
      <c r="B174" s="4">
        <f t="shared" si="4"/>
        <v>571.67999999999847</v>
      </c>
      <c r="C174" s="199">
        <v>261.45503120756462</v>
      </c>
      <c r="D174" s="7"/>
      <c r="E174" s="4">
        <f t="shared" si="5"/>
        <v>441.67999999999847</v>
      </c>
      <c r="F174" s="200">
        <v>420.11377813305717</v>
      </c>
    </row>
    <row r="175" spans="2:6" x14ac:dyDescent="0.25">
      <c r="B175" s="4">
        <f t="shared" si="4"/>
        <v>571.68999999999846</v>
      </c>
      <c r="C175" s="199">
        <v>261.5912616725405</v>
      </c>
      <c r="D175" s="7"/>
      <c r="E175" s="4">
        <f t="shared" si="5"/>
        <v>441.68999999999846</v>
      </c>
      <c r="F175" s="200">
        <v>420.27591978497759</v>
      </c>
    </row>
    <row r="176" spans="2:6" x14ac:dyDescent="0.25">
      <c r="B176" s="4">
        <f t="shared" si="4"/>
        <v>571.69999999999845</v>
      </c>
      <c r="C176" s="199">
        <v>261.72749213751712</v>
      </c>
      <c r="D176" s="7"/>
      <c r="E176" s="4">
        <f t="shared" si="5"/>
        <v>441.69999999999845</v>
      </c>
      <c r="F176" s="200">
        <v>420.43806143690097</v>
      </c>
    </row>
    <row r="177" spans="2:6" x14ac:dyDescent="0.25">
      <c r="B177" s="4">
        <f t="shared" si="4"/>
        <v>571.70999999999844</v>
      </c>
      <c r="C177" s="199">
        <v>261.86372260249408</v>
      </c>
      <c r="D177" s="7"/>
      <c r="E177" s="4">
        <f t="shared" si="5"/>
        <v>441.70999999999844</v>
      </c>
      <c r="F177" s="200">
        <v>420.60020308882326</v>
      </c>
    </row>
    <row r="178" spans="2:6" x14ac:dyDescent="0.25">
      <c r="B178" s="4">
        <f t="shared" si="4"/>
        <v>571.71999999999844</v>
      </c>
      <c r="C178" s="199">
        <v>262.00016918381499</v>
      </c>
      <c r="D178" s="7"/>
      <c r="E178" s="4">
        <f t="shared" si="5"/>
        <v>441.71999999999844</v>
      </c>
      <c r="F178" s="200">
        <v>420.76234474074613</v>
      </c>
    </row>
    <row r="179" spans="2:6" x14ac:dyDescent="0.25">
      <c r="B179" s="4">
        <f t="shared" si="4"/>
        <v>571.72999999999843</v>
      </c>
      <c r="C179" s="199">
        <v>262.13661576514056</v>
      </c>
      <c r="D179" s="7"/>
      <c r="E179" s="4">
        <f t="shared" si="5"/>
        <v>441.72999999999843</v>
      </c>
      <c r="F179" s="200">
        <v>420.92448639266854</v>
      </c>
    </row>
    <row r="180" spans="2:6" x14ac:dyDescent="0.25">
      <c r="B180" s="4">
        <f t="shared" si="4"/>
        <v>571.73999999999842</v>
      </c>
      <c r="C180" s="199">
        <v>262.27306234646488</v>
      </c>
      <c r="D180" s="7"/>
      <c r="E180" s="4">
        <f t="shared" si="5"/>
        <v>441.73999999999842</v>
      </c>
      <c r="F180" s="200">
        <v>421.08662804459181</v>
      </c>
    </row>
    <row r="181" spans="2:6" x14ac:dyDescent="0.25">
      <c r="B181" s="4">
        <f t="shared" si="4"/>
        <v>571.74999999999841</v>
      </c>
      <c r="C181" s="199">
        <v>262.4095089277892</v>
      </c>
      <c r="D181" s="7"/>
      <c r="E181" s="4">
        <f t="shared" si="5"/>
        <v>441.74999999999841</v>
      </c>
      <c r="F181" s="200">
        <v>421.2487696965137</v>
      </c>
    </row>
    <row r="182" spans="2:6" x14ac:dyDescent="0.25">
      <c r="B182" s="4">
        <f t="shared" si="4"/>
        <v>571.7599999999984</v>
      </c>
      <c r="C182" s="199">
        <v>262.54595550911461</v>
      </c>
      <c r="D182" s="7"/>
      <c r="E182" s="4">
        <f t="shared" si="5"/>
        <v>441.7599999999984</v>
      </c>
      <c r="F182" s="200">
        <v>421.410911348436</v>
      </c>
    </row>
    <row r="183" spans="2:6" x14ac:dyDescent="0.25">
      <c r="B183" s="4">
        <f t="shared" si="4"/>
        <v>571.76999999999839</v>
      </c>
      <c r="C183" s="199">
        <v>262.6824020904391</v>
      </c>
      <c r="D183" s="7"/>
      <c r="E183" s="4">
        <f t="shared" si="5"/>
        <v>441.76999999999839</v>
      </c>
      <c r="F183" s="200">
        <v>421.57305300035938</v>
      </c>
    </row>
    <row r="184" spans="2:6" x14ac:dyDescent="0.25">
      <c r="B184" s="4">
        <f t="shared" si="4"/>
        <v>571.77999999999838</v>
      </c>
      <c r="C184" s="199">
        <v>262.81884867176433</v>
      </c>
      <c r="D184" s="7"/>
      <c r="E184" s="4">
        <f t="shared" si="5"/>
        <v>441.77999999999838</v>
      </c>
      <c r="F184" s="200">
        <v>421.73519465228117</v>
      </c>
    </row>
    <row r="185" spans="2:6" x14ac:dyDescent="0.25">
      <c r="B185" s="4">
        <f t="shared" si="4"/>
        <v>571.78999999999837</v>
      </c>
      <c r="C185" s="199">
        <v>262.95529525308882</v>
      </c>
      <c r="D185" s="7"/>
      <c r="E185" s="4">
        <f t="shared" si="5"/>
        <v>441.78999999999837</v>
      </c>
      <c r="F185" s="200">
        <v>421.89774076097234</v>
      </c>
    </row>
    <row r="186" spans="2:6" x14ac:dyDescent="0.25">
      <c r="B186" s="4">
        <f t="shared" si="4"/>
        <v>571.79999999999836</v>
      </c>
      <c r="C186" s="199">
        <v>263.09174183441399</v>
      </c>
      <c r="D186" s="7"/>
      <c r="E186" s="4">
        <f t="shared" si="5"/>
        <v>441.79999999999836</v>
      </c>
      <c r="F186" s="200">
        <v>422.0602868696659</v>
      </c>
    </row>
    <row r="187" spans="2:6" x14ac:dyDescent="0.25">
      <c r="B187" s="4">
        <f t="shared" si="4"/>
        <v>571.80999999999835</v>
      </c>
      <c r="C187" s="199">
        <v>263.2281884157386</v>
      </c>
      <c r="D187" s="7"/>
      <c r="E187" s="4">
        <f t="shared" si="5"/>
        <v>441.80999999999835</v>
      </c>
      <c r="F187" s="200">
        <v>422.22283297835941</v>
      </c>
    </row>
    <row r="188" spans="2:6" x14ac:dyDescent="0.25">
      <c r="B188" s="4">
        <f t="shared" si="4"/>
        <v>571.81999999999834</v>
      </c>
      <c r="C188" s="199">
        <v>263.36485120889785</v>
      </c>
      <c r="D188" s="7"/>
      <c r="E188" s="4">
        <f t="shared" si="5"/>
        <v>441.81999999999834</v>
      </c>
      <c r="F188" s="200">
        <v>422.38537908705433</v>
      </c>
    </row>
    <row r="189" spans="2:6" x14ac:dyDescent="0.25">
      <c r="B189" s="4">
        <f t="shared" si="4"/>
        <v>571.82999999999834</v>
      </c>
      <c r="C189" s="199">
        <v>263.50151400205755</v>
      </c>
      <c r="D189" s="7"/>
      <c r="E189" s="4">
        <f t="shared" si="5"/>
        <v>441.82999999999834</v>
      </c>
      <c r="F189" s="200">
        <v>422.54792519574784</v>
      </c>
    </row>
    <row r="190" spans="2:6" x14ac:dyDescent="0.25">
      <c r="B190" s="4">
        <f t="shared" si="4"/>
        <v>571.83999999999833</v>
      </c>
      <c r="C190" s="199">
        <v>263.63817679521736</v>
      </c>
      <c r="D190" s="7"/>
      <c r="E190" s="4">
        <f t="shared" si="5"/>
        <v>441.83999999999833</v>
      </c>
      <c r="F190" s="200">
        <v>422.7104713044414</v>
      </c>
    </row>
    <row r="191" spans="2:6" x14ac:dyDescent="0.25">
      <c r="B191" s="4">
        <f t="shared" si="4"/>
        <v>571.84999999999832</v>
      </c>
      <c r="C191" s="199">
        <v>263.77483958837689</v>
      </c>
      <c r="D191" s="7"/>
      <c r="E191" s="4">
        <f t="shared" si="5"/>
        <v>441.84999999999832</v>
      </c>
      <c r="F191" s="200">
        <v>422.8730174131349</v>
      </c>
    </row>
    <row r="192" spans="2:6" x14ac:dyDescent="0.25">
      <c r="B192" s="4">
        <f t="shared" si="4"/>
        <v>571.85999999999831</v>
      </c>
      <c r="C192" s="199">
        <v>263.9115023815358</v>
      </c>
      <c r="D192" s="7"/>
      <c r="E192" s="4">
        <f t="shared" si="5"/>
        <v>441.85999999999831</v>
      </c>
      <c r="F192" s="200">
        <v>423.03556352182937</v>
      </c>
    </row>
    <row r="193" spans="2:6" x14ac:dyDescent="0.25">
      <c r="B193" s="4">
        <f t="shared" si="4"/>
        <v>571.8699999999983</v>
      </c>
      <c r="C193" s="199">
        <v>264.0481651746955</v>
      </c>
      <c r="D193" s="7"/>
      <c r="E193" s="4">
        <f t="shared" si="5"/>
        <v>441.8699999999983</v>
      </c>
      <c r="F193" s="200">
        <v>423.19810963052333</v>
      </c>
    </row>
    <row r="194" spans="2:6" x14ac:dyDescent="0.25">
      <c r="B194" s="4">
        <f t="shared" si="4"/>
        <v>571.87999999999829</v>
      </c>
      <c r="C194" s="199">
        <v>264.18482796785514</v>
      </c>
      <c r="D194" s="7"/>
      <c r="E194" s="4">
        <f t="shared" si="5"/>
        <v>441.87999999999829</v>
      </c>
      <c r="F194" s="200">
        <v>423.3606557392169</v>
      </c>
    </row>
    <row r="195" spans="2:6" x14ac:dyDescent="0.25">
      <c r="B195" s="4">
        <f t="shared" si="4"/>
        <v>571.88999999999828</v>
      </c>
      <c r="C195" s="199">
        <v>264.3214907610149</v>
      </c>
      <c r="D195" s="7"/>
      <c r="E195" s="4">
        <f t="shared" si="5"/>
        <v>441.88999999999828</v>
      </c>
      <c r="F195" s="200">
        <v>423.52361695957086</v>
      </c>
    </row>
    <row r="196" spans="2:6" x14ac:dyDescent="0.25">
      <c r="B196" s="4">
        <f t="shared" si="4"/>
        <v>571.89999999999827</v>
      </c>
      <c r="C196" s="199">
        <v>264.45815355417471</v>
      </c>
      <c r="D196" s="7"/>
      <c r="E196" s="4">
        <f t="shared" si="5"/>
        <v>441.89999999999827</v>
      </c>
      <c r="F196" s="200">
        <v>423.68657817992721</v>
      </c>
    </row>
    <row r="197" spans="2:6" x14ac:dyDescent="0.25">
      <c r="B197" s="4">
        <f t="shared" si="4"/>
        <v>571.90999999999826</v>
      </c>
      <c r="C197" s="199">
        <v>264.59481634733447</v>
      </c>
      <c r="D197" s="7"/>
      <c r="E197" s="4">
        <f t="shared" si="5"/>
        <v>441.90999999999826</v>
      </c>
      <c r="F197" s="200">
        <v>423.84953940028396</v>
      </c>
    </row>
    <row r="198" spans="2:6" x14ac:dyDescent="0.25">
      <c r="B198" s="4">
        <f t="shared" si="4"/>
        <v>571.91999999999825</v>
      </c>
      <c r="C198" s="199">
        <v>264.73169751858006</v>
      </c>
      <c r="D198" s="7"/>
      <c r="E198" s="4">
        <f t="shared" si="5"/>
        <v>441.91999999999825</v>
      </c>
      <c r="F198" s="200">
        <v>424.01250062064031</v>
      </c>
    </row>
    <row r="199" spans="2:6" x14ac:dyDescent="0.25">
      <c r="B199" s="4">
        <f t="shared" si="4"/>
        <v>571.92999999999824</v>
      </c>
      <c r="C199" s="199">
        <v>264.86857868982787</v>
      </c>
      <c r="D199" s="7"/>
      <c r="E199" s="4">
        <f t="shared" si="5"/>
        <v>441.92999999999824</v>
      </c>
      <c r="F199" s="200">
        <v>424.17546184099575</v>
      </c>
    </row>
    <row r="200" spans="2:6" x14ac:dyDescent="0.25">
      <c r="B200" s="4">
        <f t="shared" ref="B200:B263" si="6">+B199+0.01</f>
        <v>571.93999999999824</v>
      </c>
      <c r="C200" s="199">
        <v>265.00545986107591</v>
      </c>
      <c r="D200" s="7"/>
      <c r="E200" s="4">
        <f t="shared" ref="E200:E263" si="7">+E199+0.01</f>
        <v>441.93999999999824</v>
      </c>
      <c r="F200" s="200">
        <v>424.33842306135205</v>
      </c>
    </row>
    <row r="201" spans="2:6" x14ac:dyDescent="0.25">
      <c r="B201" s="4">
        <f t="shared" si="6"/>
        <v>571.94999999999823</v>
      </c>
      <c r="C201" s="199">
        <v>265.14234103232468</v>
      </c>
      <c r="D201" s="7"/>
      <c r="E201" s="4">
        <f t="shared" si="7"/>
        <v>441.94999999999823</v>
      </c>
      <c r="F201" s="200">
        <v>424.50138428170885</v>
      </c>
    </row>
    <row r="202" spans="2:6" x14ac:dyDescent="0.25">
      <c r="B202" s="4">
        <f t="shared" si="6"/>
        <v>571.95999999999822</v>
      </c>
      <c r="C202" s="199">
        <v>265.27922220357266</v>
      </c>
      <c r="D202" s="7"/>
      <c r="E202" s="4">
        <f t="shared" si="7"/>
        <v>441.95999999999822</v>
      </c>
      <c r="F202" s="200">
        <v>424.6643455020652</v>
      </c>
    </row>
    <row r="203" spans="2:6" x14ac:dyDescent="0.25">
      <c r="B203" s="4">
        <f t="shared" si="6"/>
        <v>571.96999999999821</v>
      </c>
      <c r="C203" s="199">
        <v>265.41610337482047</v>
      </c>
      <c r="D203" s="7"/>
      <c r="E203" s="4">
        <f t="shared" si="7"/>
        <v>441.96999999999821</v>
      </c>
      <c r="F203" s="200">
        <v>424.82730672242144</v>
      </c>
    </row>
    <row r="204" spans="2:6" x14ac:dyDescent="0.25">
      <c r="B204" s="4">
        <f t="shared" si="6"/>
        <v>571.9799999999982</v>
      </c>
      <c r="C204" s="199">
        <v>265.55298454606867</v>
      </c>
      <c r="D204" s="7"/>
      <c r="E204" s="4">
        <f t="shared" si="7"/>
        <v>441.9799999999982</v>
      </c>
      <c r="F204" s="200">
        <v>424.99026794277779</v>
      </c>
    </row>
    <row r="205" spans="2:6" x14ac:dyDescent="0.25">
      <c r="B205" s="4">
        <f t="shared" si="6"/>
        <v>571.98999999999819</v>
      </c>
      <c r="C205" s="199">
        <v>265.68986571731637</v>
      </c>
      <c r="D205" s="7"/>
      <c r="E205" s="4">
        <f t="shared" si="7"/>
        <v>441.98999999999819</v>
      </c>
      <c r="F205" s="200">
        <v>425.15365497399773</v>
      </c>
    </row>
    <row r="206" spans="2:6" x14ac:dyDescent="0.25">
      <c r="B206" s="4">
        <f t="shared" si="6"/>
        <v>571.99999999999818</v>
      </c>
      <c r="C206" s="199">
        <v>265.82674688856446</v>
      </c>
      <c r="D206" s="7"/>
      <c r="E206" s="4">
        <f t="shared" si="7"/>
        <v>441.99999999999818</v>
      </c>
      <c r="F206" s="200">
        <v>425.3170420052237</v>
      </c>
    </row>
    <row r="207" spans="2:6" x14ac:dyDescent="0.25">
      <c r="B207" s="4">
        <f t="shared" si="6"/>
        <v>572.00999999999817</v>
      </c>
      <c r="C207" s="199">
        <v>265.96362805981312</v>
      </c>
      <c r="D207" s="7"/>
      <c r="E207" s="4">
        <f t="shared" si="7"/>
        <v>442.00999999999817</v>
      </c>
      <c r="F207" s="200">
        <v>425.48042903644864</v>
      </c>
    </row>
    <row r="208" spans="2:6" x14ac:dyDescent="0.25">
      <c r="B208" s="4">
        <f t="shared" si="6"/>
        <v>572.01999999999816</v>
      </c>
      <c r="C208" s="199">
        <v>266.10073003683414</v>
      </c>
      <c r="D208" s="7"/>
      <c r="E208" s="4">
        <f t="shared" si="7"/>
        <v>442.01999999999816</v>
      </c>
      <c r="F208" s="200">
        <v>425.64381606767353</v>
      </c>
    </row>
    <row r="209" spans="2:6" x14ac:dyDescent="0.25">
      <c r="B209" s="4">
        <f t="shared" si="6"/>
        <v>572.02999999999815</v>
      </c>
      <c r="C209" s="199">
        <v>266.23783201385555</v>
      </c>
      <c r="D209" s="7"/>
      <c r="E209" s="4">
        <f t="shared" si="7"/>
        <v>442.02999999999815</v>
      </c>
      <c r="F209" s="200">
        <v>425.80720309889858</v>
      </c>
    </row>
    <row r="210" spans="2:6" x14ac:dyDescent="0.25">
      <c r="B210" s="4">
        <f t="shared" si="6"/>
        <v>572.03999999999814</v>
      </c>
      <c r="C210" s="199">
        <v>266.37493399087771</v>
      </c>
      <c r="D210" s="7"/>
      <c r="E210" s="4">
        <f t="shared" si="7"/>
        <v>442.03999999999814</v>
      </c>
      <c r="F210" s="200">
        <v>425.97059013012347</v>
      </c>
    </row>
    <row r="211" spans="2:6" x14ac:dyDescent="0.25">
      <c r="B211" s="4">
        <f t="shared" si="6"/>
        <v>572.04999999999814</v>
      </c>
      <c r="C211" s="199">
        <v>266.51203596789924</v>
      </c>
      <c r="D211" s="7"/>
      <c r="E211" s="4">
        <f t="shared" si="7"/>
        <v>442.04999999999814</v>
      </c>
      <c r="F211" s="200">
        <v>426.13397716134835</v>
      </c>
    </row>
    <row r="212" spans="2:6" x14ac:dyDescent="0.25">
      <c r="B212" s="4">
        <f t="shared" si="6"/>
        <v>572.05999999999813</v>
      </c>
      <c r="C212" s="199">
        <v>266.64913794492162</v>
      </c>
      <c r="D212" s="7"/>
      <c r="E212" s="4">
        <f t="shared" si="7"/>
        <v>442.05999999999813</v>
      </c>
      <c r="F212" s="200">
        <v>426.29736419257335</v>
      </c>
    </row>
    <row r="213" spans="2:6" x14ac:dyDescent="0.25">
      <c r="B213" s="4">
        <f t="shared" si="6"/>
        <v>572.06999999999812</v>
      </c>
      <c r="C213" s="199">
        <v>266.78623992194287</v>
      </c>
      <c r="D213" s="7"/>
      <c r="E213" s="4">
        <f t="shared" si="7"/>
        <v>442.06999999999812</v>
      </c>
      <c r="F213" s="200">
        <v>426.46075122379835</v>
      </c>
    </row>
    <row r="214" spans="2:6" x14ac:dyDescent="0.25">
      <c r="B214" s="4">
        <f t="shared" si="6"/>
        <v>572.07999999999811</v>
      </c>
      <c r="C214" s="199">
        <v>266.92334189896536</v>
      </c>
      <c r="D214" s="7"/>
      <c r="E214" s="4">
        <f t="shared" si="7"/>
        <v>442.07999999999811</v>
      </c>
      <c r="F214" s="200">
        <v>426.62413825502324</v>
      </c>
    </row>
    <row r="215" spans="2:6" x14ac:dyDescent="0.25">
      <c r="B215" s="4">
        <f t="shared" si="6"/>
        <v>572.0899999999981</v>
      </c>
      <c r="C215" s="199">
        <v>267.06044387598678</v>
      </c>
      <c r="D215" s="7"/>
      <c r="E215" s="4">
        <f t="shared" si="7"/>
        <v>442.0899999999981</v>
      </c>
      <c r="F215" s="200">
        <v>426.78795908933023</v>
      </c>
    </row>
    <row r="216" spans="2:6" x14ac:dyDescent="0.25">
      <c r="B216" s="4">
        <f t="shared" si="6"/>
        <v>572.09999999999809</v>
      </c>
      <c r="C216" s="199">
        <v>267.19754585300893</v>
      </c>
      <c r="D216" s="7"/>
      <c r="E216" s="4">
        <f t="shared" si="7"/>
        <v>442.09999999999809</v>
      </c>
      <c r="F216" s="200">
        <v>426.95177992363904</v>
      </c>
    </row>
    <row r="217" spans="2:6" x14ac:dyDescent="0.25">
      <c r="B217" s="4">
        <f t="shared" si="6"/>
        <v>572.10999999999808</v>
      </c>
      <c r="C217" s="199">
        <v>267.33464783003041</v>
      </c>
      <c r="D217" s="7"/>
      <c r="E217" s="4">
        <f t="shared" si="7"/>
        <v>442.10999999999808</v>
      </c>
      <c r="F217" s="200">
        <v>427.11560075794756</v>
      </c>
    </row>
    <row r="218" spans="2:6" x14ac:dyDescent="0.25">
      <c r="B218" s="4">
        <f t="shared" si="6"/>
        <v>572.11999999999807</v>
      </c>
      <c r="C218" s="199">
        <v>267.47196989479556</v>
      </c>
      <c r="D218" s="7"/>
      <c r="E218" s="4">
        <f t="shared" si="7"/>
        <v>442.11999999999807</v>
      </c>
      <c r="F218" s="200">
        <v>427.27942159225648</v>
      </c>
    </row>
    <row r="219" spans="2:6" x14ac:dyDescent="0.25">
      <c r="B219" s="4">
        <f t="shared" si="6"/>
        <v>572.12999999999806</v>
      </c>
      <c r="C219" s="199">
        <v>267.60929195956243</v>
      </c>
      <c r="D219" s="7"/>
      <c r="E219" s="4">
        <f t="shared" si="7"/>
        <v>442.12999999999806</v>
      </c>
      <c r="F219" s="200">
        <v>427.44324242656529</v>
      </c>
    </row>
    <row r="220" spans="2:6" x14ac:dyDescent="0.25">
      <c r="B220" s="4">
        <f t="shared" si="6"/>
        <v>572.13999999999805</v>
      </c>
      <c r="C220" s="199">
        <v>267.74661402432918</v>
      </c>
      <c r="D220" s="7"/>
      <c r="E220" s="4">
        <f t="shared" si="7"/>
        <v>442.13999999999805</v>
      </c>
      <c r="F220" s="200">
        <v>427.60706326087427</v>
      </c>
    </row>
    <row r="221" spans="2:6" x14ac:dyDescent="0.25">
      <c r="B221" s="4">
        <f t="shared" si="6"/>
        <v>572.14999999999804</v>
      </c>
      <c r="C221" s="199">
        <v>267.88393608909581</v>
      </c>
      <c r="D221" s="7"/>
      <c r="E221" s="4">
        <f t="shared" si="7"/>
        <v>442.14999999999804</v>
      </c>
      <c r="F221" s="200">
        <v>427.77088409518319</v>
      </c>
    </row>
    <row r="222" spans="2:6" x14ac:dyDescent="0.25">
      <c r="B222" s="4">
        <f t="shared" si="6"/>
        <v>572.15999999999804</v>
      </c>
      <c r="C222" s="199">
        <v>268.02125815386364</v>
      </c>
      <c r="D222" s="7"/>
      <c r="E222" s="4">
        <f t="shared" si="7"/>
        <v>442.15999999999804</v>
      </c>
      <c r="F222" s="200">
        <v>427.934704929492</v>
      </c>
    </row>
    <row r="223" spans="2:6" x14ac:dyDescent="0.25">
      <c r="B223" s="4">
        <f t="shared" si="6"/>
        <v>572.16999999999803</v>
      </c>
      <c r="C223" s="199">
        <v>268.15858021863039</v>
      </c>
      <c r="D223" s="7"/>
      <c r="E223" s="4">
        <f t="shared" si="7"/>
        <v>442.16999999999803</v>
      </c>
      <c r="F223" s="200">
        <v>428.09852576380143</v>
      </c>
    </row>
    <row r="224" spans="2:6" x14ac:dyDescent="0.25">
      <c r="B224" s="4">
        <f t="shared" si="6"/>
        <v>572.17999999999802</v>
      </c>
      <c r="C224" s="199">
        <v>268.29590228339725</v>
      </c>
      <c r="D224" s="7"/>
      <c r="E224" s="4">
        <f t="shared" si="7"/>
        <v>442.17999999999802</v>
      </c>
      <c r="F224" s="200">
        <v>428.26234659811035</v>
      </c>
    </row>
    <row r="225" spans="2:6" x14ac:dyDescent="0.25">
      <c r="B225" s="4">
        <f t="shared" si="6"/>
        <v>572.18999999999801</v>
      </c>
      <c r="C225" s="199">
        <v>268.43322434816395</v>
      </c>
      <c r="D225" s="7"/>
      <c r="E225" s="4">
        <f t="shared" si="7"/>
        <v>442.18999999999801</v>
      </c>
      <c r="F225" s="200">
        <v>428.42660760034687</v>
      </c>
    </row>
    <row r="226" spans="2:6" x14ac:dyDescent="0.25">
      <c r="B226" s="4">
        <f t="shared" si="6"/>
        <v>572.199999999998</v>
      </c>
      <c r="C226" s="199">
        <v>268.57054641293161</v>
      </c>
      <c r="D226" s="7"/>
      <c r="E226" s="4">
        <f t="shared" si="7"/>
        <v>442.199999999998</v>
      </c>
      <c r="F226" s="200">
        <v>428.59086860258589</v>
      </c>
    </row>
    <row r="227" spans="2:6" x14ac:dyDescent="0.25">
      <c r="B227" s="4">
        <f t="shared" si="6"/>
        <v>572.20999999999799</v>
      </c>
      <c r="C227" s="199">
        <v>268.70786847769847</v>
      </c>
      <c r="D227" s="7"/>
      <c r="E227" s="4">
        <f t="shared" si="7"/>
        <v>442.20999999999799</v>
      </c>
      <c r="F227" s="200">
        <v>428.75512960482592</v>
      </c>
    </row>
    <row r="228" spans="2:6" x14ac:dyDescent="0.25">
      <c r="B228" s="4">
        <f t="shared" si="6"/>
        <v>572.21999999999798</v>
      </c>
      <c r="C228" s="199">
        <v>268.84541263404992</v>
      </c>
      <c r="D228" s="7"/>
      <c r="E228" s="4">
        <f t="shared" si="7"/>
        <v>442.21999999999798</v>
      </c>
      <c r="F228" s="200">
        <v>428.91939060706437</v>
      </c>
    </row>
    <row r="229" spans="2:6" x14ac:dyDescent="0.25">
      <c r="B229" s="4">
        <f t="shared" si="6"/>
        <v>572.22999999999797</v>
      </c>
      <c r="C229" s="199">
        <v>268.98295679040257</v>
      </c>
      <c r="D229" s="7"/>
      <c r="E229" s="4">
        <f t="shared" si="7"/>
        <v>442.22999999999797</v>
      </c>
      <c r="F229" s="200">
        <v>429.08365160930339</v>
      </c>
    </row>
    <row r="230" spans="2:6" x14ac:dyDescent="0.25">
      <c r="B230" s="4">
        <f t="shared" si="6"/>
        <v>572.23999999999796</v>
      </c>
      <c r="C230" s="199">
        <v>269.12050094675647</v>
      </c>
      <c r="D230" s="7"/>
      <c r="E230" s="4">
        <f t="shared" si="7"/>
        <v>442.23999999999796</v>
      </c>
      <c r="F230" s="200">
        <v>429.24791261154343</v>
      </c>
    </row>
    <row r="231" spans="2:6" x14ac:dyDescent="0.25">
      <c r="B231" s="4">
        <f t="shared" si="6"/>
        <v>572.24999999999795</v>
      </c>
      <c r="C231" s="199">
        <v>269.258045103109</v>
      </c>
      <c r="D231" s="7"/>
      <c r="E231" s="4">
        <f t="shared" si="7"/>
        <v>442.24999999999795</v>
      </c>
      <c r="F231" s="200">
        <v>429.41217361378244</v>
      </c>
    </row>
    <row r="232" spans="2:6" x14ac:dyDescent="0.25">
      <c r="B232" s="4">
        <f t="shared" si="6"/>
        <v>572.25999999999794</v>
      </c>
      <c r="C232" s="199">
        <v>269.39558925946164</v>
      </c>
      <c r="D232" s="7"/>
      <c r="E232" s="4">
        <f t="shared" si="7"/>
        <v>442.25999999999794</v>
      </c>
      <c r="F232" s="200">
        <v>429.57643461602197</v>
      </c>
    </row>
    <row r="233" spans="2:6" x14ac:dyDescent="0.25">
      <c r="B233" s="4">
        <f t="shared" si="6"/>
        <v>572.26999999999794</v>
      </c>
      <c r="C233" s="199">
        <v>269.53313341581526</v>
      </c>
      <c r="D233" s="7"/>
      <c r="E233" s="4">
        <f t="shared" si="7"/>
        <v>442.26999999999794</v>
      </c>
      <c r="F233" s="200">
        <v>429.74069561826104</v>
      </c>
    </row>
    <row r="234" spans="2:6" x14ac:dyDescent="0.25">
      <c r="B234" s="4">
        <f t="shared" si="6"/>
        <v>572.27999999999793</v>
      </c>
      <c r="C234" s="199">
        <v>269.67067757216819</v>
      </c>
      <c r="D234" s="7"/>
      <c r="E234" s="4">
        <f t="shared" si="7"/>
        <v>442.27999999999793</v>
      </c>
      <c r="F234" s="200">
        <v>429.90495662050012</v>
      </c>
    </row>
    <row r="235" spans="2:6" x14ac:dyDescent="0.25">
      <c r="B235" s="4">
        <f t="shared" si="6"/>
        <v>572.28999999999792</v>
      </c>
      <c r="C235" s="199">
        <v>269.80822172852072</v>
      </c>
      <c r="D235" s="7"/>
      <c r="E235" s="4">
        <f t="shared" si="7"/>
        <v>442.28999999999792</v>
      </c>
      <c r="F235" s="200">
        <v>430.06966627311061</v>
      </c>
    </row>
    <row r="236" spans="2:6" x14ac:dyDescent="0.25">
      <c r="B236" s="4">
        <f t="shared" si="6"/>
        <v>572.29999999999791</v>
      </c>
      <c r="C236" s="199">
        <v>269.94576588487428</v>
      </c>
      <c r="D236" s="7"/>
      <c r="E236" s="4">
        <f t="shared" si="7"/>
        <v>442.29999999999791</v>
      </c>
      <c r="F236" s="200">
        <v>430.23437592572503</v>
      </c>
    </row>
    <row r="237" spans="2:6" x14ac:dyDescent="0.25">
      <c r="B237" s="4">
        <f t="shared" si="6"/>
        <v>572.3099999999979</v>
      </c>
      <c r="C237" s="199">
        <v>270.08331004122698</v>
      </c>
      <c r="D237" s="7"/>
      <c r="E237" s="4">
        <f t="shared" si="7"/>
        <v>442.3099999999979</v>
      </c>
      <c r="F237" s="200">
        <v>430.39908557834002</v>
      </c>
    </row>
    <row r="238" spans="2:6" x14ac:dyDescent="0.25">
      <c r="B238" s="4">
        <f t="shared" si="6"/>
        <v>572.31999999999789</v>
      </c>
      <c r="C238" s="199">
        <v>270.22107955440839</v>
      </c>
      <c r="D238" s="7"/>
      <c r="E238" s="4">
        <f t="shared" si="7"/>
        <v>442.31999999999789</v>
      </c>
      <c r="F238" s="200">
        <v>430.56379523095438</v>
      </c>
    </row>
    <row r="239" spans="2:6" x14ac:dyDescent="0.25">
      <c r="B239" s="4">
        <f t="shared" si="6"/>
        <v>572.32999999999788</v>
      </c>
      <c r="C239" s="199">
        <v>270.35884906759236</v>
      </c>
      <c r="D239" s="7"/>
      <c r="E239" s="4">
        <f t="shared" si="7"/>
        <v>442.32999999999788</v>
      </c>
      <c r="F239" s="200">
        <v>430.72850488356931</v>
      </c>
    </row>
    <row r="240" spans="2:6" x14ac:dyDescent="0.25">
      <c r="B240" s="4">
        <f t="shared" si="6"/>
        <v>572.33999999999787</v>
      </c>
      <c r="C240" s="199">
        <v>270.49661858077644</v>
      </c>
      <c r="D240" s="7"/>
      <c r="E240" s="4">
        <f t="shared" si="7"/>
        <v>442.33999999999787</v>
      </c>
      <c r="F240" s="200">
        <v>430.89321453618282</v>
      </c>
    </row>
    <row r="241" spans="2:6" x14ac:dyDescent="0.25">
      <c r="B241" s="4">
        <f t="shared" si="6"/>
        <v>572.34999999999786</v>
      </c>
      <c r="C241" s="199">
        <v>270.63438809396041</v>
      </c>
      <c r="D241" s="7"/>
      <c r="E241" s="4">
        <f t="shared" si="7"/>
        <v>442.34999999999786</v>
      </c>
      <c r="F241" s="200">
        <v>431.05792418879776</v>
      </c>
    </row>
    <row r="242" spans="2:6" x14ac:dyDescent="0.25">
      <c r="B242" s="4">
        <f t="shared" si="6"/>
        <v>572.35999999999785</v>
      </c>
      <c r="C242" s="199">
        <v>270.77215760714432</v>
      </c>
      <c r="D242" s="7"/>
      <c r="E242" s="4">
        <f t="shared" si="7"/>
        <v>442.35999999999785</v>
      </c>
      <c r="F242" s="200">
        <v>431.22263384141223</v>
      </c>
    </row>
    <row r="243" spans="2:6" x14ac:dyDescent="0.25">
      <c r="B243" s="4">
        <f t="shared" si="6"/>
        <v>572.36999999999784</v>
      </c>
      <c r="C243" s="199">
        <v>270.9099271203275</v>
      </c>
      <c r="D243" s="7"/>
      <c r="E243" s="4">
        <f t="shared" si="7"/>
        <v>442.36999999999784</v>
      </c>
      <c r="F243" s="200">
        <v>431.38734349402705</v>
      </c>
    </row>
    <row r="244" spans="2:6" x14ac:dyDescent="0.25">
      <c r="B244" s="4">
        <f t="shared" si="6"/>
        <v>572.37999999999784</v>
      </c>
      <c r="C244" s="199">
        <v>271.04769663351146</v>
      </c>
      <c r="D244" s="7"/>
      <c r="E244" s="4">
        <f t="shared" si="7"/>
        <v>442.37999999999784</v>
      </c>
      <c r="F244" s="200">
        <v>431.55205314664164</v>
      </c>
    </row>
    <row r="245" spans="2:6" x14ac:dyDescent="0.25">
      <c r="B245" s="4">
        <f t="shared" si="6"/>
        <v>572.38999999999783</v>
      </c>
      <c r="C245" s="199">
        <v>271.18546614669532</v>
      </c>
      <c r="D245" s="7"/>
      <c r="E245" s="4">
        <f t="shared" si="7"/>
        <v>442.38999999999783</v>
      </c>
      <c r="F245" s="200">
        <v>431.71722144335467</v>
      </c>
    </row>
    <row r="246" spans="2:6" x14ac:dyDescent="0.25">
      <c r="B246" s="4">
        <f t="shared" si="6"/>
        <v>572.39999999999782</v>
      </c>
      <c r="C246" s="199">
        <v>271.32323565987923</v>
      </c>
      <c r="D246" s="7"/>
      <c r="E246" s="4">
        <f t="shared" si="7"/>
        <v>442.39999999999782</v>
      </c>
      <c r="F246" s="200">
        <v>431.88238974006941</v>
      </c>
    </row>
    <row r="247" spans="2:6" x14ac:dyDescent="0.25">
      <c r="B247" s="4">
        <f t="shared" si="6"/>
        <v>572.40999999999781</v>
      </c>
      <c r="C247" s="199">
        <v>271.46100517306326</v>
      </c>
      <c r="D247" s="7"/>
      <c r="E247" s="4">
        <f t="shared" si="7"/>
        <v>442.40999999999781</v>
      </c>
      <c r="F247" s="200">
        <v>432.04755803678523</v>
      </c>
    </row>
    <row r="248" spans="2:6" x14ac:dyDescent="0.25">
      <c r="B248" s="4">
        <f t="shared" si="6"/>
        <v>572.4199999999978</v>
      </c>
      <c r="C248" s="199">
        <v>271.59899928329844</v>
      </c>
      <c r="D248" s="7"/>
      <c r="E248" s="4">
        <f t="shared" si="7"/>
        <v>442.4199999999978</v>
      </c>
      <c r="F248" s="200">
        <v>432.21272633350014</v>
      </c>
    </row>
    <row r="249" spans="2:6" x14ac:dyDescent="0.25">
      <c r="B249" s="4">
        <f t="shared" si="6"/>
        <v>572.42999999999779</v>
      </c>
      <c r="C249" s="199">
        <v>271.73699339353317</v>
      </c>
      <c r="D249" s="7"/>
      <c r="E249" s="4">
        <f t="shared" si="7"/>
        <v>442.42999999999779</v>
      </c>
      <c r="F249" s="200">
        <v>432.37789463021579</v>
      </c>
    </row>
    <row r="250" spans="2:6" x14ac:dyDescent="0.25">
      <c r="B250" s="4">
        <f t="shared" si="6"/>
        <v>572.43999999999778</v>
      </c>
      <c r="C250" s="199">
        <v>271.87498750376875</v>
      </c>
      <c r="D250" s="7"/>
      <c r="E250" s="4">
        <f t="shared" si="7"/>
        <v>442.43999999999778</v>
      </c>
      <c r="F250" s="200">
        <v>432.5430629269307</v>
      </c>
    </row>
    <row r="251" spans="2:6" x14ac:dyDescent="0.25">
      <c r="B251" s="4">
        <f t="shared" si="6"/>
        <v>572.44999999999777</v>
      </c>
      <c r="C251" s="199">
        <v>272.01298161400348</v>
      </c>
      <c r="D251" s="7"/>
      <c r="E251" s="4">
        <f t="shared" si="7"/>
        <v>442.44999999999777</v>
      </c>
      <c r="F251" s="200">
        <v>432.70823122364641</v>
      </c>
    </row>
    <row r="252" spans="2:6" x14ac:dyDescent="0.25">
      <c r="B252" s="4">
        <f t="shared" si="6"/>
        <v>572.45999999999776</v>
      </c>
      <c r="C252" s="199">
        <v>272.15097572423906</v>
      </c>
      <c r="D252" s="7"/>
      <c r="E252" s="4">
        <f t="shared" si="7"/>
        <v>442.45999999999776</v>
      </c>
      <c r="F252" s="200">
        <v>432.87339952036086</v>
      </c>
    </row>
    <row r="253" spans="2:6" x14ac:dyDescent="0.25">
      <c r="B253" s="4">
        <f t="shared" si="6"/>
        <v>572.46999999999775</v>
      </c>
      <c r="C253" s="199">
        <v>272.2889698344747</v>
      </c>
      <c r="D253" s="7"/>
      <c r="E253" s="4">
        <f t="shared" si="7"/>
        <v>442.46999999999775</v>
      </c>
      <c r="F253" s="200">
        <v>433.0385678170756</v>
      </c>
    </row>
    <row r="254" spans="2:6" x14ac:dyDescent="0.25">
      <c r="B254" s="4">
        <f t="shared" si="6"/>
        <v>572.47999999999774</v>
      </c>
      <c r="C254" s="199">
        <v>272.4269639447096</v>
      </c>
      <c r="D254" s="7"/>
      <c r="E254" s="4">
        <f t="shared" si="7"/>
        <v>442.47999999999774</v>
      </c>
      <c r="F254" s="200">
        <v>433.20373611379142</v>
      </c>
    </row>
    <row r="255" spans="2:6" x14ac:dyDescent="0.25">
      <c r="B255" s="4">
        <f t="shared" si="6"/>
        <v>572.48999999999774</v>
      </c>
      <c r="C255" s="199">
        <v>272.56495805494518</v>
      </c>
      <c r="D255" s="7"/>
      <c r="E255" s="4">
        <f t="shared" si="7"/>
        <v>442.48999999999774</v>
      </c>
      <c r="F255" s="200">
        <v>433.36935820076587</v>
      </c>
    </row>
    <row r="256" spans="2:6" x14ac:dyDescent="0.25">
      <c r="B256" s="4">
        <f t="shared" si="6"/>
        <v>572.49999999999773</v>
      </c>
      <c r="C256" s="199">
        <v>272.70295216517985</v>
      </c>
      <c r="D256" s="7"/>
      <c r="E256" s="4">
        <f t="shared" si="7"/>
        <v>442.49999999999773</v>
      </c>
      <c r="F256" s="200">
        <v>433.53498028774504</v>
      </c>
    </row>
    <row r="257" spans="2:6" x14ac:dyDescent="0.25">
      <c r="B257" s="4">
        <f t="shared" si="6"/>
        <v>572.50999999999772</v>
      </c>
      <c r="C257" s="199">
        <v>272.84094627541549</v>
      </c>
      <c r="D257" s="7"/>
      <c r="E257" s="4">
        <f t="shared" si="7"/>
        <v>442.50999999999772</v>
      </c>
      <c r="F257" s="200">
        <v>433.70060237472381</v>
      </c>
    </row>
    <row r="258" spans="2:6" x14ac:dyDescent="0.25">
      <c r="B258" s="4">
        <f t="shared" si="6"/>
        <v>572.51999999999771</v>
      </c>
      <c r="C258" s="199">
        <v>272.97916382642933</v>
      </c>
      <c r="D258" s="7"/>
      <c r="E258" s="4">
        <f t="shared" si="7"/>
        <v>442.51999999999771</v>
      </c>
      <c r="F258" s="200">
        <v>433.86622446170207</v>
      </c>
    </row>
    <row r="259" spans="2:6" x14ac:dyDescent="0.25">
      <c r="B259" s="4">
        <f t="shared" si="6"/>
        <v>572.5299999999977</v>
      </c>
      <c r="C259" s="199">
        <v>273.11738137744629</v>
      </c>
      <c r="D259" s="7"/>
      <c r="E259" s="4">
        <f t="shared" si="7"/>
        <v>442.5299999999977</v>
      </c>
      <c r="F259" s="200">
        <v>434.0318465486813</v>
      </c>
    </row>
    <row r="260" spans="2:6" x14ac:dyDescent="0.25">
      <c r="B260" s="4">
        <f t="shared" si="6"/>
        <v>572.53999999999769</v>
      </c>
      <c r="C260" s="199">
        <v>273.25559892846343</v>
      </c>
      <c r="D260" s="7"/>
      <c r="E260" s="4">
        <f t="shared" si="7"/>
        <v>442.53999999999769</v>
      </c>
      <c r="F260" s="200">
        <v>434.19746863566047</v>
      </c>
    </row>
    <row r="261" spans="2:6" x14ac:dyDescent="0.25">
      <c r="B261" s="4">
        <f t="shared" si="6"/>
        <v>572.54999999999768</v>
      </c>
      <c r="C261" s="199">
        <v>273.39381647947965</v>
      </c>
      <c r="D261" s="7"/>
      <c r="E261" s="4">
        <f t="shared" si="7"/>
        <v>442.54999999999768</v>
      </c>
      <c r="F261" s="200">
        <v>434.3630907226397</v>
      </c>
    </row>
    <row r="262" spans="2:6" x14ac:dyDescent="0.25">
      <c r="B262" s="4">
        <f t="shared" si="6"/>
        <v>572.55999999999767</v>
      </c>
      <c r="C262" s="199">
        <v>273.53203403049679</v>
      </c>
      <c r="D262" s="7"/>
      <c r="E262" s="4">
        <f t="shared" si="7"/>
        <v>442.55999999999767</v>
      </c>
      <c r="F262" s="200">
        <v>434.52871280961796</v>
      </c>
    </row>
    <row r="263" spans="2:6" x14ac:dyDescent="0.25">
      <c r="B263" s="4">
        <f t="shared" si="6"/>
        <v>572.56999999999766</v>
      </c>
      <c r="C263" s="199">
        <v>273.67025158151375</v>
      </c>
      <c r="D263" s="7"/>
      <c r="E263" s="4">
        <f t="shared" si="7"/>
        <v>442.56999999999766</v>
      </c>
      <c r="F263" s="200">
        <v>434.69433489659713</v>
      </c>
    </row>
    <row r="264" spans="2:6" x14ac:dyDescent="0.25">
      <c r="B264" s="4">
        <f t="shared" ref="B264:B327" si="8">+B263+0.01</f>
        <v>572.57999999999765</v>
      </c>
      <c r="C264" s="199">
        <v>273.80846913253083</v>
      </c>
      <c r="D264" s="7"/>
      <c r="E264" s="4">
        <f t="shared" ref="E264:E327" si="9">+E263+0.01</f>
        <v>442.57999999999765</v>
      </c>
      <c r="F264" s="200">
        <v>434.85995698357635</v>
      </c>
    </row>
    <row r="265" spans="2:6" x14ac:dyDescent="0.25">
      <c r="B265" s="4">
        <f t="shared" si="8"/>
        <v>572.58999999999764</v>
      </c>
      <c r="C265" s="199">
        <v>273.9466866835478</v>
      </c>
      <c r="D265" s="7"/>
      <c r="E265" s="4">
        <f t="shared" si="9"/>
        <v>442.58999999999764</v>
      </c>
      <c r="F265" s="200">
        <v>435.026033950282</v>
      </c>
    </row>
    <row r="266" spans="2:6" x14ac:dyDescent="0.25">
      <c r="B266" s="4">
        <f t="shared" si="8"/>
        <v>572.59999999999764</v>
      </c>
      <c r="C266" s="199">
        <v>274.08490423456419</v>
      </c>
      <c r="D266" s="7"/>
      <c r="E266" s="4">
        <f t="shared" si="9"/>
        <v>442.59999999999764</v>
      </c>
      <c r="F266" s="200">
        <v>435.19211091699083</v>
      </c>
    </row>
    <row r="267" spans="2:6" x14ac:dyDescent="0.25">
      <c r="B267" s="4">
        <f t="shared" si="8"/>
        <v>572.60999999999763</v>
      </c>
      <c r="C267" s="199">
        <v>274.2231217855811</v>
      </c>
      <c r="D267" s="7"/>
      <c r="E267" s="4">
        <f t="shared" si="9"/>
        <v>442.60999999999763</v>
      </c>
      <c r="F267" s="200">
        <v>435.35818788369954</v>
      </c>
    </row>
    <row r="268" spans="2:6" x14ac:dyDescent="0.25">
      <c r="B268" s="4">
        <f t="shared" si="8"/>
        <v>572.61999999999762</v>
      </c>
      <c r="C268" s="199">
        <v>274.36156424128023</v>
      </c>
      <c r="D268" s="7"/>
      <c r="E268" s="4">
        <f t="shared" si="9"/>
        <v>442.61999999999762</v>
      </c>
      <c r="F268" s="200">
        <v>435.52426485040831</v>
      </c>
    </row>
    <row r="269" spans="2:6" x14ac:dyDescent="0.25">
      <c r="B269" s="4">
        <f t="shared" si="8"/>
        <v>572.62999999999761</v>
      </c>
      <c r="C269" s="199">
        <v>274.50000669697999</v>
      </c>
      <c r="D269" s="7"/>
      <c r="E269" s="4">
        <f t="shared" si="9"/>
        <v>442.62999999999761</v>
      </c>
      <c r="F269" s="200">
        <v>435.69034181711714</v>
      </c>
    </row>
    <row r="270" spans="2:6" x14ac:dyDescent="0.25">
      <c r="B270" s="4">
        <f t="shared" si="8"/>
        <v>572.6399999999976</v>
      </c>
      <c r="C270" s="199">
        <v>274.63844915267975</v>
      </c>
      <c r="D270" s="7"/>
      <c r="E270" s="4">
        <f t="shared" si="9"/>
        <v>442.6399999999976</v>
      </c>
      <c r="F270" s="200">
        <v>435.85641878382586</v>
      </c>
    </row>
    <row r="271" spans="2:6" x14ac:dyDescent="0.25">
      <c r="B271" s="4">
        <f t="shared" si="8"/>
        <v>572.64999999999759</v>
      </c>
      <c r="C271" s="199">
        <v>274.77689160837957</v>
      </c>
      <c r="D271" s="7"/>
      <c r="E271" s="4">
        <f t="shared" si="9"/>
        <v>442.64999999999759</v>
      </c>
      <c r="F271" s="200">
        <v>436.02249575053469</v>
      </c>
    </row>
    <row r="272" spans="2:6" x14ac:dyDescent="0.25">
      <c r="B272" s="4">
        <f t="shared" si="8"/>
        <v>572.65999999999758</v>
      </c>
      <c r="C272" s="199">
        <v>274.91533406407927</v>
      </c>
      <c r="D272" s="7"/>
      <c r="E272" s="4">
        <f t="shared" si="9"/>
        <v>442.65999999999758</v>
      </c>
      <c r="F272" s="200">
        <v>436.18857271724352</v>
      </c>
    </row>
    <row r="273" spans="2:6" x14ac:dyDescent="0.25">
      <c r="B273" s="4">
        <f t="shared" si="8"/>
        <v>572.66999999999757</v>
      </c>
      <c r="C273" s="199">
        <v>275.05377651977807</v>
      </c>
      <c r="D273" s="7"/>
      <c r="E273" s="4">
        <f t="shared" si="9"/>
        <v>442.66999999999757</v>
      </c>
      <c r="F273" s="200">
        <v>436.35464968395172</v>
      </c>
    </row>
    <row r="274" spans="2:6" x14ac:dyDescent="0.25">
      <c r="B274" s="4">
        <f t="shared" si="8"/>
        <v>572.67999999999756</v>
      </c>
      <c r="C274" s="199">
        <v>275.19221897547772</v>
      </c>
      <c r="D274" s="7"/>
      <c r="E274" s="4">
        <f t="shared" si="9"/>
        <v>442.67999999999756</v>
      </c>
      <c r="F274" s="200">
        <v>436.52072665066055</v>
      </c>
    </row>
    <row r="275" spans="2:6" x14ac:dyDescent="0.25">
      <c r="B275" s="4">
        <f t="shared" si="8"/>
        <v>572.68999999999755</v>
      </c>
      <c r="C275" s="199">
        <v>275.33066143117748</v>
      </c>
      <c r="D275" s="7"/>
      <c r="E275" s="4">
        <f t="shared" si="9"/>
        <v>442.68999999999755</v>
      </c>
      <c r="F275" s="200">
        <v>436.68726123040153</v>
      </c>
    </row>
    <row r="276" spans="2:6" x14ac:dyDescent="0.25">
      <c r="B276" s="4">
        <f t="shared" si="8"/>
        <v>572.69999999999754</v>
      </c>
      <c r="C276" s="199">
        <v>275.46910388687724</v>
      </c>
      <c r="D276" s="7"/>
      <c r="E276" s="4">
        <f t="shared" si="9"/>
        <v>442.69999999999754</v>
      </c>
      <c r="F276" s="200">
        <v>436.85379581014473</v>
      </c>
    </row>
    <row r="277" spans="2:6" x14ac:dyDescent="0.25">
      <c r="B277" s="4">
        <f t="shared" si="8"/>
        <v>572.70999999999754</v>
      </c>
      <c r="C277" s="199">
        <v>275.60754634257609</v>
      </c>
      <c r="D277" s="7"/>
      <c r="E277" s="4">
        <f t="shared" si="9"/>
        <v>442.70999999999754</v>
      </c>
      <c r="F277" s="200">
        <v>437.02033038988833</v>
      </c>
    </row>
    <row r="278" spans="2:6" x14ac:dyDescent="0.25">
      <c r="B278" s="4">
        <f t="shared" si="8"/>
        <v>572.71999999999753</v>
      </c>
      <c r="C278" s="199">
        <v>275.74621095547798</v>
      </c>
      <c r="D278" s="7"/>
      <c r="E278" s="4">
        <f t="shared" si="9"/>
        <v>442.71999999999753</v>
      </c>
      <c r="F278" s="200">
        <v>437.18686496963244</v>
      </c>
    </row>
    <row r="279" spans="2:6" x14ac:dyDescent="0.25">
      <c r="B279" s="4">
        <f t="shared" si="8"/>
        <v>572.72999999999752</v>
      </c>
      <c r="C279" s="199">
        <v>275.88487556838311</v>
      </c>
      <c r="D279" s="7"/>
      <c r="E279" s="4">
        <f t="shared" si="9"/>
        <v>442.72999999999752</v>
      </c>
      <c r="F279" s="200">
        <v>437.35339954937564</v>
      </c>
    </row>
    <row r="280" spans="2:6" x14ac:dyDescent="0.25">
      <c r="B280" s="4">
        <f t="shared" si="8"/>
        <v>572.73999999999751</v>
      </c>
      <c r="C280" s="199">
        <v>276.02354018128699</v>
      </c>
      <c r="D280" s="7"/>
      <c r="E280" s="4">
        <f t="shared" si="9"/>
        <v>442.73999999999751</v>
      </c>
      <c r="F280" s="200">
        <v>437.51993412911878</v>
      </c>
    </row>
    <row r="281" spans="2:6" x14ac:dyDescent="0.25">
      <c r="B281" s="4">
        <f t="shared" si="8"/>
        <v>572.7499999999975</v>
      </c>
      <c r="C281" s="199">
        <v>276.16220479419115</v>
      </c>
      <c r="D281" s="7"/>
      <c r="E281" s="4">
        <f t="shared" si="9"/>
        <v>442.7499999999975</v>
      </c>
      <c r="F281" s="200">
        <v>437.68646870886232</v>
      </c>
    </row>
    <row r="282" spans="2:6" x14ac:dyDescent="0.25">
      <c r="B282" s="4">
        <f t="shared" si="8"/>
        <v>572.75999999999749</v>
      </c>
      <c r="C282" s="199">
        <v>276.300869407096</v>
      </c>
      <c r="D282" s="7"/>
      <c r="E282" s="4">
        <f t="shared" si="9"/>
        <v>442.75999999999749</v>
      </c>
      <c r="F282" s="200">
        <v>437.85300328860546</v>
      </c>
    </row>
    <row r="283" spans="2:6" x14ac:dyDescent="0.25">
      <c r="B283" s="4">
        <f t="shared" si="8"/>
        <v>572.76999999999748</v>
      </c>
      <c r="C283" s="199">
        <v>276.43953402000017</v>
      </c>
      <c r="D283" s="7"/>
      <c r="E283" s="4">
        <f t="shared" si="9"/>
        <v>442.76999999999748</v>
      </c>
      <c r="F283" s="200">
        <v>438.01953786834861</v>
      </c>
    </row>
    <row r="284" spans="2:6" x14ac:dyDescent="0.25">
      <c r="B284" s="4">
        <f t="shared" si="8"/>
        <v>572.77999999999747</v>
      </c>
      <c r="C284" s="199">
        <v>276.57819863290501</v>
      </c>
      <c r="D284" s="7"/>
      <c r="E284" s="4">
        <f t="shared" si="9"/>
        <v>442.77999999999747</v>
      </c>
      <c r="F284" s="200">
        <v>438.18607244809226</v>
      </c>
    </row>
    <row r="285" spans="2:6" x14ac:dyDescent="0.25">
      <c r="B285" s="4">
        <f t="shared" si="8"/>
        <v>572.78999999999746</v>
      </c>
      <c r="C285" s="199">
        <v>276.71686324580924</v>
      </c>
      <c r="D285" s="7"/>
      <c r="E285" s="4">
        <f t="shared" si="9"/>
        <v>442.78999999999746</v>
      </c>
      <c r="F285" s="200">
        <v>438.35306969086696</v>
      </c>
    </row>
    <row r="286" spans="2:6" x14ac:dyDescent="0.25">
      <c r="B286" s="4">
        <f t="shared" si="8"/>
        <v>572.79999999999745</v>
      </c>
      <c r="C286" s="199">
        <v>276.85552785871317</v>
      </c>
      <c r="D286" s="7"/>
      <c r="E286" s="4">
        <f t="shared" si="9"/>
        <v>442.79999999999745</v>
      </c>
      <c r="F286" s="200">
        <v>438.52006693364638</v>
      </c>
    </row>
    <row r="287" spans="2:6" x14ac:dyDescent="0.25">
      <c r="B287" s="4">
        <f t="shared" si="8"/>
        <v>572.80999999999744</v>
      </c>
      <c r="C287" s="199">
        <v>276.99419247161825</v>
      </c>
      <c r="D287" s="7"/>
      <c r="E287" s="4">
        <f t="shared" si="9"/>
        <v>442.80999999999744</v>
      </c>
      <c r="F287" s="200">
        <v>438.68706417642585</v>
      </c>
    </row>
    <row r="288" spans="2:6" x14ac:dyDescent="0.25">
      <c r="B288" s="4">
        <f t="shared" si="8"/>
        <v>572.81999999999744</v>
      </c>
      <c r="C288" s="199">
        <v>277.13307851163245</v>
      </c>
      <c r="D288" s="7"/>
      <c r="E288" s="4">
        <f t="shared" si="9"/>
        <v>442.81999999999744</v>
      </c>
      <c r="F288" s="200">
        <v>438.85406141920475</v>
      </c>
    </row>
    <row r="289" spans="2:6" x14ac:dyDescent="0.25">
      <c r="B289" s="4">
        <f t="shared" si="8"/>
        <v>572.82999999999743</v>
      </c>
      <c r="C289" s="199">
        <v>277.27196455164818</v>
      </c>
      <c r="D289" s="7"/>
      <c r="E289" s="4">
        <f t="shared" si="9"/>
        <v>442.82999999999743</v>
      </c>
      <c r="F289" s="200">
        <v>439.02105866198315</v>
      </c>
    </row>
    <row r="290" spans="2:6" x14ac:dyDescent="0.25">
      <c r="B290" s="4">
        <f t="shared" si="8"/>
        <v>572.83999999999742</v>
      </c>
      <c r="C290" s="199">
        <v>277.41085059166318</v>
      </c>
      <c r="D290" s="7"/>
      <c r="E290" s="4">
        <f t="shared" si="9"/>
        <v>442.83999999999742</v>
      </c>
      <c r="F290" s="200">
        <v>439.18805590476256</v>
      </c>
    </row>
    <row r="291" spans="2:6" x14ac:dyDescent="0.25">
      <c r="B291" s="4">
        <f t="shared" si="8"/>
        <v>572.84999999999741</v>
      </c>
      <c r="C291" s="199">
        <v>277.54973663167794</v>
      </c>
      <c r="D291" s="7"/>
      <c r="E291" s="4">
        <f t="shared" si="9"/>
        <v>442.84999999999741</v>
      </c>
      <c r="F291" s="200">
        <v>439.35505314754158</v>
      </c>
    </row>
    <row r="292" spans="2:6" x14ac:dyDescent="0.25">
      <c r="B292" s="4">
        <f t="shared" si="8"/>
        <v>572.8599999999974</v>
      </c>
      <c r="C292" s="199">
        <v>277.68862267169277</v>
      </c>
      <c r="D292" s="7"/>
      <c r="E292" s="4">
        <f t="shared" si="9"/>
        <v>442.8599999999974</v>
      </c>
      <c r="F292" s="200">
        <v>439.522050390321</v>
      </c>
    </row>
    <row r="293" spans="2:6" x14ac:dyDescent="0.25">
      <c r="B293" s="4">
        <f t="shared" si="8"/>
        <v>572.86999999999739</v>
      </c>
      <c r="C293" s="199">
        <v>277.82750871170845</v>
      </c>
      <c r="D293" s="7"/>
      <c r="E293" s="4">
        <f t="shared" si="9"/>
        <v>442.86999999999739</v>
      </c>
      <c r="F293" s="200">
        <v>439.68904763310036</v>
      </c>
    </row>
    <row r="294" spans="2:6" x14ac:dyDescent="0.25">
      <c r="B294" s="4">
        <f t="shared" si="8"/>
        <v>572.87999999999738</v>
      </c>
      <c r="C294" s="199">
        <v>277.96639475172339</v>
      </c>
      <c r="D294" s="7"/>
      <c r="E294" s="4">
        <f t="shared" si="9"/>
        <v>442.87999999999738</v>
      </c>
      <c r="F294" s="200">
        <v>439.85604487587921</v>
      </c>
    </row>
    <row r="295" spans="2:6" x14ac:dyDescent="0.25">
      <c r="B295" s="4">
        <f t="shared" si="8"/>
        <v>572.88999999999737</v>
      </c>
      <c r="C295" s="199">
        <v>278.10528079173827</v>
      </c>
      <c r="D295" s="7"/>
      <c r="E295" s="4">
        <f t="shared" si="9"/>
        <v>442.88999999999737</v>
      </c>
      <c r="F295" s="200">
        <v>440.02350710405926</v>
      </c>
    </row>
    <row r="296" spans="2:6" x14ac:dyDescent="0.25">
      <c r="B296" s="4">
        <f t="shared" si="8"/>
        <v>572.89999999999736</v>
      </c>
      <c r="C296" s="199">
        <v>278.24416683175377</v>
      </c>
      <c r="D296" s="7"/>
      <c r="E296" s="4">
        <f t="shared" si="9"/>
        <v>442.89999999999736</v>
      </c>
      <c r="F296" s="200">
        <v>440.19096933224296</v>
      </c>
    </row>
    <row r="297" spans="2:6" x14ac:dyDescent="0.25">
      <c r="B297" s="4">
        <f t="shared" si="8"/>
        <v>572.90999999999735</v>
      </c>
      <c r="C297" s="199">
        <v>278.38305287176854</v>
      </c>
      <c r="D297" s="7"/>
      <c r="E297" s="4">
        <f t="shared" si="9"/>
        <v>442.90999999999735</v>
      </c>
      <c r="F297" s="200">
        <v>440.35843156042563</v>
      </c>
    </row>
    <row r="298" spans="2:6" x14ac:dyDescent="0.25">
      <c r="B298" s="4">
        <f t="shared" si="8"/>
        <v>572.91999999999734</v>
      </c>
      <c r="C298" s="199">
        <v>278.52216346930101</v>
      </c>
      <c r="D298" s="7"/>
      <c r="E298" s="4">
        <f t="shared" si="9"/>
        <v>442.91999999999734</v>
      </c>
      <c r="F298" s="200">
        <v>440.5258937886087</v>
      </c>
    </row>
    <row r="299" spans="2:6" x14ac:dyDescent="0.25">
      <c r="B299" s="4">
        <f t="shared" si="8"/>
        <v>572.92999999999734</v>
      </c>
      <c r="C299" s="199">
        <v>278.66127406683609</v>
      </c>
      <c r="D299" s="7"/>
      <c r="E299" s="4">
        <f t="shared" si="9"/>
        <v>442.92999999999734</v>
      </c>
      <c r="F299" s="200">
        <v>440.69335601679143</v>
      </c>
    </row>
    <row r="300" spans="2:6" x14ac:dyDescent="0.25">
      <c r="B300" s="4">
        <f t="shared" si="8"/>
        <v>572.93999999999733</v>
      </c>
      <c r="C300" s="199">
        <v>278.80038466437156</v>
      </c>
      <c r="D300" s="7"/>
      <c r="E300" s="4">
        <f t="shared" si="9"/>
        <v>442.93999999999733</v>
      </c>
      <c r="F300" s="200">
        <v>440.86081824497541</v>
      </c>
    </row>
    <row r="301" spans="2:6" x14ac:dyDescent="0.25">
      <c r="B301" s="4">
        <f t="shared" si="8"/>
        <v>572.94999999999732</v>
      </c>
      <c r="C301" s="199">
        <v>278.93949526190659</v>
      </c>
      <c r="D301" s="7"/>
      <c r="E301" s="4">
        <f t="shared" si="9"/>
        <v>442.94999999999732</v>
      </c>
      <c r="F301" s="200">
        <v>441.02828047315808</v>
      </c>
    </row>
    <row r="302" spans="2:6" x14ac:dyDescent="0.25">
      <c r="B302" s="4">
        <f t="shared" si="8"/>
        <v>572.95999999999731</v>
      </c>
      <c r="C302" s="199">
        <v>279.07860585944172</v>
      </c>
      <c r="D302" s="7"/>
      <c r="E302" s="4">
        <f t="shared" si="9"/>
        <v>442.95999999999731</v>
      </c>
      <c r="F302" s="200">
        <v>441.19574270134126</v>
      </c>
    </row>
    <row r="303" spans="2:6" x14ac:dyDescent="0.25">
      <c r="B303" s="4">
        <f t="shared" si="8"/>
        <v>572.9699999999973</v>
      </c>
      <c r="C303" s="199">
        <v>279.21771645697709</v>
      </c>
      <c r="D303" s="7"/>
      <c r="E303" s="4">
        <f t="shared" si="9"/>
        <v>442.9699999999973</v>
      </c>
      <c r="F303" s="200">
        <v>441.36320492952478</v>
      </c>
    </row>
    <row r="304" spans="2:6" x14ac:dyDescent="0.25">
      <c r="B304" s="4">
        <f t="shared" si="8"/>
        <v>572.97999999999729</v>
      </c>
      <c r="C304" s="199">
        <v>279.35682705451222</v>
      </c>
      <c r="D304" s="7"/>
      <c r="E304" s="4">
        <f t="shared" si="9"/>
        <v>442.97999999999729</v>
      </c>
      <c r="F304" s="200">
        <v>441.53066715770802</v>
      </c>
    </row>
    <row r="305" spans="2:6" x14ac:dyDescent="0.25">
      <c r="B305" s="4">
        <f t="shared" si="8"/>
        <v>572.98999999999728</v>
      </c>
      <c r="C305" s="199">
        <v>279.49593765204736</v>
      </c>
      <c r="D305" s="7"/>
      <c r="E305" s="4">
        <f t="shared" si="9"/>
        <v>442.98999999999728</v>
      </c>
      <c r="F305" s="200">
        <v>441.69859216120807</v>
      </c>
    </row>
    <row r="306" spans="2:6" x14ac:dyDescent="0.25">
      <c r="B306" s="4">
        <f t="shared" si="8"/>
        <v>572.99999999999727</v>
      </c>
      <c r="C306" s="199">
        <v>279.6350482495825</v>
      </c>
      <c r="D306" s="7"/>
      <c r="E306" s="4">
        <f t="shared" si="9"/>
        <v>442.99999999999727</v>
      </c>
      <c r="F306" s="200">
        <v>441.86651716471175</v>
      </c>
    </row>
    <row r="307" spans="2:6" x14ac:dyDescent="0.25">
      <c r="B307" s="4">
        <f t="shared" si="8"/>
        <v>573.00999999999726</v>
      </c>
      <c r="C307" s="199">
        <v>279.7741588471178</v>
      </c>
      <c r="D307" s="7"/>
      <c r="E307" s="4">
        <f t="shared" si="9"/>
        <v>443.00999999999726</v>
      </c>
      <c r="F307" s="200">
        <v>442.03444216821555</v>
      </c>
    </row>
    <row r="308" spans="2:6" x14ac:dyDescent="0.25">
      <c r="B308" s="4">
        <f t="shared" si="8"/>
        <v>573.01999999999725</v>
      </c>
      <c r="C308" s="199">
        <v>279.91349161599527</v>
      </c>
      <c r="D308" s="7"/>
      <c r="E308" s="4">
        <f t="shared" si="9"/>
        <v>443.01999999999725</v>
      </c>
      <c r="F308" s="200">
        <v>442.20236717172031</v>
      </c>
    </row>
    <row r="309" spans="2:6" x14ac:dyDescent="0.25">
      <c r="B309" s="4">
        <f t="shared" si="8"/>
        <v>573.02999999999724</v>
      </c>
      <c r="C309" s="199">
        <v>280.0528243848733</v>
      </c>
      <c r="D309" s="7"/>
      <c r="E309" s="4">
        <f t="shared" si="9"/>
        <v>443.02999999999724</v>
      </c>
      <c r="F309" s="200">
        <v>442.37029217522417</v>
      </c>
    </row>
    <row r="310" spans="2:6" x14ac:dyDescent="0.25">
      <c r="B310" s="4">
        <f t="shared" si="8"/>
        <v>573.03999999999724</v>
      </c>
      <c r="C310" s="199">
        <v>280.19215715375134</v>
      </c>
      <c r="D310" s="7"/>
      <c r="E310" s="4">
        <f t="shared" si="9"/>
        <v>443.03999999999724</v>
      </c>
      <c r="F310" s="200">
        <v>442.53821717872796</v>
      </c>
    </row>
    <row r="311" spans="2:6" x14ac:dyDescent="0.25">
      <c r="B311" s="4">
        <f t="shared" si="8"/>
        <v>573.04999999999723</v>
      </c>
      <c r="C311" s="199">
        <v>280.33148992262926</v>
      </c>
      <c r="D311" s="7"/>
      <c r="E311" s="4">
        <f t="shared" si="9"/>
        <v>443.04999999999723</v>
      </c>
      <c r="F311" s="200">
        <v>442.70614218223164</v>
      </c>
    </row>
    <row r="312" spans="2:6" x14ac:dyDescent="0.25">
      <c r="B312" s="4">
        <f t="shared" si="8"/>
        <v>573.05999999999722</v>
      </c>
      <c r="C312" s="199">
        <v>280.47082269150724</v>
      </c>
      <c r="D312" s="7"/>
      <c r="E312" s="4">
        <f t="shared" si="9"/>
        <v>443.05999999999722</v>
      </c>
      <c r="F312" s="200">
        <v>442.87406718573681</v>
      </c>
    </row>
    <row r="313" spans="2:6" x14ac:dyDescent="0.25">
      <c r="B313" s="4">
        <f t="shared" si="8"/>
        <v>573.06999999999721</v>
      </c>
      <c r="C313" s="199">
        <v>280.61015546038533</v>
      </c>
      <c r="D313" s="7"/>
      <c r="E313" s="4">
        <f t="shared" si="9"/>
        <v>443.06999999999721</v>
      </c>
      <c r="F313" s="200">
        <v>443.04199218924066</v>
      </c>
    </row>
    <row r="314" spans="2:6" x14ac:dyDescent="0.25">
      <c r="B314" s="4">
        <f t="shared" si="8"/>
        <v>573.0799999999972</v>
      </c>
      <c r="C314" s="199">
        <v>280.74948822926336</v>
      </c>
      <c r="D314" s="7"/>
      <c r="E314" s="4">
        <f t="shared" si="9"/>
        <v>443.0799999999972</v>
      </c>
      <c r="F314" s="200">
        <v>443.20991719274446</v>
      </c>
    </row>
    <row r="315" spans="2:6" x14ac:dyDescent="0.25">
      <c r="B315" s="4">
        <f t="shared" si="8"/>
        <v>573.08999999999719</v>
      </c>
      <c r="C315" s="199">
        <v>280.88882099814128</v>
      </c>
      <c r="D315" s="7"/>
      <c r="E315" s="4">
        <f t="shared" si="9"/>
        <v>443.08999999999719</v>
      </c>
      <c r="F315" s="200">
        <v>443.378305714411</v>
      </c>
    </row>
    <row r="316" spans="2:6" x14ac:dyDescent="0.25">
      <c r="B316" s="4">
        <f t="shared" si="8"/>
        <v>573.09999999999718</v>
      </c>
      <c r="C316" s="199">
        <v>281.02815376701847</v>
      </c>
      <c r="D316" s="7"/>
      <c r="E316" s="4">
        <f t="shared" si="9"/>
        <v>443.09999999999718</v>
      </c>
      <c r="F316" s="200">
        <v>443.54669423607936</v>
      </c>
    </row>
    <row r="317" spans="2:6" x14ac:dyDescent="0.25">
      <c r="B317" s="4">
        <f t="shared" si="8"/>
        <v>573.10999999999717</v>
      </c>
      <c r="C317" s="199">
        <v>281.16748653589644</v>
      </c>
      <c r="D317" s="7"/>
      <c r="E317" s="4">
        <f t="shared" si="9"/>
        <v>443.10999999999717</v>
      </c>
      <c r="F317" s="200">
        <v>443.71508275774778</v>
      </c>
    </row>
    <row r="318" spans="2:6" x14ac:dyDescent="0.25">
      <c r="B318" s="4">
        <f t="shared" si="8"/>
        <v>573.11999999999716</v>
      </c>
      <c r="C318" s="199">
        <v>281.30703845611191</v>
      </c>
      <c r="D318" s="7"/>
      <c r="E318" s="4">
        <f t="shared" si="9"/>
        <v>443.11999999999716</v>
      </c>
      <c r="F318" s="200">
        <v>443.88347127941626</v>
      </c>
    </row>
    <row r="319" spans="2:6" x14ac:dyDescent="0.25">
      <c r="B319" s="4">
        <f t="shared" si="8"/>
        <v>573.12999999999715</v>
      </c>
      <c r="C319" s="199">
        <v>281.4465903763292</v>
      </c>
      <c r="D319" s="7"/>
      <c r="E319" s="4">
        <f t="shared" si="9"/>
        <v>443.12999999999715</v>
      </c>
      <c r="F319" s="200">
        <v>444.05185980108371</v>
      </c>
    </row>
    <row r="320" spans="2:6" x14ac:dyDescent="0.25">
      <c r="B320" s="4">
        <f t="shared" si="8"/>
        <v>573.13999999999714</v>
      </c>
      <c r="C320" s="199">
        <v>281.58614229654626</v>
      </c>
      <c r="D320" s="7"/>
      <c r="E320" s="4">
        <f t="shared" si="9"/>
        <v>443.13999999999714</v>
      </c>
      <c r="F320" s="200">
        <v>444.22024832275213</v>
      </c>
    </row>
    <row r="321" spans="2:6" x14ac:dyDescent="0.25">
      <c r="B321" s="4">
        <f t="shared" si="8"/>
        <v>573.14999999999714</v>
      </c>
      <c r="C321" s="199">
        <v>281.72569421676366</v>
      </c>
      <c r="D321" s="7"/>
      <c r="E321" s="4">
        <f t="shared" si="9"/>
        <v>443.14999999999714</v>
      </c>
      <c r="F321" s="200">
        <v>444.38863684442049</v>
      </c>
    </row>
    <row r="322" spans="2:6" x14ac:dyDescent="0.25">
      <c r="B322" s="4">
        <f t="shared" si="8"/>
        <v>573.15999999999713</v>
      </c>
      <c r="C322" s="199">
        <v>281.86524613698094</v>
      </c>
      <c r="D322" s="7"/>
      <c r="E322" s="4">
        <f t="shared" si="9"/>
        <v>443.15999999999713</v>
      </c>
      <c r="F322" s="200">
        <v>444.55702536608936</v>
      </c>
    </row>
    <row r="323" spans="2:6" x14ac:dyDescent="0.25">
      <c r="B323" s="4">
        <f t="shared" si="8"/>
        <v>573.16999999999712</v>
      </c>
      <c r="C323" s="199">
        <v>282.00479805719823</v>
      </c>
      <c r="D323" s="7"/>
      <c r="E323" s="4">
        <f t="shared" si="9"/>
        <v>443.16999999999712</v>
      </c>
      <c r="F323" s="200">
        <v>444.72541388775772</v>
      </c>
    </row>
    <row r="324" spans="2:6" x14ac:dyDescent="0.25">
      <c r="B324" s="4">
        <f t="shared" si="8"/>
        <v>573.17999999999711</v>
      </c>
      <c r="C324" s="199">
        <v>282.14434997741529</v>
      </c>
      <c r="D324" s="7"/>
      <c r="E324" s="4">
        <f t="shared" si="9"/>
        <v>443.17999999999711</v>
      </c>
      <c r="F324" s="200">
        <v>444.89380240942609</v>
      </c>
    </row>
    <row r="325" spans="2:6" x14ac:dyDescent="0.25">
      <c r="B325" s="4">
        <f t="shared" si="8"/>
        <v>573.1899999999971</v>
      </c>
      <c r="C325" s="199">
        <v>282.28390189763257</v>
      </c>
      <c r="D325" s="7"/>
      <c r="E325" s="4">
        <f t="shared" si="9"/>
        <v>443.1899999999971</v>
      </c>
      <c r="F325" s="200">
        <v>445.0626587706991</v>
      </c>
    </row>
    <row r="326" spans="2:6" x14ac:dyDescent="0.25">
      <c r="B326" s="4">
        <f t="shared" si="8"/>
        <v>573.19999999999709</v>
      </c>
      <c r="C326" s="199">
        <v>282.42345381785077</v>
      </c>
      <c r="D326" s="7"/>
      <c r="E326" s="4">
        <f t="shared" si="9"/>
        <v>443.19999999999709</v>
      </c>
      <c r="F326" s="200">
        <v>445.23151513197706</v>
      </c>
    </row>
    <row r="327" spans="2:6" x14ac:dyDescent="0.25">
      <c r="B327" s="4">
        <f t="shared" si="8"/>
        <v>573.20999999999708</v>
      </c>
      <c r="C327" s="199">
        <v>282.56300573806794</v>
      </c>
      <c r="D327" s="7"/>
      <c r="E327" s="4">
        <f t="shared" si="9"/>
        <v>443.20999999999708</v>
      </c>
      <c r="F327" s="200">
        <v>445.40037149325417</v>
      </c>
    </row>
    <row r="328" spans="2:6" x14ac:dyDescent="0.25">
      <c r="B328" s="4">
        <f t="shared" ref="B328:B391" si="10">+B327+0.01</f>
        <v>573.21999999999707</v>
      </c>
      <c r="C328" s="199">
        <v>282.70277600518818</v>
      </c>
      <c r="D328" s="7"/>
      <c r="E328" s="4">
        <f t="shared" ref="E328:E391" si="11">+E327+0.01</f>
        <v>443.21999999999707</v>
      </c>
      <c r="F328" s="200">
        <v>445.56922785453122</v>
      </c>
    </row>
    <row r="329" spans="2:6" x14ac:dyDescent="0.25">
      <c r="B329" s="4">
        <f t="shared" si="10"/>
        <v>573.22999999999706</v>
      </c>
      <c r="C329" s="199">
        <v>282.84254627230905</v>
      </c>
      <c r="D329" s="7"/>
      <c r="E329" s="4">
        <f t="shared" si="11"/>
        <v>443.22999999999706</v>
      </c>
      <c r="F329" s="200">
        <v>445.73808421580924</v>
      </c>
    </row>
    <row r="330" spans="2:6" x14ac:dyDescent="0.25">
      <c r="B330" s="4">
        <f t="shared" si="10"/>
        <v>573.23999999999705</v>
      </c>
      <c r="C330" s="199">
        <v>282.98231653942986</v>
      </c>
      <c r="D330" s="7"/>
      <c r="E330" s="4">
        <f t="shared" si="11"/>
        <v>443.23999999999705</v>
      </c>
      <c r="F330" s="200">
        <v>445.90694057708629</v>
      </c>
    </row>
    <row r="331" spans="2:6" x14ac:dyDescent="0.25">
      <c r="B331" s="4">
        <f t="shared" si="10"/>
        <v>573.24999999999704</v>
      </c>
      <c r="C331" s="199">
        <v>283.12208680655147</v>
      </c>
      <c r="D331" s="7"/>
      <c r="E331" s="4">
        <f t="shared" si="11"/>
        <v>443.24999999999704</v>
      </c>
      <c r="F331" s="200">
        <v>446.07579693836334</v>
      </c>
    </row>
    <row r="332" spans="2:6" x14ac:dyDescent="0.25">
      <c r="B332" s="4">
        <f t="shared" si="10"/>
        <v>573.25999999999704</v>
      </c>
      <c r="C332" s="199">
        <v>283.26185707367222</v>
      </c>
      <c r="D332" s="7"/>
      <c r="E332" s="4">
        <f t="shared" si="11"/>
        <v>443.25999999999704</v>
      </c>
      <c r="F332" s="200">
        <v>446.2446532996413</v>
      </c>
    </row>
    <row r="333" spans="2:6" x14ac:dyDescent="0.25">
      <c r="B333" s="4">
        <f t="shared" si="10"/>
        <v>573.26999999999703</v>
      </c>
      <c r="C333" s="199">
        <v>283.40162734079314</v>
      </c>
      <c r="D333" s="7"/>
      <c r="E333" s="4">
        <f t="shared" si="11"/>
        <v>443.26999999999703</v>
      </c>
      <c r="F333" s="200">
        <v>446.41350966091835</v>
      </c>
    </row>
    <row r="334" spans="2:6" x14ac:dyDescent="0.25">
      <c r="B334" s="4">
        <f t="shared" si="10"/>
        <v>573.27999999999702</v>
      </c>
      <c r="C334" s="199">
        <v>283.54139760791367</v>
      </c>
      <c r="D334" s="7"/>
      <c r="E334" s="4">
        <f t="shared" si="11"/>
        <v>443.27999999999702</v>
      </c>
      <c r="F334" s="200">
        <v>446.58236602219546</v>
      </c>
    </row>
    <row r="335" spans="2:6" x14ac:dyDescent="0.25">
      <c r="B335" s="4">
        <f t="shared" si="10"/>
        <v>573.28999999999701</v>
      </c>
      <c r="C335" s="199">
        <v>283.68116787503556</v>
      </c>
      <c r="D335" s="7"/>
      <c r="E335" s="4">
        <f t="shared" si="11"/>
        <v>443.28999999999701</v>
      </c>
      <c r="F335" s="200">
        <v>446.75179354365065</v>
      </c>
    </row>
    <row r="336" spans="2:6" x14ac:dyDescent="0.25">
      <c r="B336" s="4">
        <f t="shared" si="10"/>
        <v>573.299999999997</v>
      </c>
      <c r="C336" s="199">
        <v>283.82093814215636</v>
      </c>
      <c r="D336" s="7"/>
      <c r="E336" s="4">
        <f t="shared" si="11"/>
        <v>443.299999999997</v>
      </c>
      <c r="F336" s="200">
        <v>446.92122106511033</v>
      </c>
    </row>
    <row r="337" spans="2:6" x14ac:dyDescent="0.25">
      <c r="B337" s="4">
        <f t="shared" si="10"/>
        <v>573.30999999999699</v>
      </c>
      <c r="C337" s="199">
        <v>283.96070840927723</v>
      </c>
      <c r="D337" s="7"/>
      <c r="E337" s="4">
        <f t="shared" si="11"/>
        <v>443.30999999999699</v>
      </c>
      <c r="F337" s="200">
        <v>447.0906485865691</v>
      </c>
    </row>
    <row r="338" spans="2:6" x14ac:dyDescent="0.25">
      <c r="B338" s="4">
        <f t="shared" si="10"/>
        <v>573.31999999999698</v>
      </c>
      <c r="C338" s="199">
        <v>284.10069417621753</v>
      </c>
      <c r="D338" s="7"/>
      <c r="E338" s="4">
        <f t="shared" si="11"/>
        <v>443.31999999999698</v>
      </c>
      <c r="F338" s="200">
        <v>447.26007610802935</v>
      </c>
    </row>
    <row r="339" spans="2:6" x14ac:dyDescent="0.25">
      <c r="B339" s="4">
        <f t="shared" si="10"/>
        <v>573.32999999999697</v>
      </c>
      <c r="C339" s="199">
        <v>284.24067994315965</v>
      </c>
      <c r="D339" s="7"/>
      <c r="E339" s="4">
        <f t="shared" si="11"/>
        <v>443.32999999999697</v>
      </c>
      <c r="F339" s="200">
        <v>447.42950362948909</v>
      </c>
    </row>
    <row r="340" spans="2:6" x14ac:dyDescent="0.25">
      <c r="B340" s="4">
        <f t="shared" si="10"/>
        <v>573.33999999999696</v>
      </c>
      <c r="C340" s="199">
        <v>284.38066571010182</v>
      </c>
      <c r="D340" s="7"/>
      <c r="E340" s="4">
        <f t="shared" si="11"/>
        <v>443.33999999999696</v>
      </c>
      <c r="F340" s="200">
        <v>447.59893115094786</v>
      </c>
    </row>
    <row r="341" spans="2:6" x14ac:dyDescent="0.25">
      <c r="B341" s="4">
        <f t="shared" si="10"/>
        <v>573.34999999999695</v>
      </c>
      <c r="C341" s="199">
        <v>284.52065147704388</v>
      </c>
      <c r="D341" s="7"/>
      <c r="E341" s="4">
        <f t="shared" si="11"/>
        <v>443.34999999999695</v>
      </c>
      <c r="F341" s="200">
        <v>447.76835867240817</v>
      </c>
    </row>
    <row r="342" spans="2:6" x14ac:dyDescent="0.25">
      <c r="B342" s="4">
        <f t="shared" si="10"/>
        <v>573.35999999999694</v>
      </c>
      <c r="C342" s="199">
        <v>284.66063724398595</v>
      </c>
      <c r="D342" s="7"/>
      <c r="E342" s="4">
        <f t="shared" si="11"/>
        <v>443.35999999999694</v>
      </c>
      <c r="F342" s="200">
        <v>447.93778619386791</v>
      </c>
    </row>
    <row r="343" spans="2:6" x14ac:dyDescent="0.25">
      <c r="B343" s="4">
        <f t="shared" si="10"/>
        <v>573.36999999999694</v>
      </c>
      <c r="C343" s="199">
        <v>284.80062301092818</v>
      </c>
      <c r="D343" s="7"/>
      <c r="E343" s="4">
        <f t="shared" si="11"/>
        <v>443.36999999999694</v>
      </c>
      <c r="F343" s="200">
        <v>448.10721371532668</v>
      </c>
    </row>
    <row r="344" spans="2:6" x14ac:dyDescent="0.25">
      <c r="B344" s="4">
        <f t="shared" si="10"/>
        <v>573.37999999999693</v>
      </c>
      <c r="C344" s="199">
        <v>284.94060877787115</v>
      </c>
      <c r="D344" s="7"/>
      <c r="E344" s="4">
        <f t="shared" si="11"/>
        <v>443.37999999999693</v>
      </c>
      <c r="F344" s="200">
        <v>448.27664123678647</v>
      </c>
    </row>
    <row r="345" spans="2:6" x14ac:dyDescent="0.25">
      <c r="B345" s="4">
        <f t="shared" si="10"/>
        <v>573.38999999999692</v>
      </c>
      <c r="C345" s="199">
        <v>285.08059454481315</v>
      </c>
      <c r="D345" s="7"/>
      <c r="E345" s="4">
        <f t="shared" si="11"/>
        <v>443.38999999999692</v>
      </c>
      <c r="F345" s="200">
        <v>448.44653540389163</v>
      </c>
    </row>
    <row r="346" spans="2:6" x14ac:dyDescent="0.25">
      <c r="B346" s="4">
        <f t="shared" si="10"/>
        <v>573.39999999999691</v>
      </c>
      <c r="C346" s="199">
        <v>285.2205803117555</v>
      </c>
      <c r="D346" s="7"/>
      <c r="E346" s="4">
        <f t="shared" si="11"/>
        <v>443.39999999999691</v>
      </c>
      <c r="F346" s="200">
        <v>448.61642957100042</v>
      </c>
    </row>
    <row r="347" spans="2:6" x14ac:dyDescent="0.25">
      <c r="B347" s="4">
        <f t="shared" si="10"/>
        <v>573.4099999999969</v>
      </c>
      <c r="C347" s="199">
        <v>285.36056607869745</v>
      </c>
      <c r="D347" s="7"/>
      <c r="E347" s="4">
        <f t="shared" si="11"/>
        <v>443.4099999999969</v>
      </c>
      <c r="F347" s="200">
        <v>448.78632373810831</v>
      </c>
    </row>
    <row r="348" spans="2:6" x14ac:dyDescent="0.25">
      <c r="B348" s="4">
        <f t="shared" si="10"/>
        <v>573.41999999999689</v>
      </c>
      <c r="C348" s="199">
        <v>285.50076642914451</v>
      </c>
      <c r="D348" s="7"/>
      <c r="E348" s="4">
        <f t="shared" si="11"/>
        <v>443.41999999999689</v>
      </c>
      <c r="F348" s="200">
        <v>448.9562179052171</v>
      </c>
    </row>
    <row r="349" spans="2:6" x14ac:dyDescent="0.25">
      <c r="B349" s="4">
        <f t="shared" si="10"/>
        <v>573.42999999999688</v>
      </c>
      <c r="C349" s="199">
        <v>285.64096677959208</v>
      </c>
      <c r="D349" s="7"/>
      <c r="E349" s="4">
        <f t="shared" si="11"/>
        <v>443.42999999999688</v>
      </c>
      <c r="F349" s="200">
        <v>449.1261120723251</v>
      </c>
    </row>
    <row r="350" spans="2:6" x14ac:dyDescent="0.25">
      <c r="B350" s="4">
        <f t="shared" si="10"/>
        <v>573.43999999999687</v>
      </c>
      <c r="C350" s="199">
        <v>285.78116713003965</v>
      </c>
      <c r="D350" s="7"/>
      <c r="E350" s="4">
        <f t="shared" si="11"/>
        <v>443.43999999999687</v>
      </c>
      <c r="F350" s="200">
        <v>449.29600623943395</v>
      </c>
    </row>
    <row r="351" spans="2:6" x14ac:dyDescent="0.25">
      <c r="B351" s="4">
        <f t="shared" si="10"/>
        <v>573.44999999999686</v>
      </c>
      <c r="C351" s="199">
        <v>285.92136748048705</v>
      </c>
      <c r="D351" s="7"/>
      <c r="E351" s="4">
        <f t="shared" si="11"/>
        <v>443.44999999999686</v>
      </c>
      <c r="F351" s="200">
        <v>449.46590040654178</v>
      </c>
    </row>
    <row r="352" spans="2:6" x14ac:dyDescent="0.25">
      <c r="B352" s="4">
        <f t="shared" si="10"/>
        <v>573.45999999999685</v>
      </c>
      <c r="C352" s="199">
        <v>286.06156783093462</v>
      </c>
      <c r="D352" s="7"/>
      <c r="E352" s="4">
        <f t="shared" si="11"/>
        <v>443.45999999999685</v>
      </c>
      <c r="F352" s="200">
        <v>449.63579457365017</v>
      </c>
    </row>
    <row r="353" spans="2:6" x14ac:dyDescent="0.25">
      <c r="B353" s="4">
        <f t="shared" si="10"/>
        <v>573.46999999999684</v>
      </c>
      <c r="C353" s="199">
        <v>286.20176818138293</v>
      </c>
      <c r="D353" s="7"/>
      <c r="E353" s="4">
        <f t="shared" si="11"/>
        <v>443.46999999999684</v>
      </c>
      <c r="F353" s="200">
        <v>449.80568874075908</v>
      </c>
    </row>
    <row r="354" spans="2:6" x14ac:dyDescent="0.25">
      <c r="B354" s="4">
        <f t="shared" si="10"/>
        <v>573.47999999999683</v>
      </c>
      <c r="C354" s="199">
        <v>286.3419685318305</v>
      </c>
      <c r="D354" s="7"/>
      <c r="E354" s="4">
        <f t="shared" si="11"/>
        <v>443.47999999999683</v>
      </c>
      <c r="F354" s="200">
        <v>449.97558290786696</v>
      </c>
    </row>
    <row r="355" spans="2:6" x14ac:dyDescent="0.25">
      <c r="B355" s="4">
        <f t="shared" si="10"/>
        <v>573.48999999999683</v>
      </c>
      <c r="C355" s="199">
        <v>286.4821688822779</v>
      </c>
      <c r="D355" s="7"/>
      <c r="E355" s="4">
        <f t="shared" si="11"/>
        <v>443.48999999999683</v>
      </c>
      <c r="F355" s="200">
        <v>450.14594763764779</v>
      </c>
    </row>
    <row r="356" spans="2:6" x14ac:dyDescent="0.25">
      <c r="B356" s="4">
        <f t="shared" si="10"/>
        <v>573.49999999999682</v>
      </c>
      <c r="C356" s="199">
        <v>286.62236923272548</v>
      </c>
      <c r="D356" s="7"/>
      <c r="E356" s="4">
        <f t="shared" si="11"/>
        <v>443.49999999999682</v>
      </c>
      <c r="F356" s="200">
        <v>450.31631236743129</v>
      </c>
    </row>
    <row r="357" spans="2:6" x14ac:dyDescent="0.25">
      <c r="B357" s="4">
        <f t="shared" si="10"/>
        <v>573.50999999999681</v>
      </c>
      <c r="C357" s="199">
        <v>286.76256958317305</v>
      </c>
      <c r="D357" s="7"/>
      <c r="E357" s="4">
        <f t="shared" si="11"/>
        <v>443.50999999999681</v>
      </c>
      <c r="F357" s="200">
        <v>450.48667709721582</v>
      </c>
    </row>
    <row r="358" spans="2:6" x14ac:dyDescent="0.25">
      <c r="B358" s="4">
        <f t="shared" si="10"/>
        <v>573.5199999999968</v>
      </c>
      <c r="C358" s="199">
        <v>286.9029858977284</v>
      </c>
      <c r="D358" s="7"/>
      <c r="E358" s="4">
        <f t="shared" si="11"/>
        <v>443.5199999999968</v>
      </c>
      <c r="F358" s="200">
        <v>450.65704182699943</v>
      </c>
    </row>
    <row r="359" spans="2:6" x14ac:dyDescent="0.25">
      <c r="B359" s="4">
        <f t="shared" si="10"/>
        <v>573.52999999999679</v>
      </c>
      <c r="C359" s="199">
        <v>287.04340221228625</v>
      </c>
      <c r="D359" s="7"/>
      <c r="E359" s="4">
        <f t="shared" si="11"/>
        <v>443.52999999999679</v>
      </c>
      <c r="F359" s="200">
        <v>450.82740655678305</v>
      </c>
    </row>
    <row r="360" spans="2:6" x14ac:dyDescent="0.25">
      <c r="B360" s="4">
        <f t="shared" si="10"/>
        <v>573.53999999999678</v>
      </c>
      <c r="C360" s="199">
        <v>287.18381852684405</v>
      </c>
      <c r="D360" s="7"/>
      <c r="E360" s="4">
        <f t="shared" si="11"/>
        <v>443.53999999999678</v>
      </c>
      <c r="F360" s="200">
        <v>450.9977712865674</v>
      </c>
    </row>
    <row r="361" spans="2:6" x14ac:dyDescent="0.25">
      <c r="B361" s="4">
        <f t="shared" si="10"/>
        <v>573.54999999999677</v>
      </c>
      <c r="C361" s="199">
        <v>287.32423484140264</v>
      </c>
      <c r="D361" s="7"/>
      <c r="E361" s="4">
        <f t="shared" si="11"/>
        <v>443.54999999999677</v>
      </c>
      <c r="F361" s="200">
        <v>451.16813601635101</v>
      </c>
    </row>
    <row r="362" spans="2:6" x14ac:dyDescent="0.25">
      <c r="B362" s="4">
        <f t="shared" si="10"/>
        <v>573.55999999999676</v>
      </c>
      <c r="C362" s="199">
        <v>287.4646511559605</v>
      </c>
      <c r="D362" s="7"/>
      <c r="E362" s="4">
        <f t="shared" si="11"/>
        <v>443.55999999999676</v>
      </c>
      <c r="F362" s="200">
        <v>451.33850074613559</v>
      </c>
    </row>
    <row r="363" spans="2:6" x14ac:dyDescent="0.25">
      <c r="B363" s="4">
        <f t="shared" si="10"/>
        <v>573.56999999999675</v>
      </c>
      <c r="C363" s="199">
        <v>287.60506747051824</v>
      </c>
      <c r="D363" s="7"/>
      <c r="E363" s="4">
        <f t="shared" si="11"/>
        <v>443.56999999999675</v>
      </c>
      <c r="F363" s="200">
        <v>451.50886547591904</v>
      </c>
    </row>
    <row r="364" spans="2:6" x14ac:dyDescent="0.25">
      <c r="B364" s="4">
        <f t="shared" si="10"/>
        <v>573.57999999999674</v>
      </c>
      <c r="C364" s="199">
        <v>287.74548378507598</v>
      </c>
      <c r="D364" s="7"/>
      <c r="E364" s="4">
        <f t="shared" si="11"/>
        <v>443.57999999999674</v>
      </c>
      <c r="F364" s="200">
        <v>451.67923020570356</v>
      </c>
    </row>
    <row r="365" spans="2:6" x14ac:dyDescent="0.25">
      <c r="B365" s="4">
        <f t="shared" si="10"/>
        <v>573.58999999999673</v>
      </c>
      <c r="C365" s="199">
        <v>287.88590009963372</v>
      </c>
      <c r="D365" s="7"/>
      <c r="E365" s="4">
        <f t="shared" si="11"/>
        <v>443.58999999999673</v>
      </c>
      <c r="F365" s="200">
        <v>451.85007185408938</v>
      </c>
    </row>
    <row r="366" spans="2:6" x14ac:dyDescent="0.25">
      <c r="B366" s="4">
        <f t="shared" si="10"/>
        <v>573.59999999999673</v>
      </c>
      <c r="C366" s="199">
        <v>288.02631641419242</v>
      </c>
      <c r="D366" s="7"/>
      <c r="E366" s="4">
        <f t="shared" si="11"/>
        <v>443.59999999999673</v>
      </c>
      <c r="F366" s="200">
        <v>452.02091350247935</v>
      </c>
    </row>
    <row r="367" spans="2:6" x14ac:dyDescent="0.25">
      <c r="B367" s="4">
        <f t="shared" si="10"/>
        <v>573.60999999999672</v>
      </c>
      <c r="C367" s="199">
        <v>288.16673272875016</v>
      </c>
      <c r="D367" s="7"/>
      <c r="E367" s="4">
        <f t="shared" si="11"/>
        <v>443.60999999999672</v>
      </c>
      <c r="F367" s="200">
        <v>452.19175515086891</v>
      </c>
    </row>
    <row r="368" spans="2:6" x14ac:dyDescent="0.25">
      <c r="B368" s="4">
        <f t="shared" si="10"/>
        <v>573.61999999999671</v>
      </c>
      <c r="C368" s="199">
        <v>288.30736839378636</v>
      </c>
      <c r="D368" s="7"/>
      <c r="E368" s="4">
        <f t="shared" si="11"/>
        <v>443.61999999999671</v>
      </c>
      <c r="F368" s="200">
        <v>452.36259679925934</v>
      </c>
    </row>
    <row r="369" spans="2:6" x14ac:dyDescent="0.25">
      <c r="B369" s="4">
        <f t="shared" si="10"/>
        <v>573.6299999999967</v>
      </c>
      <c r="C369" s="199">
        <v>288.44800405882336</v>
      </c>
      <c r="D369" s="7"/>
      <c r="E369" s="4">
        <f t="shared" si="11"/>
        <v>443.6299999999967</v>
      </c>
      <c r="F369" s="200">
        <v>452.53343844764885</v>
      </c>
    </row>
    <row r="370" spans="2:6" x14ac:dyDescent="0.25">
      <c r="B370" s="4">
        <f t="shared" si="10"/>
        <v>573.63999999999669</v>
      </c>
      <c r="C370" s="199">
        <v>288.5886397238603</v>
      </c>
      <c r="D370" s="7"/>
      <c r="E370" s="4">
        <f t="shared" si="11"/>
        <v>443.63999999999669</v>
      </c>
      <c r="F370" s="200">
        <v>452.70428009603893</v>
      </c>
    </row>
    <row r="371" spans="2:6" x14ac:dyDescent="0.25">
      <c r="B371" s="4">
        <f t="shared" si="10"/>
        <v>573.64999999999668</v>
      </c>
      <c r="C371" s="199">
        <v>288.72927538889832</v>
      </c>
      <c r="D371" s="7"/>
      <c r="E371" s="4">
        <f t="shared" si="11"/>
        <v>443.64999999999668</v>
      </c>
      <c r="F371" s="200">
        <v>452.87512174442844</v>
      </c>
    </row>
    <row r="372" spans="2:6" x14ac:dyDescent="0.25">
      <c r="B372" s="4">
        <f t="shared" si="10"/>
        <v>573.65999999999667</v>
      </c>
      <c r="C372" s="199">
        <v>288.86991105393525</v>
      </c>
      <c r="D372" s="7"/>
      <c r="E372" s="4">
        <f t="shared" si="11"/>
        <v>443.65999999999667</v>
      </c>
      <c r="F372" s="200">
        <v>453.04596339281898</v>
      </c>
    </row>
    <row r="373" spans="2:6" x14ac:dyDescent="0.25">
      <c r="B373" s="4">
        <f t="shared" si="10"/>
        <v>573.66999999999666</v>
      </c>
      <c r="C373" s="199">
        <v>289.01054671897214</v>
      </c>
      <c r="D373" s="7"/>
      <c r="E373" s="4">
        <f t="shared" si="11"/>
        <v>443.66999999999666</v>
      </c>
      <c r="F373" s="200">
        <v>453.21680504120843</v>
      </c>
    </row>
    <row r="374" spans="2:6" x14ac:dyDescent="0.25">
      <c r="B374" s="4">
        <f t="shared" si="10"/>
        <v>573.67999999999665</v>
      </c>
      <c r="C374" s="199">
        <v>289.15118238400908</v>
      </c>
      <c r="D374" s="7"/>
      <c r="E374" s="4">
        <f t="shared" si="11"/>
        <v>443.67999999999665</v>
      </c>
      <c r="F374" s="200">
        <v>453.3876466895984</v>
      </c>
    </row>
    <row r="375" spans="2:6" x14ac:dyDescent="0.25">
      <c r="B375" s="4">
        <f t="shared" si="10"/>
        <v>573.68999999999664</v>
      </c>
      <c r="C375" s="199">
        <v>289.29181804904613</v>
      </c>
      <c r="D375" s="7"/>
      <c r="E375" s="4">
        <f t="shared" si="11"/>
        <v>443.68999999999664</v>
      </c>
      <c r="F375" s="200">
        <v>453.55896682393296</v>
      </c>
    </row>
    <row r="376" spans="2:6" x14ac:dyDescent="0.25">
      <c r="B376" s="4">
        <f t="shared" si="10"/>
        <v>573.69999999999663</v>
      </c>
      <c r="C376" s="199">
        <v>289.43245371408307</v>
      </c>
      <c r="D376" s="7"/>
      <c r="E376" s="4">
        <f t="shared" si="11"/>
        <v>443.69999999999663</v>
      </c>
      <c r="F376" s="200">
        <v>453.73028695826986</v>
      </c>
    </row>
    <row r="377" spans="2:6" x14ac:dyDescent="0.25">
      <c r="B377" s="4">
        <f t="shared" si="10"/>
        <v>573.70999999999663</v>
      </c>
      <c r="C377" s="199">
        <v>289.57308937912001</v>
      </c>
      <c r="D377" s="7"/>
      <c r="E377" s="4">
        <f t="shared" si="11"/>
        <v>443.70999999999663</v>
      </c>
      <c r="F377" s="200">
        <v>453.90160709260766</v>
      </c>
    </row>
    <row r="378" spans="2:6" x14ac:dyDescent="0.25">
      <c r="B378" s="4">
        <f t="shared" si="10"/>
        <v>573.71999999999662</v>
      </c>
      <c r="C378" s="199">
        <v>289.71394840219426</v>
      </c>
      <c r="D378" s="7"/>
      <c r="E378" s="4">
        <f t="shared" si="11"/>
        <v>443.71999999999662</v>
      </c>
      <c r="F378" s="200">
        <v>454.07292722694461</v>
      </c>
    </row>
    <row r="379" spans="2:6" x14ac:dyDescent="0.25">
      <c r="B379" s="4">
        <f t="shared" si="10"/>
        <v>573.72999999999661</v>
      </c>
      <c r="C379" s="199">
        <v>289.85480742527176</v>
      </c>
      <c r="D379" s="7"/>
      <c r="E379" s="4">
        <f t="shared" si="11"/>
        <v>443.72999999999661</v>
      </c>
      <c r="F379" s="200">
        <v>454.24424736128151</v>
      </c>
    </row>
    <row r="380" spans="2:6" x14ac:dyDescent="0.25">
      <c r="B380" s="4">
        <f t="shared" si="10"/>
        <v>573.7399999999966</v>
      </c>
      <c r="C380" s="199">
        <v>289.99566644834846</v>
      </c>
      <c r="D380" s="7"/>
      <c r="E380" s="4">
        <f t="shared" si="11"/>
        <v>443.7399999999966</v>
      </c>
      <c r="F380" s="200">
        <v>454.4155674956184</v>
      </c>
    </row>
    <row r="381" spans="2:6" x14ac:dyDescent="0.25">
      <c r="B381" s="4">
        <f t="shared" si="10"/>
        <v>573.74999999999659</v>
      </c>
      <c r="C381" s="199">
        <v>290.13652547142505</v>
      </c>
      <c r="D381" s="7"/>
      <c r="E381" s="4">
        <f t="shared" si="11"/>
        <v>443.74999999999659</v>
      </c>
      <c r="F381" s="200">
        <v>454.58688762995661</v>
      </c>
    </row>
    <row r="382" spans="2:6" x14ac:dyDescent="0.25">
      <c r="B382" s="4">
        <f t="shared" si="10"/>
        <v>573.75999999999658</v>
      </c>
      <c r="C382" s="199">
        <v>290.27738449450254</v>
      </c>
      <c r="D382" s="7"/>
      <c r="E382" s="4">
        <f t="shared" si="11"/>
        <v>443.75999999999658</v>
      </c>
      <c r="F382" s="200">
        <v>454.7582077642935</v>
      </c>
    </row>
    <row r="383" spans="2:6" x14ac:dyDescent="0.25">
      <c r="B383" s="4">
        <f t="shared" si="10"/>
        <v>573.76999999999657</v>
      </c>
      <c r="C383" s="199">
        <v>290.41824351757924</v>
      </c>
      <c r="D383" s="7"/>
      <c r="E383" s="4">
        <f t="shared" si="11"/>
        <v>443.76999999999657</v>
      </c>
      <c r="F383" s="200">
        <v>454.92952789863051</v>
      </c>
    </row>
    <row r="384" spans="2:6" x14ac:dyDescent="0.25">
      <c r="B384" s="4">
        <f t="shared" si="10"/>
        <v>573.77999999999656</v>
      </c>
      <c r="C384" s="199">
        <v>290.55910254065577</v>
      </c>
      <c r="D384" s="7"/>
      <c r="E384" s="4">
        <f t="shared" si="11"/>
        <v>443.77999999999656</v>
      </c>
      <c r="F384" s="200">
        <v>455.10084803296735</v>
      </c>
    </row>
    <row r="385" spans="2:6" x14ac:dyDescent="0.25">
      <c r="B385" s="4">
        <f t="shared" si="10"/>
        <v>573.78999999999655</v>
      </c>
      <c r="C385" s="199">
        <v>290.69996156373332</v>
      </c>
      <c r="D385" s="7"/>
      <c r="E385" s="4">
        <f t="shared" si="11"/>
        <v>443.78999999999655</v>
      </c>
      <c r="F385" s="200">
        <v>455.27264007616088</v>
      </c>
    </row>
    <row r="386" spans="2:6" x14ac:dyDescent="0.25">
      <c r="B386" s="4">
        <f t="shared" si="10"/>
        <v>573.79999999999654</v>
      </c>
      <c r="C386" s="199">
        <v>290.84082058680997</v>
      </c>
      <c r="D386" s="7"/>
      <c r="E386" s="4">
        <f t="shared" si="11"/>
        <v>443.79999999999654</v>
      </c>
      <c r="F386" s="200">
        <v>455.4444321193572</v>
      </c>
    </row>
    <row r="387" spans="2:6" x14ac:dyDescent="0.25">
      <c r="B387" s="4">
        <f t="shared" si="10"/>
        <v>573.80999999999653</v>
      </c>
      <c r="C387" s="199">
        <v>290.98167960988661</v>
      </c>
      <c r="D387" s="7"/>
      <c r="E387" s="4">
        <f t="shared" si="11"/>
        <v>443.80999999999653</v>
      </c>
      <c r="F387" s="200">
        <v>455.61622416255443</v>
      </c>
    </row>
    <row r="388" spans="2:6" x14ac:dyDescent="0.25">
      <c r="B388" s="4">
        <f t="shared" si="10"/>
        <v>573.81999999999653</v>
      </c>
      <c r="C388" s="199">
        <v>291.12276427871666</v>
      </c>
      <c r="D388" s="7"/>
      <c r="E388" s="4">
        <f t="shared" si="11"/>
        <v>443.81999999999653</v>
      </c>
      <c r="F388" s="200">
        <v>455.78801620575081</v>
      </c>
    </row>
    <row r="389" spans="2:6" x14ac:dyDescent="0.25">
      <c r="B389" s="4">
        <f t="shared" si="10"/>
        <v>573.82999999999652</v>
      </c>
      <c r="C389" s="199">
        <v>291.26384894754682</v>
      </c>
      <c r="D389" s="7"/>
      <c r="E389" s="4">
        <f t="shared" si="11"/>
        <v>443.82999999999652</v>
      </c>
      <c r="F389" s="200">
        <v>455.95980824894843</v>
      </c>
    </row>
    <row r="390" spans="2:6" x14ac:dyDescent="0.25">
      <c r="B390" s="4">
        <f t="shared" si="10"/>
        <v>573.83999999999651</v>
      </c>
      <c r="C390" s="199">
        <v>291.40493361637675</v>
      </c>
      <c r="D390" s="7"/>
      <c r="E390" s="4">
        <f t="shared" si="11"/>
        <v>443.83999999999651</v>
      </c>
      <c r="F390" s="200">
        <v>456.13160029214487</v>
      </c>
    </row>
    <row r="391" spans="2:6" x14ac:dyDescent="0.25">
      <c r="B391" s="4">
        <f t="shared" si="10"/>
        <v>573.8499999999965</v>
      </c>
      <c r="C391" s="199">
        <v>291.54601828520674</v>
      </c>
      <c r="D391" s="7"/>
      <c r="E391" s="4">
        <f t="shared" si="11"/>
        <v>443.8499999999965</v>
      </c>
      <c r="F391" s="200">
        <v>456.30339233534204</v>
      </c>
    </row>
    <row r="392" spans="2:6" x14ac:dyDescent="0.25">
      <c r="B392" s="4">
        <f t="shared" ref="B392:B455" si="12">+B391+0.01</f>
        <v>573.85999999999649</v>
      </c>
      <c r="C392" s="199">
        <v>291.6871029540369</v>
      </c>
      <c r="D392" s="7"/>
      <c r="E392" s="4">
        <f t="shared" ref="E392:E455" si="13">+E391+0.01</f>
        <v>443.85999999999649</v>
      </c>
      <c r="F392" s="200">
        <v>456.47518437853842</v>
      </c>
    </row>
    <row r="393" spans="2:6" x14ac:dyDescent="0.25">
      <c r="B393" s="4">
        <f t="shared" si="12"/>
        <v>573.86999999999648</v>
      </c>
      <c r="C393" s="199">
        <v>291.82818762286684</v>
      </c>
      <c r="D393" s="7"/>
      <c r="E393" s="4">
        <f t="shared" si="13"/>
        <v>443.86999999999648</v>
      </c>
      <c r="F393" s="200">
        <v>456.64697642173564</v>
      </c>
    </row>
    <row r="394" spans="2:6" x14ac:dyDescent="0.25">
      <c r="B394" s="4">
        <f t="shared" si="12"/>
        <v>573.87999999999647</v>
      </c>
      <c r="C394" s="199">
        <v>291.96927229169688</v>
      </c>
      <c r="D394" s="7"/>
      <c r="E394" s="4">
        <f t="shared" si="13"/>
        <v>443.87999999999647</v>
      </c>
      <c r="F394" s="200">
        <v>456.81876846493196</v>
      </c>
    </row>
    <row r="395" spans="2:6" x14ac:dyDescent="0.25">
      <c r="B395" s="4">
        <f t="shared" si="12"/>
        <v>573.88999999999646</v>
      </c>
      <c r="C395" s="199">
        <v>292.11035696052681</v>
      </c>
      <c r="D395" s="7"/>
      <c r="E395" s="4">
        <f t="shared" si="13"/>
        <v>443.88999999999646</v>
      </c>
      <c r="F395" s="200">
        <v>456.99103449658475</v>
      </c>
    </row>
    <row r="396" spans="2:6" x14ac:dyDescent="0.25">
      <c r="B396" s="4">
        <f t="shared" si="12"/>
        <v>573.89999999999645</v>
      </c>
      <c r="C396" s="199">
        <v>292.25144162935692</v>
      </c>
      <c r="D396" s="7"/>
      <c r="E396" s="4">
        <f t="shared" si="13"/>
        <v>443.89999999999645</v>
      </c>
      <c r="F396" s="200">
        <v>457.16330052824088</v>
      </c>
    </row>
    <row r="397" spans="2:6" x14ac:dyDescent="0.25">
      <c r="B397" s="4">
        <f t="shared" si="12"/>
        <v>573.90999999999644</v>
      </c>
      <c r="C397" s="199">
        <v>292.39252629818674</v>
      </c>
      <c r="D397" s="7"/>
      <c r="E397" s="4">
        <f t="shared" si="13"/>
        <v>443.90999999999644</v>
      </c>
      <c r="F397" s="200">
        <v>457.33556655989798</v>
      </c>
    </row>
    <row r="398" spans="2:6" x14ac:dyDescent="0.25">
      <c r="B398" s="4">
        <f t="shared" si="12"/>
        <v>573.91999999999643</v>
      </c>
      <c r="C398" s="199">
        <v>292.53383853282691</v>
      </c>
      <c r="D398" s="7"/>
      <c r="E398" s="4">
        <f t="shared" si="13"/>
        <v>443.91999999999643</v>
      </c>
      <c r="F398" s="200">
        <v>457.50783259155412</v>
      </c>
    </row>
    <row r="399" spans="2:6" x14ac:dyDescent="0.25">
      <c r="B399" s="4">
        <f t="shared" si="12"/>
        <v>573.92999999999643</v>
      </c>
      <c r="C399" s="199">
        <v>292.67515076747037</v>
      </c>
      <c r="D399" s="7"/>
      <c r="E399" s="4">
        <f t="shared" si="13"/>
        <v>443.92999999999643</v>
      </c>
      <c r="F399" s="200">
        <v>457.68009862321122</v>
      </c>
    </row>
    <row r="400" spans="2:6" x14ac:dyDescent="0.25">
      <c r="B400" s="4">
        <f t="shared" si="12"/>
        <v>573.93999999999642</v>
      </c>
      <c r="C400" s="199">
        <v>292.81646300211401</v>
      </c>
      <c r="D400" s="7"/>
      <c r="E400" s="4">
        <f t="shared" si="13"/>
        <v>443.93999999999642</v>
      </c>
      <c r="F400" s="200">
        <v>457.85236465486736</v>
      </c>
    </row>
    <row r="401" spans="2:6" x14ac:dyDescent="0.25">
      <c r="B401" s="4">
        <f t="shared" si="12"/>
        <v>573.94999999999641</v>
      </c>
      <c r="C401" s="199">
        <v>292.95777523675741</v>
      </c>
      <c r="D401" s="7"/>
      <c r="E401" s="4">
        <f t="shared" si="13"/>
        <v>443.94999999999641</v>
      </c>
      <c r="F401" s="200">
        <v>458.02463068652446</v>
      </c>
    </row>
    <row r="402" spans="2:6" x14ac:dyDescent="0.25">
      <c r="B402" s="4">
        <f t="shared" si="12"/>
        <v>573.9599999999964</v>
      </c>
      <c r="C402" s="199">
        <v>293.09908747140088</v>
      </c>
      <c r="D402" s="7"/>
      <c r="E402" s="4">
        <f t="shared" si="13"/>
        <v>443.9599999999964</v>
      </c>
      <c r="F402" s="200">
        <v>458.1968967181806</v>
      </c>
    </row>
    <row r="403" spans="2:6" x14ac:dyDescent="0.25">
      <c r="B403" s="4">
        <f t="shared" si="12"/>
        <v>573.96999999999639</v>
      </c>
      <c r="C403" s="199">
        <v>293.24039970604463</v>
      </c>
      <c r="D403" s="7"/>
      <c r="E403" s="4">
        <f t="shared" si="13"/>
        <v>443.96999999999639</v>
      </c>
      <c r="F403" s="200">
        <v>458.36916274983753</v>
      </c>
    </row>
    <row r="404" spans="2:6" x14ac:dyDescent="0.25">
      <c r="B404" s="4">
        <f t="shared" si="12"/>
        <v>573.97999999999638</v>
      </c>
      <c r="C404" s="199">
        <v>293.38171194068809</v>
      </c>
      <c r="D404" s="7"/>
      <c r="E404" s="4">
        <f t="shared" si="13"/>
        <v>443.97999999999638</v>
      </c>
      <c r="F404" s="200">
        <v>458.54142878149372</v>
      </c>
    </row>
    <row r="405" spans="2:6" x14ac:dyDescent="0.25">
      <c r="B405" s="4">
        <f t="shared" si="12"/>
        <v>573.98999999999637</v>
      </c>
      <c r="C405" s="199">
        <v>293.52302417533156</v>
      </c>
      <c r="D405" s="7"/>
      <c r="E405" s="4">
        <f t="shared" si="13"/>
        <v>443.98999999999637</v>
      </c>
      <c r="F405" s="200">
        <v>458.71416203392175</v>
      </c>
    </row>
    <row r="406" spans="2:6" x14ac:dyDescent="0.25">
      <c r="B406" s="4">
        <f t="shared" si="12"/>
        <v>573.99999999999636</v>
      </c>
      <c r="C406" s="199">
        <v>293.66433640997514</v>
      </c>
      <c r="D406" s="7"/>
      <c r="E406" s="4">
        <f t="shared" si="13"/>
        <v>443.99999999999636</v>
      </c>
      <c r="F406" s="200">
        <v>458.88689528635291</v>
      </c>
    </row>
    <row r="407" spans="2:6" x14ac:dyDescent="0.25">
      <c r="B407" s="4">
        <f t="shared" si="12"/>
        <v>574.00999999999635</v>
      </c>
      <c r="C407" s="199">
        <v>293.80564864461866</v>
      </c>
      <c r="D407" s="7"/>
      <c r="E407" s="4">
        <f t="shared" si="13"/>
        <v>444.00999999999635</v>
      </c>
      <c r="F407" s="200">
        <v>459.05962853878458</v>
      </c>
    </row>
    <row r="408" spans="2:6" x14ac:dyDescent="0.25">
      <c r="B408" s="4">
        <f t="shared" si="12"/>
        <v>574.01999999999634</v>
      </c>
      <c r="C408" s="199">
        <v>293.94719100093351</v>
      </c>
      <c r="D408" s="7"/>
      <c r="E408" s="4">
        <f t="shared" si="13"/>
        <v>444.01999999999634</v>
      </c>
      <c r="F408" s="200">
        <v>459.23236179121483</v>
      </c>
    </row>
    <row r="409" spans="2:6" x14ac:dyDescent="0.25">
      <c r="B409" s="4">
        <f t="shared" si="12"/>
        <v>574.02999999999633</v>
      </c>
      <c r="C409" s="199">
        <v>294.08873335724957</v>
      </c>
      <c r="D409" s="7"/>
      <c r="E409" s="4">
        <f t="shared" si="13"/>
        <v>444.02999999999633</v>
      </c>
      <c r="F409" s="200">
        <v>459.40509504364599</v>
      </c>
    </row>
    <row r="410" spans="2:6" x14ac:dyDescent="0.25">
      <c r="B410" s="4">
        <f t="shared" si="12"/>
        <v>574.03999999999633</v>
      </c>
      <c r="C410" s="199">
        <v>294.23027571356505</v>
      </c>
      <c r="D410" s="7"/>
      <c r="E410" s="4">
        <f t="shared" si="13"/>
        <v>444.03999999999633</v>
      </c>
      <c r="F410" s="200">
        <v>459.57782829607669</v>
      </c>
    </row>
    <row r="411" spans="2:6" x14ac:dyDescent="0.25">
      <c r="B411" s="4">
        <f t="shared" si="12"/>
        <v>574.04999999999632</v>
      </c>
      <c r="C411" s="199">
        <v>294.37181806988065</v>
      </c>
      <c r="D411" s="7"/>
      <c r="E411" s="4">
        <f t="shared" si="13"/>
        <v>444.04999999999632</v>
      </c>
      <c r="F411" s="200">
        <v>459.75056154850785</v>
      </c>
    </row>
    <row r="412" spans="2:6" x14ac:dyDescent="0.25">
      <c r="B412" s="4">
        <f t="shared" si="12"/>
        <v>574.05999999999631</v>
      </c>
      <c r="C412" s="199">
        <v>294.51336042619613</v>
      </c>
      <c r="D412" s="7"/>
      <c r="E412" s="4">
        <f t="shared" si="13"/>
        <v>444.05999999999631</v>
      </c>
      <c r="F412" s="200">
        <v>459.92329480093906</v>
      </c>
    </row>
    <row r="413" spans="2:6" x14ac:dyDescent="0.25">
      <c r="B413" s="4">
        <f t="shared" si="12"/>
        <v>574.0699999999963</v>
      </c>
      <c r="C413" s="199">
        <v>294.6549027825115</v>
      </c>
      <c r="D413" s="7"/>
      <c r="E413" s="4">
        <f t="shared" si="13"/>
        <v>444.0699999999963</v>
      </c>
      <c r="F413" s="200">
        <v>460.09602805336976</v>
      </c>
    </row>
    <row r="414" spans="2:6" x14ac:dyDescent="0.25">
      <c r="B414" s="4">
        <f t="shared" si="12"/>
        <v>574.07999999999629</v>
      </c>
      <c r="C414" s="199">
        <v>294.79644513882795</v>
      </c>
      <c r="D414" s="7"/>
      <c r="E414" s="4">
        <f t="shared" si="13"/>
        <v>444.07999999999629</v>
      </c>
      <c r="F414" s="200">
        <v>460.26876130580092</v>
      </c>
    </row>
    <row r="415" spans="2:6" x14ac:dyDescent="0.25">
      <c r="B415" s="4">
        <f t="shared" si="12"/>
        <v>574.08999999999628</v>
      </c>
      <c r="C415" s="199">
        <v>294.93798749514343</v>
      </c>
      <c r="D415" s="7"/>
      <c r="E415" s="4">
        <f t="shared" si="13"/>
        <v>444.08999999999628</v>
      </c>
      <c r="F415" s="200">
        <v>460.44194957285799</v>
      </c>
    </row>
    <row r="416" spans="2:6" x14ac:dyDescent="0.25">
      <c r="B416" s="4">
        <f t="shared" si="12"/>
        <v>574.09999999999627</v>
      </c>
      <c r="C416" s="199">
        <v>295.07952985145863</v>
      </c>
      <c r="D416" s="7"/>
      <c r="E416" s="4">
        <f t="shared" si="13"/>
        <v>444.09999999999627</v>
      </c>
      <c r="F416" s="200">
        <v>460.61513783991882</v>
      </c>
    </row>
    <row r="417" spans="2:6" x14ac:dyDescent="0.25">
      <c r="B417" s="4">
        <f t="shared" si="12"/>
        <v>574.10999999999626</v>
      </c>
      <c r="C417" s="199">
        <v>295.22107220777411</v>
      </c>
      <c r="D417" s="7"/>
      <c r="E417" s="4">
        <f t="shared" si="13"/>
        <v>444.10999999999626</v>
      </c>
      <c r="F417" s="200">
        <v>460.78832610698004</v>
      </c>
    </row>
    <row r="418" spans="2:6" x14ac:dyDescent="0.25">
      <c r="B418" s="4">
        <f t="shared" si="12"/>
        <v>574.11999999999625</v>
      </c>
      <c r="C418" s="199">
        <v>295.36284793941803</v>
      </c>
      <c r="D418" s="7"/>
      <c r="E418" s="4">
        <f t="shared" si="13"/>
        <v>444.11999999999625</v>
      </c>
      <c r="F418" s="200">
        <v>460.96151437404075</v>
      </c>
    </row>
    <row r="419" spans="2:6" x14ac:dyDescent="0.25">
      <c r="B419" s="4">
        <f t="shared" si="12"/>
        <v>574.12999999999624</v>
      </c>
      <c r="C419" s="199">
        <v>295.50462367106434</v>
      </c>
      <c r="D419" s="7"/>
      <c r="E419" s="4">
        <f t="shared" si="13"/>
        <v>444.12999999999624</v>
      </c>
      <c r="F419" s="200">
        <v>461.13470264110191</v>
      </c>
    </row>
    <row r="420" spans="2:6" x14ac:dyDescent="0.25">
      <c r="B420" s="4">
        <f t="shared" si="12"/>
        <v>574.13999999999623</v>
      </c>
      <c r="C420" s="199">
        <v>295.64639940271087</v>
      </c>
      <c r="D420" s="7"/>
      <c r="E420" s="4">
        <f t="shared" si="13"/>
        <v>444.13999999999623</v>
      </c>
      <c r="F420" s="200">
        <v>461.30789090816268</v>
      </c>
    </row>
    <row r="421" spans="2:6" x14ac:dyDescent="0.25">
      <c r="B421" s="4">
        <f t="shared" si="12"/>
        <v>574.14999999999623</v>
      </c>
      <c r="C421" s="199">
        <v>295.78817513435808</v>
      </c>
      <c r="D421" s="7"/>
      <c r="E421" s="4">
        <f t="shared" si="13"/>
        <v>444.14999999999623</v>
      </c>
      <c r="F421" s="200">
        <v>461.48107917522384</v>
      </c>
    </row>
    <row r="422" spans="2:6" x14ac:dyDescent="0.25">
      <c r="B422" s="4">
        <f t="shared" si="12"/>
        <v>574.15999999999622</v>
      </c>
      <c r="C422" s="199">
        <v>295.9299508660045</v>
      </c>
      <c r="D422" s="7"/>
      <c r="E422" s="4">
        <f t="shared" si="13"/>
        <v>444.15999999999622</v>
      </c>
      <c r="F422" s="200">
        <v>461.65426744228461</v>
      </c>
    </row>
    <row r="423" spans="2:6" x14ac:dyDescent="0.25">
      <c r="B423" s="4">
        <f t="shared" si="12"/>
        <v>574.16999999999621</v>
      </c>
      <c r="C423" s="199">
        <v>296.07172659765087</v>
      </c>
      <c r="D423" s="7"/>
      <c r="E423" s="4">
        <f t="shared" si="13"/>
        <v>444.16999999999621</v>
      </c>
      <c r="F423" s="200">
        <v>461.82745570934577</v>
      </c>
    </row>
    <row r="424" spans="2:6" x14ac:dyDescent="0.25">
      <c r="B424" s="4">
        <f t="shared" si="12"/>
        <v>574.1799999999962</v>
      </c>
      <c r="C424" s="199">
        <v>296.21350232929706</v>
      </c>
      <c r="D424" s="7"/>
      <c r="E424" s="4">
        <f t="shared" si="13"/>
        <v>444.1799999999962</v>
      </c>
      <c r="F424" s="200">
        <v>462.00064397640654</v>
      </c>
    </row>
    <row r="425" spans="2:6" x14ac:dyDescent="0.25">
      <c r="B425" s="4">
        <f t="shared" si="12"/>
        <v>574.18999999999619</v>
      </c>
      <c r="C425" s="199">
        <v>296.3552780609445</v>
      </c>
      <c r="D425" s="7"/>
      <c r="E425" s="4">
        <f t="shared" si="13"/>
        <v>444.18999999999619</v>
      </c>
      <c r="F425" s="200">
        <v>462.17428426546678</v>
      </c>
    </row>
    <row r="426" spans="2:6" x14ac:dyDescent="0.25">
      <c r="B426" s="4">
        <f t="shared" si="12"/>
        <v>574.19999999999618</v>
      </c>
      <c r="C426" s="199">
        <v>296.49705379259086</v>
      </c>
      <c r="D426" s="7"/>
      <c r="E426" s="4">
        <f t="shared" si="13"/>
        <v>444.19999999999618</v>
      </c>
      <c r="F426" s="200">
        <v>462.34792455452879</v>
      </c>
    </row>
    <row r="427" spans="2:6" x14ac:dyDescent="0.25">
      <c r="B427" s="4">
        <f t="shared" si="12"/>
        <v>574.20999999999617</v>
      </c>
      <c r="C427" s="199">
        <v>296.63882952423734</v>
      </c>
      <c r="D427" s="7"/>
      <c r="E427" s="4">
        <f t="shared" si="13"/>
        <v>444.20999999999617</v>
      </c>
      <c r="F427" s="200">
        <v>462.52156484359062</v>
      </c>
    </row>
    <row r="428" spans="2:6" x14ac:dyDescent="0.25">
      <c r="B428" s="4">
        <f t="shared" si="12"/>
        <v>574.21999999999616</v>
      </c>
      <c r="C428" s="199">
        <v>296.78083591211703</v>
      </c>
      <c r="D428" s="7"/>
      <c r="E428" s="4">
        <f t="shared" si="13"/>
        <v>444.21999999999616</v>
      </c>
      <c r="F428" s="200">
        <v>462.69520513265257</v>
      </c>
    </row>
    <row r="429" spans="2:6" x14ac:dyDescent="0.25">
      <c r="B429" s="4">
        <f t="shared" si="12"/>
        <v>574.22999999999615</v>
      </c>
      <c r="C429" s="199">
        <v>296.92284229999774</v>
      </c>
      <c r="D429" s="7"/>
      <c r="E429" s="4">
        <f t="shared" si="13"/>
        <v>444.22999999999615</v>
      </c>
      <c r="F429" s="200">
        <v>462.86884542171447</v>
      </c>
    </row>
    <row r="430" spans="2:6" x14ac:dyDescent="0.25">
      <c r="B430" s="4">
        <f t="shared" si="12"/>
        <v>574.23999999999614</v>
      </c>
      <c r="C430" s="199">
        <v>297.06484868787715</v>
      </c>
      <c r="D430" s="7"/>
      <c r="E430" s="4">
        <f t="shared" si="13"/>
        <v>444.23999999999614</v>
      </c>
      <c r="F430" s="200">
        <v>463.04248571077642</v>
      </c>
    </row>
    <row r="431" spans="2:6" x14ac:dyDescent="0.25">
      <c r="B431" s="4">
        <f t="shared" si="12"/>
        <v>574.24999999999613</v>
      </c>
      <c r="C431" s="199">
        <v>297.20685507575672</v>
      </c>
      <c r="D431" s="7"/>
      <c r="E431" s="4">
        <f t="shared" si="13"/>
        <v>444.24999999999613</v>
      </c>
      <c r="F431" s="200">
        <v>463.21612599983825</v>
      </c>
    </row>
    <row r="432" spans="2:6" x14ac:dyDescent="0.25">
      <c r="B432" s="4">
        <f t="shared" si="12"/>
        <v>574.25999999999613</v>
      </c>
      <c r="C432" s="199">
        <v>297.34886146363709</v>
      </c>
      <c r="D432" s="7"/>
      <c r="E432" s="4">
        <f t="shared" si="13"/>
        <v>444.25999999999613</v>
      </c>
      <c r="F432" s="200">
        <v>463.38976628890117</v>
      </c>
    </row>
    <row r="433" spans="2:6" x14ac:dyDescent="0.25">
      <c r="B433" s="4">
        <f t="shared" si="12"/>
        <v>574.26999999999612</v>
      </c>
      <c r="C433" s="199">
        <v>297.49086785151673</v>
      </c>
      <c r="D433" s="7"/>
      <c r="E433" s="4">
        <f t="shared" si="13"/>
        <v>444.26999999999612</v>
      </c>
      <c r="F433" s="200">
        <v>463.56340657796306</v>
      </c>
    </row>
    <row r="434" spans="2:6" x14ac:dyDescent="0.25">
      <c r="B434" s="4">
        <f t="shared" si="12"/>
        <v>574.27999999999611</v>
      </c>
      <c r="C434" s="199">
        <v>297.63287423939641</v>
      </c>
      <c r="D434" s="7"/>
      <c r="E434" s="4">
        <f t="shared" si="13"/>
        <v>444.27999999999611</v>
      </c>
      <c r="F434" s="200">
        <v>463.73704686702507</v>
      </c>
    </row>
    <row r="435" spans="2:6" x14ac:dyDescent="0.25">
      <c r="B435" s="4">
        <f t="shared" si="12"/>
        <v>574.2899999999961</v>
      </c>
      <c r="C435" s="199">
        <v>297.77488062727673</v>
      </c>
      <c r="D435" s="7"/>
      <c r="E435" s="4">
        <f t="shared" si="13"/>
        <v>444.2899999999961</v>
      </c>
      <c r="F435" s="200">
        <v>463.9111364306774</v>
      </c>
    </row>
    <row r="436" spans="2:6" x14ac:dyDescent="0.25">
      <c r="B436" s="4">
        <f t="shared" si="12"/>
        <v>574.29999999999609</v>
      </c>
      <c r="C436" s="199">
        <v>297.91688701515642</v>
      </c>
      <c r="D436" s="7"/>
      <c r="E436" s="4">
        <f t="shared" si="13"/>
        <v>444.29999999999609</v>
      </c>
      <c r="F436" s="200">
        <v>464.08522599433542</v>
      </c>
    </row>
    <row r="437" spans="2:6" x14ac:dyDescent="0.25">
      <c r="B437" s="4">
        <f t="shared" si="12"/>
        <v>574.30999999999608</v>
      </c>
      <c r="C437" s="199">
        <v>298.05889340303668</v>
      </c>
      <c r="D437" s="7"/>
      <c r="E437" s="4">
        <f t="shared" si="13"/>
        <v>444.30999999999608</v>
      </c>
      <c r="F437" s="200">
        <v>464.25931555799292</v>
      </c>
    </row>
    <row r="438" spans="2:6" x14ac:dyDescent="0.25">
      <c r="B438" s="4">
        <f t="shared" si="12"/>
        <v>574.31999999999607</v>
      </c>
      <c r="C438" s="199">
        <v>298.20112545708565</v>
      </c>
      <c r="D438" s="7"/>
      <c r="E438" s="4">
        <f t="shared" si="13"/>
        <v>444.31999999999607</v>
      </c>
      <c r="F438" s="200">
        <v>464.43340512164986</v>
      </c>
    </row>
    <row r="439" spans="2:6" x14ac:dyDescent="0.25">
      <c r="B439" s="4">
        <f t="shared" si="12"/>
        <v>574.32999999999606</v>
      </c>
      <c r="C439" s="199">
        <v>298.34335751113809</v>
      </c>
      <c r="D439" s="7"/>
      <c r="E439" s="4">
        <f t="shared" si="13"/>
        <v>444.32999999999606</v>
      </c>
      <c r="F439" s="200">
        <v>464.60749468530742</v>
      </c>
    </row>
    <row r="440" spans="2:6" x14ac:dyDescent="0.25">
      <c r="B440" s="4">
        <f t="shared" si="12"/>
        <v>574.33999999999605</v>
      </c>
      <c r="C440" s="199">
        <v>298.48558956519042</v>
      </c>
      <c r="D440" s="7"/>
      <c r="E440" s="4">
        <f t="shared" si="13"/>
        <v>444.33999999999605</v>
      </c>
      <c r="F440" s="200">
        <v>464.78158424896543</v>
      </c>
    </row>
    <row r="441" spans="2:6" x14ac:dyDescent="0.25">
      <c r="B441" s="4">
        <f t="shared" si="12"/>
        <v>574.34999999999604</v>
      </c>
      <c r="C441" s="199">
        <v>298.62782161924366</v>
      </c>
      <c r="D441" s="7"/>
      <c r="E441" s="4">
        <f t="shared" si="13"/>
        <v>444.34999999999604</v>
      </c>
      <c r="F441" s="200">
        <v>464.95567381262282</v>
      </c>
    </row>
    <row r="442" spans="2:6" x14ac:dyDescent="0.25">
      <c r="B442" s="4">
        <f t="shared" si="12"/>
        <v>574.35999999999603</v>
      </c>
      <c r="C442" s="199">
        <v>298.77005367329605</v>
      </c>
      <c r="D442" s="7"/>
      <c r="E442" s="4">
        <f t="shared" si="13"/>
        <v>444.35999999999603</v>
      </c>
      <c r="F442" s="200">
        <v>465.12976337627987</v>
      </c>
    </row>
    <row r="443" spans="2:6" x14ac:dyDescent="0.25">
      <c r="B443" s="4">
        <f t="shared" si="12"/>
        <v>574.36999999999603</v>
      </c>
      <c r="C443" s="199">
        <v>298.91228572734843</v>
      </c>
      <c r="D443" s="7"/>
      <c r="E443" s="4">
        <f t="shared" si="13"/>
        <v>444.36999999999603</v>
      </c>
      <c r="F443" s="200">
        <v>465.30385293993737</v>
      </c>
    </row>
    <row r="444" spans="2:6" x14ac:dyDescent="0.25">
      <c r="B444" s="4">
        <f t="shared" si="12"/>
        <v>574.37999999999602</v>
      </c>
      <c r="C444" s="199">
        <v>299.05451778140076</v>
      </c>
      <c r="D444" s="7"/>
      <c r="E444" s="4">
        <f t="shared" si="13"/>
        <v>444.37999999999602</v>
      </c>
      <c r="F444" s="200">
        <v>465.47794250359522</v>
      </c>
    </row>
    <row r="445" spans="2:6" x14ac:dyDescent="0.25">
      <c r="B445" s="4">
        <f t="shared" si="12"/>
        <v>574.38999999999601</v>
      </c>
      <c r="C445" s="199">
        <v>299.19674983545315</v>
      </c>
      <c r="D445" s="7"/>
      <c r="E445" s="4">
        <f t="shared" si="13"/>
        <v>444.38999999999601</v>
      </c>
      <c r="F445" s="200">
        <v>465.65247476008886</v>
      </c>
    </row>
    <row r="446" spans="2:6" x14ac:dyDescent="0.25">
      <c r="B446" s="4">
        <f t="shared" si="12"/>
        <v>574.399999999996</v>
      </c>
      <c r="C446" s="199">
        <v>299.33898188950553</v>
      </c>
      <c r="D446" s="7"/>
      <c r="E446" s="4">
        <f t="shared" si="13"/>
        <v>444.399999999996</v>
      </c>
      <c r="F446" s="200">
        <v>465.82700701658416</v>
      </c>
    </row>
    <row r="447" spans="2:6" x14ac:dyDescent="0.25">
      <c r="B447" s="4">
        <f t="shared" si="12"/>
        <v>574.40999999999599</v>
      </c>
      <c r="C447" s="199">
        <v>299.48121394355877</v>
      </c>
      <c r="D447" s="7"/>
      <c r="E447" s="4">
        <f t="shared" si="13"/>
        <v>444.40999999999599</v>
      </c>
      <c r="F447" s="200">
        <v>466.00153927308094</v>
      </c>
    </row>
    <row r="448" spans="2:6" x14ac:dyDescent="0.25">
      <c r="B448" s="4">
        <f t="shared" si="12"/>
        <v>574.41999999999598</v>
      </c>
      <c r="C448" s="199">
        <v>299.62367151872184</v>
      </c>
      <c r="D448" s="7"/>
      <c r="E448" s="4">
        <f t="shared" si="13"/>
        <v>444.41999999999598</v>
      </c>
      <c r="F448" s="200">
        <v>466.17607152957703</v>
      </c>
    </row>
    <row r="449" spans="2:6" x14ac:dyDescent="0.25">
      <c r="B449" s="4">
        <f t="shared" si="12"/>
        <v>574.42999999999597</v>
      </c>
      <c r="C449" s="199">
        <v>299.76612909388501</v>
      </c>
      <c r="D449" s="7"/>
      <c r="E449" s="4">
        <f t="shared" si="13"/>
        <v>444.42999999999597</v>
      </c>
      <c r="F449" s="200">
        <v>466.35060378607363</v>
      </c>
    </row>
    <row r="450" spans="2:6" x14ac:dyDescent="0.25">
      <c r="B450" s="4">
        <f t="shared" si="12"/>
        <v>574.43999999999596</v>
      </c>
      <c r="C450" s="199">
        <v>299.9085866690495</v>
      </c>
      <c r="D450" s="7"/>
      <c r="E450" s="4">
        <f t="shared" si="13"/>
        <v>444.43999999999596</v>
      </c>
      <c r="F450" s="200">
        <v>466.52513604256978</v>
      </c>
    </row>
    <row r="451" spans="2:6" x14ac:dyDescent="0.25">
      <c r="B451" s="4">
        <f t="shared" si="12"/>
        <v>574.44999999999595</v>
      </c>
      <c r="C451" s="199">
        <v>300.05104424421296</v>
      </c>
      <c r="D451" s="7"/>
      <c r="E451" s="4">
        <f t="shared" si="13"/>
        <v>444.44999999999595</v>
      </c>
      <c r="F451" s="200">
        <v>466.69966829906656</v>
      </c>
    </row>
    <row r="452" spans="2:6" x14ac:dyDescent="0.25">
      <c r="B452" s="4">
        <f t="shared" si="12"/>
        <v>574.45999999999594</v>
      </c>
      <c r="C452" s="199">
        <v>300.19350181937637</v>
      </c>
      <c r="D452" s="7"/>
      <c r="E452" s="4">
        <f t="shared" si="13"/>
        <v>444.45999999999594</v>
      </c>
      <c r="F452" s="200">
        <v>466.87420055556271</v>
      </c>
    </row>
    <row r="453" spans="2:6" x14ac:dyDescent="0.25">
      <c r="B453" s="4">
        <f t="shared" si="12"/>
        <v>574.46999999999593</v>
      </c>
      <c r="C453" s="199">
        <v>300.33595939453988</v>
      </c>
      <c r="D453" s="7"/>
      <c r="E453" s="4">
        <f t="shared" si="13"/>
        <v>444.46999999999593</v>
      </c>
      <c r="F453" s="200">
        <v>467.04873281205846</v>
      </c>
    </row>
    <row r="454" spans="2:6" x14ac:dyDescent="0.25">
      <c r="B454" s="4">
        <f t="shared" si="12"/>
        <v>574.47999999999593</v>
      </c>
      <c r="C454" s="199">
        <v>300.47841696970335</v>
      </c>
      <c r="D454" s="7"/>
      <c r="E454" s="4">
        <f t="shared" si="13"/>
        <v>444.47999999999593</v>
      </c>
      <c r="F454" s="200">
        <v>467.22326506855461</v>
      </c>
    </row>
    <row r="455" spans="2:6" x14ac:dyDescent="0.25">
      <c r="B455" s="4">
        <f t="shared" si="12"/>
        <v>574.48999999999592</v>
      </c>
      <c r="C455" s="199">
        <v>300.62087454486777</v>
      </c>
      <c r="D455" s="7"/>
      <c r="E455" s="4">
        <f t="shared" si="13"/>
        <v>444.48999999999592</v>
      </c>
      <c r="F455" s="200">
        <v>467.39824225506237</v>
      </c>
    </row>
    <row r="456" spans="2:6" x14ac:dyDescent="0.25">
      <c r="B456" s="4">
        <f t="shared" ref="B456:B519" si="14">+B455+0.01</f>
        <v>574.49999999999591</v>
      </c>
      <c r="C456" s="199">
        <v>300.76333212003124</v>
      </c>
      <c r="D456" s="7"/>
      <c r="E456" s="4">
        <f t="shared" ref="E456:E519" si="15">+E455+0.01</f>
        <v>444.49999999999591</v>
      </c>
      <c r="F456" s="200">
        <v>467.57321944157377</v>
      </c>
    </row>
    <row r="457" spans="2:6" x14ac:dyDescent="0.25">
      <c r="B457" s="4">
        <f t="shared" si="14"/>
        <v>574.5099999999959</v>
      </c>
      <c r="C457" s="199">
        <v>300.9057896951947</v>
      </c>
      <c r="D457" s="7"/>
      <c r="E457" s="4">
        <f t="shared" si="15"/>
        <v>444.5099999999959</v>
      </c>
      <c r="F457" s="200">
        <v>467.7481966280842</v>
      </c>
    </row>
    <row r="458" spans="2:6" x14ac:dyDescent="0.25">
      <c r="B458" s="4">
        <f t="shared" si="14"/>
        <v>574.51999999999589</v>
      </c>
      <c r="C458" s="199">
        <v>301.04847316756695</v>
      </c>
      <c r="D458" s="7"/>
      <c r="E458" s="4">
        <f t="shared" si="15"/>
        <v>444.51999999999589</v>
      </c>
      <c r="F458" s="200">
        <v>467.92317381459611</v>
      </c>
    </row>
    <row r="459" spans="2:6" x14ac:dyDescent="0.25">
      <c r="B459" s="4">
        <f t="shared" si="14"/>
        <v>574.52999999999588</v>
      </c>
      <c r="C459" s="199">
        <v>301.19115663994279</v>
      </c>
      <c r="D459" s="7"/>
      <c r="E459" s="4">
        <f t="shared" si="15"/>
        <v>444.52999999999588</v>
      </c>
      <c r="F459" s="200">
        <v>468.09815100110757</v>
      </c>
    </row>
    <row r="460" spans="2:6" x14ac:dyDescent="0.25">
      <c r="B460" s="4">
        <f t="shared" si="14"/>
        <v>574.53999999999587</v>
      </c>
      <c r="C460" s="199">
        <v>301.33384011231783</v>
      </c>
      <c r="D460" s="7"/>
      <c r="E460" s="4">
        <f t="shared" si="15"/>
        <v>444.53999999999587</v>
      </c>
      <c r="F460" s="200">
        <v>468.27312818761897</v>
      </c>
    </row>
    <row r="461" spans="2:6" x14ac:dyDescent="0.25">
      <c r="B461" s="4">
        <f t="shared" si="14"/>
        <v>574.54999999999586</v>
      </c>
      <c r="C461" s="199">
        <v>301.47652358469264</v>
      </c>
      <c r="D461" s="7"/>
      <c r="E461" s="4">
        <f t="shared" si="15"/>
        <v>444.54999999999586</v>
      </c>
      <c r="F461" s="200">
        <v>468.4481053741298</v>
      </c>
    </row>
    <row r="462" spans="2:6" x14ac:dyDescent="0.25">
      <c r="B462" s="4">
        <f t="shared" si="14"/>
        <v>574.55999999999585</v>
      </c>
      <c r="C462" s="199">
        <v>301.61920705706871</v>
      </c>
      <c r="D462" s="7"/>
      <c r="E462" s="4">
        <f t="shared" si="15"/>
        <v>444.55999999999585</v>
      </c>
      <c r="F462" s="200">
        <v>468.62308256064125</v>
      </c>
    </row>
    <row r="463" spans="2:6" x14ac:dyDescent="0.25">
      <c r="B463" s="4">
        <f t="shared" si="14"/>
        <v>574.56999999999584</v>
      </c>
      <c r="C463" s="199">
        <v>301.76189052944363</v>
      </c>
      <c r="D463" s="7"/>
      <c r="E463" s="4">
        <f t="shared" si="15"/>
        <v>444.56999999999584</v>
      </c>
      <c r="F463" s="200">
        <v>468.79805974715265</v>
      </c>
    </row>
    <row r="464" spans="2:6" x14ac:dyDescent="0.25">
      <c r="B464" s="4">
        <f t="shared" si="14"/>
        <v>574.57999999999583</v>
      </c>
      <c r="C464" s="199">
        <v>301.90457400181941</v>
      </c>
      <c r="D464" s="7"/>
      <c r="E464" s="4">
        <f t="shared" si="15"/>
        <v>444.57999999999583</v>
      </c>
      <c r="F464" s="200">
        <v>468.97303693366405</v>
      </c>
    </row>
    <row r="465" spans="2:6" x14ac:dyDescent="0.25">
      <c r="B465" s="4">
        <f t="shared" si="14"/>
        <v>574.58999999999583</v>
      </c>
      <c r="C465" s="199">
        <v>302.04725747419445</v>
      </c>
      <c r="D465" s="7"/>
      <c r="E465" s="4">
        <f t="shared" si="15"/>
        <v>444.58999999999583</v>
      </c>
      <c r="F465" s="200">
        <v>469.14845820134127</v>
      </c>
    </row>
    <row r="466" spans="2:6" x14ac:dyDescent="0.25">
      <c r="B466" s="4">
        <f t="shared" si="14"/>
        <v>574.59999999999582</v>
      </c>
      <c r="C466" s="199">
        <v>302.18994094656949</v>
      </c>
      <c r="D466" s="7"/>
      <c r="E466" s="4">
        <f t="shared" si="15"/>
        <v>444.59999999999582</v>
      </c>
      <c r="F466" s="200">
        <v>469.32387946902355</v>
      </c>
    </row>
    <row r="467" spans="2:6" x14ac:dyDescent="0.25">
      <c r="B467" s="4">
        <f t="shared" si="14"/>
        <v>574.60999999999581</v>
      </c>
      <c r="C467" s="199">
        <v>302.3326244189451</v>
      </c>
      <c r="D467" s="7"/>
      <c r="E467" s="4">
        <f t="shared" si="15"/>
        <v>444.60999999999581</v>
      </c>
      <c r="F467" s="200">
        <v>469.49930073670475</v>
      </c>
    </row>
    <row r="468" spans="2:6" x14ac:dyDescent="0.25">
      <c r="B468" s="4">
        <f t="shared" si="14"/>
        <v>574.6199999999958</v>
      </c>
      <c r="C468" s="199">
        <v>302.47553453167427</v>
      </c>
      <c r="D468" s="7"/>
      <c r="E468" s="4">
        <f t="shared" si="15"/>
        <v>444.6199999999958</v>
      </c>
      <c r="F468" s="200">
        <v>469.67472200438544</v>
      </c>
    </row>
    <row r="469" spans="2:6" x14ac:dyDescent="0.25">
      <c r="B469" s="4">
        <f t="shared" si="14"/>
        <v>574.62999999999579</v>
      </c>
      <c r="C469" s="199">
        <v>302.61844464440463</v>
      </c>
      <c r="D469" s="7"/>
      <c r="E469" s="4">
        <f t="shared" si="15"/>
        <v>444.62999999999579</v>
      </c>
      <c r="F469" s="200">
        <v>469.85014327206676</v>
      </c>
    </row>
    <row r="470" spans="2:6" x14ac:dyDescent="0.25">
      <c r="B470" s="4">
        <f t="shared" si="14"/>
        <v>574.63999999999578</v>
      </c>
      <c r="C470" s="199">
        <v>302.76135475713539</v>
      </c>
      <c r="D470" s="7"/>
      <c r="E470" s="4">
        <f t="shared" si="15"/>
        <v>444.63999999999578</v>
      </c>
      <c r="F470" s="200">
        <v>470.02556453974745</v>
      </c>
    </row>
    <row r="471" spans="2:6" x14ac:dyDescent="0.25">
      <c r="B471" s="4">
        <f t="shared" si="14"/>
        <v>574.64999999999577</v>
      </c>
      <c r="C471" s="199">
        <v>302.90426486986581</v>
      </c>
      <c r="D471" s="7"/>
      <c r="E471" s="4">
        <f t="shared" si="15"/>
        <v>444.64999999999577</v>
      </c>
      <c r="F471" s="200">
        <v>470.20098580742871</v>
      </c>
    </row>
    <row r="472" spans="2:6" x14ac:dyDescent="0.25">
      <c r="B472" s="4">
        <f t="shared" si="14"/>
        <v>574.65999999999576</v>
      </c>
      <c r="C472" s="199">
        <v>303.04717498259612</v>
      </c>
      <c r="D472" s="7"/>
      <c r="E472" s="4">
        <f t="shared" si="15"/>
        <v>444.65999999999576</v>
      </c>
      <c r="F472" s="200">
        <v>470.37640707510991</v>
      </c>
    </row>
    <row r="473" spans="2:6" x14ac:dyDescent="0.25">
      <c r="B473" s="4">
        <f t="shared" si="14"/>
        <v>574.66999999999575</v>
      </c>
      <c r="C473" s="199">
        <v>303.19008509532676</v>
      </c>
      <c r="D473" s="7"/>
      <c r="E473" s="4">
        <f t="shared" si="15"/>
        <v>444.66999999999575</v>
      </c>
      <c r="F473" s="200">
        <v>470.55182834279066</v>
      </c>
    </row>
    <row r="474" spans="2:6" x14ac:dyDescent="0.25">
      <c r="B474" s="4">
        <f t="shared" si="14"/>
        <v>574.67999999999574</v>
      </c>
      <c r="C474" s="199">
        <v>303.3329952080573</v>
      </c>
      <c r="D474" s="7"/>
      <c r="E474" s="4">
        <f t="shared" si="15"/>
        <v>444.67999999999574</v>
      </c>
      <c r="F474" s="200">
        <v>470.72724961047192</v>
      </c>
    </row>
    <row r="475" spans="2:6" x14ac:dyDescent="0.25">
      <c r="B475" s="4">
        <f t="shared" si="14"/>
        <v>574.68999999999573</v>
      </c>
      <c r="C475" s="199">
        <v>303.47590532078675</v>
      </c>
      <c r="D475" s="7"/>
      <c r="E475" s="4">
        <f t="shared" si="15"/>
        <v>444.68999999999573</v>
      </c>
      <c r="F475" s="200">
        <v>470.90311117730431</v>
      </c>
    </row>
    <row r="476" spans="2:6" x14ac:dyDescent="0.25">
      <c r="B476" s="4">
        <f t="shared" si="14"/>
        <v>574.69999999999573</v>
      </c>
      <c r="C476" s="199">
        <v>303.61881543351734</v>
      </c>
      <c r="D476" s="7"/>
      <c r="E476" s="4">
        <f t="shared" si="15"/>
        <v>444.69999999999573</v>
      </c>
      <c r="F476" s="200">
        <v>471.07897274413801</v>
      </c>
    </row>
    <row r="477" spans="2:6" x14ac:dyDescent="0.25">
      <c r="B477" s="4">
        <f t="shared" si="14"/>
        <v>574.70999999999572</v>
      </c>
      <c r="C477" s="199">
        <v>303.76172554624793</v>
      </c>
      <c r="D477" s="7"/>
      <c r="E477" s="4">
        <f t="shared" si="15"/>
        <v>444.70999999999572</v>
      </c>
      <c r="F477" s="200">
        <v>471.25483431097217</v>
      </c>
    </row>
    <row r="478" spans="2:6" x14ac:dyDescent="0.25">
      <c r="B478" s="4">
        <f t="shared" si="14"/>
        <v>574.71999999999571</v>
      </c>
      <c r="C478" s="199">
        <v>303.90486590637386</v>
      </c>
      <c r="D478" s="7"/>
      <c r="E478" s="4">
        <f t="shared" si="15"/>
        <v>444.71999999999571</v>
      </c>
      <c r="F478" s="200">
        <v>471.43069587780678</v>
      </c>
    </row>
    <row r="479" spans="2:6" x14ac:dyDescent="0.25">
      <c r="B479" s="4">
        <f t="shared" si="14"/>
        <v>574.7299999999957</v>
      </c>
      <c r="C479" s="199">
        <v>304.04800626650177</v>
      </c>
      <c r="D479" s="7"/>
      <c r="E479" s="4">
        <f t="shared" si="15"/>
        <v>444.7299999999957</v>
      </c>
      <c r="F479" s="200">
        <v>471.60655744464049</v>
      </c>
    </row>
    <row r="480" spans="2:6" x14ac:dyDescent="0.25">
      <c r="B480" s="4">
        <f t="shared" si="14"/>
        <v>574.73999999999569</v>
      </c>
      <c r="C480" s="199">
        <v>304.1911466266306</v>
      </c>
      <c r="D480" s="7"/>
      <c r="E480" s="4">
        <f t="shared" si="15"/>
        <v>444.73999999999569</v>
      </c>
      <c r="F480" s="200">
        <v>471.78241901147516</v>
      </c>
    </row>
    <row r="481" spans="2:6" x14ac:dyDescent="0.25">
      <c r="B481" s="4">
        <f t="shared" si="14"/>
        <v>574.74999999999568</v>
      </c>
      <c r="C481" s="199">
        <v>304.33428698675937</v>
      </c>
      <c r="D481" s="7"/>
      <c r="E481" s="4">
        <f t="shared" si="15"/>
        <v>444.74999999999568</v>
      </c>
      <c r="F481" s="200">
        <v>471.95828057830869</v>
      </c>
    </row>
    <row r="482" spans="2:6" x14ac:dyDescent="0.25">
      <c r="B482" s="4">
        <f t="shared" si="14"/>
        <v>574.75999999999567</v>
      </c>
      <c r="C482" s="199">
        <v>304.47742734688723</v>
      </c>
      <c r="D482" s="7"/>
      <c r="E482" s="4">
        <f t="shared" si="15"/>
        <v>444.75999999999567</v>
      </c>
      <c r="F482" s="200">
        <v>472.13414214514336</v>
      </c>
    </row>
    <row r="483" spans="2:6" x14ac:dyDescent="0.25">
      <c r="B483" s="4">
        <f t="shared" si="14"/>
        <v>574.76999999999566</v>
      </c>
      <c r="C483" s="199">
        <v>304.62056770701599</v>
      </c>
      <c r="D483" s="7"/>
      <c r="E483" s="4">
        <f t="shared" si="15"/>
        <v>444.76999999999566</v>
      </c>
      <c r="F483" s="200">
        <v>472.31000371197797</v>
      </c>
    </row>
    <row r="484" spans="2:6" x14ac:dyDescent="0.25">
      <c r="B484" s="4">
        <f t="shared" si="14"/>
        <v>574.77999999999565</v>
      </c>
      <c r="C484" s="199">
        <v>304.76370806714476</v>
      </c>
      <c r="D484" s="7"/>
      <c r="E484" s="4">
        <f t="shared" si="15"/>
        <v>444.77999999999565</v>
      </c>
      <c r="F484" s="200">
        <v>472.48586527881162</v>
      </c>
    </row>
    <row r="485" spans="2:6" x14ac:dyDescent="0.25">
      <c r="B485" s="4">
        <f t="shared" si="14"/>
        <v>574.78999999999564</v>
      </c>
      <c r="C485" s="199">
        <v>304.90684842727268</v>
      </c>
      <c r="D485" s="7"/>
      <c r="E485" s="4">
        <f t="shared" si="15"/>
        <v>444.78999999999564</v>
      </c>
      <c r="F485" s="200">
        <v>472.66215774612903</v>
      </c>
    </row>
    <row r="486" spans="2:6" x14ac:dyDescent="0.25">
      <c r="B486" s="4">
        <f t="shared" si="14"/>
        <v>574.79999999999563</v>
      </c>
      <c r="C486" s="199">
        <v>305.04998878740145</v>
      </c>
      <c r="D486" s="7"/>
      <c r="E486" s="4">
        <f t="shared" si="15"/>
        <v>444.79999999999563</v>
      </c>
      <c r="F486" s="200">
        <v>472.8384502134511</v>
      </c>
    </row>
    <row r="487" spans="2:6" x14ac:dyDescent="0.25">
      <c r="B487" s="4">
        <f t="shared" si="14"/>
        <v>574.80999999999563</v>
      </c>
      <c r="C487" s="199">
        <v>305.19312914753039</v>
      </c>
      <c r="D487" s="7"/>
      <c r="E487" s="4">
        <f t="shared" si="15"/>
        <v>444.80999999999563</v>
      </c>
      <c r="F487" s="200">
        <v>473.01474268077351</v>
      </c>
    </row>
    <row r="488" spans="2:6" x14ac:dyDescent="0.25">
      <c r="B488" s="4">
        <f t="shared" si="14"/>
        <v>574.81999999999562</v>
      </c>
      <c r="C488" s="199">
        <v>305.33650068787904</v>
      </c>
      <c r="D488" s="7"/>
      <c r="E488" s="4">
        <f t="shared" si="15"/>
        <v>444.81999999999562</v>
      </c>
      <c r="F488" s="200">
        <v>473.19103514809552</v>
      </c>
    </row>
    <row r="489" spans="2:6" x14ac:dyDescent="0.25">
      <c r="B489" s="4">
        <f t="shared" si="14"/>
        <v>574.82999999999561</v>
      </c>
      <c r="C489" s="199">
        <v>305.47987222822871</v>
      </c>
      <c r="D489" s="7"/>
      <c r="E489" s="4">
        <f t="shared" si="15"/>
        <v>444.82999999999561</v>
      </c>
      <c r="F489" s="200">
        <v>473.36732761541816</v>
      </c>
    </row>
    <row r="490" spans="2:6" x14ac:dyDescent="0.25">
      <c r="B490" s="4">
        <f t="shared" si="14"/>
        <v>574.8399999999956</v>
      </c>
      <c r="C490" s="199">
        <v>305.62324376857748</v>
      </c>
      <c r="D490" s="7"/>
      <c r="E490" s="4">
        <f t="shared" si="15"/>
        <v>444.8399999999956</v>
      </c>
      <c r="F490" s="200">
        <v>473.54362008274012</v>
      </c>
    </row>
    <row r="491" spans="2:6" x14ac:dyDescent="0.25">
      <c r="B491" s="4">
        <f t="shared" si="14"/>
        <v>574.84999999999559</v>
      </c>
      <c r="C491" s="199">
        <v>305.7666153089271</v>
      </c>
      <c r="D491" s="7"/>
      <c r="E491" s="4">
        <f t="shared" si="15"/>
        <v>444.84999999999559</v>
      </c>
      <c r="F491" s="200">
        <v>473.71991255006253</v>
      </c>
    </row>
    <row r="492" spans="2:6" x14ac:dyDescent="0.25">
      <c r="B492" s="4">
        <f t="shared" si="14"/>
        <v>574.85999999999558</v>
      </c>
      <c r="C492" s="199">
        <v>305.90998684927575</v>
      </c>
      <c r="D492" s="7"/>
      <c r="E492" s="4">
        <f t="shared" si="15"/>
        <v>444.85999999999558</v>
      </c>
      <c r="F492" s="200">
        <v>473.89620501738472</v>
      </c>
    </row>
    <row r="493" spans="2:6" x14ac:dyDescent="0.25">
      <c r="B493" s="4">
        <f t="shared" si="14"/>
        <v>574.86999999999557</v>
      </c>
      <c r="C493" s="199">
        <v>306.05335838962515</v>
      </c>
      <c r="D493" s="7"/>
      <c r="E493" s="4">
        <f t="shared" si="15"/>
        <v>444.86999999999557</v>
      </c>
      <c r="F493" s="200">
        <v>474.07249748470713</v>
      </c>
    </row>
    <row r="494" spans="2:6" x14ac:dyDescent="0.25">
      <c r="B494" s="4">
        <f t="shared" si="14"/>
        <v>574.87999999999556</v>
      </c>
      <c r="C494" s="199">
        <v>306.19672992997397</v>
      </c>
      <c r="D494" s="7"/>
      <c r="E494" s="4">
        <f t="shared" si="15"/>
        <v>444.87999999999556</v>
      </c>
      <c r="F494" s="200">
        <v>474.2487899520296</v>
      </c>
    </row>
    <row r="495" spans="2:6" x14ac:dyDescent="0.25">
      <c r="B495" s="4">
        <f t="shared" si="14"/>
        <v>574.88999999999555</v>
      </c>
      <c r="C495" s="199">
        <v>306.34010147032359</v>
      </c>
      <c r="D495" s="7"/>
      <c r="E495" s="4">
        <f t="shared" si="15"/>
        <v>444.88999999999555</v>
      </c>
      <c r="F495" s="200">
        <v>474.42551453966735</v>
      </c>
    </row>
    <row r="496" spans="2:6" x14ac:dyDescent="0.25">
      <c r="B496" s="4">
        <f t="shared" si="14"/>
        <v>574.89999999999554</v>
      </c>
      <c r="C496" s="199">
        <v>306.48347301067298</v>
      </c>
      <c r="D496" s="7"/>
      <c r="E496" s="4">
        <f t="shared" si="15"/>
        <v>444.89999999999554</v>
      </c>
      <c r="F496" s="200">
        <v>474.60223912730817</v>
      </c>
    </row>
    <row r="497" spans="2:6" x14ac:dyDescent="0.25">
      <c r="B497" s="4">
        <f t="shared" si="14"/>
        <v>574.90999999999553</v>
      </c>
      <c r="C497" s="199">
        <v>306.62684455102186</v>
      </c>
      <c r="D497" s="7"/>
      <c r="E497" s="4">
        <f t="shared" si="15"/>
        <v>444.90999999999553</v>
      </c>
      <c r="F497" s="200">
        <v>474.77896371494876</v>
      </c>
    </row>
    <row r="498" spans="2:6" x14ac:dyDescent="0.25">
      <c r="B498" s="4">
        <f t="shared" si="14"/>
        <v>574.91999999999553</v>
      </c>
      <c r="C498" s="199">
        <v>306.77045071336897</v>
      </c>
      <c r="D498" s="7"/>
      <c r="E498" s="4">
        <f t="shared" si="15"/>
        <v>444.91999999999553</v>
      </c>
      <c r="F498" s="200">
        <v>474.95568830258901</v>
      </c>
    </row>
    <row r="499" spans="2:6" x14ac:dyDescent="0.25">
      <c r="B499" s="4">
        <f t="shared" si="14"/>
        <v>574.92999999999552</v>
      </c>
      <c r="C499" s="199">
        <v>306.9140568757195</v>
      </c>
      <c r="D499" s="7"/>
      <c r="E499" s="4">
        <f t="shared" si="15"/>
        <v>444.92999999999552</v>
      </c>
      <c r="F499" s="200">
        <v>475.13241289023074</v>
      </c>
    </row>
    <row r="500" spans="2:6" x14ac:dyDescent="0.25">
      <c r="B500" s="4">
        <f t="shared" si="14"/>
        <v>574.93999999999551</v>
      </c>
      <c r="C500" s="199">
        <v>307.05766303806911</v>
      </c>
      <c r="D500" s="7"/>
      <c r="E500" s="4">
        <f t="shared" si="15"/>
        <v>444.93999999999551</v>
      </c>
      <c r="F500" s="200">
        <v>475.30913747787139</v>
      </c>
    </row>
    <row r="501" spans="2:6" x14ac:dyDescent="0.25">
      <c r="B501" s="4">
        <f t="shared" si="14"/>
        <v>574.9499999999955</v>
      </c>
      <c r="C501" s="199">
        <v>307.2012692004198</v>
      </c>
      <c r="D501" s="7"/>
      <c r="E501" s="4">
        <f t="shared" si="15"/>
        <v>444.9499999999955</v>
      </c>
      <c r="F501" s="200">
        <v>475.48586206551215</v>
      </c>
    </row>
    <row r="502" spans="2:6" x14ac:dyDescent="0.25">
      <c r="B502" s="4">
        <f t="shared" si="14"/>
        <v>574.95999999999549</v>
      </c>
      <c r="C502" s="199">
        <v>307.34487536276941</v>
      </c>
      <c r="D502" s="7"/>
      <c r="E502" s="4">
        <f t="shared" si="15"/>
        <v>444.95999999999549</v>
      </c>
      <c r="F502" s="200">
        <v>475.66258665315246</v>
      </c>
    </row>
    <row r="503" spans="2:6" x14ac:dyDescent="0.25">
      <c r="B503" s="4">
        <f t="shared" si="14"/>
        <v>574.96999999999548</v>
      </c>
      <c r="C503" s="199">
        <v>307.48848152511994</v>
      </c>
      <c r="D503" s="7"/>
      <c r="E503" s="4">
        <f t="shared" si="15"/>
        <v>444.96999999999548</v>
      </c>
      <c r="F503" s="200">
        <v>475.83931124079311</v>
      </c>
    </row>
    <row r="504" spans="2:6" x14ac:dyDescent="0.25">
      <c r="B504" s="4">
        <f t="shared" si="14"/>
        <v>574.97999999999547</v>
      </c>
      <c r="C504" s="199">
        <v>307.63208768746949</v>
      </c>
      <c r="D504" s="7"/>
      <c r="E504" s="4">
        <f t="shared" si="15"/>
        <v>444.97999999999547</v>
      </c>
      <c r="F504" s="200">
        <v>476.01603582843478</v>
      </c>
    </row>
    <row r="505" spans="2:6" x14ac:dyDescent="0.25">
      <c r="B505" s="4">
        <f t="shared" si="14"/>
        <v>574.98999999999546</v>
      </c>
      <c r="C505" s="199">
        <v>307.77569384981911</v>
      </c>
      <c r="D505" s="7"/>
      <c r="E505" s="4">
        <f t="shared" si="15"/>
        <v>444.98999999999546</v>
      </c>
      <c r="F505" s="200">
        <v>476.19319721651487</v>
      </c>
    </row>
    <row r="506" spans="2:6" x14ac:dyDescent="0.25">
      <c r="B506" s="4">
        <f t="shared" si="14"/>
        <v>574.99999999999545</v>
      </c>
      <c r="C506" s="199">
        <v>307.91930001216986</v>
      </c>
      <c r="D506" s="7"/>
      <c r="E506" s="4">
        <f t="shared" si="15"/>
        <v>444.99999999999545</v>
      </c>
      <c r="F506" s="200">
        <v>476.37035860459827</v>
      </c>
    </row>
    <row r="507" spans="2:6" x14ac:dyDescent="0.25">
      <c r="B507" s="4">
        <f t="shared" si="14"/>
        <v>575.00999999999544</v>
      </c>
      <c r="C507" s="199">
        <v>308.06290617451947</v>
      </c>
      <c r="D507" s="7"/>
      <c r="E507" s="4">
        <f t="shared" si="15"/>
        <v>445.00999999999544</v>
      </c>
      <c r="F507" s="200">
        <v>476.5475199926816</v>
      </c>
    </row>
    <row r="508" spans="2:6" x14ac:dyDescent="0.25">
      <c r="B508" s="4">
        <f t="shared" si="14"/>
        <v>575.01999999999543</v>
      </c>
      <c r="C508" s="199">
        <v>308.20674971416105</v>
      </c>
      <c r="D508" s="7"/>
      <c r="E508" s="4">
        <f t="shared" si="15"/>
        <v>445.01999999999543</v>
      </c>
      <c r="F508" s="200">
        <v>476.72468138076596</v>
      </c>
    </row>
    <row r="509" spans="2:6" x14ac:dyDescent="0.25">
      <c r="B509" s="4">
        <f t="shared" si="14"/>
        <v>575.02999999999543</v>
      </c>
      <c r="C509" s="199">
        <v>308.35059325380365</v>
      </c>
      <c r="D509" s="7"/>
      <c r="E509" s="4">
        <f t="shared" si="15"/>
        <v>445.02999999999543</v>
      </c>
      <c r="F509" s="200">
        <v>476.90184276884918</v>
      </c>
    </row>
    <row r="510" spans="2:6" x14ac:dyDescent="0.25">
      <c r="B510" s="4">
        <f t="shared" si="14"/>
        <v>575.03999999999542</v>
      </c>
      <c r="C510" s="199">
        <v>308.49443679344637</v>
      </c>
      <c r="D510" s="7"/>
      <c r="E510" s="4">
        <f t="shared" si="15"/>
        <v>445.03999999999542</v>
      </c>
      <c r="F510" s="200">
        <v>477.07900415693263</v>
      </c>
    </row>
    <row r="511" spans="2:6" x14ac:dyDescent="0.25">
      <c r="B511" s="4">
        <f t="shared" si="14"/>
        <v>575.04999999999541</v>
      </c>
      <c r="C511" s="199">
        <v>308.63828033308874</v>
      </c>
      <c r="D511" s="7"/>
      <c r="E511" s="4">
        <f t="shared" si="15"/>
        <v>445.04999999999541</v>
      </c>
      <c r="F511" s="200">
        <v>477.25616554501647</v>
      </c>
    </row>
    <row r="512" spans="2:6" x14ac:dyDescent="0.25">
      <c r="B512" s="4">
        <f t="shared" si="14"/>
        <v>575.0599999999954</v>
      </c>
      <c r="C512" s="199">
        <v>308.7821238727314</v>
      </c>
      <c r="D512" s="7"/>
      <c r="E512" s="4">
        <f t="shared" si="15"/>
        <v>445.0599999999954</v>
      </c>
      <c r="F512" s="200">
        <v>477.43332693310072</v>
      </c>
    </row>
    <row r="513" spans="2:6" x14ac:dyDescent="0.25">
      <c r="B513" s="4">
        <f t="shared" si="14"/>
        <v>575.06999999999539</v>
      </c>
      <c r="C513" s="199">
        <v>308.92596741237384</v>
      </c>
      <c r="D513" s="7"/>
      <c r="E513" s="4">
        <f t="shared" si="15"/>
        <v>445.06999999999539</v>
      </c>
      <c r="F513" s="200">
        <v>477.61048832118399</v>
      </c>
    </row>
    <row r="514" spans="2:6" x14ac:dyDescent="0.25">
      <c r="B514" s="4">
        <f t="shared" si="14"/>
        <v>575.07999999999538</v>
      </c>
      <c r="C514" s="199">
        <v>309.06981095201644</v>
      </c>
      <c r="D514" s="7"/>
      <c r="E514" s="4">
        <f t="shared" si="15"/>
        <v>445.07999999999538</v>
      </c>
      <c r="F514" s="200">
        <v>477.78764970926733</v>
      </c>
    </row>
    <row r="515" spans="2:6" x14ac:dyDescent="0.25">
      <c r="B515" s="4">
        <f t="shared" si="14"/>
        <v>575.08999999999537</v>
      </c>
      <c r="C515" s="199">
        <v>309.21365449165887</v>
      </c>
      <c r="D515" s="7"/>
      <c r="E515" s="4">
        <f t="shared" si="15"/>
        <v>445.08999999999537</v>
      </c>
      <c r="F515" s="200">
        <v>477.96524995152936</v>
      </c>
    </row>
    <row r="516" spans="2:6" x14ac:dyDescent="0.25">
      <c r="B516" s="4">
        <f t="shared" si="14"/>
        <v>575.09999999999536</v>
      </c>
      <c r="C516" s="199">
        <v>309.35749803130153</v>
      </c>
      <c r="D516" s="7"/>
      <c r="E516" s="4">
        <f t="shared" si="15"/>
        <v>445.09999999999536</v>
      </c>
      <c r="F516" s="200">
        <v>478.1428501937944</v>
      </c>
    </row>
    <row r="517" spans="2:6" x14ac:dyDescent="0.25">
      <c r="B517" s="4">
        <f t="shared" si="14"/>
        <v>575.10999999999535</v>
      </c>
      <c r="C517" s="199">
        <v>309.50134157094396</v>
      </c>
      <c r="D517" s="7"/>
      <c r="E517" s="4">
        <f t="shared" si="15"/>
        <v>445.10999999999535</v>
      </c>
      <c r="F517" s="200">
        <v>478.32045043605956</v>
      </c>
    </row>
    <row r="518" spans="2:6" x14ac:dyDescent="0.25">
      <c r="B518" s="4">
        <f t="shared" si="14"/>
        <v>575.11999999999534</v>
      </c>
      <c r="C518" s="199">
        <v>309.64541816731713</v>
      </c>
      <c r="D518" s="7"/>
      <c r="E518" s="4">
        <f t="shared" si="15"/>
        <v>445.11999999999534</v>
      </c>
      <c r="F518" s="200">
        <v>478.49805067832506</v>
      </c>
    </row>
    <row r="519" spans="2:6" x14ac:dyDescent="0.25">
      <c r="B519" s="4">
        <f t="shared" si="14"/>
        <v>575.12999999999533</v>
      </c>
      <c r="C519" s="199">
        <v>309.78949476369411</v>
      </c>
      <c r="D519" s="7"/>
      <c r="E519" s="4">
        <f t="shared" si="15"/>
        <v>445.12999999999533</v>
      </c>
      <c r="F519" s="200">
        <v>478.67565092059021</v>
      </c>
    </row>
    <row r="520" spans="2:6" x14ac:dyDescent="0.25">
      <c r="B520" s="4">
        <f t="shared" ref="B520:B583" si="16">+B519+0.01</f>
        <v>575.13999999999533</v>
      </c>
      <c r="C520" s="199">
        <v>309.93357136007091</v>
      </c>
      <c r="D520" s="7"/>
      <c r="E520" s="4">
        <f t="shared" ref="E520:E583" si="17">+E519+0.01</f>
        <v>445.13999999999533</v>
      </c>
      <c r="F520" s="200">
        <v>478.8532511628552</v>
      </c>
    </row>
    <row r="521" spans="2:6" x14ac:dyDescent="0.25">
      <c r="B521" s="4">
        <f t="shared" si="16"/>
        <v>575.14999999999532</v>
      </c>
      <c r="C521" s="199">
        <v>310.07764795644778</v>
      </c>
      <c r="D521" s="7"/>
      <c r="E521" s="4">
        <f t="shared" si="17"/>
        <v>445.14999999999532</v>
      </c>
      <c r="F521" s="200">
        <v>479.03085140511945</v>
      </c>
    </row>
    <row r="522" spans="2:6" x14ac:dyDescent="0.25">
      <c r="B522" s="4">
        <f t="shared" si="16"/>
        <v>575.15999999999531</v>
      </c>
      <c r="C522" s="199">
        <v>310.22172455282481</v>
      </c>
      <c r="D522" s="7"/>
      <c r="E522" s="4">
        <f t="shared" si="17"/>
        <v>445.15999999999531</v>
      </c>
      <c r="F522" s="200">
        <v>479.20845164738495</v>
      </c>
    </row>
    <row r="523" spans="2:6" x14ac:dyDescent="0.25">
      <c r="B523" s="4">
        <f t="shared" si="16"/>
        <v>575.1699999999953</v>
      </c>
      <c r="C523" s="199">
        <v>310.36580114920173</v>
      </c>
      <c r="D523" s="7"/>
      <c r="E523" s="4">
        <f t="shared" si="17"/>
        <v>445.1699999999953</v>
      </c>
      <c r="F523" s="200">
        <v>479.3860518896501</v>
      </c>
    </row>
    <row r="524" spans="2:6" x14ac:dyDescent="0.25">
      <c r="B524" s="4">
        <f t="shared" si="16"/>
        <v>575.17999999999529</v>
      </c>
      <c r="C524" s="199">
        <v>310.50987774557859</v>
      </c>
      <c r="D524" s="7"/>
      <c r="E524" s="4">
        <f t="shared" si="17"/>
        <v>445.17999999999529</v>
      </c>
      <c r="F524" s="200">
        <v>479.56365213191526</v>
      </c>
    </row>
    <row r="525" spans="2:6" x14ac:dyDescent="0.25">
      <c r="B525" s="4">
        <f t="shared" si="16"/>
        <v>575.18999999999528</v>
      </c>
      <c r="C525" s="199">
        <v>310.65395434195557</v>
      </c>
      <c r="D525" s="7"/>
      <c r="E525" s="4">
        <f t="shared" si="17"/>
        <v>445.18999999999528</v>
      </c>
      <c r="F525" s="200">
        <v>479.74168462344176</v>
      </c>
    </row>
    <row r="526" spans="2:6" x14ac:dyDescent="0.25">
      <c r="B526" s="4">
        <f t="shared" si="16"/>
        <v>575.19999999999527</v>
      </c>
      <c r="C526" s="199">
        <v>310.79803093833243</v>
      </c>
      <c r="D526" s="7"/>
      <c r="E526" s="4">
        <f t="shared" si="17"/>
        <v>445.19999999999527</v>
      </c>
      <c r="F526" s="200">
        <v>479.91971711497035</v>
      </c>
    </row>
    <row r="527" spans="2:6" x14ac:dyDescent="0.25">
      <c r="B527" s="4">
        <f t="shared" si="16"/>
        <v>575.20999999999526</v>
      </c>
      <c r="C527" s="199">
        <v>310.94210753470929</v>
      </c>
      <c r="D527" s="7"/>
      <c r="E527" s="4">
        <f t="shared" si="17"/>
        <v>445.20999999999526</v>
      </c>
      <c r="F527" s="200">
        <v>480.09774960649901</v>
      </c>
    </row>
    <row r="528" spans="2:6" x14ac:dyDescent="0.25">
      <c r="B528" s="4">
        <f t="shared" si="16"/>
        <v>575.21999999999525</v>
      </c>
      <c r="C528" s="199">
        <v>311.08641454649245</v>
      </c>
      <c r="D528" s="7"/>
      <c r="E528" s="4">
        <f t="shared" si="17"/>
        <v>445.21999999999525</v>
      </c>
      <c r="F528" s="200">
        <v>480.27578209802675</v>
      </c>
    </row>
    <row r="529" spans="2:6" x14ac:dyDescent="0.25">
      <c r="B529" s="4">
        <f t="shared" si="16"/>
        <v>575.22999999999524</v>
      </c>
      <c r="C529" s="199">
        <v>311.23072155827748</v>
      </c>
      <c r="D529" s="7"/>
      <c r="E529" s="4">
        <f t="shared" si="17"/>
        <v>445.22999999999524</v>
      </c>
      <c r="F529" s="200">
        <v>480.45381458955546</v>
      </c>
    </row>
    <row r="530" spans="2:6" x14ac:dyDescent="0.25">
      <c r="B530" s="4">
        <f t="shared" si="16"/>
        <v>575.23999999999523</v>
      </c>
      <c r="C530" s="199">
        <v>311.37502857006132</v>
      </c>
      <c r="D530" s="7"/>
      <c r="E530" s="4">
        <f t="shared" si="17"/>
        <v>445.23999999999523</v>
      </c>
      <c r="F530" s="200">
        <v>480.63184708108417</v>
      </c>
    </row>
    <row r="531" spans="2:6" x14ac:dyDescent="0.25">
      <c r="B531" s="4">
        <f t="shared" si="16"/>
        <v>575.24999999999523</v>
      </c>
      <c r="C531" s="199">
        <v>311.51933558184533</v>
      </c>
      <c r="D531" s="7"/>
      <c r="E531" s="4">
        <f t="shared" si="17"/>
        <v>445.24999999999523</v>
      </c>
      <c r="F531" s="200">
        <v>480.80987957261192</v>
      </c>
    </row>
    <row r="532" spans="2:6" x14ac:dyDescent="0.25">
      <c r="B532" s="4">
        <f t="shared" si="16"/>
        <v>575.25999999999522</v>
      </c>
      <c r="C532" s="199">
        <v>311.66364259362933</v>
      </c>
      <c r="D532" s="7"/>
      <c r="E532" s="4">
        <f t="shared" si="17"/>
        <v>445.25999999999522</v>
      </c>
      <c r="F532" s="200">
        <v>480.98791206414103</v>
      </c>
    </row>
    <row r="533" spans="2:6" x14ac:dyDescent="0.25">
      <c r="B533" s="4">
        <f t="shared" si="16"/>
        <v>575.26999999999521</v>
      </c>
      <c r="C533" s="199">
        <v>311.80794960541323</v>
      </c>
      <c r="D533" s="7"/>
      <c r="E533" s="4">
        <f t="shared" si="17"/>
        <v>445.26999999999521</v>
      </c>
      <c r="F533" s="200">
        <v>481.16594455566974</v>
      </c>
    </row>
    <row r="534" spans="2:6" x14ac:dyDescent="0.25">
      <c r="B534" s="4">
        <f t="shared" si="16"/>
        <v>575.2799999999952</v>
      </c>
      <c r="C534" s="199">
        <v>311.95225661719809</v>
      </c>
      <c r="D534" s="7"/>
      <c r="E534" s="4">
        <f t="shared" si="17"/>
        <v>445.2799999999952</v>
      </c>
      <c r="F534" s="200">
        <v>481.34397704719851</v>
      </c>
    </row>
    <row r="535" spans="2:6" x14ac:dyDescent="0.25">
      <c r="B535" s="4">
        <f t="shared" si="16"/>
        <v>575.28999999999519</v>
      </c>
      <c r="C535" s="199">
        <v>312.09656362898193</v>
      </c>
      <c r="D535" s="7"/>
      <c r="E535" s="4">
        <f t="shared" si="17"/>
        <v>445.28999999999519</v>
      </c>
      <c r="F535" s="200">
        <v>481.52243735328739</v>
      </c>
    </row>
    <row r="536" spans="2:6" x14ac:dyDescent="0.25">
      <c r="B536" s="4">
        <f t="shared" si="16"/>
        <v>575.29999999999518</v>
      </c>
      <c r="C536" s="199">
        <v>312.24087064076599</v>
      </c>
      <c r="D536" s="7"/>
      <c r="E536" s="4">
        <f t="shared" si="17"/>
        <v>445.29999999999518</v>
      </c>
      <c r="F536" s="200">
        <v>481.70089765938314</v>
      </c>
    </row>
    <row r="537" spans="2:6" x14ac:dyDescent="0.25">
      <c r="B537" s="4">
        <f t="shared" si="16"/>
        <v>575.30999999999517</v>
      </c>
      <c r="C537" s="199">
        <v>312.38517765254988</v>
      </c>
      <c r="D537" s="7"/>
      <c r="E537" s="4">
        <f t="shared" si="17"/>
        <v>445.30999999999517</v>
      </c>
      <c r="F537" s="200">
        <v>481.87935796547799</v>
      </c>
    </row>
    <row r="538" spans="2:6" x14ac:dyDescent="0.25">
      <c r="B538" s="4">
        <f t="shared" si="16"/>
        <v>575.31999999999516</v>
      </c>
      <c r="C538" s="199">
        <v>312.52971496470394</v>
      </c>
      <c r="D538" s="7"/>
      <c r="E538" s="4">
        <f t="shared" si="17"/>
        <v>445.31999999999516</v>
      </c>
      <c r="F538" s="200">
        <v>482.05781827157381</v>
      </c>
    </row>
    <row r="539" spans="2:6" x14ac:dyDescent="0.25">
      <c r="B539" s="4">
        <f t="shared" si="16"/>
        <v>575.32999999999515</v>
      </c>
      <c r="C539" s="199">
        <v>312.67425227685976</v>
      </c>
      <c r="D539" s="7"/>
      <c r="E539" s="4">
        <f t="shared" si="17"/>
        <v>445.32999999999515</v>
      </c>
      <c r="F539" s="200">
        <v>482.23627857766951</v>
      </c>
    </row>
    <row r="540" spans="2:6" x14ac:dyDescent="0.25">
      <c r="B540" s="4">
        <f t="shared" si="16"/>
        <v>575.33999999999514</v>
      </c>
      <c r="C540" s="199">
        <v>312.8187895890166</v>
      </c>
      <c r="D540" s="7"/>
      <c r="E540" s="4">
        <f t="shared" si="17"/>
        <v>445.33999999999514</v>
      </c>
      <c r="F540" s="200">
        <v>482.41473888376436</v>
      </c>
    </row>
    <row r="541" spans="2:6" x14ac:dyDescent="0.25">
      <c r="B541" s="4">
        <f t="shared" si="16"/>
        <v>575.34999999999513</v>
      </c>
      <c r="C541" s="199">
        <v>312.96332690117339</v>
      </c>
      <c r="D541" s="7"/>
      <c r="E541" s="4">
        <f t="shared" si="17"/>
        <v>445.34999999999513</v>
      </c>
      <c r="F541" s="200">
        <v>482.59319918986017</v>
      </c>
    </row>
    <row r="542" spans="2:6" x14ac:dyDescent="0.25">
      <c r="B542" s="4">
        <f t="shared" si="16"/>
        <v>575.35999999999513</v>
      </c>
      <c r="C542" s="199">
        <v>313.10786421333006</v>
      </c>
      <c r="D542" s="7"/>
      <c r="E542" s="4">
        <f t="shared" si="17"/>
        <v>445.35999999999513</v>
      </c>
      <c r="F542" s="200">
        <v>482.77165949595502</v>
      </c>
    </row>
    <row r="543" spans="2:6" x14ac:dyDescent="0.25">
      <c r="B543" s="4">
        <f t="shared" si="16"/>
        <v>575.36999999999512</v>
      </c>
      <c r="C543" s="199">
        <v>313.25240152548588</v>
      </c>
      <c r="D543" s="7"/>
      <c r="E543" s="4">
        <f t="shared" si="17"/>
        <v>445.36999999999512</v>
      </c>
      <c r="F543" s="200">
        <v>482.95011980205078</v>
      </c>
    </row>
    <row r="544" spans="2:6" x14ac:dyDescent="0.25">
      <c r="B544" s="4">
        <f t="shared" si="16"/>
        <v>575.37999999999511</v>
      </c>
      <c r="C544" s="199">
        <v>313.39693883764272</v>
      </c>
      <c r="D544" s="7"/>
      <c r="E544" s="4">
        <f t="shared" si="17"/>
        <v>445.37999999999511</v>
      </c>
      <c r="F544" s="200">
        <v>483.12858010814563</v>
      </c>
    </row>
    <row r="545" spans="2:6" x14ac:dyDescent="0.25">
      <c r="B545" s="4">
        <f t="shared" si="16"/>
        <v>575.3899999999951</v>
      </c>
      <c r="C545" s="199">
        <v>313.54147614979951</v>
      </c>
      <c r="D545" s="7"/>
      <c r="E545" s="4">
        <f t="shared" si="17"/>
        <v>445.3899999999951</v>
      </c>
      <c r="F545" s="200">
        <v>483.30746777265</v>
      </c>
    </row>
    <row r="546" spans="2:6" x14ac:dyDescent="0.25">
      <c r="B546" s="4">
        <f t="shared" si="16"/>
        <v>575.39999999999509</v>
      </c>
      <c r="C546" s="199">
        <v>313.68601346195521</v>
      </c>
      <c r="D546" s="7"/>
      <c r="E546" s="4">
        <f t="shared" si="17"/>
        <v>445.39999999999509</v>
      </c>
      <c r="F546" s="200">
        <v>483.4863554371571</v>
      </c>
    </row>
    <row r="547" spans="2:6" x14ac:dyDescent="0.25">
      <c r="B547" s="4">
        <f t="shared" si="16"/>
        <v>575.40999999999508</v>
      </c>
      <c r="C547" s="199">
        <v>313.83055077411206</v>
      </c>
      <c r="D547" s="7"/>
      <c r="E547" s="4">
        <f t="shared" si="17"/>
        <v>445.40999999999508</v>
      </c>
      <c r="F547" s="200">
        <v>483.66524310166523</v>
      </c>
    </row>
    <row r="548" spans="2:6" x14ac:dyDescent="0.25">
      <c r="B548" s="4">
        <f t="shared" si="16"/>
        <v>575.41999999999507</v>
      </c>
      <c r="C548" s="199">
        <v>313.97531466008468</v>
      </c>
      <c r="D548" s="7"/>
      <c r="E548" s="4">
        <f t="shared" si="17"/>
        <v>445.41999999999507</v>
      </c>
      <c r="F548" s="200">
        <v>483.84413076617233</v>
      </c>
    </row>
    <row r="549" spans="2:6" x14ac:dyDescent="0.25">
      <c r="B549" s="4">
        <f t="shared" si="16"/>
        <v>575.42999999999506</v>
      </c>
      <c r="C549" s="199">
        <v>314.12007854605673</v>
      </c>
      <c r="D549" s="7"/>
      <c r="E549" s="4">
        <f t="shared" si="17"/>
        <v>445.42999999999506</v>
      </c>
      <c r="F549" s="200">
        <v>484.02301843067949</v>
      </c>
    </row>
    <row r="550" spans="2:6" x14ac:dyDescent="0.25">
      <c r="B550" s="4">
        <f t="shared" si="16"/>
        <v>575.43999999999505</v>
      </c>
      <c r="C550" s="199">
        <v>314.26484243202884</v>
      </c>
      <c r="D550" s="7"/>
      <c r="E550" s="4">
        <f t="shared" si="17"/>
        <v>445.43999999999505</v>
      </c>
      <c r="F550" s="200">
        <v>484.20190609518664</v>
      </c>
    </row>
    <row r="551" spans="2:6" x14ac:dyDescent="0.25">
      <c r="B551" s="4">
        <f t="shared" si="16"/>
        <v>575.44999999999504</v>
      </c>
      <c r="C551" s="199">
        <v>314.40960631800095</v>
      </c>
      <c r="D551" s="7"/>
      <c r="E551" s="4">
        <f t="shared" si="17"/>
        <v>445.44999999999504</v>
      </c>
      <c r="F551" s="200">
        <v>484.38079375969471</v>
      </c>
    </row>
    <row r="552" spans="2:6" x14ac:dyDescent="0.25">
      <c r="B552" s="4">
        <f t="shared" si="16"/>
        <v>575.45999999999503</v>
      </c>
      <c r="C552" s="199">
        <v>314.55437020397403</v>
      </c>
      <c r="D552" s="7"/>
      <c r="E552" s="4">
        <f t="shared" si="17"/>
        <v>445.45999999999503</v>
      </c>
      <c r="F552" s="200">
        <v>484.55968142420187</v>
      </c>
    </row>
    <row r="553" spans="2:6" x14ac:dyDescent="0.25">
      <c r="B553" s="4">
        <f t="shared" si="16"/>
        <v>575.46999999999503</v>
      </c>
      <c r="C553" s="199">
        <v>314.69913408994609</v>
      </c>
      <c r="D553" s="7"/>
      <c r="E553" s="4">
        <f t="shared" si="17"/>
        <v>445.46999999999503</v>
      </c>
      <c r="F553" s="200">
        <v>484.73856908870897</v>
      </c>
    </row>
    <row r="554" spans="2:6" x14ac:dyDescent="0.25">
      <c r="B554" s="4">
        <f t="shared" si="16"/>
        <v>575.47999999999502</v>
      </c>
      <c r="C554" s="199">
        <v>314.8438979759182</v>
      </c>
      <c r="D554" s="7"/>
      <c r="E554" s="4">
        <f t="shared" si="17"/>
        <v>445.47999999999502</v>
      </c>
      <c r="F554" s="200">
        <v>484.91745675321613</v>
      </c>
    </row>
    <row r="555" spans="2:6" x14ac:dyDescent="0.25">
      <c r="B555" s="4">
        <f t="shared" si="16"/>
        <v>575.48999999999501</v>
      </c>
      <c r="C555" s="199">
        <v>314.98866186189031</v>
      </c>
      <c r="D555" s="7"/>
      <c r="E555" s="4">
        <f t="shared" si="17"/>
        <v>445.48999999999501</v>
      </c>
      <c r="F555" s="200">
        <v>485.0967792148324</v>
      </c>
    </row>
    <row r="556" spans="2:6" x14ac:dyDescent="0.25">
      <c r="B556" s="4">
        <f t="shared" si="16"/>
        <v>575.499999999995</v>
      </c>
      <c r="C556" s="199">
        <v>315.13342574786236</v>
      </c>
      <c r="D556" s="7"/>
      <c r="E556" s="4">
        <f t="shared" si="17"/>
        <v>445.499999999995</v>
      </c>
      <c r="F556" s="200">
        <v>485.27610167645071</v>
      </c>
    </row>
    <row r="557" spans="2:6" x14ac:dyDescent="0.25">
      <c r="B557" s="4">
        <f t="shared" si="16"/>
        <v>575.50999999999499</v>
      </c>
      <c r="C557" s="199">
        <v>315.27818963383447</v>
      </c>
      <c r="D557" s="7"/>
      <c r="E557" s="4">
        <f t="shared" si="17"/>
        <v>445.50999999999499</v>
      </c>
      <c r="F557" s="200">
        <v>485.45542413806965</v>
      </c>
    </row>
    <row r="558" spans="2:6" x14ac:dyDescent="0.25">
      <c r="B558" s="4">
        <f t="shared" si="16"/>
        <v>575.51999999999498</v>
      </c>
      <c r="C558" s="199">
        <v>315.42317796752781</v>
      </c>
      <c r="D558" s="7"/>
      <c r="E558" s="4">
        <f t="shared" si="17"/>
        <v>445.51999999999498</v>
      </c>
      <c r="F558" s="200">
        <v>485.63474659968892</v>
      </c>
    </row>
    <row r="559" spans="2:6" x14ac:dyDescent="0.25">
      <c r="B559" s="4">
        <f t="shared" si="16"/>
        <v>575.52999999999497</v>
      </c>
      <c r="C559" s="199">
        <v>315.56816630122478</v>
      </c>
      <c r="D559" s="7"/>
      <c r="E559" s="4">
        <f t="shared" si="17"/>
        <v>445.52999999999497</v>
      </c>
      <c r="F559" s="200">
        <v>485.81406906130741</v>
      </c>
    </row>
    <row r="560" spans="2:6" x14ac:dyDescent="0.25">
      <c r="B560" s="4">
        <f t="shared" si="16"/>
        <v>575.53999999999496</v>
      </c>
      <c r="C560" s="199">
        <v>315.71315463492198</v>
      </c>
      <c r="D560" s="7"/>
      <c r="E560" s="4">
        <f t="shared" si="17"/>
        <v>445.53999999999496</v>
      </c>
      <c r="F560" s="200">
        <v>485.99339152292617</v>
      </c>
    </row>
    <row r="561" spans="2:6" x14ac:dyDescent="0.25">
      <c r="B561" s="4">
        <f t="shared" si="16"/>
        <v>575.54999999999495</v>
      </c>
      <c r="C561" s="199">
        <v>315.85814296861895</v>
      </c>
      <c r="D561" s="7"/>
      <c r="E561" s="4">
        <f t="shared" si="17"/>
        <v>445.54999999999495</v>
      </c>
      <c r="F561" s="200">
        <v>486.1727139845446</v>
      </c>
    </row>
    <row r="562" spans="2:6" x14ac:dyDescent="0.25">
      <c r="B562" s="4">
        <f t="shared" si="16"/>
        <v>575.55999999999494</v>
      </c>
      <c r="C562" s="199">
        <v>316.00313130231598</v>
      </c>
      <c r="D562" s="7"/>
      <c r="E562" s="4">
        <f t="shared" si="17"/>
        <v>445.55999999999494</v>
      </c>
      <c r="F562" s="200">
        <v>486.35203644616303</v>
      </c>
    </row>
    <row r="563" spans="2:6" x14ac:dyDescent="0.25">
      <c r="B563" s="4">
        <f t="shared" si="16"/>
        <v>575.56999999999493</v>
      </c>
      <c r="C563" s="199">
        <v>316.14811963601289</v>
      </c>
      <c r="D563" s="7"/>
      <c r="E563" s="4">
        <f t="shared" si="17"/>
        <v>445.56999999999493</v>
      </c>
      <c r="F563" s="200">
        <v>486.53135890778231</v>
      </c>
    </row>
    <row r="564" spans="2:6" x14ac:dyDescent="0.25">
      <c r="B564" s="4">
        <f t="shared" si="16"/>
        <v>575.57999999999493</v>
      </c>
      <c r="C564" s="199">
        <v>316.29310796971021</v>
      </c>
      <c r="D564" s="7"/>
      <c r="E564" s="4">
        <f t="shared" si="17"/>
        <v>445.57999999999493</v>
      </c>
      <c r="F564" s="200">
        <v>486.71068136940119</v>
      </c>
    </row>
    <row r="565" spans="2:6" x14ac:dyDescent="0.25">
      <c r="B565" s="4">
        <f t="shared" si="16"/>
        <v>575.58999999999492</v>
      </c>
      <c r="C565" s="199">
        <v>316.43809630340803</v>
      </c>
      <c r="D565" s="7"/>
      <c r="E565" s="4">
        <f t="shared" si="17"/>
        <v>445.58999999999492</v>
      </c>
      <c r="F565" s="200">
        <v>486.89044752297394</v>
      </c>
    </row>
    <row r="566" spans="2:6" x14ac:dyDescent="0.25">
      <c r="B566" s="4">
        <f t="shared" si="16"/>
        <v>575.59999999999491</v>
      </c>
      <c r="C566" s="199">
        <v>316.58308463710489</v>
      </c>
      <c r="D566" s="7"/>
      <c r="E566" s="4">
        <f t="shared" si="17"/>
        <v>445.59999999999491</v>
      </c>
      <c r="F566" s="200">
        <v>487.07021367655102</v>
      </c>
    </row>
    <row r="567" spans="2:6" x14ac:dyDescent="0.25">
      <c r="B567" s="4">
        <f t="shared" si="16"/>
        <v>575.6099999999949</v>
      </c>
      <c r="C567" s="199">
        <v>316.72807297080197</v>
      </c>
      <c r="D567" s="7"/>
      <c r="E567" s="4">
        <f t="shared" si="17"/>
        <v>445.6099999999949</v>
      </c>
      <c r="F567" s="200">
        <v>487.24997983012804</v>
      </c>
    </row>
    <row r="568" spans="2:6" x14ac:dyDescent="0.25">
      <c r="B568" s="4">
        <f t="shared" si="16"/>
        <v>575.61999999999489</v>
      </c>
      <c r="C568" s="199">
        <v>316.87328880497773</v>
      </c>
      <c r="D568" s="7"/>
      <c r="E568" s="4">
        <f t="shared" si="17"/>
        <v>445.61999999999489</v>
      </c>
      <c r="F568" s="200">
        <v>487.42974598370552</v>
      </c>
    </row>
    <row r="569" spans="2:6" x14ac:dyDescent="0.25">
      <c r="B569" s="4">
        <f t="shared" si="16"/>
        <v>575.62999999999488</v>
      </c>
      <c r="C569" s="199">
        <v>317.018504639154</v>
      </c>
      <c r="D569" s="7"/>
      <c r="E569" s="4">
        <f t="shared" si="17"/>
        <v>445.62999999999488</v>
      </c>
      <c r="F569" s="200">
        <v>487.60951213728254</v>
      </c>
    </row>
    <row r="570" spans="2:6" x14ac:dyDescent="0.25">
      <c r="B570" s="4">
        <f t="shared" si="16"/>
        <v>575.63999999999487</v>
      </c>
      <c r="C570" s="199">
        <v>317.16372047333056</v>
      </c>
      <c r="D570" s="7"/>
      <c r="E570" s="4">
        <f t="shared" si="17"/>
        <v>445.63999999999487</v>
      </c>
      <c r="F570" s="200">
        <v>487.78927829085956</v>
      </c>
    </row>
    <row r="571" spans="2:6" x14ac:dyDescent="0.25">
      <c r="B571" s="4">
        <f t="shared" si="16"/>
        <v>575.64999999999486</v>
      </c>
      <c r="C571" s="199">
        <v>317.30893630750575</v>
      </c>
      <c r="D571" s="7"/>
      <c r="E571" s="4">
        <f t="shared" si="17"/>
        <v>445.64999999999486</v>
      </c>
      <c r="F571" s="200">
        <v>487.96904444443658</v>
      </c>
    </row>
    <row r="572" spans="2:6" x14ac:dyDescent="0.25">
      <c r="B572" s="4">
        <f t="shared" si="16"/>
        <v>575.65999999999485</v>
      </c>
      <c r="C572" s="199">
        <v>317.4541521416823</v>
      </c>
      <c r="D572" s="7"/>
      <c r="E572" s="4">
        <f t="shared" si="17"/>
        <v>445.65999999999485</v>
      </c>
      <c r="F572" s="200">
        <v>488.1488105980136</v>
      </c>
    </row>
    <row r="573" spans="2:6" x14ac:dyDescent="0.25">
      <c r="B573" s="4">
        <f t="shared" si="16"/>
        <v>575.66999999999484</v>
      </c>
      <c r="C573" s="199">
        <v>317.59936797585851</v>
      </c>
      <c r="D573" s="7"/>
      <c r="E573" s="4">
        <f t="shared" si="17"/>
        <v>445.66999999999484</v>
      </c>
      <c r="F573" s="200">
        <v>488.32857675159016</v>
      </c>
    </row>
    <row r="574" spans="2:6" x14ac:dyDescent="0.25">
      <c r="B574" s="4">
        <f t="shared" si="16"/>
        <v>575.67999999999483</v>
      </c>
      <c r="C574" s="199">
        <v>317.74458381003478</v>
      </c>
      <c r="D574" s="7"/>
      <c r="E574" s="4">
        <f t="shared" si="17"/>
        <v>445.67999999999483</v>
      </c>
      <c r="F574" s="200">
        <v>488.50834290516713</v>
      </c>
    </row>
    <row r="575" spans="2:6" x14ac:dyDescent="0.25">
      <c r="B575" s="4">
        <f t="shared" si="16"/>
        <v>575.68999999999482</v>
      </c>
      <c r="C575" s="199">
        <v>317.88979964421134</v>
      </c>
      <c r="D575" s="7"/>
      <c r="E575" s="4">
        <f t="shared" si="17"/>
        <v>445.68999999999482</v>
      </c>
      <c r="F575" s="200">
        <v>488.68855662127942</v>
      </c>
    </row>
    <row r="576" spans="2:6" x14ac:dyDescent="0.25">
      <c r="B576" s="4">
        <f t="shared" si="16"/>
        <v>575.69999999999482</v>
      </c>
      <c r="C576" s="199">
        <v>318.03501547838664</v>
      </c>
      <c r="D576" s="7"/>
      <c r="E576" s="4">
        <f t="shared" si="17"/>
        <v>445.69999999999482</v>
      </c>
      <c r="F576" s="200">
        <v>488.86877033739427</v>
      </c>
    </row>
    <row r="577" spans="2:6" x14ac:dyDescent="0.25">
      <c r="B577" s="4">
        <f t="shared" si="16"/>
        <v>575.70999999999481</v>
      </c>
      <c r="C577" s="199">
        <v>318.18023131256319</v>
      </c>
      <c r="D577" s="7"/>
      <c r="E577" s="4">
        <f t="shared" si="17"/>
        <v>445.70999999999481</v>
      </c>
      <c r="F577" s="200">
        <v>489.04898405350906</v>
      </c>
    </row>
    <row r="578" spans="2:6" x14ac:dyDescent="0.25">
      <c r="B578" s="4">
        <f t="shared" si="16"/>
        <v>575.7199999999948</v>
      </c>
      <c r="C578" s="199">
        <v>318.32567445850071</v>
      </c>
      <c r="D578" s="7"/>
      <c r="E578" s="4">
        <f t="shared" si="17"/>
        <v>445.7199999999948</v>
      </c>
      <c r="F578" s="200">
        <v>489.22919776962385</v>
      </c>
    </row>
    <row r="579" spans="2:6" x14ac:dyDescent="0.25">
      <c r="B579" s="4">
        <f t="shared" si="16"/>
        <v>575.72999999999479</v>
      </c>
      <c r="C579" s="199">
        <v>318.4711176044417</v>
      </c>
      <c r="D579" s="7"/>
      <c r="E579" s="4">
        <f t="shared" si="17"/>
        <v>445.72999999999479</v>
      </c>
      <c r="F579" s="200">
        <v>489.40941148573813</v>
      </c>
    </row>
    <row r="580" spans="2:6" x14ac:dyDescent="0.25">
      <c r="B580" s="4">
        <f t="shared" si="16"/>
        <v>575.73999999999478</v>
      </c>
      <c r="C580" s="199">
        <v>318.61656075038206</v>
      </c>
      <c r="D580" s="7"/>
      <c r="E580" s="4">
        <f t="shared" si="17"/>
        <v>445.73999999999478</v>
      </c>
      <c r="F580" s="200">
        <v>489.58962520185304</v>
      </c>
    </row>
    <row r="581" spans="2:6" x14ac:dyDescent="0.25">
      <c r="B581" s="4">
        <f t="shared" si="16"/>
        <v>575.74999999999477</v>
      </c>
      <c r="C581" s="199">
        <v>318.76200389632305</v>
      </c>
      <c r="D581" s="7"/>
      <c r="E581" s="4">
        <f t="shared" si="17"/>
        <v>445.74999999999477</v>
      </c>
      <c r="F581" s="200">
        <v>489.76983891796777</v>
      </c>
    </row>
    <row r="582" spans="2:6" x14ac:dyDescent="0.25">
      <c r="B582" s="4">
        <f t="shared" si="16"/>
        <v>575.75999999999476</v>
      </c>
      <c r="C582" s="199">
        <v>318.90744704226341</v>
      </c>
      <c r="D582" s="7"/>
      <c r="E582" s="4">
        <f t="shared" si="17"/>
        <v>445.75999999999476</v>
      </c>
      <c r="F582" s="200">
        <v>489.95005263408359</v>
      </c>
    </row>
    <row r="583" spans="2:6" x14ac:dyDescent="0.25">
      <c r="B583" s="4">
        <f t="shared" si="16"/>
        <v>575.76999999999475</v>
      </c>
      <c r="C583" s="199">
        <v>319.05289018820457</v>
      </c>
      <c r="D583" s="7"/>
      <c r="E583" s="4">
        <f t="shared" si="17"/>
        <v>445.76999999999475</v>
      </c>
      <c r="F583" s="200">
        <v>490.13026635019787</v>
      </c>
    </row>
    <row r="584" spans="2:6" x14ac:dyDescent="0.25">
      <c r="B584" s="4">
        <f t="shared" ref="B584:B647" si="18">+B583+0.01</f>
        <v>575.77999999999474</v>
      </c>
      <c r="C584" s="199">
        <v>319.19833333414476</v>
      </c>
      <c r="D584" s="7"/>
      <c r="E584" s="4">
        <f t="shared" ref="E584:E647" si="19">+E583+0.01</f>
        <v>445.77999999999474</v>
      </c>
      <c r="F584" s="200">
        <v>490.31048006631272</v>
      </c>
    </row>
    <row r="585" spans="2:6" x14ac:dyDescent="0.25">
      <c r="B585" s="4">
        <f t="shared" si="18"/>
        <v>575.78999999999473</v>
      </c>
      <c r="C585" s="199">
        <v>319.34377648008501</v>
      </c>
      <c r="D585" s="7"/>
      <c r="E585" s="4">
        <f t="shared" si="19"/>
        <v>445.78999999999473</v>
      </c>
      <c r="F585" s="200">
        <v>490.49114349786834</v>
      </c>
    </row>
    <row r="586" spans="2:6" x14ac:dyDescent="0.25">
      <c r="B586" s="4">
        <f t="shared" si="18"/>
        <v>575.79999999999472</v>
      </c>
      <c r="C586" s="199">
        <v>319.48921962602611</v>
      </c>
      <c r="D586" s="7"/>
      <c r="E586" s="4">
        <f t="shared" si="19"/>
        <v>445.79999999999472</v>
      </c>
      <c r="F586" s="200">
        <v>490.67180692942793</v>
      </c>
    </row>
    <row r="587" spans="2:6" x14ac:dyDescent="0.25">
      <c r="B587" s="4">
        <f t="shared" si="18"/>
        <v>575.80999999999472</v>
      </c>
      <c r="C587" s="199">
        <v>319.63466277196648</v>
      </c>
      <c r="D587" s="7"/>
      <c r="E587" s="4">
        <f t="shared" si="19"/>
        <v>445.80999999999472</v>
      </c>
      <c r="F587" s="200">
        <v>490.85247036098758</v>
      </c>
    </row>
    <row r="588" spans="2:6" x14ac:dyDescent="0.25">
      <c r="B588" s="4">
        <f t="shared" si="18"/>
        <v>575.81999999999471</v>
      </c>
      <c r="C588" s="199">
        <v>319.78033107247103</v>
      </c>
      <c r="D588" s="7"/>
      <c r="E588" s="4">
        <f t="shared" si="19"/>
        <v>445.81999999999471</v>
      </c>
      <c r="F588" s="200">
        <v>491.03313379254769</v>
      </c>
    </row>
    <row r="589" spans="2:6" x14ac:dyDescent="0.25">
      <c r="B589" s="4">
        <f t="shared" si="18"/>
        <v>575.8299999999947</v>
      </c>
      <c r="C589" s="199">
        <v>319.92599937297535</v>
      </c>
      <c r="D589" s="7"/>
      <c r="E589" s="4">
        <f t="shared" si="19"/>
        <v>445.8299999999947</v>
      </c>
      <c r="F589" s="200">
        <v>491.21379722410711</v>
      </c>
    </row>
    <row r="590" spans="2:6" x14ac:dyDescent="0.25">
      <c r="B590" s="4">
        <f t="shared" si="18"/>
        <v>575.83999999999469</v>
      </c>
      <c r="C590" s="199">
        <v>320.07166767347877</v>
      </c>
      <c r="D590" s="7"/>
      <c r="E590" s="4">
        <f t="shared" si="19"/>
        <v>445.83999999999469</v>
      </c>
      <c r="F590" s="200">
        <v>491.39446065566676</v>
      </c>
    </row>
    <row r="591" spans="2:6" x14ac:dyDescent="0.25">
      <c r="B591" s="4">
        <f t="shared" si="18"/>
        <v>575.84999999999468</v>
      </c>
      <c r="C591" s="199">
        <v>320.21733597398315</v>
      </c>
      <c r="D591" s="7"/>
      <c r="E591" s="4">
        <f t="shared" si="19"/>
        <v>445.84999999999468</v>
      </c>
      <c r="F591" s="200">
        <v>491.57512408722636</v>
      </c>
    </row>
    <row r="592" spans="2:6" x14ac:dyDescent="0.25">
      <c r="B592" s="4">
        <f t="shared" si="18"/>
        <v>575.85999999999467</v>
      </c>
      <c r="C592" s="199">
        <v>320.36300427448776</v>
      </c>
      <c r="D592" s="7"/>
      <c r="E592" s="4">
        <f t="shared" si="19"/>
        <v>445.85999999999467</v>
      </c>
      <c r="F592" s="200">
        <v>491.75578751878641</v>
      </c>
    </row>
    <row r="593" spans="2:6" x14ac:dyDescent="0.25">
      <c r="B593" s="4">
        <f t="shared" si="18"/>
        <v>575.86999999999466</v>
      </c>
      <c r="C593" s="199">
        <v>320.50867257499232</v>
      </c>
      <c r="D593" s="7"/>
      <c r="E593" s="4">
        <f t="shared" si="19"/>
        <v>445.86999999999466</v>
      </c>
      <c r="F593" s="200">
        <v>491.936450950346</v>
      </c>
    </row>
    <row r="594" spans="2:6" x14ac:dyDescent="0.25">
      <c r="B594" s="4">
        <f t="shared" si="18"/>
        <v>575.87999999999465</v>
      </c>
      <c r="C594" s="199">
        <v>320.65434087549664</v>
      </c>
      <c r="D594" s="7"/>
      <c r="E594" s="4">
        <f t="shared" si="19"/>
        <v>445.87999999999465</v>
      </c>
      <c r="F594" s="200">
        <v>492.11711438190559</v>
      </c>
    </row>
    <row r="595" spans="2:6" x14ac:dyDescent="0.25">
      <c r="B595" s="4">
        <f t="shared" si="18"/>
        <v>575.88999999999464</v>
      </c>
      <c r="C595" s="199">
        <v>320.80000917600103</v>
      </c>
      <c r="D595" s="7"/>
      <c r="E595" s="4">
        <f t="shared" si="19"/>
        <v>445.88999999999464</v>
      </c>
      <c r="F595" s="200">
        <v>492.29821941982709</v>
      </c>
    </row>
    <row r="596" spans="2:6" x14ac:dyDescent="0.25">
      <c r="B596" s="4">
        <f t="shared" si="18"/>
        <v>575.89999999999463</v>
      </c>
      <c r="C596" s="199">
        <v>320.94567747650439</v>
      </c>
      <c r="D596" s="7"/>
      <c r="E596" s="4">
        <f t="shared" si="19"/>
        <v>445.89999999999463</v>
      </c>
      <c r="F596" s="200">
        <v>492.47932445775245</v>
      </c>
    </row>
    <row r="597" spans="2:6" x14ac:dyDescent="0.25">
      <c r="B597" s="4">
        <f t="shared" si="18"/>
        <v>575.90999999999462</v>
      </c>
      <c r="C597" s="199">
        <v>321.09134577700877</v>
      </c>
      <c r="D597" s="7"/>
      <c r="E597" s="4">
        <f t="shared" si="19"/>
        <v>445.90999999999462</v>
      </c>
      <c r="F597" s="200">
        <v>492.66042949567861</v>
      </c>
    </row>
    <row r="598" spans="2:6" x14ac:dyDescent="0.25">
      <c r="B598" s="4">
        <f t="shared" si="18"/>
        <v>575.91999999999462</v>
      </c>
      <c r="C598" s="199">
        <v>321.23724033099808</v>
      </c>
      <c r="D598" s="7"/>
      <c r="E598" s="4">
        <f t="shared" si="19"/>
        <v>445.91999999999462</v>
      </c>
      <c r="F598" s="200">
        <v>492.84153453360477</v>
      </c>
    </row>
    <row r="599" spans="2:6" x14ac:dyDescent="0.25">
      <c r="B599" s="4">
        <f t="shared" si="18"/>
        <v>575.92999999999461</v>
      </c>
      <c r="C599" s="199">
        <v>321.38313488499057</v>
      </c>
      <c r="D599" s="7"/>
      <c r="E599" s="4">
        <f t="shared" si="19"/>
        <v>445.92999999999461</v>
      </c>
      <c r="F599" s="200">
        <v>493.02263957153014</v>
      </c>
    </row>
    <row r="600" spans="2:6" x14ac:dyDescent="0.25">
      <c r="B600" s="4">
        <f t="shared" si="18"/>
        <v>575.9399999999946</v>
      </c>
      <c r="C600" s="199">
        <v>321.52902943898226</v>
      </c>
      <c r="D600" s="7"/>
      <c r="E600" s="4">
        <f t="shared" si="19"/>
        <v>445.9399999999946</v>
      </c>
      <c r="F600" s="200">
        <v>493.20374460945629</v>
      </c>
    </row>
    <row r="601" spans="2:6" x14ac:dyDescent="0.25">
      <c r="B601" s="4">
        <f t="shared" si="18"/>
        <v>575.94999999999459</v>
      </c>
      <c r="C601" s="199">
        <v>321.67492399297447</v>
      </c>
      <c r="D601" s="7"/>
      <c r="E601" s="4">
        <f t="shared" si="19"/>
        <v>445.94999999999459</v>
      </c>
      <c r="F601" s="200">
        <v>493.38484964738211</v>
      </c>
    </row>
    <row r="602" spans="2:6" x14ac:dyDescent="0.25">
      <c r="B602" s="4">
        <f t="shared" si="18"/>
        <v>575.95999999999458</v>
      </c>
      <c r="C602" s="199">
        <v>321.820818546966</v>
      </c>
      <c r="D602" s="7"/>
      <c r="E602" s="4">
        <f t="shared" si="19"/>
        <v>445.95999999999458</v>
      </c>
      <c r="F602" s="200">
        <v>493.56595468530736</v>
      </c>
    </row>
    <row r="603" spans="2:6" x14ac:dyDescent="0.25">
      <c r="B603" s="4">
        <f t="shared" si="18"/>
        <v>575.96999999999457</v>
      </c>
      <c r="C603" s="199">
        <v>321.96671310095854</v>
      </c>
      <c r="D603" s="7"/>
      <c r="E603" s="4">
        <f t="shared" si="19"/>
        <v>445.96999999999457</v>
      </c>
      <c r="F603" s="200">
        <v>493.74705972323363</v>
      </c>
    </row>
    <row r="604" spans="2:6" x14ac:dyDescent="0.25">
      <c r="B604" s="4">
        <f t="shared" si="18"/>
        <v>575.97999999999456</v>
      </c>
      <c r="C604" s="199">
        <v>322.11260765495001</v>
      </c>
      <c r="D604" s="7"/>
      <c r="E604" s="4">
        <f t="shared" si="19"/>
        <v>445.97999999999456</v>
      </c>
      <c r="F604" s="200">
        <v>493.92816476115979</v>
      </c>
    </row>
    <row r="605" spans="2:6" x14ac:dyDescent="0.25">
      <c r="B605" s="4">
        <f t="shared" si="18"/>
        <v>575.98999999999455</v>
      </c>
      <c r="C605" s="199">
        <v>322.25850220894165</v>
      </c>
      <c r="D605" s="7"/>
      <c r="E605" s="4">
        <f t="shared" si="19"/>
        <v>445.98999999999455</v>
      </c>
      <c r="F605" s="200">
        <v>494.10969805207196</v>
      </c>
    </row>
    <row r="606" spans="2:6" x14ac:dyDescent="0.25">
      <c r="B606" s="4">
        <f t="shared" si="18"/>
        <v>575.99999999999454</v>
      </c>
      <c r="C606" s="199">
        <v>322.40439676293403</v>
      </c>
      <c r="D606" s="7"/>
      <c r="E606" s="4">
        <f t="shared" si="19"/>
        <v>445.99999999999454</v>
      </c>
      <c r="F606" s="200">
        <v>494.2912313429872</v>
      </c>
    </row>
    <row r="607" spans="2:6" x14ac:dyDescent="0.25">
      <c r="B607" s="4">
        <f t="shared" si="18"/>
        <v>576.00999999999453</v>
      </c>
      <c r="C607" s="199">
        <v>322.55029131692572</v>
      </c>
      <c r="D607" s="7"/>
      <c r="E607" s="4">
        <f t="shared" si="19"/>
        <v>446.00999999999453</v>
      </c>
      <c r="F607" s="200">
        <v>494.4727646339029</v>
      </c>
    </row>
    <row r="608" spans="2:6" x14ac:dyDescent="0.25">
      <c r="B608" s="4">
        <f t="shared" si="18"/>
        <v>576.01999999999452</v>
      </c>
      <c r="C608" s="199">
        <v>322.69641258897207</v>
      </c>
      <c r="D608" s="7"/>
      <c r="E608" s="4">
        <f t="shared" si="19"/>
        <v>446.01999999999452</v>
      </c>
      <c r="F608" s="200">
        <v>494.65429792481928</v>
      </c>
    </row>
    <row r="609" spans="2:6" x14ac:dyDescent="0.25">
      <c r="B609" s="4">
        <f t="shared" si="18"/>
        <v>576.02999999999452</v>
      </c>
      <c r="C609" s="199">
        <v>322.84253386101847</v>
      </c>
      <c r="D609" s="7"/>
      <c r="E609" s="4">
        <f t="shared" si="19"/>
        <v>446.02999999999452</v>
      </c>
      <c r="F609" s="200">
        <v>494.83583121573497</v>
      </c>
    </row>
    <row r="610" spans="2:6" x14ac:dyDescent="0.25">
      <c r="B610" s="4">
        <f t="shared" si="18"/>
        <v>576.03999999999451</v>
      </c>
      <c r="C610" s="199">
        <v>322.98865513306498</v>
      </c>
      <c r="D610" s="7"/>
      <c r="E610" s="4">
        <f t="shared" si="19"/>
        <v>446.03999999999451</v>
      </c>
      <c r="F610" s="200">
        <v>495.01736450665067</v>
      </c>
    </row>
    <row r="611" spans="2:6" x14ac:dyDescent="0.25">
      <c r="B611" s="4">
        <f t="shared" si="18"/>
        <v>576.0499999999945</v>
      </c>
      <c r="C611" s="199">
        <v>323.13477640511206</v>
      </c>
      <c r="D611" s="7"/>
      <c r="E611" s="4">
        <f t="shared" si="19"/>
        <v>446.0499999999945</v>
      </c>
      <c r="F611" s="200">
        <v>495.19889779756613</v>
      </c>
    </row>
    <row r="612" spans="2:6" x14ac:dyDescent="0.25">
      <c r="B612" s="4">
        <f t="shared" si="18"/>
        <v>576.05999999999449</v>
      </c>
      <c r="C612" s="199">
        <v>323.28089767715841</v>
      </c>
      <c r="D612" s="7"/>
      <c r="E612" s="4">
        <f t="shared" si="19"/>
        <v>446.05999999999449</v>
      </c>
      <c r="F612" s="200">
        <v>495.38043108848274</v>
      </c>
    </row>
    <row r="613" spans="2:6" x14ac:dyDescent="0.25">
      <c r="B613" s="4">
        <f t="shared" si="18"/>
        <v>576.06999999999448</v>
      </c>
      <c r="C613" s="199">
        <v>323.42701894920469</v>
      </c>
      <c r="D613" s="7"/>
      <c r="E613" s="4">
        <f t="shared" si="19"/>
        <v>446.06999999999448</v>
      </c>
      <c r="F613" s="200">
        <v>495.56196437939786</v>
      </c>
    </row>
    <row r="614" spans="2:6" x14ac:dyDescent="0.25">
      <c r="B614" s="4">
        <f t="shared" si="18"/>
        <v>576.07999999999447</v>
      </c>
      <c r="C614" s="199">
        <v>323.57314022125195</v>
      </c>
      <c r="D614" s="7"/>
      <c r="E614" s="4">
        <f t="shared" si="19"/>
        <v>446.07999999999447</v>
      </c>
      <c r="F614" s="200">
        <v>495.74349767031345</v>
      </c>
    </row>
    <row r="615" spans="2:6" x14ac:dyDescent="0.25">
      <c r="B615" s="4">
        <f t="shared" si="18"/>
        <v>576.08999999999446</v>
      </c>
      <c r="C615" s="199">
        <v>323.71926149329846</v>
      </c>
      <c r="D615" s="7"/>
      <c r="E615" s="4">
        <f t="shared" si="19"/>
        <v>446.08999999999446</v>
      </c>
      <c r="F615" s="200">
        <v>495.92545343021197</v>
      </c>
    </row>
    <row r="616" spans="2:6" x14ac:dyDescent="0.25">
      <c r="B616" s="4">
        <f t="shared" si="18"/>
        <v>576.09999999999445</v>
      </c>
      <c r="C616" s="199">
        <v>323.86538276534458</v>
      </c>
      <c r="D616" s="7"/>
      <c r="E616" s="4">
        <f t="shared" si="19"/>
        <v>446.09999999999445</v>
      </c>
      <c r="F616" s="200">
        <v>496.10740919011255</v>
      </c>
    </row>
    <row r="617" spans="2:6" x14ac:dyDescent="0.25">
      <c r="B617" s="4">
        <f t="shared" si="18"/>
        <v>576.10999999999444</v>
      </c>
      <c r="C617" s="199">
        <v>324.01150403739206</v>
      </c>
      <c r="D617" s="7"/>
      <c r="E617" s="4">
        <f t="shared" si="19"/>
        <v>446.10999999999444</v>
      </c>
      <c r="F617" s="200">
        <v>496.28936495001301</v>
      </c>
    </row>
    <row r="618" spans="2:6" x14ac:dyDescent="0.25">
      <c r="B618" s="4">
        <f t="shared" si="18"/>
        <v>576.11999999999443</v>
      </c>
      <c r="C618" s="199">
        <v>324.15785247970433</v>
      </c>
      <c r="D618" s="7"/>
      <c r="E618" s="4">
        <f t="shared" si="19"/>
        <v>446.11999999999443</v>
      </c>
      <c r="F618" s="200">
        <v>496.47132070991358</v>
      </c>
    </row>
    <row r="619" spans="2:6" x14ac:dyDescent="0.25">
      <c r="B619" s="4">
        <f t="shared" si="18"/>
        <v>576.12999999999442</v>
      </c>
      <c r="C619" s="199">
        <v>324.30420092202115</v>
      </c>
      <c r="D619" s="7"/>
      <c r="E619" s="4">
        <f t="shared" si="19"/>
        <v>446.12999999999442</v>
      </c>
      <c r="F619" s="200">
        <v>496.65327646981405</v>
      </c>
    </row>
    <row r="620" spans="2:6" x14ac:dyDescent="0.25">
      <c r="B620" s="4">
        <f t="shared" si="18"/>
        <v>576.13999999999442</v>
      </c>
      <c r="C620" s="199">
        <v>324.45054936433837</v>
      </c>
      <c r="D620" s="7"/>
      <c r="E620" s="4">
        <f t="shared" si="19"/>
        <v>446.13999999999442</v>
      </c>
      <c r="F620" s="200">
        <v>496.83523222971485</v>
      </c>
    </row>
    <row r="621" spans="2:6" x14ac:dyDescent="0.25">
      <c r="B621" s="4">
        <f t="shared" si="18"/>
        <v>576.14999999999441</v>
      </c>
      <c r="C621" s="199">
        <v>324.59689780665531</v>
      </c>
      <c r="D621" s="7"/>
      <c r="E621" s="4">
        <f t="shared" si="19"/>
        <v>446.14999999999441</v>
      </c>
      <c r="F621" s="200">
        <v>497.01718798961542</v>
      </c>
    </row>
    <row r="622" spans="2:6" x14ac:dyDescent="0.25">
      <c r="B622" s="4">
        <f t="shared" si="18"/>
        <v>576.1599999999944</v>
      </c>
      <c r="C622" s="199">
        <v>324.74324624897218</v>
      </c>
      <c r="D622" s="7"/>
      <c r="E622" s="4">
        <f t="shared" si="19"/>
        <v>446.1599999999944</v>
      </c>
      <c r="F622" s="200">
        <v>497.19914374951497</v>
      </c>
    </row>
    <row r="623" spans="2:6" x14ac:dyDescent="0.25">
      <c r="B623" s="4">
        <f t="shared" si="18"/>
        <v>576.16999999999439</v>
      </c>
      <c r="C623" s="199">
        <v>324.88959469128855</v>
      </c>
      <c r="D623" s="7"/>
      <c r="E623" s="4">
        <f t="shared" si="19"/>
        <v>446.16999999999439</v>
      </c>
      <c r="F623" s="200">
        <v>497.38109950941544</v>
      </c>
    </row>
    <row r="624" spans="2:6" x14ac:dyDescent="0.25">
      <c r="B624" s="4">
        <f t="shared" si="18"/>
        <v>576.17999999999438</v>
      </c>
      <c r="C624" s="199">
        <v>325.03594313360549</v>
      </c>
      <c r="D624" s="7"/>
      <c r="E624" s="4">
        <f t="shared" si="19"/>
        <v>446.17999999999438</v>
      </c>
      <c r="F624" s="200">
        <v>497.56305526931624</v>
      </c>
    </row>
    <row r="625" spans="2:6" x14ac:dyDescent="0.25">
      <c r="B625" s="4">
        <f t="shared" si="18"/>
        <v>576.18999999999437</v>
      </c>
      <c r="C625" s="199">
        <v>325.18229157592242</v>
      </c>
      <c r="D625" s="7"/>
      <c r="E625" s="4">
        <f t="shared" si="19"/>
        <v>446.18999999999437</v>
      </c>
      <c r="F625" s="200">
        <v>497.74542611108473</v>
      </c>
    </row>
    <row r="626" spans="2:6" x14ac:dyDescent="0.25">
      <c r="B626" s="4">
        <f t="shared" si="18"/>
        <v>576.19999999999436</v>
      </c>
      <c r="C626" s="199">
        <v>325.32864001823958</v>
      </c>
      <c r="D626" s="7"/>
      <c r="E626" s="4">
        <f t="shared" si="19"/>
        <v>446.19999999999436</v>
      </c>
      <c r="F626" s="200">
        <v>497.92779695285606</v>
      </c>
    </row>
    <row r="627" spans="2:6" x14ac:dyDescent="0.25">
      <c r="B627" s="4">
        <f t="shared" si="18"/>
        <v>576.20999999999435</v>
      </c>
      <c r="C627" s="199">
        <v>325.47498846055549</v>
      </c>
      <c r="D627" s="7"/>
      <c r="E627" s="4">
        <f t="shared" si="19"/>
        <v>446.20999999999435</v>
      </c>
      <c r="F627" s="200">
        <v>498.1101677946275</v>
      </c>
    </row>
    <row r="628" spans="2:6" x14ac:dyDescent="0.25">
      <c r="B628" s="4">
        <f t="shared" si="18"/>
        <v>576.21999999999434</v>
      </c>
      <c r="C628" s="199">
        <v>325.62156686880036</v>
      </c>
      <c r="D628" s="7"/>
      <c r="E628" s="4">
        <f t="shared" si="19"/>
        <v>446.21999999999434</v>
      </c>
      <c r="F628" s="200">
        <v>498.29253863639985</v>
      </c>
    </row>
    <row r="629" spans="2:6" x14ac:dyDescent="0.25">
      <c r="B629" s="4">
        <f t="shared" si="18"/>
        <v>576.22999999999433</v>
      </c>
      <c r="C629" s="199">
        <v>325.76814527704499</v>
      </c>
      <c r="D629" s="7"/>
      <c r="E629" s="4">
        <f t="shared" si="19"/>
        <v>446.22999999999433</v>
      </c>
      <c r="F629" s="200">
        <v>498.47490947817118</v>
      </c>
    </row>
    <row r="630" spans="2:6" x14ac:dyDescent="0.25">
      <c r="B630" s="4">
        <f t="shared" si="18"/>
        <v>576.23999999999432</v>
      </c>
      <c r="C630" s="199">
        <v>325.91472368528952</v>
      </c>
      <c r="D630" s="7"/>
      <c r="E630" s="4">
        <f t="shared" si="19"/>
        <v>446.23999999999432</v>
      </c>
      <c r="F630" s="200">
        <v>498.65728031994263</v>
      </c>
    </row>
    <row r="631" spans="2:6" x14ac:dyDescent="0.25">
      <c r="B631" s="4">
        <f t="shared" si="18"/>
        <v>576.24999999999432</v>
      </c>
      <c r="C631" s="199">
        <v>326.06130209353421</v>
      </c>
      <c r="D631" s="7"/>
      <c r="E631" s="4">
        <f t="shared" si="19"/>
        <v>446.24999999999432</v>
      </c>
      <c r="F631" s="200">
        <v>498.83965116171498</v>
      </c>
    </row>
    <row r="632" spans="2:6" x14ac:dyDescent="0.25">
      <c r="B632" s="4">
        <f t="shared" si="18"/>
        <v>576.25999999999431</v>
      </c>
      <c r="C632" s="199">
        <v>326.20788050177879</v>
      </c>
      <c r="D632" s="7"/>
      <c r="E632" s="4">
        <f t="shared" si="19"/>
        <v>446.25999999999431</v>
      </c>
      <c r="F632" s="200">
        <v>499.02202200348631</v>
      </c>
    </row>
    <row r="633" spans="2:6" x14ac:dyDescent="0.25">
      <c r="B633" s="4">
        <f t="shared" si="18"/>
        <v>576.2699999999943</v>
      </c>
      <c r="C633" s="199">
        <v>326.35445891002342</v>
      </c>
      <c r="D633" s="7"/>
      <c r="E633" s="4">
        <f t="shared" si="19"/>
        <v>446.2699999999943</v>
      </c>
      <c r="F633" s="200">
        <v>499.20439284525844</v>
      </c>
    </row>
    <row r="634" spans="2:6" x14ac:dyDescent="0.25">
      <c r="B634" s="4">
        <f t="shared" si="18"/>
        <v>576.27999999999429</v>
      </c>
      <c r="C634" s="199">
        <v>326.50103731826806</v>
      </c>
      <c r="D634" s="7"/>
      <c r="E634" s="4">
        <f t="shared" si="19"/>
        <v>446.27999999999429</v>
      </c>
      <c r="F634" s="200">
        <v>499.38676368702977</v>
      </c>
    </row>
    <row r="635" spans="2:6" x14ac:dyDescent="0.25">
      <c r="B635" s="4">
        <f t="shared" si="18"/>
        <v>576.28999999999428</v>
      </c>
      <c r="C635" s="199">
        <v>326.64761572651264</v>
      </c>
      <c r="D635" s="7"/>
      <c r="E635" s="4">
        <f t="shared" si="19"/>
        <v>446.28999999999428</v>
      </c>
      <c r="F635" s="200">
        <v>499.56953834034709</v>
      </c>
    </row>
    <row r="636" spans="2:6" x14ac:dyDescent="0.25">
      <c r="B636" s="4">
        <f t="shared" si="18"/>
        <v>576.29999999999427</v>
      </c>
      <c r="C636" s="199">
        <v>326.79419413475728</v>
      </c>
      <c r="D636" s="7"/>
      <c r="E636" s="4">
        <f t="shared" si="19"/>
        <v>446.29999999999427</v>
      </c>
      <c r="F636" s="200">
        <v>499.75231299366669</v>
      </c>
    </row>
    <row r="637" spans="2:6" x14ac:dyDescent="0.25">
      <c r="B637" s="4">
        <f t="shared" si="18"/>
        <v>576.30999999999426</v>
      </c>
      <c r="C637" s="199">
        <v>326.94077254300186</v>
      </c>
      <c r="D637" s="7"/>
      <c r="E637" s="4">
        <f t="shared" si="19"/>
        <v>446.30999999999426</v>
      </c>
      <c r="F637" s="200">
        <v>499.93508764698618</v>
      </c>
    </row>
    <row r="638" spans="2:6" x14ac:dyDescent="0.25">
      <c r="B638" s="4">
        <f t="shared" si="18"/>
        <v>576.31999999999425</v>
      </c>
      <c r="C638" s="199">
        <v>327.08758439891119</v>
      </c>
      <c r="D638" s="7"/>
      <c r="E638" s="4">
        <f t="shared" si="19"/>
        <v>446.31999999999425</v>
      </c>
      <c r="F638" s="200">
        <v>500.1178623003068</v>
      </c>
    </row>
    <row r="639" spans="2:6" x14ac:dyDescent="0.25">
      <c r="B639" s="4">
        <f t="shared" si="18"/>
        <v>576.32999999999424</v>
      </c>
      <c r="C639" s="199">
        <v>327.23439625482405</v>
      </c>
      <c r="D639" s="7"/>
      <c r="E639" s="4">
        <f t="shared" si="19"/>
        <v>446.32999999999424</v>
      </c>
      <c r="F639" s="200">
        <v>500.30063695362583</v>
      </c>
    </row>
    <row r="640" spans="2:6" x14ac:dyDescent="0.25">
      <c r="B640" s="4">
        <f t="shared" si="18"/>
        <v>576.33999999999423</v>
      </c>
      <c r="C640" s="199">
        <v>327.38120811073605</v>
      </c>
      <c r="D640" s="7"/>
      <c r="E640" s="4">
        <f t="shared" si="19"/>
        <v>446.33999999999423</v>
      </c>
      <c r="F640" s="200">
        <v>500.48341160694645</v>
      </c>
    </row>
    <row r="641" spans="2:6" x14ac:dyDescent="0.25">
      <c r="B641" s="4">
        <f t="shared" si="18"/>
        <v>576.34999999999422</v>
      </c>
      <c r="C641" s="199">
        <v>327.52801996664886</v>
      </c>
      <c r="D641" s="7"/>
      <c r="E641" s="4">
        <f t="shared" si="19"/>
        <v>446.34999999999422</v>
      </c>
      <c r="F641" s="200">
        <v>500.66618626026604</v>
      </c>
    </row>
    <row r="642" spans="2:6" x14ac:dyDescent="0.25">
      <c r="B642" s="4">
        <f t="shared" si="18"/>
        <v>576.35999999999422</v>
      </c>
      <c r="C642" s="199">
        <v>327.67483182256058</v>
      </c>
      <c r="D642" s="7"/>
      <c r="E642" s="4">
        <f t="shared" si="19"/>
        <v>446.35999999999422</v>
      </c>
      <c r="F642" s="200">
        <v>500.84896091358564</v>
      </c>
    </row>
    <row r="643" spans="2:6" x14ac:dyDescent="0.25">
      <c r="B643" s="4">
        <f t="shared" si="18"/>
        <v>576.36999999999421</v>
      </c>
      <c r="C643" s="199">
        <v>327.82164367847344</v>
      </c>
      <c r="D643" s="7"/>
      <c r="E643" s="4">
        <f t="shared" si="19"/>
        <v>446.36999999999421</v>
      </c>
      <c r="F643" s="200">
        <v>501.03173556690615</v>
      </c>
    </row>
    <row r="644" spans="2:6" x14ac:dyDescent="0.25">
      <c r="B644" s="4">
        <f t="shared" si="18"/>
        <v>576.3799999999942</v>
      </c>
      <c r="C644" s="199">
        <v>327.96845553438527</v>
      </c>
      <c r="D644" s="7"/>
      <c r="E644" s="4">
        <f t="shared" si="19"/>
        <v>446.3799999999942</v>
      </c>
      <c r="F644" s="200">
        <v>501.21451022022529</v>
      </c>
    </row>
    <row r="645" spans="2:6" x14ac:dyDescent="0.25">
      <c r="B645" s="4">
        <f t="shared" si="18"/>
        <v>576.38999999999419</v>
      </c>
      <c r="C645" s="199">
        <v>328.11526739029819</v>
      </c>
      <c r="D645" s="7"/>
      <c r="E645" s="4">
        <f t="shared" si="19"/>
        <v>446.38999999999419</v>
      </c>
      <c r="F645" s="200">
        <v>501.39767452291312</v>
      </c>
    </row>
    <row r="646" spans="2:6" x14ac:dyDescent="0.25">
      <c r="B646" s="4">
        <f t="shared" si="18"/>
        <v>576.39999999999418</v>
      </c>
      <c r="C646" s="199">
        <v>328.26207924621013</v>
      </c>
      <c r="D646" s="7"/>
      <c r="E646" s="4">
        <f t="shared" si="19"/>
        <v>446.39999999999418</v>
      </c>
      <c r="F646" s="200">
        <v>501.58083882560516</v>
      </c>
    </row>
    <row r="647" spans="2:6" x14ac:dyDescent="0.25">
      <c r="B647" s="4">
        <f t="shared" si="18"/>
        <v>576.40999999999417</v>
      </c>
      <c r="C647" s="199">
        <v>328.40889110212294</v>
      </c>
      <c r="D647" s="7"/>
      <c r="E647" s="4">
        <f t="shared" si="19"/>
        <v>446.40999999999417</v>
      </c>
      <c r="F647" s="200">
        <v>501.76400312829776</v>
      </c>
    </row>
    <row r="648" spans="2:6" x14ac:dyDescent="0.25">
      <c r="B648" s="4">
        <f t="shared" ref="B648:B711" si="20">+B647+0.01</f>
        <v>576.41999999999416</v>
      </c>
      <c r="C648" s="199">
        <v>328.55594312849212</v>
      </c>
      <c r="D648" s="7"/>
      <c r="E648" s="4">
        <f t="shared" ref="E648:E711" si="21">+E647+0.01</f>
        <v>446.41999999999416</v>
      </c>
      <c r="F648" s="200">
        <v>501.94716743099002</v>
      </c>
    </row>
    <row r="649" spans="2:6" x14ac:dyDescent="0.25">
      <c r="B649" s="4">
        <f t="shared" si="20"/>
        <v>576.42999999999415</v>
      </c>
      <c r="C649" s="199">
        <v>328.70299515486334</v>
      </c>
      <c r="D649" s="7"/>
      <c r="E649" s="4">
        <f t="shared" si="21"/>
        <v>446.42999999999415</v>
      </c>
      <c r="F649" s="200">
        <v>502.13033173368217</v>
      </c>
    </row>
    <row r="650" spans="2:6" x14ac:dyDescent="0.25">
      <c r="B650" s="4">
        <f t="shared" si="20"/>
        <v>576.43999999999414</v>
      </c>
      <c r="C650" s="199">
        <v>328.85004718123434</v>
      </c>
      <c r="D650" s="7"/>
      <c r="E650" s="4">
        <f t="shared" si="21"/>
        <v>446.43999999999414</v>
      </c>
      <c r="F650" s="200">
        <v>502.31349603637386</v>
      </c>
    </row>
    <row r="651" spans="2:6" x14ac:dyDescent="0.25">
      <c r="B651" s="4">
        <f t="shared" si="20"/>
        <v>576.44999999999413</v>
      </c>
      <c r="C651" s="199">
        <v>328.99709920760529</v>
      </c>
      <c r="D651" s="7"/>
      <c r="E651" s="4">
        <f t="shared" si="21"/>
        <v>446.44999999999413</v>
      </c>
      <c r="F651" s="200">
        <v>502.49666033906612</v>
      </c>
    </row>
    <row r="652" spans="2:6" x14ac:dyDescent="0.25">
      <c r="B652" s="4">
        <f t="shared" si="20"/>
        <v>576.45999999999412</v>
      </c>
      <c r="C652" s="199">
        <v>329.14415123397549</v>
      </c>
      <c r="D652" s="7"/>
      <c r="E652" s="4">
        <f t="shared" si="21"/>
        <v>446.45999999999412</v>
      </c>
      <c r="F652" s="200">
        <v>502.67982464175816</v>
      </c>
    </row>
    <row r="653" spans="2:6" x14ac:dyDescent="0.25">
      <c r="B653" s="4">
        <f t="shared" si="20"/>
        <v>576.46999999999412</v>
      </c>
      <c r="C653" s="199">
        <v>329.29120326034649</v>
      </c>
      <c r="D653" s="7"/>
      <c r="E653" s="4">
        <f t="shared" si="21"/>
        <v>446.46999999999412</v>
      </c>
      <c r="F653" s="200">
        <v>502.86298894445076</v>
      </c>
    </row>
    <row r="654" spans="2:6" x14ac:dyDescent="0.25">
      <c r="B654" s="4">
        <f t="shared" si="20"/>
        <v>576.47999999999411</v>
      </c>
      <c r="C654" s="199">
        <v>329.43825528671749</v>
      </c>
      <c r="D654" s="7"/>
      <c r="E654" s="4">
        <f t="shared" si="21"/>
        <v>446.47999999999411</v>
      </c>
      <c r="F654" s="200">
        <v>503.04615324714302</v>
      </c>
    </row>
    <row r="655" spans="2:6" x14ac:dyDescent="0.25">
      <c r="B655" s="4">
        <f t="shared" si="20"/>
        <v>576.4899999999941</v>
      </c>
      <c r="C655" s="199">
        <v>329.58530731308775</v>
      </c>
      <c r="D655" s="7"/>
      <c r="E655" s="4">
        <f t="shared" si="21"/>
        <v>446.4899999999941</v>
      </c>
      <c r="F655" s="200">
        <v>503.22969599594285</v>
      </c>
    </row>
    <row r="656" spans="2:6" x14ac:dyDescent="0.25">
      <c r="B656" s="4">
        <f t="shared" si="20"/>
        <v>576.49999999999409</v>
      </c>
      <c r="C656" s="199">
        <v>329.73235933945875</v>
      </c>
      <c r="D656" s="7"/>
      <c r="E656" s="4">
        <f t="shared" si="21"/>
        <v>446.49999999999409</v>
      </c>
      <c r="F656" s="200">
        <v>503.41323874474563</v>
      </c>
    </row>
    <row r="657" spans="2:6" x14ac:dyDescent="0.25">
      <c r="B657" s="4">
        <f t="shared" si="20"/>
        <v>576.50999999999408</v>
      </c>
      <c r="C657" s="199">
        <v>329.87941136582998</v>
      </c>
      <c r="D657" s="7"/>
      <c r="E657" s="4">
        <f t="shared" si="21"/>
        <v>446.50999999999408</v>
      </c>
      <c r="F657" s="200">
        <v>503.59678149354897</v>
      </c>
    </row>
    <row r="658" spans="2:6" x14ac:dyDescent="0.25">
      <c r="B658" s="4">
        <f t="shared" si="20"/>
        <v>576.51999999999407</v>
      </c>
      <c r="C658" s="199">
        <v>330.02670752955157</v>
      </c>
      <c r="D658" s="7"/>
      <c r="E658" s="4">
        <f t="shared" si="21"/>
        <v>446.51999999999407</v>
      </c>
      <c r="F658" s="200">
        <v>503.78032424235164</v>
      </c>
    </row>
    <row r="659" spans="2:6" x14ac:dyDescent="0.25">
      <c r="B659" s="4">
        <f t="shared" si="20"/>
        <v>576.52999999999406</v>
      </c>
      <c r="C659" s="199">
        <v>330.17400369327714</v>
      </c>
      <c r="D659" s="7"/>
      <c r="E659" s="4">
        <f t="shared" si="21"/>
        <v>446.52999999999406</v>
      </c>
      <c r="F659" s="200">
        <v>503.96386699115408</v>
      </c>
    </row>
    <row r="660" spans="2:6" x14ac:dyDescent="0.25">
      <c r="B660" s="4">
        <f t="shared" si="20"/>
        <v>576.53999999999405</v>
      </c>
      <c r="C660" s="199">
        <v>330.32129985700169</v>
      </c>
      <c r="D660" s="7"/>
      <c r="E660" s="4">
        <f t="shared" si="21"/>
        <v>446.53999999999405</v>
      </c>
      <c r="F660" s="200">
        <v>504.14740973995708</v>
      </c>
    </row>
    <row r="661" spans="2:6" x14ac:dyDescent="0.25">
      <c r="B661" s="4">
        <f t="shared" si="20"/>
        <v>576.54999999999404</v>
      </c>
      <c r="C661" s="199">
        <v>330.46859602072726</v>
      </c>
      <c r="D661" s="7"/>
      <c r="E661" s="4">
        <f t="shared" si="21"/>
        <v>446.54999999999404</v>
      </c>
      <c r="F661" s="200">
        <v>504.33095248876032</v>
      </c>
    </row>
    <row r="662" spans="2:6" x14ac:dyDescent="0.25">
      <c r="B662" s="4">
        <f t="shared" si="20"/>
        <v>576.55999999999403</v>
      </c>
      <c r="C662" s="199">
        <v>330.6158921844517</v>
      </c>
      <c r="D662" s="7"/>
      <c r="E662" s="4">
        <f t="shared" si="21"/>
        <v>446.55999999999403</v>
      </c>
      <c r="F662" s="200">
        <v>504.51449523756321</v>
      </c>
    </row>
    <row r="663" spans="2:6" x14ac:dyDescent="0.25">
      <c r="B663" s="4">
        <f t="shared" si="20"/>
        <v>576.56999999999402</v>
      </c>
      <c r="C663" s="199">
        <v>330.76318834817721</v>
      </c>
      <c r="D663" s="7"/>
      <c r="E663" s="4">
        <f t="shared" si="21"/>
        <v>446.56999999999402</v>
      </c>
      <c r="F663" s="200">
        <v>504.69803798636565</v>
      </c>
    </row>
    <row r="664" spans="2:6" x14ac:dyDescent="0.25">
      <c r="B664" s="4">
        <f t="shared" si="20"/>
        <v>576.57999999999402</v>
      </c>
      <c r="C664" s="199">
        <v>330.91048451190176</v>
      </c>
      <c r="D664" s="7"/>
      <c r="E664" s="4">
        <f t="shared" si="21"/>
        <v>446.57999999999402</v>
      </c>
      <c r="F664" s="200">
        <v>504.88158073516877</v>
      </c>
    </row>
    <row r="665" spans="2:6" x14ac:dyDescent="0.25">
      <c r="B665" s="4">
        <f t="shared" si="20"/>
        <v>576.58999999999401</v>
      </c>
      <c r="C665" s="199">
        <v>331.05778067562727</v>
      </c>
      <c r="D665" s="7"/>
      <c r="E665" s="4">
        <f t="shared" si="21"/>
        <v>446.58999999999401</v>
      </c>
      <c r="F665" s="200">
        <v>505.06549563364479</v>
      </c>
    </row>
    <row r="666" spans="2:6" x14ac:dyDescent="0.25">
      <c r="B666" s="4">
        <f t="shared" si="20"/>
        <v>576.599999999994</v>
      </c>
      <c r="C666" s="199">
        <v>331.20507683935176</v>
      </c>
      <c r="D666" s="7"/>
      <c r="E666" s="4">
        <f t="shared" si="21"/>
        <v>446.599999999994</v>
      </c>
      <c r="F666" s="200">
        <v>505.24941053212456</v>
      </c>
    </row>
    <row r="667" spans="2:6" x14ac:dyDescent="0.25">
      <c r="B667" s="4">
        <f t="shared" si="20"/>
        <v>576.60999999999399</v>
      </c>
      <c r="C667" s="199">
        <v>331.35237300307728</v>
      </c>
      <c r="D667" s="7"/>
      <c r="E667" s="4">
        <f t="shared" si="21"/>
        <v>446.60999999999399</v>
      </c>
      <c r="F667" s="200">
        <v>505.43332543060376</v>
      </c>
    </row>
    <row r="668" spans="2:6" x14ac:dyDescent="0.25">
      <c r="B668" s="4">
        <f t="shared" si="20"/>
        <v>576.61999999999398</v>
      </c>
      <c r="C668" s="199">
        <v>331.49991431603456</v>
      </c>
      <c r="D668" s="7"/>
      <c r="E668" s="4">
        <f t="shared" si="21"/>
        <v>446.61999999999398</v>
      </c>
      <c r="F668" s="200">
        <v>505.61724032908296</v>
      </c>
    </row>
    <row r="669" spans="2:6" x14ac:dyDescent="0.25">
      <c r="B669" s="4">
        <f t="shared" si="20"/>
        <v>576.62999999999397</v>
      </c>
      <c r="C669" s="199">
        <v>331.64745562899168</v>
      </c>
      <c r="D669" s="7"/>
      <c r="E669" s="4">
        <f t="shared" si="21"/>
        <v>446.62999999999397</v>
      </c>
      <c r="F669" s="200">
        <v>505.80115522756228</v>
      </c>
    </row>
    <row r="670" spans="2:6" x14ac:dyDescent="0.25">
      <c r="B670" s="4">
        <f t="shared" si="20"/>
        <v>576.63999999999396</v>
      </c>
      <c r="C670" s="199">
        <v>331.79499694194851</v>
      </c>
      <c r="D670" s="7"/>
      <c r="E670" s="4">
        <f t="shared" si="21"/>
        <v>446.63999999999396</v>
      </c>
      <c r="F670" s="200">
        <v>505.98507012604148</v>
      </c>
    </row>
    <row r="671" spans="2:6" x14ac:dyDescent="0.25">
      <c r="B671" s="4">
        <f t="shared" si="20"/>
        <v>576.64999999999395</v>
      </c>
      <c r="C671" s="199">
        <v>331.94253825490546</v>
      </c>
      <c r="D671" s="7"/>
      <c r="E671" s="4">
        <f t="shared" si="21"/>
        <v>446.64999999999395</v>
      </c>
      <c r="F671" s="200">
        <v>506.16898502452034</v>
      </c>
    </row>
    <row r="672" spans="2:6" x14ac:dyDescent="0.25">
      <c r="B672" s="4">
        <f t="shared" si="20"/>
        <v>576.65999999999394</v>
      </c>
      <c r="C672" s="199">
        <v>332.09007956786252</v>
      </c>
      <c r="D672" s="7"/>
      <c r="E672" s="4">
        <f t="shared" si="21"/>
        <v>446.65999999999394</v>
      </c>
      <c r="F672" s="200">
        <v>506.35289992299965</v>
      </c>
    </row>
    <row r="673" spans="2:6" x14ac:dyDescent="0.25">
      <c r="B673" s="4">
        <f t="shared" si="20"/>
        <v>576.66999999999393</v>
      </c>
      <c r="C673" s="199">
        <v>332.23762088081941</v>
      </c>
      <c r="D673" s="7"/>
      <c r="E673" s="4">
        <f t="shared" si="21"/>
        <v>446.66999999999393</v>
      </c>
      <c r="F673" s="200">
        <v>506.53681482147874</v>
      </c>
    </row>
    <row r="674" spans="2:6" x14ac:dyDescent="0.25">
      <c r="B674" s="4">
        <f t="shared" si="20"/>
        <v>576.67999999999392</v>
      </c>
      <c r="C674" s="199">
        <v>332.38516219377652</v>
      </c>
      <c r="D674" s="7"/>
      <c r="E674" s="4">
        <f t="shared" si="21"/>
        <v>446.67999999999392</v>
      </c>
      <c r="F674" s="200">
        <v>506.72072971995806</v>
      </c>
    </row>
    <row r="675" spans="2:6" x14ac:dyDescent="0.25">
      <c r="B675" s="4">
        <f t="shared" si="20"/>
        <v>576.68999999999392</v>
      </c>
      <c r="C675" s="199">
        <v>332.53270350673267</v>
      </c>
      <c r="D675" s="7"/>
      <c r="E675" s="4">
        <f t="shared" si="21"/>
        <v>446.68999999999392</v>
      </c>
      <c r="F675" s="200">
        <v>506.90500923511661</v>
      </c>
    </row>
    <row r="676" spans="2:6" x14ac:dyDescent="0.25">
      <c r="B676" s="4">
        <f t="shared" si="20"/>
        <v>576.69999999999391</v>
      </c>
      <c r="C676" s="199">
        <v>332.68024481968956</v>
      </c>
      <c r="D676" s="7"/>
      <c r="E676" s="4">
        <f t="shared" si="21"/>
        <v>446.69999999999391</v>
      </c>
      <c r="F676" s="200">
        <v>507.08928875027618</v>
      </c>
    </row>
    <row r="677" spans="2:6" x14ac:dyDescent="0.25">
      <c r="B677" s="4">
        <f t="shared" si="20"/>
        <v>576.7099999999939</v>
      </c>
      <c r="C677" s="199">
        <v>332.82778613264662</v>
      </c>
      <c r="D677" s="7"/>
      <c r="E677" s="4">
        <f t="shared" si="21"/>
        <v>446.7099999999939</v>
      </c>
      <c r="F677" s="200">
        <v>507.2735682654361</v>
      </c>
    </row>
    <row r="678" spans="2:6" x14ac:dyDescent="0.25">
      <c r="B678" s="4">
        <f t="shared" si="20"/>
        <v>576.71999999999389</v>
      </c>
      <c r="C678" s="199">
        <v>332.97556925316724</v>
      </c>
      <c r="D678" s="7"/>
      <c r="E678" s="4">
        <f t="shared" si="21"/>
        <v>446.71999999999389</v>
      </c>
      <c r="F678" s="200">
        <v>507.45784778059556</v>
      </c>
    </row>
    <row r="679" spans="2:6" x14ac:dyDescent="0.25">
      <c r="B679" s="4">
        <f t="shared" si="20"/>
        <v>576.72999999999388</v>
      </c>
      <c r="C679" s="199">
        <v>333.12335237369064</v>
      </c>
      <c r="D679" s="7"/>
      <c r="E679" s="4">
        <f t="shared" si="21"/>
        <v>446.72999999999388</v>
      </c>
      <c r="F679" s="200">
        <v>507.64212729575547</v>
      </c>
    </row>
    <row r="680" spans="2:6" x14ac:dyDescent="0.25">
      <c r="B680" s="4">
        <f t="shared" si="20"/>
        <v>576.73999999999387</v>
      </c>
      <c r="C680" s="199">
        <v>333.27113549421421</v>
      </c>
      <c r="D680" s="7"/>
      <c r="E680" s="4">
        <f t="shared" si="21"/>
        <v>446.73999999999387</v>
      </c>
      <c r="F680" s="200">
        <v>507.82640681091493</v>
      </c>
    </row>
    <row r="681" spans="2:6" x14ac:dyDescent="0.25">
      <c r="B681" s="4">
        <f t="shared" si="20"/>
        <v>576.74999999999386</v>
      </c>
      <c r="C681" s="199">
        <v>333.41891861473778</v>
      </c>
      <c r="D681" s="7"/>
      <c r="E681" s="4">
        <f t="shared" si="21"/>
        <v>446.74999999999386</v>
      </c>
      <c r="F681" s="200">
        <v>508.01068632607485</v>
      </c>
    </row>
    <row r="682" spans="2:6" x14ac:dyDescent="0.25">
      <c r="B682" s="4">
        <f t="shared" si="20"/>
        <v>576.75999999999385</v>
      </c>
      <c r="C682" s="199">
        <v>333.56670173526106</v>
      </c>
      <c r="D682" s="7"/>
      <c r="E682" s="4">
        <f t="shared" si="21"/>
        <v>446.75999999999385</v>
      </c>
      <c r="F682" s="200">
        <v>508.19496584123522</v>
      </c>
    </row>
    <row r="683" spans="2:6" x14ac:dyDescent="0.25">
      <c r="B683" s="4">
        <f t="shared" si="20"/>
        <v>576.76999999999384</v>
      </c>
      <c r="C683" s="199">
        <v>333.71448485578463</v>
      </c>
      <c r="D683" s="7"/>
      <c r="E683" s="4">
        <f t="shared" si="21"/>
        <v>446.76999999999384</v>
      </c>
      <c r="F683" s="200">
        <v>508.37924535639502</v>
      </c>
    </row>
    <row r="684" spans="2:6" x14ac:dyDescent="0.25">
      <c r="B684" s="4">
        <f t="shared" si="20"/>
        <v>576.77999999999383</v>
      </c>
      <c r="C684" s="199">
        <v>333.86226797630803</v>
      </c>
      <c r="D684" s="7"/>
      <c r="E684" s="4">
        <f t="shared" si="21"/>
        <v>446.77999999999383</v>
      </c>
      <c r="F684" s="200">
        <v>508.56352487155448</v>
      </c>
    </row>
    <row r="685" spans="2:6" x14ac:dyDescent="0.25">
      <c r="B685" s="4">
        <f t="shared" si="20"/>
        <v>576.78999999999382</v>
      </c>
      <c r="C685" s="199">
        <v>334.01005109683155</v>
      </c>
      <c r="D685" s="7"/>
      <c r="E685" s="4">
        <f t="shared" si="21"/>
        <v>446.78999999999382</v>
      </c>
      <c r="F685" s="200">
        <v>508.74816729061877</v>
      </c>
    </row>
    <row r="686" spans="2:6" x14ac:dyDescent="0.25">
      <c r="B686" s="4">
        <f t="shared" si="20"/>
        <v>576.79999999999382</v>
      </c>
      <c r="C686" s="199">
        <v>334.157834217355</v>
      </c>
      <c r="D686" s="7"/>
      <c r="E686" s="4">
        <f t="shared" si="21"/>
        <v>446.79999999999382</v>
      </c>
      <c r="F686" s="200">
        <v>508.93280970968829</v>
      </c>
    </row>
    <row r="687" spans="2:6" x14ac:dyDescent="0.25">
      <c r="B687" s="4">
        <f t="shared" si="20"/>
        <v>576.80999999999381</v>
      </c>
      <c r="C687" s="199">
        <v>334.30561733787852</v>
      </c>
      <c r="D687" s="7"/>
      <c r="E687" s="4">
        <f t="shared" si="21"/>
        <v>446.80999999999381</v>
      </c>
      <c r="F687" s="200">
        <v>509.11745212875644</v>
      </c>
    </row>
    <row r="688" spans="2:6" x14ac:dyDescent="0.25">
      <c r="B688" s="4">
        <f t="shared" si="20"/>
        <v>576.8199999999938</v>
      </c>
      <c r="C688" s="199">
        <v>334.45363569114357</v>
      </c>
      <c r="D688" s="7"/>
      <c r="E688" s="4">
        <f t="shared" si="21"/>
        <v>446.8199999999938</v>
      </c>
      <c r="F688" s="200">
        <v>509.30209454782505</v>
      </c>
    </row>
    <row r="689" spans="2:6" x14ac:dyDescent="0.25">
      <c r="B689" s="4">
        <f t="shared" si="20"/>
        <v>576.82999999999379</v>
      </c>
      <c r="C689" s="199">
        <v>334.60165404440738</v>
      </c>
      <c r="D689" s="7"/>
      <c r="E689" s="4">
        <f t="shared" si="21"/>
        <v>446.82999999999379</v>
      </c>
      <c r="F689" s="200">
        <v>509.48673696689366</v>
      </c>
    </row>
    <row r="690" spans="2:6" x14ac:dyDescent="0.25">
      <c r="B690" s="4">
        <f t="shared" si="20"/>
        <v>576.83999999999378</v>
      </c>
      <c r="C690" s="199">
        <v>334.7496723976721</v>
      </c>
      <c r="D690" s="7"/>
      <c r="E690" s="4">
        <f t="shared" si="21"/>
        <v>446.83999999999378</v>
      </c>
      <c r="F690" s="200">
        <v>509.67137938596181</v>
      </c>
    </row>
    <row r="691" spans="2:6" x14ac:dyDescent="0.25">
      <c r="B691" s="4">
        <f t="shared" si="20"/>
        <v>576.84999999999377</v>
      </c>
      <c r="C691" s="199">
        <v>334.89769075093579</v>
      </c>
      <c r="D691" s="7"/>
      <c r="E691" s="4">
        <f t="shared" si="21"/>
        <v>446.84999999999377</v>
      </c>
      <c r="F691" s="200">
        <v>509.85602180503042</v>
      </c>
    </row>
    <row r="692" spans="2:6" x14ac:dyDescent="0.25">
      <c r="B692" s="4">
        <f t="shared" si="20"/>
        <v>576.85999999999376</v>
      </c>
      <c r="C692" s="199">
        <v>335.04570910419983</v>
      </c>
      <c r="D692" s="7"/>
      <c r="E692" s="4">
        <f t="shared" si="21"/>
        <v>446.85999999999376</v>
      </c>
      <c r="F692" s="200">
        <v>510.04066422409858</v>
      </c>
    </row>
    <row r="693" spans="2:6" x14ac:dyDescent="0.25">
      <c r="B693" s="4">
        <f t="shared" si="20"/>
        <v>576.86999999999375</v>
      </c>
      <c r="C693" s="199">
        <v>335.19372745746449</v>
      </c>
      <c r="D693" s="7"/>
      <c r="E693" s="4">
        <f t="shared" si="21"/>
        <v>446.86999999999375</v>
      </c>
      <c r="F693" s="200">
        <v>510.22530664316719</v>
      </c>
    </row>
    <row r="694" spans="2:6" x14ac:dyDescent="0.25">
      <c r="B694" s="4">
        <f t="shared" si="20"/>
        <v>576.87999999999374</v>
      </c>
      <c r="C694" s="199">
        <v>335.3417458107283</v>
      </c>
      <c r="D694" s="7"/>
      <c r="E694" s="4">
        <f t="shared" si="21"/>
        <v>446.87999999999374</v>
      </c>
      <c r="F694" s="200">
        <v>510.40994906223557</v>
      </c>
    </row>
    <row r="695" spans="2:6" x14ac:dyDescent="0.25">
      <c r="B695" s="4">
        <f t="shared" si="20"/>
        <v>576.88999999999373</v>
      </c>
      <c r="C695" s="199">
        <v>335.48976416399336</v>
      </c>
      <c r="D695" s="7"/>
      <c r="E695" s="4">
        <f t="shared" si="21"/>
        <v>446.88999999999373</v>
      </c>
      <c r="F695" s="200">
        <v>510.59495264238228</v>
      </c>
    </row>
    <row r="696" spans="2:6" x14ac:dyDescent="0.25">
      <c r="B696" s="4">
        <f t="shared" si="20"/>
        <v>576.89999999999372</v>
      </c>
      <c r="C696" s="199">
        <v>335.63778251725716</v>
      </c>
      <c r="D696" s="7"/>
      <c r="E696" s="4">
        <f t="shared" si="21"/>
        <v>446.89999999999372</v>
      </c>
      <c r="F696" s="200">
        <v>510.7799562225315</v>
      </c>
    </row>
    <row r="697" spans="2:6" x14ac:dyDescent="0.25">
      <c r="B697" s="4">
        <f t="shared" si="20"/>
        <v>576.90999999999372</v>
      </c>
      <c r="C697" s="199">
        <v>335.78580087052188</v>
      </c>
      <c r="D697" s="7"/>
      <c r="E697" s="4">
        <f t="shared" si="21"/>
        <v>446.90999999999372</v>
      </c>
      <c r="F697" s="200">
        <v>510.96495980268105</v>
      </c>
    </row>
    <row r="698" spans="2:6" x14ac:dyDescent="0.25">
      <c r="B698" s="4">
        <f t="shared" si="20"/>
        <v>576.91999999999371</v>
      </c>
      <c r="C698" s="199">
        <v>335.93404691761822</v>
      </c>
      <c r="D698" s="7"/>
      <c r="E698" s="4">
        <f t="shared" si="21"/>
        <v>446.91999999999371</v>
      </c>
      <c r="F698" s="200">
        <v>511.14996338282958</v>
      </c>
    </row>
    <row r="699" spans="2:6" x14ac:dyDescent="0.25">
      <c r="B699" s="4">
        <f t="shared" si="20"/>
        <v>576.9299999999937</v>
      </c>
      <c r="C699" s="199">
        <v>336.08229296471865</v>
      </c>
      <c r="D699" s="7"/>
      <c r="E699" s="4">
        <f t="shared" si="21"/>
        <v>446.9299999999937</v>
      </c>
      <c r="F699" s="200">
        <v>511.33496696297846</v>
      </c>
    </row>
    <row r="700" spans="2:6" x14ac:dyDescent="0.25">
      <c r="B700" s="4">
        <f t="shared" si="20"/>
        <v>576.93999999999369</v>
      </c>
      <c r="C700" s="199">
        <v>336.23053901181999</v>
      </c>
      <c r="D700" s="7"/>
      <c r="E700" s="4">
        <f t="shared" si="21"/>
        <v>446.93999999999369</v>
      </c>
      <c r="F700" s="200">
        <v>511.5199705431271</v>
      </c>
    </row>
    <row r="701" spans="2:6" x14ac:dyDescent="0.25">
      <c r="B701" s="4">
        <f t="shared" si="20"/>
        <v>576.94999999999368</v>
      </c>
      <c r="C701" s="199">
        <v>336.37878505892024</v>
      </c>
      <c r="D701" s="7"/>
      <c r="E701" s="4">
        <f t="shared" si="21"/>
        <v>446.94999999999368</v>
      </c>
      <c r="F701" s="200">
        <v>511.70497412327666</v>
      </c>
    </row>
    <row r="702" spans="2:6" x14ac:dyDescent="0.25">
      <c r="B702" s="4">
        <f t="shared" si="20"/>
        <v>576.95999999999367</v>
      </c>
      <c r="C702" s="199">
        <v>336.52703110602152</v>
      </c>
      <c r="D702" s="7"/>
      <c r="E702" s="4">
        <f t="shared" si="21"/>
        <v>446.95999999999367</v>
      </c>
      <c r="F702" s="200">
        <v>511.88997770342621</v>
      </c>
    </row>
    <row r="703" spans="2:6" x14ac:dyDescent="0.25">
      <c r="B703" s="4">
        <f t="shared" si="20"/>
        <v>576.96999999999366</v>
      </c>
      <c r="C703" s="199">
        <v>336.6752771531219</v>
      </c>
      <c r="D703" s="7"/>
      <c r="E703" s="4">
        <f t="shared" si="21"/>
        <v>446.96999999999366</v>
      </c>
      <c r="F703" s="200">
        <v>512.07498128357452</v>
      </c>
    </row>
    <row r="704" spans="2:6" x14ac:dyDescent="0.25">
      <c r="B704" s="4">
        <f t="shared" si="20"/>
        <v>576.97999999999365</v>
      </c>
      <c r="C704" s="199">
        <v>336.82352320022204</v>
      </c>
      <c r="D704" s="7"/>
      <c r="E704" s="4">
        <f t="shared" si="21"/>
        <v>446.97999999999365</v>
      </c>
      <c r="F704" s="200">
        <v>512.25998486372396</v>
      </c>
    </row>
    <row r="705" spans="2:6" x14ac:dyDescent="0.25">
      <c r="B705" s="4">
        <f t="shared" si="20"/>
        <v>576.98999999999364</v>
      </c>
      <c r="C705" s="199">
        <v>336.97176924732338</v>
      </c>
      <c r="D705" s="7"/>
      <c r="E705" s="4">
        <f t="shared" si="21"/>
        <v>446.98999999999364</v>
      </c>
      <c r="F705" s="200">
        <v>512.44535108447235</v>
      </c>
    </row>
    <row r="706" spans="2:6" x14ac:dyDescent="0.25">
      <c r="B706" s="4">
        <f t="shared" si="20"/>
        <v>576.99999999999363</v>
      </c>
      <c r="C706" s="199">
        <v>337.12001529442387</v>
      </c>
      <c r="D706" s="7"/>
      <c r="E706" s="4">
        <f t="shared" si="21"/>
        <v>446.99999999999363</v>
      </c>
      <c r="F706" s="200">
        <v>512.63071730522529</v>
      </c>
    </row>
    <row r="707" spans="2:6" x14ac:dyDescent="0.25">
      <c r="B707" s="4">
        <f t="shared" si="20"/>
        <v>577.00999999999362</v>
      </c>
      <c r="C707" s="199">
        <v>337.26826134152401</v>
      </c>
      <c r="D707" s="7"/>
      <c r="E707" s="4">
        <f t="shared" si="21"/>
        <v>447.00999999999362</v>
      </c>
      <c r="F707" s="200">
        <v>512.81608352597698</v>
      </c>
    </row>
    <row r="708" spans="2:6" x14ac:dyDescent="0.25">
      <c r="B708" s="4">
        <f t="shared" si="20"/>
        <v>577.01999999999362</v>
      </c>
      <c r="C708" s="199">
        <v>337.41672677450345</v>
      </c>
      <c r="D708" s="7"/>
      <c r="E708" s="4">
        <f t="shared" si="21"/>
        <v>447.01999999999362</v>
      </c>
      <c r="F708" s="200">
        <v>513.00144974672969</v>
      </c>
    </row>
    <row r="709" spans="2:6" x14ac:dyDescent="0.25">
      <c r="B709" s="4">
        <f t="shared" si="20"/>
        <v>577.02999999999361</v>
      </c>
      <c r="C709" s="199">
        <v>337.56519220748254</v>
      </c>
      <c r="D709" s="7"/>
      <c r="E709" s="4">
        <f t="shared" si="21"/>
        <v>447.02999999999361</v>
      </c>
      <c r="F709" s="200">
        <v>513.18681596748263</v>
      </c>
    </row>
    <row r="710" spans="2:6" x14ac:dyDescent="0.25">
      <c r="B710" s="4">
        <f t="shared" si="20"/>
        <v>577.0399999999936</v>
      </c>
      <c r="C710" s="199">
        <v>337.71365764046152</v>
      </c>
      <c r="D710" s="7"/>
      <c r="E710" s="4">
        <f t="shared" si="21"/>
        <v>447.0399999999936</v>
      </c>
      <c r="F710" s="200">
        <v>513.37218218823534</v>
      </c>
    </row>
    <row r="711" spans="2:6" x14ac:dyDescent="0.25">
      <c r="B711" s="4">
        <f t="shared" si="20"/>
        <v>577.04999999999359</v>
      </c>
      <c r="C711" s="199">
        <v>337.86212307344056</v>
      </c>
      <c r="D711" s="7"/>
      <c r="E711" s="4">
        <f t="shared" si="21"/>
        <v>447.04999999999359</v>
      </c>
      <c r="F711" s="200">
        <v>513.55754840898805</v>
      </c>
    </row>
    <row r="712" spans="2:6" x14ac:dyDescent="0.25">
      <c r="B712" s="4">
        <f t="shared" ref="B712:B775" si="22">+B711+0.01</f>
        <v>577.05999999999358</v>
      </c>
      <c r="C712" s="199">
        <v>338.01058850641931</v>
      </c>
      <c r="D712" s="7"/>
      <c r="E712" s="4">
        <f t="shared" ref="E712:E775" si="23">+E711+0.01</f>
        <v>447.05999999999358</v>
      </c>
      <c r="F712" s="200">
        <v>513.74291462974077</v>
      </c>
    </row>
    <row r="713" spans="2:6" x14ac:dyDescent="0.25">
      <c r="B713" s="4">
        <f t="shared" si="22"/>
        <v>577.06999999999357</v>
      </c>
      <c r="C713" s="199">
        <v>338.15905393939852</v>
      </c>
      <c r="D713" s="7"/>
      <c r="E713" s="4">
        <f t="shared" si="23"/>
        <v>447.06999999999357</v>
      </c>
      <c r="F713" s="200">
        <v>513.9282808504928</v>
      </c>
    </row>
    <row r="714" spans="2:6" x14ac:dyDescent="0.25">
      <c r="B714" s="4">
        <f t="shared" si="22"/>
        <v>577.07999999999356</v>
      </c>
      <c r="C714" s="199">
        <v>338.30751937237756</v>
      </c>
      <c r="D714" s="7"/>
      <c r="E714" s="4">
        <f t="shared" si="23"/>
        <v>447.07999999999356</v>
      </c>
      <c r="F714" s="200">
        <v>514.11364707124551</v>
      </c>
    </row>
    <row r="715" spans="2:6" x14ac:dyDescent="0.25">
      <c r="B715" s="4">
        <f t="shared" si="22"/>
        <v>577.08999999999355</v>
      </c>
      <c r="C715" s="199">
        <v>338.45598480535654</v>
      </c>
      <c r="D715" s="7"/>
      <c r="E715" s="4">
        <f t="shared" si="23"/>
        <v>447.08999999999355</v>
      </c>
      <c r="F715" s="200">
        <v>514.29939211666465</v>
      </c>
    </row>
    <row r="716" spans="2:6" x14ac:dyDescent="0.25">
      <c r="B716" s="4">
        <f t="shared" si="22"/>
        <v>577.09999999999354</v>
      </c>
      <c r="C716" s="199">
        <v>338.60445023833529</v>
      </c>
      <c r="D716" s="7"/>
      <c r="E716" s="4">
        <f t="shared" si="23"/>
        <v>447.09999999999354</v>
      </c>
      <c r="F716" s="200">
        <v>514.48513716208492</v>
      </c>
    </row>
    <row r="717" spans="2:6" x14ac:dyDescent="0.25">
      <c r="B717" s="4">
        <f t="shared" si="22"/>
        <v>577.10999999999353</v>
      </c>
      <c r="C717" s="199">
        <v>338.75291567131444</v>
      </c>
      <c r="D717" s="7"/>
      <c r="E717" s="4">
        <f t="shared" si="23"/>
        <v>447.10999999999353</v>
      </c>
      <c r="F717" s="200">
        <v>514.67088220750577</v>
      </c>
    </row>
    <row r="718" spans="2:6" x14ac:dyDescent="0.25">
      <c r="B718" s="4">
        <f t="shared" si="22"/>
        <v>577.11999999999352</v>
      </c>
      <c r="C718" s="199">
        <v>338.9015956179777</v>
      </c>
      <c r="D718" s="7"/>
      <c r="E718" s="4">
        <f t="shared" si="23"/>
        <v>447.11999999999352</v>
      </c>
      <c r="F718" s="200">
        <v>514.8566272529273</v>
      </c>
    </row>
    <row r="719" spans="2:6" x14ac:dyDescent="0.25">
      <c r="B719" s="4">
        <f t="shared" si="22"/>
        <v>577.12999999999352</v>
      </c>
      <c r="C719" s="199">
        <v>339.0502755646458</v>
      </c>
      <c r="D719" s="7"/>
      <c r="E719" s="4">
        <f t="shared" si="23"/>
        <v>447.12999999999352</v>
      </c>
      <c r="F719" s="200">
        <v>515.04237229834814</v>
      </c>
    </row>
    <row r="720" spans="2:6" x14ac:dyDescent="0.25">
      <c r="B720" s="4">
        <f t="shared" si="22"/>
        <v>577.13999999999351</v>
      </c>
      <c r="C720" s="199">
        <v>339.1989555113127</v>
      </c>
      <c r="D720" s="7"/>
      <c r="E720" s="4">
        <f t="shared" si="23"/>
        <v>447.13999999999351</v>
      </c>
      <c r="F720" s="200">
        <v>515.22811734376967</v>
      </c>
    </row>
    <row r="721" spans="2:6" x14ac:dyDescent="0.25">
      <c r="B721" s="4">
        <f t="shared" si="22"/>
        <v>577.1499999999935</v>
      </c>
      <c r="C721" s="199">
        <v>339.34763545798091</v>
      </c>
      <c r="D721" s="7"/>
      <c r="E721" s="4">
        <f t="shared" si="23"/>
        <v>447.1499999999935</v>
      </c>
      <c r="F721" s="200">
        <v>515.41386238919006</v>
      </c>
    </row>
    <row r="722" spans="2:6" x14ac:dyDescent="0.25">
      <c r="B722" s="4">
        <f t="shared" si="22"/>
        <v>577.15999999999349</v>
      </c>
      <c r="C722" s="199">
        <v>339.4963154046481</v>
      </c>
      <c r="D722" s="7"/>
      <c r="E722" s="4">
        <f t="shared" si="23"/>
        <v>447.15999999999349</v>
      </c>
      <c r="F722" s="200">
        <v>515.5996074346109</v>
      </c>
    </row>
    <row r="723" spans="2:6" x14ac:dyDescent="0.25">
      <c r="B723" s="4">
        <f t="shared" si="22"/>
        <v>577.16999999999348</v>
      </c>
      <c r="C723" s="199">
        <v>339.64499535131597</v>
      </c>
      <c r="D723" s="7"/>
      <c r="E723" s="4">
        <f t="shared" si="23"/>
        <v>447.16999999999348</v>
      </c>
      <c r="F723" s="200">
        <v>515.78535248003243</v>
      </c>
    </row>
    <row r="724" spans="2:6" x14ac:dyDescent="0.25">
      <c r="B724" s="4">
        <f t="shared" si="22"/>
        <v>577.17999999999347</v>
      </c>
      <c r="C724" s="199">
        <v>339.79367529798407</v>
      </c>
      <c r="D724" s="7"/>
      <c r="E724" s="4">
        <f t="shared" si="23"/>
        <v>447.17999999999347</v>
      </c>
      <c r="F724" s="200">
        <v>515.97109752545327</v>
      </c>
    </row>
    <row r="725" spans="2:6" x14ac:dyDescent="0.25">
      <c r="B725" s="4">
        <f t="shared" si="22"/>
        <v>577.18999999999346</v>
      </c>
      <c r="C725" s="199">
        <v>339.94235524465091</v>
      </c>
      <c r="D725" s="7"/>
      <c r="E725" s="4">
        <f t="shared" si="23"/>
        <v>447.18999999999346</v>
      </c>
      <c r="F725" s="200">
        <v>516.15725004303408</v>
      </c>
    </row>
    <row r="726" spans="2:6" x14ac:dyDescent="0.25">
      <c r="B726" s="4">
        <f t="shared" si="22"/>
        <v>577.19999999999345</v>
      </c>
      <c r="C726" s="199">
        <v>340.09103519131895</v>
      </c>
      <c r="D726" s="7"/>
      <c r="E726" s="4">
        <f t="shared" si="23"/>
        <v>447.19999999999345</v>
      </c>
      <c r="F726" s="200">
        <v>516.34340256061751</v>
      </c>
    </row>
    <row r="727" spans="2:6" x14ac:dyDescent="0.25">
      <c r="B727" s="4">
        <f t="shared" si="22"/>
        <v>577.20999999999344</v>
      </c>
      <c r="C727" s="199">
        <v>340.23971513798614</v>
      </c>
      <c r="D727" s="7"/>
      <c r="E727" s="4">
        <f t="shared" si="23"/>
        <v>447.20999999999344</v>
      </c>
      <c r="F727" s="200">
        <v>516.52955507820036</v>
      </c>
    </row>
    <row r="728" spans="2:6" x14ac:dyDescent="0.25">
      <c r="B728" s="4">
        <f t="shared" si="22"/>
        <v>577.21999999999343</v>
      </c>
      <c r="C728" s="199">
        <v>340.38860805350481</v>
      </c>
      <c r="D728" s="7"/>
      <c r="E728" s="4">
        <f t="shared" si="23"/>
        <v>447.21999999999343</v>
      </c>
      <c r="F728" s="200">
        <v>516.71570759578344</v>
      </c>
    </row>
    <row r="729" spans="2:6" x14ac:dyDescent="0.25">
      <c r="B729" s="4">
        <f t="shared" si="22"/>
        <v>577.22999999999342</v>
      </c>
      <c r="C729" s="199">
        <v>340.53750096902422</v>
      </c>
      <c r="D729" s="7"/>
      <c r="E729" s="4">
        <f t="shared" si="23"/>
        <v>447.22999999999342</v>
      </c>
      <c r="F729" s="200">
        <v>516.90186011336618</v>
      </c>
    </row>
    <row r="730" spans="2:6" x14ac:dyDescent="0.25">
      <c r="B730" s="4">
        <f t="shared" si="22"/>
        <v>577.23999999999342</v>
      </c>
      <c r="C730" s="199">
        <v>340.68639388454255</v>
      </c>
      <c r="D730" s="7"/>
      <c r="E730" s="4">
        <f t="shared" si="23"/>
        <v>447.23999999999342</v>
      </c>
      <c r="F730" s="200">
        <v>517.08801263094904</v>
      </c>
    </row>
    <row r="731" spans="2:6" x14ac:dyDescent="0.25">
      <c r="B731" s="4">
        <f t="shared" si="22"/>
        <v>577.24999999999341</v>
      </c>
      <c r="C731" s="199">
        <v>340.83528680006071</v>
      </c>
      <c r="D731" s="7"/>
      <c r="E731" s="4">
        <f t="shared" si="23"/>
        <v>447.24999999999341</v>
      </c>
      <c r="F731" s="200">
        <v>517.27416514853212</v>
      </c>
    </row>
    <row r="732" spans="2:6" x14ac:dyDescent="0.25">
      <c r="B732" s="4">
        <f t="shared" si="22"/>
        <v>577.2599999999934</v>
      </c>
      <c r="C732" s="199">
        <v>340.98417971557927</v>
      </c>
      <c r="D732" s="7"/>
      <c r="E732" s="4">
        <f t="shared" si="23"/>
        <v>447.2599999999934</v>
      </c>
      <c r="F732" s="200">
        <v>517.46031766611497</v>
      </c>
    </row>
    <row r="733" spans="2:6" x14ac:dyDescent="0.25">
      <c r="B733" s="4">
        <f t="shared" si="22"/>
        <v>577.26999999999339</v>
      </c>
      <c r="C733" s="199">
        <v>341.13307263109766</v>
      </c>
      <c r="D733" s="7"/>
      <c r="E733" s="4">
        <f t="shared" si="23"/>
        <v>447.26999999999339</v>
      </c>
      <c r="F733" s="200">
        <v>517.64647018369828</v>
      </c>
    </row>
    <row r="734" spans="2:6" x14ac:dyDescent="0.25">
      <c r="B734" s="4">
        <f t="shared" si="22"/>
        <v>577.27999999999338</v>
      </c>
      <c r="C734" s="199">
        <v>341.28196554661696</v>
      </c>
      <c r="D734" s="7"/>
      <c r="E734" s="4">
        <f t="shared" si="23"/>
        <v>447.27999999999338</v>
      </c>
      <c r="F734" s="200">
        <v>517.83262270128137</v>
      </c>
    </row>
    <row r="735" spans="2:6" x14ac:dyDescent="0.25">
      <c r="B735" s="4">
        <f t="shared" si="22"/>
        <v>577.28999999999337</v>
      </c>
      <c r="C735" s="199">
        <v>341.43085846213518</v>
      </c>
      <c r="D735" s="7"/>
      <c r="E735" s="4">
        <f t="shared" si="23"/>
        <v>447.28999999999337</v>
      </c>
      <c r="F735" s="200">
        <v>518.01921910479587</v>
      </c>
    </row>
    <row r="736" spans="2:6" x14ac:dyDescent="0.25">
      <c r="B736" s="4">
        <f t="shared" si="22"/>
        <v>577.29999999999336</v>
      </c>
      <c r="C736" s="199">
        <v>341.57975137765357</v>
      </c>
      <c r="D736" s="7"/>
      <c r="E736" s="4">
        <f t="shared" si="23"/>
        <v>447.29999999999336</v>
      </c>
      <c r="F736" s="200">
        <v>518.20581550831469</v>
      </c>
    </row>
    <row r="737" spans="2:6" x14ac:dyDescent="0.25">
      <c r="B737" s="4">
        <f t="shared" si="22"/>
        <v>577.30999999999335</v>
      </c>
      <c r="C737" s="199">
        <v>341.72864429317201</v>
      </c>
      <c r="D737" s="7"/>
      <c r="E737" s="4">
        <f t="shared" si="23"/>
        <v>447.30999999999335</v>
      </c>
      <c r="F737" s="200">
        <v>518.39241191183373</v>
      </c>
    </row>
    <row r="738" spans="2:6" x14ac:dyDescent="0.25">
      <c r="B738" s="4">
        <f t="shared" si="22"/>
        <v>577.31999999999334</v>
      </c>
      <c r="C738" s="199">
        <v>341.87774986445316</v>
      </c>
      <c r="D738" s="7"/>
      <c r="E738" s="4">
        <f t="shared" si="23"/>
        <v>447.31999999999334</v>
      </c>
      <c r="F738" s="200">
        <v>518.57900831535267</v>
      </c>
    </row>
    <row r="739" spans="2:6" x14ac:dyDescent="0.25">
      <c r="B739" s="4">
        <f t="shared" si="22"/>
        <v>577.32999999999333</v>
      </c>
      <c r="C739" s="199">
        <v>342.02685543573602</v>
      </c>
      <c r="D739" s="7"/>
      <c r="E739" s="4">
        <f t="shared" si="23"/>
        <v>447.32999999999333</v>
      </c>
      <c r="F739" s="200">
        <v>518.76560471887126</v>
      </c>
    </row>
    <row r="740" spans="2:6" x14ac:dyDescent="0.25">
      <c r="B740" s="4">
        <f t="shared" si="22"/>
        <v>577.33999999999332</v>
      </c>
      <c r="C740" s="199">
        <v>342.17596100701985</v>
      </c>
      <c r="D740" s="7"/>
      <c r="E740" s="4">
        <f t="shared" si="23"/>
        <v>447.33999999999332</v>
      </c>
      <c r="F740" s="200">
        <v>518.95220112239031</v>
      </c>
    </row>
    <row r="741" spans="2:6" x14ac:dyDescent="0.25">
      <c r="B741" s="4">
        <f t="shared" si="22"/>
        <v>577.34999999999332</v>
      </c>
      <c r="C741" s="199">
        <v>342.32506657830368</v>
      </c>
      <c r="D741" s="7"/>
      <c r="E741" s="4">
        <f t="shared" si="23"/>
        <v>447.34999999999332</v>
      </c>
      <c r="F741" s="200">
        <v>519.13879752591015</v>
      </c>
    </row>
    <row r="742" spans="2:6" x14ac:dyDescent="0.25">
      <c r="B742" s="4">
        <f t="shared" si="22"/>
        <v>577.35999999999331</v>
      </c>
      <c r="C742" s="199">
        <v>342.47417214958733</v>
      </c>
      <c r="D742" s="7"/>
      <c r="E742" s="4">
        <f t="shared" si="23"/>
        <v>447.35999999999331</v>
      </c>
      <c r="F742" s="200">
        <v>519.32539392942874</v>
      </c>
    </row>
    <row r="743" spans="2:6" x14ac:dyDescent="0.25">
      <c r="B743" s="4">
        <f t="shared" si="22"/>
        <v>577.3699999999933</v>
      </c>
      <c r="C743" s="199">
        <v>342.62327772087127</v>
      </c>
      <c r="D743" s="7"/>
      <c r="E743" s="4">
        <f t="shared" si="23"/>
        <v>447.3699999999933</v>
      </c>
      <c r="F743" s="200">
        <v>519.51199033294768</v>
      </c>
    </row>
    <row r="744" spans="2:6" x14ac:dyDescent="0.25">
      <c r="B744" s="4">
        <f t="shared" si="22"/>
        <v>577.37999999999329</v>
      </c>
      <c r="C744" s="199">
        <v>342.77238329215419</v>
      </c>
      <c r="D744" s="7"/>
      <c r="E744" s="4">
        <f t="shared" si="23"/>
        <v>447.37999999999329</v>
      </c>
      <c r="F744" s="200">
        <v>519.69858673646661</v>
      </c>
    </row>
    <row r="745" spans="2:6" x14ac:dyDescent="0.25">
      <c r="B745" s="4">
        <f t="shared" si="22"/>
        <v>577.38999999999328</v>
      </c>
      <c r="C745" s="199">
        <v>342.92148886343796</v>
      </c>
      <c r="D745" s="7"/>
      <c r="E745" s="4">
        <f t="shared" si="23"/>
        <v>447.38999999999328</v>
      </c>
      <c r="F745" s="200">
        <v>519.88566797176338</v>
      </c>
    </row>
    <row r="746" spans="2:6" x14ac:dyDescent="0.25">
      <c r="B746" s="4">
        <f t="shared" si="22"/>
        <v>577.39999999999327</v>
      </c>
      <c r="C746" s="199">
        <v>343.07059443472178</v>
      </c>
      <c r="D746" s="7"/>
      <c r="E746" s="4">
        <f t="shared" si="23"/>
        <v>447.39999999999327</v>
      </c>
      <c r="F746" s="200">
        <v>520.07274920706391</v>
      </c>
    </row>
    <row r="747" spans="2:6" x14ac:dyDescent="0.25">
      <c r="B747" s="4">
        <f t="shared" si="22"/>
        <v>577.40999999999326</v>
      </c>
      <c r="C747" s="199">
        <v>343.21970000600567</v>
      </c>
      <c r="D747" s="7"/>
      <c r="E747" s="4">
        <f t="shared" si="23"/>
        <v>447.40999999999326</v>
      </c>
      <c r="F747" s="200">
        <v>520.25983044236443</v>
      </c>
    </row>
    <row r="748" spans="2:6" x14ac:dyDescent="0.25">
      <c r="B748" s="4">
        <f t="shared" si="22"/>
        <v>577.41999999999325</v>
      </c>
      <c r="C748" s="199">
        <v>343.36901970678917</v>
      </c>
      <c r="D748" s="7"/>
      <c r="E748" s="4">
        <f t="shared" si="23"/>
        <v>447.41999999999325</v>
      </c>
      <c r="F748" s="200">
        <v>520.44691167766439</v>
      </c>
    </row>
    <row r="749" spans="2:6" x14ac:dyDescent="0.25">
      <c r="B749" s="4">
        <f t="shared" si="22"/>
        <v>577.42999999999324</v>
      </c>
      <c r="C749" s="199">
        <v>343.51833940757382</v>
      </c>
      <c r="D749" s="7"/>
      <c r="E749" s="4">
        <f t="shared" si="23"/>
        <v>447.42999999999324</v>
      </c>
      <c r="F749" s="200">
        <v>520.63399291296514</v>
      </c>
    </row>
    <row r="750" spans="2:6" x14ac:dyDescent="0.25">
      <c r="B750" s="4">
        <f t="shared" si="22"/>
        <v>577.43999999999323</v>
      </c>
      <c r="C750" s="199">
        <v>343.66765910835733</v>
      </c>
      <c r="D750" s="7"/>
      <c r="E750" s="4">
        <f t="shared" si="23"/>
        <v>447.43999999999323</v>
      </c>
      <c r="F750" s="200">
        <v>520.82107414826555</v>
      </c>
    </row>
    <row r="751" spans="2:6" x14ac:dyDescent="0.25">
      <c r="B751" s="4">
        <f t="shared" si="22"/>
        <v>577.44999999999322</v>
      </c>
      <c r="C751" s="199">
        <v>343.81697880914169</v>
      </c>
      <c r="D751" s="7"/>
      <c r="E751" s="4">
        <f t="shared" si="23"/>
        <v>447.44999999999322</v>
      </c>
      <c r="F751" s="200">
        <v>521.0081553835663</v>
      </c>
    </row>
    <row r="752" spans="2:6" x14ac:dyDescent="0.25">
      <c r="B752" s="4">
        <f t="shared" si="22"/>
        <v>577.45999999999322</v>
      </c>
      <c r="C752" s="199">
        <v>343.9662985099252</v>
      </c>
      <c r="D752" s="7"/>
      <c r="E752" s="4">
        <f t="shared" si="23"/>
        <v>447.45999999999322</v>
      </c>
      <c r="F752" s="200">
        <v>521.19523661886626</v>
      </c>
    </row>
    <row r="753" spans="2:6" x14ac:dyDescent="0.25">
      <c r="B753" s="4">
        <f t="shared" si="22"/>
        <v>577.46999999999321</v>
      </c>
      <c r="C753" s="199">
        <v>344.11561821070967</v>
      </c>
      <c r="D753" s="7"/>
      <c r="E753" s="4">
        <f t="shared" si="23"/>
        <v>447.46999999999321</v>
      </c>
      <c r="F753" s="200">
        <v>521.38231785416758</v>
      </c>
    </row>
    <row r="754" spans="2:6" x14ac:dyDescent="0.25">
      <c r="B754" s="4">
        <f t="shared" si="22"/>
        <v>577.4799999999932</v>
      </c>
      <c r="C754" s="199">
        <v>344.26493791149397</v>
      </c>
      <c r="D754" s="7"/>
      <c r="E754" s="4">
        <f t="shared" si="23"/>
        <v>447.4799999999932</v>
      </c>
      <c r="F754" s="200">
        <v>521.56939908946742</v>
      </c>
    </row>
    <row r="755" spans="2:6" x14ac:dyDescent="0.25">
      <c r="B755" s="4">
        <f t="shared" si="22"/>
        <v>577.48999999999319</v>
      </c>
      <c r="C755" s="199">
        <v>344.41425761227748</v>
      </c>
      <c r="D755" s="7"/>
      <c r="E755" s="4">
        <f t="shared" si="23"/>
        <v>447.48999999999319</v>
      </c>
      <c r="F755" s="200">
        <v>521.75699194062327</v>
      </c>
    </row>
    <row r="756" spans="2:6" x14ac:dyDescent="0.25">
      <c r="B756" s="4">
        <f t="shared" si="22"/>
        <v>577.49999999999318</v>
      </c>
      <c r="C756" s="199">
        <v>344.56357731306218</v>
      </c>
      <c r="D756" s="7"/>
      <c r="E756" s="4">
        <f t="shared" si="23"/>
        <v>447.49999999999318</v>
      </c>
      <c r="F756" s="200">
        <v>521.94458479178434</v>
      </c>
    </row>
    <row r="757" spans="2:6" x14ac:dyDescent="0.25">
      <c r="B757" s="4">
        <f t="shared" si="22"/>
        <v>577.50999999999317</v>
      </c>
      <c r="C757" s="199">
        <v>344.71289701384541</v>
      </c>
      <c r="D757" s="7"/>
      <c r="E757" s="4">
        <f t="shared" si="23"/>
        <v>447.50999999999317</v>
      </c>
      <c r="F757" s="200">
        <v>522.13217764294598</v>
      </c>
    </row>
    <row r="758" spans="2:6" x14ac:dyDescent="0.25">
      <c r="B758" s="4">
        <f t="shared" si="22"/>
        <v>577.51999999999316</v>
      </c>
      <c r="C758" s="199">
        <v>344.86243239472884</v>
      </c>
      <c r="D758" s="7"/>
      <c r="E758" s="4">
        <f t="shared" si="23"/>
        <v>447.51999999999316</v>
      </c>
      <c r="F758" s="200">
        <v>522.31977049410716</v>
      </c>
    </row>
    <row r="759" spans="2:6" x14ac:dyDescent="0.25">
      <c r="B759" s="4">
        <f t="shared" si="22"/>
        <v>577.52999999999315</v>
      </c>
      <c r="C759" s="199">
        <v>345.01196777561665</v>
      </c>
      <c r="D759" s="7"/>
      <c r="E759" s="4">
        <f t="shared" si="23"/>
        <v>447.52999999999315</v>
      </c>
      <c r="F759" s="200">
        <v>522.5073633452688</v>
      </c>
    </row>
    <row r="760" spans="2:6" x14ac:dyDescent="0.25">
      <c r="B760" s="4">
        <f t="shared" si="22"/>
        <v>577.53999999999314</v>
      </c>
      <c r="C760" s="199">
        <v>345.16150315650373</v>
      </c>
      <c r="D760" s="7"/>
      <c r="E760" s="4">
        <f t="shared" si="23"/>
        <v>447.53999999999314</v>
      </c>
      <c r="F760" s="200">
        <v>522.6949561964301</v>
      </c>
    </row>
    <row r="761" spans="2:6" x14ac:dyDescent="0.25">
      <c r="B761" s="4">
        <f t="shared" si="22"/>
        <v>577.54999999999313</v>
      </c>
      <c r="C761" s="199">
        <v>345.31103853739086</v>
      </c>
      <c r="D761" s="7"/>
      <c r="E761" s="4">
        <f t="shared" si="23"/>
        <v>447.54999999999313</v>
      </c>
      <c r="F761" s="200">
        <v>522.88254904759162</v>
      </c>
    </row>
    <row r="762" spans="2:6" x14ac:dyDescent="0.25">
      <c r="B762" s="4">
        <f t="shared" si="22"/>
        <v>577.55999999999312</v>
      </c>
      <c r="C762" s="199">
        <v>345.46057391827873</v>
      </c>
      <c r="D762" s="7"/>
      <c r="E762" s="4">
        <f t="shared" si="23"/>
        <v>447.55999999999312</v>
      </c>
      <c r="F762" s="200">
        <v>523.07014189875269</v>
      </c>
    </row>
    <row r="763" spans="2:6" x14ac:dyDescent="0.25">
      <c r="B763" s="4">
        <f t="shared" si="22"/>
        <v>577.56999999999312</v>
      </c>
      <c r="C763" s="199">
        <v>345.61010929916591</v>
      </c>
      <c r="D763" s="7"/>
      <c r="E763" s="4">
        <f t="shared" si="23"/>
        <v>447.56999999999312</v>
      </c>
      <c r="F763" s="200">
        <v>523.25773474991411</v>
      </c>
    </row>
    <row r="764" spans="2:6" x14ac:dyDescent="0.25">
      <c r="B764" s="4">
        <f t="shared" si="22"/>
        <v>577.57999999999311</v>
      </c>
      <c r="C764" s="199">
        <v>345.75964468005304</v>
      </c>
      <c r="D764" s="7"/>
      <c r="E764" s="4">
        <f t="shared" si="23"/>
        <v>447.57999999999311</v>
      </c>
      <c r="F764" s="200">
        <v>523.44532760107461</v>
      </c>
    </row>
    <row r="765" spans="2:6" x14ac:dyDescent="0.25">
      <c r="B765" s="4">
        <f t="shared" si="22"/>
        <v>577.5899999999931</v>
      </c>
      <c r="C765" s="199">
        <v>345.90918006094097</v>
      </c>
      <c r="D765" s="7"/>
      <c r="E765" s="4">
        <f t="shared" si="23"/>
        <v>447.5899999999931</v>
      </c>
      <c r="F765" s="200">
        <v>523.63344860996654</v>
      </c>
    </row>
    <row r="766" spans="2:6" x14ac:dyDescent="0.25">
      <c r="B766" s="4">
        <f t="shared" si="22"/>
        <v>577.59999999999309</v>
      </c>
      <c r="C766" s="199">
        <v>346.05871544182816</v>
      </c>
      <c r="D766" s="7"/>
      <c r="E766" s="4">
        <f t="shared" si="23"/>
        <v>447.59999999999309</v>
      </c>
      <c r="F766" s="200">
        <v>523.82156961886153</v>
      </c>
    </row>
    <row r="767" spans="2:6" x14ac:dyDescent="0.25">
      <c r="B767" s="4">
        <f t="shared" si="22"/>
        <v>577.60999999999308</v>
      </c>
      <c r="C767" s="199">
        <v>346.20825082271506</v>
      </c>
      <c r="D767" s="7"/>
      <c r="E767" s="4">
        <f t="shared" si="23"/>
        <v>447.60999999999308</v>
      </c>
      <c r="F767" s="200">
        <v>524.00969062775653</v>
      </c>
    </row>
    <row r="768" spans="2:6" x14ac:dyDescent="0.25">
      <c r="B768" s="4">
        <f t="shared" si="22"/>
        <v>577.61999999999307</v>
      </c>
      <c r="C768" s="199">
        <v>346.35799894363998</v>
      </c>
      <c r="D768" s="7"/>
      <c r="E768" s="4">
        <f t="shared" si="23"/>
        <v>447.61999999999307</v>
      </c>
      <c r="F768" s="200">
        <v>524.19781163665152</v>
      </c>
    </row>
    <row r="769" spans="2:6" x14ac:dyDescent="0.25">
      <c r="B769" s="4">
        <f t="shared" si="22"/>
        <v>577.62999999999306</v>
      </c>
      <c r="C769" s="199">
        <v>346.507747064564</v>
      </c>
      <c r="D769" s="7"/>
      <c r="E769" s="4">
        <f t="shared" si="23"/>
        <v>447.62999999999306</v>
      </c>
      <c r="F769" s="200">
        <v>524.3859326455472</v>
      </c>
    </row>
    <row r="770" spans="2:6" x14ac:dyDescent="0.25">
      <c r="B770" s="4">
        <f t="shared" si="22"/>
        <v>577.63999999999305</v>
      </c>
      <c r="C770" s="199">
        <v>346.65749518548796</v>
      </c>
      <c r="D770" s="7"/>
      <c r="E770" s="4">
        <f t="shared" si="23"/>
        <v>447.63999999999305</v>
      </c>
      <c r="F770" s="200">
        <v>524.5740536544422</v>
      </c>
    </row>
    <row r="771" spans="2:6" x14ac:dyDescent="0.25">
      <c r="B771" s="4">
        <f t="shared" si="22"/>
        <v>577.64999999999304</v>
      </c>
      <c r="C771" s="199">
        <v>346.80724330641198</v>
      </c>
      <c r="D771" s="7"/>
      <c r="E771" s="4">
        <f t="shared" si="23"/>
        <v>447.64999999999304</v>
      </c>
      <c r="F771" s="200">
        <v>524.76217466333719</v>
      </c>
    </row>
    <row r="772" spans="2:6" x14ac:dyDescent="0.25">
      <c r="B772" s="4">
        <f t="shared" si="22"/>
        <v>577.65999999999303</v>
      </c>
      <c r="C772" s="199">
        <v>346.95699142733599</v>
      </c>
      <c r="D772" s="7"/>
      <c r="E772" s="4">
        <f t="shared" si="23"/>
        <v>447.65999999999303</v>
      </c>
      <c r="F772" s="200">
        <v>524.95029567223241</v>
      </c>
    </row>
    <row r="773" spans="2:6" x14ac:dyDescent="0.25">
      <c r="B773" s="4">
        <f t="shared" si="22"/>
        <v>577.66999999999302</v>
      </c>
      <c r="C773" s="199">
        <v>347.10673954826001</v>
      </c>
      <c r="D773" s="7"/>
      <c r="E773" s="4">
        <f t="shared" si="23"/>
        <v>447.66999999999302</v>
      </c>
      <c r="F773" s="200">
        <v>525.13841668112741</v>
      </c>
    </row>
    <row r="774" spans="2:6" x14ac:dyDescent="0.25">
      <c r="B774" s="4">
        <f t="shared" si="22"/>
        <v>577.67999999999302</v>
      </c>
      <c r="C774" s="199">
        <v>347.25648766918306</v>
      </c>
      <c r="D774" s="7"/>
      <c r="E774" s="4">
        <f t="shared" si="23"/>
        <v>447.67999999999302</v>
      </c>
      <c r="F774" s="200">
        <v>525.32653769002241</v>
      </c>
    </row>
    <row r="775" spans="2:6" x14ac:dyDescent="0.25">
      <c r="B775" s="4">
        <f t="shared" si="22"/>
        <v>577.68999999999301</v>
      </c>
      <c r="C775" s="199">
        <v>347.40623579010708</v>
      </c>
      <c r="D775" s="7"/>
      <c r="E775" s="4">
        <f t="shared" si="23"/>
        <v>447.68999999999301</v>
      </c>
      <c r="F775" s="200">
        <v>525.51520023915157</v>
      </c>
    </row>
    <row r="776" spans="2:6" x14ac:dyDescent="0.25">
      <c r="B776" s="4">
        <f t="shared" ref="B776:B839" si="24">+B775+0.01</f>
        <v>577.699999999993</v>
      </c>
      <c r="C776" s="199">
        <v>347.55598391103138</v>
      </c>
      <c r="D776" s="7"/>
      <c r="E776" s="4">
        <f t="shared" ref="E776:E839" si="25">+E775+0.01</f>
        <v>447.699999999993</v>
      </c>
      <c r="F776" s="200">
        <v>525.70386278828585</v>
      </c>
    </row>
    <row r="777" spans="2:6" x14ac:dyDescent="0.25">
      <c r="B777" s="4">
        <f t="shared" si="24"/>
        <v>577.70999999999299</v>
      </c>
      <c r="C777" s="199">
        <v>347.70573203195534</v>
      </c>
      <c r="D777" s="7"/>
      <c r="E777" s="4">
        <f t="shared" si="25"/>
        <v>447.70999999999299</v>
      </c>
      <c r="F777" s="200">
        <v>525.89252533742058</v>
      </c>
    </row>
    <row r="778" spans="2:6" x14ac:dyDescent="0.25">
      <c r="B778" s="4">
        <f t="shared" si="24"/>
        <v>577.71999999999298</v>
      </c>
      <c r="C778" s="199">
        <v>347.85568933761323</v>
      </c>
      <c r="D778" s="7"/>
      <c r="E778" s="4">
        <f t="shared" si="25"/>
        <v>447.71999999999298</v>
      </c>
      <c r="F778" s="200">
        <v>526.08118788655418</v>
      </c>
    </row>
    <row r="779" spans="2:6" x14ac:dyDescent="0.25">
      <c r="B779" s="4">
        <f t="shared" si="24"/>
        <v>577.72999999999297</v>
      </c>
      <c r="C779" s="199">
        <v>348.00564664327408</v>
      </c>
      <c r="D779" s="7"/>
      <c r="E779" s="4">
        <f t="shared" si="25"/>
        <v>447.72999999999297</v>
      </c>
      <c r="F779" s="200">
        <v>526.26985043568845</v>
      </c>
    </row>
    <row r="780" spans="2:6" x14ac:dyDescent="0.25">
      <c r="B780" s="4">
        <f t="shared" si="24"/>
        <v>577.73999999999296</v>
      </c>
      <c r="C780" s="199">
        <v>348.15560394893464</v>
      </c>
      <c r="D780" s="7"/>
      <c r="E780" s="4">
        <f t="shared" si="25"/>
        <v>447.73999999999296</v>
      </c>
      <c r="F780" s="200">
        <v>526.45851298482319</v>
      </c>
    </row>
    <row r="781" spans="2:6" x14ac:dyDescent="0.25">
      <c r="B781" s="4">
        <f t="shared" si="24"/>
        <v>577.74999999999295</v>
      </c>
      <c r="C781" s="199">
        <v>348.30556125459543</v>
      </c>
      <c r="D781" s="7"/>
      <c r="E781" s="4">
        <f t="shared" si="25"/>
        <v>447.74999999999295</v>
      </c>
      <c r="F781" s="200">
        <v>526.64717553395656</v>
      </c>
    </row>
    <row r="782" spans="2:6" x14ac:dyDescent="0.25">
      <c r="B782" s="4">
        <f t="shared" si="24"/>
        <v>577.75999999999294</v>
      </c>
      <c r="C782" s="199">
        <v>348.45551856025509</v>
      </c>
      <c r="D782" s="7"/>
      <c r="E782" s="4">
        <f t="shared" si="25"/>
        <v>447.75999999999294</v>
      </c>
      <c r="F782" s="200">
        <v>526.83583808309106</v>
      </c>
    </row>
    <row r="783" spans="2:6" x14ac:dyDescent="0.25">
      <c r="B783" s="4">
        <f t="shared" si="24"/>
        <v>577.76999999999293</v>
      </c>
      <c r="C783" s="199">
        <v>348.60547586591582</v>
      </c>
      <c r="D783" s="7"/>
      <c r="E783" s="4">
        <f t="shared" si="25"/>
        <v>447.76999999999293</v>
      </c>
      <c r="F783" s="200">
        <v>527.02450063222568</v>
      </c>
    </row>
    <row r="784" spans="2:6" x14ac:dyDescent="0.25">
      <c r="B784" s="4">
        <f t="shared" si="24"/>
        <v>577.77999999999292</v>
      </c>
      <c r="C784" s="199">
        <v>348.75543317157639</v>
      </c>
      <c r="D784" s="7"/>
      <c r="E784" s="4">
        <f t="shared" si="25"/>
        <v>447.77999999999292</v>
      </c>
      <c r="F784" s="200">
        <v>527.21316318135916</v>
      </c>
    </row>
    <row r="785" spans="2:6" x14ac:dyDescent="0.25">
      <c r="B785" s="4">
        <f t="shared" si="24"/>
        <v>577.78999999999292</v>
      </c>
      <c r="C785" s="199">
        <v>348.90539047723712</v>
      </c>
      <c r="D785" s="7"/>
      <c r="E785" s="4">
        <f t="shared" si="25"/>
        <v>447.78999999999292</v>
      </c>
      <c r="F785" s="200">
        <v>527.40237135672135</v>
      </c>
    </row>
    <row r="786" spans="2:6" x14ac:dyDescent="0.25">
      <c r="B786" s="4">
        <f t="shared" si="24"/>
        <v>577.79999999999291</v>
      </c>
      <c r="C786" s="199">
        <v>349.055347782897</v>
      </c>
      <c r="D786" s="7"/>
      <c r="E786" s="4">
        <f t="shared" si="25"/>
        <v>447.79999999999291</v>
      </c>
      <c r="F786" s="200">
        <v>527.59157953208796</v>
      </c>
    </row>
    <row r="787" spans="2:6" x14ac:dyDescent="0.25">
      <c r="B787" s="4">
        <f t="shared" si="24"/>
        <v>577.8099999999929</v>
      </c>
      <c r="C787" s="199">
        <v>349.20530508855768</v>
      </c>
      <c r="D787" s="7"/>
      <c r="E787" s="4">
        <f t="shared" si="25"/>
        <v>447.8099999999929</v>
      </c>
      <c r="F787" s="200">
        <v>527.78078770745458</v>
      </c>
    </row>
    <row r="788" spans="2:6" x14ac:dyDescent="0.25">
      <c r="B788" s="4">
        <f t="shared" si="24"/>
        <v>577.81999999999289</v>
      </c>
      <c r="C788" s="199">
        <v>349.35546864867916</v>
      </c>
      <c r="D788" s="7"/>
      <c r="E788" s="4">
        <f t="shared" si="25"/>
        <v>447.81999999999289</v>
      </c>
      <c r="F788" s="200">
        <v>527.96999588282142</v>
      </c>
    </row>
    <row r="789" spans="2:6" x14ac:dyDescent="0.25">
      <c r="B789" s="4">
        <f t="shared" si="24"/>
        <v>577.82999999999288</v>
      </c>
      <c r="C789" s="199">
        <v>349.50563220880053</v>
      </c>
      <c r="D789" s="7"/>
      <c r="E789" s="4">
        <f t="shared" si="25"/>
        <v>447.82999999999288</v>
      </c>
      <c r="F789" s="200">
        <v>528.15920405818792</v>
      </c>
    </row>
    <row r="790" spans="2:6" x14ac:dyDescent="0.25">
      <c r="B790" s="4">
        <f t="shared" si="24"/>
        <v>577.83999999999287</v>
      </c>
      <c r="C790" s="199">
        <v>349.65579576892281</v>
      </c>
      <c r="D790" s="7"/>
      <c r="E790" s="4">
        <f t="shared" si="25"/>
        <v>447.83999999999287</v>
      </c>
      <c r="F790" s="200">
        <v>528.34841223355454</v>
      </c>
    </row>
    <row r="791" spans="2:6" x14ac:dyDescent="0.25">
      <c r="B791" s="4">
        <f t="shared" si="24"/>
        <v>577.84999999999286</v>
      </c>
      <c r="C791" s="199">
        <v>349.80595932904509</v>
      </c>
      <c r="D791" s="7"/>
      <c r="E791" s="4">
        <f t="shared" si="25"/>
        <v>447.84999999999286</v>
      </c>
      <c r="F791" s="200">
        <v>528.53762040892161</v>
      </c>
    </row>
    <row r="792" spans="2:6" x14ac:dyDescent="0.25">
      <c r="B792" s="4">
        <f t="shared" si="24"/>
        <v>577.85999999999285</v>
      </c>
      <c r="C792" s="199">
        <v>349.95612288916737</v>
      </c>
      <c r="D792" s="7"/>
      <c r="E792" s="4">
        <f t="shared" si="25"/>
        <v>447.85999999999285</v>
      </c>
      <c r="F792" s="200">
        <v>528.72682858428811</v>
      </c>
    </row>
    <row r="793" spans="2:6" x14ac:dyDescent="0.25">
      <c r="B793" s="4">
        <f t="shared" si="24"/>
        <v>577.86999999999284</v>
      </c>
      <c r="C793" s="199">
        <v>350.10628644928977</v>
      </c>
      <c r="D793" s="7"/>
      <c r="E793" s="4">
        <f t="shared" si="25"/>
        <v>447.86999999999284</v>
      </c>
      <c r="F793" s="200">
        <v>528.91603675965484</v>
      </c>
    </row>
    <row r="794" spans="2:6" x14ac:dyDescent="0.25">
      <c r="B794" s="4">
        <f t="shared" si="24"/>
        <v>577.87999999999283</v>
      </c>
      <c r="C794" s="199">
        <v>350.25645000941205</v>
      </c>
      <c r="D794" s="7"/>
      <c r="E794" s="4">
        <f t="shared" si="25"/>
        <v>447.87999999999283</v>
      </c>
      <c r="F794" s="200">
        <v>529.10524493502101</v>
      </c>
    </row>
    <row r="795" spans="2:6" x14ac:dyDescent="0.25">
      <c r="B795" s="4">
        <f t="shared" si="24"/>
        <v>577.88999999999282</v>
      </c>
      <c r="C795" s="199">
        <v>350.40661356953422</v>
      </c>
      <c r="D795" s="7"/>
      <c r="E795" s="4">
        <f t="shared" si="25"/>
        <v>447.88999999999282</v>
      </c>
      <c r="F795" s="200">
        <v>529.29499696487494</v>
      </c>
    </row>
    <row r="796" spans="2:6" x14ac:dyDescent="0.25">
      <c r="B796" s="4">
        <f t="shared" si="24"/>
        <v>577.89999999999281</v>
      </c>
      <c r="C796" s="199">
        <v>350.55677712965644</v>
      </c>
      <c r="D796" s="7"/>
      <c r="E796" s="4">
        <f t="shared" si="25"/>
        <v>447.89999999999281</v>
      </c>
      <c r="F796" s="200">
        <v>529.48474899473354</v>
      </c>
    </row>
    <row r="797" spans="2:6" x14ac:dyDescent="0.25">
      <c r="B797" s="4">
        <f t="shared" si="24"/>
        <v>577.90999999999281</v>
      </c>
      <c r="C797" s="199">
        <v>350.70694068977878</v>
      </c>
      <c r="D797" s="7"/>
      <c r="E797" s="4">
        <f t="shared" si="25"/>
        <v>447.90999999999281</v>
      </c>
      <c r="F797" s="200">
        <v>529.67450102459122</v>
      </c>
    </row>
    <row r="798" spans="2:6" x14ac:dyDescent="0.25">
      <c r="B798" s="4">
        <f t="shared" si="24"/>
        <v>577.9199999999928</v>
      </c>
      <c r="C798" s="199">
        <v>350.85730974562568</v>
      </c>
      <c r="D798" s="7"/>
      <c r="E798" s="4">
        <f t="shared" si="25"/>
        <v>447.9199999999928</v>
      </c>
      <c r="F798" s="200">
        <v>529.86425305444925</v>
      </c>
    </row>
    <row r="799" spans="2:6" x14ac:dyDescent="0.25">
      <c r="B799" s="4">
        <f t="shared" si="24"/>
        <v>577.92999999999279</v>
      </c>
      <c r="C799" s="199">
        <v>351.00767880147561</v>
      </c>
      <c r="D799" s="7"/>
      <c r="E799" s="4">
        <f t="shared" si="25"/>
        <v>447.92999999999279</v>
      </c>
      <c r="F799" s="200">
        <v>530.05400508430682</v>
      </c>
    </row>
    <row r="800" spans="2:6" x14ac:dyDescent="0.25">
      <c r="B800" s="4">
        <f t="shared" si="24"/>
        <v>577.93999999999278</v>
      </c>
      <c r="C800" s="199">
        <v>351.15804785732485</v>
      </c>
      <c r="D800" s="7"/>
      <c r="E800" s="4">
        <f t="shared" si="25"/>
        <v>447.93999999999278</v>
      </c>
      <c r="F800" s="200">
        <v>530.24375711416542</v>
      </c>
    </row>
    <row r="801" spans="2:6" x14ac:dyDescent="0.25">
      <c r="B801" s="4">
        <f t="shared" si="24"/>
        <v>577.94999999999277</v>
      </c>
      <c r="C801" s="199">
        <v>351.30841691317397</v>
      </c>
      <c r="D801" s="7"/>
      <c r="E801" s="4">
        <f t="shared" si="25"/>
        <v>447.94999999999277</v>
      </c>
      <c r="F801" s="200">
        <v>530.43350914402265</v>
      </c>
    </row>
    <row r="802" spans="2:6" x14ac:dyDescent="0.25">
      <c r="B802" s="4">
        <f t="shared" si="24"/>
        <v>577.95999999999276</v>
      </c>
      <c r="C802" s="199">
        <v>351.45878596902423</v>
      </c>
      <c r="D802" s="7"/>
      <c r="E802" s="4">
        <f t="shared" si="25"/>
        <v>447.95999999999276</v>
      </c>
      <c r="F802" s="200">
        <v>530.62326117388113</v>
      </c>
    </row>
    <row r="803" spans="2:6" x14ac:dyDescent="0.25">
      <c r="B803" s="4">
        <f t="shared" si="24"/>
        <v>577.96999999999275</v>
      </c>
      <c r="C803" s="199">
        <v>351.60915502487336</v>
      </c>
      <c r="D803" s="7"/>
      <c r="E803" s="4">
        <f t="shared" si="25"/>
        <v>447.96999999999275</v>
      </c>
      <c r="F803" s="200">
        <v>530.81301320373825</v>
      </c>
    </row>
    <row r="804" spans="2:6" x14ac:dyDescent="0.25">
      <c r="B804" s="4">
        <f t="shared" si="24"/>
        <v>577.97999999999274</v>
      </c>
      <c r="C804" s="199">
        <v>351.75952408072351</v>
      </c>
      <c r="D804" s="7"/>
      <c r="E804" s="4">
        <f t="shared" si="25"/>
        <v>447.97999999999274</v>
      </c>
      <c r="F804" s="200">
        <v>531.00276523359707</v>
      </c>
    </row>
    <row r="805" spans="2:6" x14ac:dyDescent="0.25">
      <c r="B805" s="4">
        <f t="shared" si="24"/>
        <v>577.98999999999273</v>
      </c>
      <c r="C805" s="199">
        <v>351.90989313657258</v>
      </c>
      <c r="D805" s="7"/>
      <c r="E805" s="4">
        <f t="shared" si="25"/>
        <v>447.98999999999273</v>
      </c>
      <c r="F805" s="200">
        <v>531.19305192295519</v>
      </c>
    </row>
    <row r="806" spans="2:6" x14ac:dyDescent="0.25">
      <c r="B806" s="4">
        <f t="shared" si="24"/>
        <v>577.99999999999272</v>
      </c>
      <c r="C806" s="199">
        <v>352.06026219242176</v>
      </c>
      <c r="D806" s="7"/>
      <c r="E806" s="4">
        <f t="shared" si="25"/>
        <v>447.99999999999272</v>
      </c>
      <c r="F806" s="200">
        <v>531.38333861231899</v>
      </c>
    </row>
    <row r="807" spans="2:6" x14ac:dyDescent="0.25">
      <c r="B807" s="4">
        <f t="shared" si="24"/>
        <v>578.00999999999271</v>
      </c>
      <c r="C807" s="199">
        <v>352.21063124827191</v>
      </c>
      <c r="D807" s="7"/>
      <c r="E807" s="4">
        <f t="shared" si="25"/>
        <v>448.00999999999271</v>
      </c>
      <c r="F807" s="200">
        <v>531.57362530168325</v>
      </c>
    </row>
    <row r="808" spans="2:6" x14ac:dyDescent="0.25">
      <c r="B808" s="4">
        <f t="shared" si="24"/>
        <v>578.01999999999271</v>
      </c>
      <c r="C808" s="199">
        <v>352.36120681557253</v>
      </c>
      <c r="D808" s="7"/>
      <c r="E808" s="4">
        <f t="shared" si="25"/>
        <v>448.01999999999271</v>
      </c>
      <c r="F808" s="200">
        <v>531.76391199104751</v>
      </c>
    </row>
    <row r="809" spans="2:6" x14ac:dyDescent="0.25">
      <c r="B809" s="4">
        <f t="shared" si="24"/>
        <v>578.0299999999927</v>
      </c>
      <c r="C809" s="199">
        <v>352.51178238287474</v>
      </c>
      <c r="D809" s="7"/>
      <c r="E809" s="4">
        <f t="shared" si="25"/>
        <v>448.0299999999927</v>
      </c>
      <c r="F809" s="200">
        <v>531.95419868041245</v>
      </c>
    </row>
    <row r="810" spans="2:6" x14ac:dyDescent="0.25">
      <c r="B810" s="4">
        <f t="shared" si="24"/>
        <v>578.03999999999269</v>
      </c>
      <c r="C810" s="199">
        <v>352.66235795017593</v>
      </c>
      <c r="D810" s="7"/>
      <c r="E810" s="4">
        <f t="shared" si="25"/>
        <v>448.03999999999269</v>
      </c>
      <c r="F810" s="200">
        <v>532.14448536977659</v>
      </c>
    </row>
    <row r="811" spans="2:6" x14ac:dyDescent="0.25">
      <c r="B811" s="4">
        <f t="shared" si="24"/>
        <v>578.04999999999268</v>
      </c>
      <c r="C811" s="199">
        <v>352.8129335174782</v>
      </c>
      <c r="D811" s="7"/>
      <c r="E811" s="4">
        <f t="shared" si="25"/>
        <v>448.04999999999268</v>
      </c>
      <c r="F811" s="200">
        <v>532.33477205914085</v>
      </c>
    </row>
    <row r="812" spans="2:6" x14ac:dyDescent="0.25">
      <c r="B812" s="4">
        <f t="shared" si="24"/>
        <v>578.05999999999267</v>
      </c>
      <c r="C812" s="199">
        <v>352.96350908477939</v>
      </c>
      <c r="D812" s="7"/>
      <c r="E812" s="4">
        <f t="shared" si="25"/>
        <v>448.05999999999267</v>
      </c>
      <c r="F812" s="200">
        <v>532.52505874850556</v>
      </c>
    </row>
    <row r="813" spans="2:6" x14ac:dyDescent="0.25">
      <c r="B813" s="4">
        <f t="shared" si="24"/>
        <v>578.06999999999266</v>
      </c>
      <c r="C813" s="199">
        <v>353.11408465208177</v>
      </c>
      <c r="D813" s="7"/>
      <c r="E813" s="4">
        <f t="shared" si="25"/>
        <v>448.06999999999266</v>
      </c>
      <c r="F813" s="200">
        <v>532.7153454378689</v>
      </c>
    </row>
    <row r="814" spans="2:6" x14ac:dyDescent="0.25">
      <c r="B814" s="4">
        <f t="shared" si="24"/>
        <v>578.07999999999265</v>
      </c>
      <c r="C814" s="199">
        <v>353.26466021938302</v>
      </c>
      <c r="D814" s="7"/>
      <c r="E814" s="4">
        <f t="shared" si="25"/>
        <v>448.07999999999265</v>
      </c>
      <c r="F814" s="200">
        <v>532.90563212723316</v>
      </c>
    </row>
    <row r="815" spans="2:6" x14ac:dyDescent="0.25">
      <c r="B815" s="4">
        <f t="shared" si="24"/>
        <v>578.08999999999264</v>
      </c>
      <c r="C815" s="199">
        <v>353.41523578668432</v>
      </c>
      <c r="D815" s="7"/>
      <c r="E815" s="4">
        <f t="shared" si="25"/>
        <v>448.08999999999264</v>
      </c>
      <c r="F815" s="200">
        <v>533.09643031305768</v>
      </c>
    </row>
    <row r="816" spans="2:6" x14ac:dyDescent="0.25">
      <c r="B816" s="4">
        <f t="shared" si="24"/>
        <v>578.09999999999263</v>
      </c>
      <c r="C816" s="199">
        <v>353.56581135398636</v>
      </c>
      <c r="D816" s="7"/>
      <c r="E816" s="4">
        <f t="shared" si="25"/>
        <v>448.09999999999263</v>
      </c>
      <c r="F816" s="200">
        <v>533.28722849888482</v>
      </c>
    </row>
    <row r="817" spans="2:6" x14ac:dyDescent="0.25">
      <c r="B817" s="4">
        <f t="shared" si="24"/>
        <v>578.10999999999262</v>
      </c>
      <c r="C817" s="199">
        <v>353.71638692128766</v>
      </c>
      <c r="D817" s="7"/>
      <c r="E817" s="4">
        <f t="shared" si="25"/>
        <v>448.10999999999262</v>
      </c>
      <c r="F817" s="200">
        <v>533.47802668471286</v>
      </c>
    </row>
    <row r="818" spans="2:6" x14ac:dyDescent="0.25">
      <c r="B818" s="4">
        <f t="shared" si="24"/>
        <v>578.11999999999261</v>
      </c>
      <c r="C818" s="199">
        <v>353.86717097861992</v>
      </c>
      <c r="D818" s="7"/>
      <c r="E818" s="4">
        <f t="shared" si="25"/>
        <v>448.11999999999261</v>
      </c>
      <c r="F818" s="200">
        <v>533.66882487054033</v>
      </c>
    </row>
    <row r="819" spans="2:6" x14ac:dyDescent="0.25">
      <c r="B819" s="4">
        <f t="shared" si="24"/>
        <v>578.12999999999261</v>
      </c>
      <c r="C819" s="199">
        <v>354.01795503595497</v>
      </c>
      <c r="D819" s="7"/>
      <c r="E819" s="4">
        <f t="shared" si="25"/>
        <v>448.12999999999261</v>
      </c>
      <c r="F819" s="200">
        <v>533.85962305636747</v>
      </c>
    </row>
    <row r="820" spans="2:6" x14ac:dyDescent="0.25">
      <c r="B820" s="4">
        <f t="shared" si="24"/>
        <v>578.1399999999926</v>
      </c>
      <c r="C820" s="199">
        <v>354.16873909328859</v>
      </c>
      <c r="D820" s="7"/>
      <c r="E820" s="4">
        <f t="shared" si="25"/>
        <v>448.1399999999926</v>
      </c>
      <c r="F820" s="200">
        <v>534.05042124219551</v>
      </c>
    </row>
    <row r="821" spans="2:6" x14ac:dyDescent="0.25">
      <c r="B821" s="4">
        <f t="shared" si="24"/>
        <v>578.14999999999259</v>
      </c>
      <c r="C821" s="199">
        <v>354.31952315062347</v>
      </c>
      <c r="D821" s="7"/>
      <c r="E821" s="4">
        <f t="shared" si="25"/>
        <v>448.14999999999259</v>
      </c>
      <c r="F821" s="200">
        <v>534.24121942802287</v>
      </c>
    </row>
    <row r="822" spans="2:6" x14ac:dyDescent="0.25">
      <c r="B822" s="4">
        <f t="shared" si="24"/>
        <v>578.15999999999258</v>
      </c>
      <c r="C822" s="199">
        <v>354.47030720795806</v>
      </c>
      <c r="D822" s="7"/>
      <c r="E822" s="4">
        <f t="shared" si="25"/>
        <v>448.15999999999258</v>
      </c>
      <c r="F822" s="200">
        <v>534.43201761385103</v>
      </c>
    </row>
    <row r="823" spans="2:6" x14ac:dyDescent="0.25">
      <c r="B823" s="4">
        <f t="shared" si="24"/>
        <v>578.16999999999257</v>
      </c>
      <c r="C823" s="199">
        <v>354.62109126529208</v>
      </c>
      <c r="D823" s="7"/>
      <c r="E823" s="4">
        <f t="shared" si="25"/>
        <v>448.16999999999257</v>
      </c>
      <c r="F823" s="200">
        <v>534.62281579967816</v>
      </c>
    </row>
    <row r="824" spans="2:6" x14ac:dyDescent="0.25">
      <c r="B824" s="4">
        <f t="shared" si="24"/>
        <v>578.17999999999256</v>
      </c>
      <c r="C824" s="199">
        <v>354.77187532262673</v>
      </c>
      <c r="D824" s="7"/>
      <c r="E824" s="4">
        <f t="shared" si="25"/>
        <v>448.17999999999256</v>
      </c>
      <c r="F824" s="200">
        <v>534.81361398550553</v>
      </c>
    </row>
    <row r="825" spans="2:6" x14ac:dyDescent="0.25">
      <c r="B825" s="4">
        <f t="shared" si="24"/>
        <v>578.18999999999255</v>
      </c>
      <c r="C825" s="199">
        <v>354.92265937996154</v>
      </c>
      <c r="D825" s="7"/>
      <c r="E825" s="4">
        <f t="shared" si="25"/>
        <v>448.18999999999255</v>
      </c>
      <c r="F825" s="200">
        <v>535.00490072454932</v>
      </c>
    </row>
    <row r="826" spans="2:6" x14ac:dyDescent="0.25">
      <c r="B826" s="4">
        <f t="shared" si="24"/>
        <v>578.19999999999254</v>
      </c>
      <c r="C826" s="199">
        <v>355.07344343729545</v>
      </c>
      <c r="D826" s="7"/>
      <c r="E826" s="4">
        <f t="shared" si="25"/>
        <v>448.19999999999254</v>
      </c>
      <c r="F826" s="200">
        <v>535.19618746359561</v>
      </c>
    </row>
    <row r="827" spans="2:6" x14ac:dyDescent="0.25">
      <c r="B827" s="4">
        <f t="shared" si="24"/>
        <v>578.20999999999253</v>
      </c>
      <c r="C827" s="199">
        <v>355.22422749463021</v>
      </c>
      <c r="D827" s="7"/>
      <c r="E827" s="4">
        <f t="shared" si="25"/>
        <v>448.20999999999253</v>
      </c>
      <c r="F827" s="200">
        <v>535.38747420264235</v>
      </c>
    </row>
    <row r="828" spans="2:6" x14ac:dyDescent="0.25">
      <c r="B828" s="4">
        <f t="shared" si="24"/>
        <v>578.21999999999252</v>
      </c>
      <c r="C828" s="199">
        <v>355.37522362755641</v>
      </c>
      <c r="D828" s="7"/>
      <c r="E828" s="4">
        <f t="shared" si="25"/>
        <v>448.21999999999252</v>
      </c>
      <c r="F828" s="200">
        <v>535.5787609416891</v>
      </c>
    </row>
    <row r="829" spans="2:6" x14ac:dyDescent="0.25">
      <c r="B829" s="4">
        <f t="shared" si="24"/>
        <v>578.22999999999251</v>
      </c>
      <c r="C829" s="199">
        <v>355.52621976048391</v>
      </c>
      <c r="D829" s="7"/>
      <c r="E829" s="4">
        <f t="shared" si="25"/>
        <v>448.22999999999251</v>
      </c>
      <c r="F829" s="200">
        <v>535.77004768073505</v>
      </c>
    </row>
    <row r="830" spans="2:6" x14ac:dyDescent="0.25">
      <c r="B830" s="4">
        <f t="shared" si="24"/>
        <v>578.23999999999251</v>
      </c>
      <c r="C830" s="199">
        <v>355.67721589341119</v>
      </c>
      <c r="D830" s="7"/>
      <c r="E830" s="4">
        <f t="shared" si="25"/>
        <v>448.23999999999251</v>
      </c>
      <c r="F830" s="200">
        <v>535.96133441978168</v>
      </c>
    </row>
    <row r="831" spans="2:6" x14ac:dyDescent="0.25">
      <c r="B831" s="4">
        <f t="shared" si="24"/>
        <v>578.2499999999925</v>
      </c>
      <c r="C831" s="199">
        <v>355.82821202633886</v>
      </c>
      <c r="D831" s="7"/>
      <c r="E831" s="4">
        <f t="shared" si="25"/>
        <v>448.2499999999925</v>
      </c>
      <c r="F831" s="200">
        <v>536.15262115882751</v>
      </c>
    </row>
    <row r="832" spans="2:6" x14ac:dyDescent="0.25">
      <c r="B832" s="4">
        <f t="shared" si="24"/>
        <v>578.25999999999249</v>
      </c>
      <c r="C832" s="199">
        <v>355.97920815926534</v>
      </c>
      <c r="D832" s="7"/>
      <c r="E832" s="4">
        <f t="shared" si="25"/>
        <v>448.25999999999249</v>
      </c>
      <c r="F832" s="200">
        <v>536.34390789787415</v>
      </c>
    </row>
    <row r="833" spans="2:6" x14ac:dyDescent="0.25">
      <c r="B833" s="4">
        <f t="shared" si="24"/>
        <v>578.26999999999248</v>
      </c>
      <c r="C833" s="199">
        <v>356.13020429219296</v>
      </c>
      <c r="D833" s="7"/>
      <c r="E833" s="4">
        <f t="shared" si="25"/>
        <v>448.26999999999248</v>
      </c>
      <c r="F833" s="200">
        <v>536.53519463692089</v>
      </c>
    </row>
    <row r="834" spans="2:6" x14ac:dyDescent="0.25">
      <c r="B834" s="4">
        <f t="shared" si="24"/>
        <v>578.27999999999247</v>
      </c>
      <c r="C834" s="199">
        <v>356.28120042512046</v>
      </c>
      <c r="D834" s="7"/>
      <c r="E834" s="4">
        <f t="shared" si="25"/>
        <v>448.27999999999247</v>
      </c>
      <c r="F834" s="200">
        <v>536.72648137596707</v>
      </c>
    </row>
    <row r="835" spans="2:6" x14ac:dyDescent="0.25">
      <c r="B835" s="4">
        <f t="shared" si="24"/>
        <v>578.28999999999246</v>
      </c>
      <c r="C835" s="199">
        <v>356.43219655804808</v>
      </c>
      <c r="D835" s="7"/>
      <c r="E835" s="4">
        <f t="shared" si="25"/>
        <v>448.28999999999246</v>
      </c>
      <c r="F835" s="200">
        <v>536.91823263634672</v>
      </c>
    </row>
    <row r="836" spans="2:6" x14ac:dyDescent="0.25">
      <c r="B836" s="4">
        <f t="shared" si="24"/>
        <v>578.29999999999245</v>
      </c>
      <c r="C836" s="199">
        <v>356.58319269097564</v>
      </c>
      <c r="D836" s="7"/>
      <c r="E836" s="4">
        <f t="shared" si="25"/>
        <v>448.29999999999245</v>
      </c>
      <c r="F836" s="200">
        <v>537.10998389672966</v>
      </c>
    </row>
    <row r="837" spans="2:6" x14ac:dyDescent="0.25">
      <c r="B837" s="4">
        <f t="shared" si="24"/>
        <v>578.30999999999244</v>
      </c>
      <c r="C837" s="199">
        <v>356.73418882390195</v>
      </c>
      <c r="D837" s="7"/>
      <c r="E837" s="4">
        <f t="shared" si="25"/>
        <v>448.30999999999244</v>
      </c>
      <c r="F837" s="200">
        <v>537.30173515711317</v>
      </c>
    </row>
    <row r="838" spans="2:6" x14ac:dyDescent="0.25">
      <c r="B838" s="4">
        <f t="shared" si="24"/>
        <v>578.31999999999243</v>
      </c>
      <c r="C838" s="199">
        <v>356.88540267030288</v>
      </c>
      <c r="D838" s="7"/>
      <c r="E838" s="4">
        <f t="shared" si="25"/>
        <v>448.31999999999243</v>
      </c>
      <c r="F838" s="200">
        <v>537.49348641749714</v>
      </c>
    </row>
    <row r="839" spans="2:6" x14ac:dyDescent="0.25">
      <c r="B839" s="4">
        <f t="shared" si="24"/>
        <v>578.32999999999242</v>
      </c>
      <c r="C839" s="199">
        <v>357.03661651670637</v>
      </c>
      <c r="D839" s="7"/>
      <c r="E839" s="4">
        <f t="shared" si="25"/>
        <v>448.32999999999242</v>
      </c>
      <c r="F839" s="200">
        <v>537.68523767788054</v>
      </c>
    </row>
    <row r="840" spans="2:6" x14ac:dyDescent="0.25">
      <c r="B840" s="4">
        <f t="shared" ref="B840:B903" si="26">+B839+0.01</f>
        <v>578.33999999999241</v>
      </c>
      <c r="C840" s="199">
        <v>357.18783036310924</v>
      </c>
      <c r="D840" s="7"/>
      <c r="E840" s="4">
        <f t="shared" ref="E840:E903" si="27">+E839+0.01</f>
        <v>448.33999999999241</v>
      </c>
      <c r="F840" s="200">
        <v>537.87698893826439</v>
      </c>
    </row>
    <row r="841" spans="2:6" x14ac:dyDescent="0.25">
      <c r="B841" s="4">
        <f t="shared" si="26"/>
        <v>578.34999999999241</v>
      </c>
      <c r="C841" s="199">
        <v>357.33904420951285</v>
      </c>
      <c r="D841" s="7"/>
      <c r="E841" s="4">
        <f t="shared" si="27"/>
        <v>448.34999999999241</v>
      </c>
      <c r="F841" s="200">
        <v>538.06874019864779</v>
      </c>
    </row>
    <row r="842" spans="2:6" x14ac:dyDescent="0.25">
      <c r="B842" s="4">
        <f t="shared" si="26"/>
        <v>578.3599999999924</v>
      </c>
      <c r="C842" s="199">
        <v>357.49025805591629</v>
      </c>
      <c r="D842" s="7"/>
      <c r="E842" s="4">
        <f t="shared" si="27"/>
        <v>448.3599999999924</v>
      </c>
      <c r="F842" s="200">
        <v>538.26049145903164</v>
      </c>
    </row>
    <row r="843" spans="2:6" x14ac:dyDescent="0.25">
      <c r="B843" s="4">
        <f t="shared" si="26"/>
        <v>578.36999999999239</v>
      </c>
      <c r="C843" s="199">
        <v>357.64147190231887</v>
      </c>
      <c r="D843" s="7"/>
      <c r="E843" s="4">
        <f t="shared" si="27"/>
        <v>448.36999999999239</v>
      </c>
      <c r="F843" s="200">
        <v>538.45224271941458</v>
      </c>
    </row>
    <row r="844" spans="2:6" x14ac:dyDescent="0.25">
      <c r="B844" s="4">
        <f t="shared" si="26"/>
        <v>578.37999999999238</v>
      </c>
      <c r="C844" s="199">
        <v>357.79268574872248</v>
      </c>
      <c r="D844" s="7"/>
      <c r="E844" s="4">
        <f t="shared" si="27"/>
        <v>448.37999999999238</v>
      </c>
      <c r="F844" s="200">
        <v>538.64399397979889</v>
      </c>
    </row>
    <row r="845" spans="2:6" x14ac:dyDescent="0.25">
      <c r="B845" s="4">
        <f t="shared" si="26"/>
        <v>578.38999999999237</v>
      </c>
      <c r="C845" s="199">
        <v>357.94389959512608</v>
      </c>
      <c r="D845" s="7"/>
      <c r="E845" s="4">
        <f t="shared" si="27"/>
        <v>448.38999999999237</v>
      </c>
      <c r="F845" s="200">
        <v>538.83617975256982</v>
      </c>
    </row>
    <row r="846" spans="2:6" x14ac:dyDescent="0.25">
      <c r="B846" s="4">
        <f t="shared" si="26"/>
        <v>578.39999999999236</v>
      </c>
      <c r="C846" s="199">
        <v>358.09511344152872</v>
      </c>
      <c r="D846" s="7"/>
      <c r="E846" s="4">
        <f t="shared" si="27"/>
        <v>448.39999999999236</v>
      </c>
      <c r="F846" s="200">
        <v>539.02836552534416</v>
      </c>
    </row>
    <row r="847" spans="2:6" x14ac:dyDescent="0.25">
      <c r="B847" s="4">
        <f t="shared" si="26"/>
        <v>578.40999999999235</v>
      </c>
      <c r="C847" s="199">
        <v>358.24632728793227</v>
      </c>
      <c r="D847" s="7"/>
      <c r="E847" s="4">
        <f t="shared" si="27"/>
        <v>448.40999999999235</v>
      </c>
      <c r="F847" s="200">
        <v>539.22055129811861</v>
      </c>
    </row>
    <row r="848" spans="2:6" x14ac:dyDescent="0.25">
      <c r="B848" s="4">
        <f t="shared" si="26"/>
        <v>578.41999999999234</v>
      </c>
      <c r="C848" s="199">
        <v>358.39776248720631</v>
      </c>
      <c r="D848" s="7"/>
      <c r="E848" s="4">
        <f t="shared" si="27"/>
        <v>448.41999999999234</v>
      </c>
      <c r="F848" s="200">
        <v>539.41273707089272</v>
      </c>
    </row>
    <row r="849" spans="2:6" x14ac:dyDescent="0.25">
      <c r="B849" s="4">
        <f t="shared" si="26"/>
        <v>578.42999999999233</v>
      </c>
      <c r="C849" s="199">
        <v>358.54919768648142</v>
      </c>
      <c r="D849" s="7"/>
      <c r="E849" s="4">
        <f t="shared" si="27"/>
        <v>448.42999999999233</v>
      </c>
      <c r="F849" s="200">
        <v>539.60492284366717</v>
      </c>
    </row>
    <row r="850" spans="2:6" x14ac:dyDescent="0.25">
      <c r="B850" s="4">
        <f t="shared" si="26"/>
        <v>578.43999999999232</v>
      </c>
      <c r="C850" s="199">
        <v>358.70063288575528</v>
      </c>
      <c r="D850" s="7"/>
      <c r="E850" s="4">
        <f t="shared" si="27"/>
        <v>448.43999999999232</v>
      </c>
      <c r="F850" s="200">
        <v>539.79710861644253</v>
      </c>
    </row>
    <row r="851" spans="2:6" x14ac:dyDescent="0.25">
      <c r="B851" s="4">
        <f t="shared" si="26"/>
        <v>578.44999999999231</v>
      </c>
      <c r="C851" s="199">
        <v>358.85206808503023</v>
      </c>
      <c r="D851" s="7"/>
      <c r="E851" s="4">
        <f t="shared" si="27"/>
        <v>448.44999999999231</v>
      </c>
      <c r="F851" s="200">
        <v>539.98929438921652</v>
      </c>
    </row>
    <row r="852" spans="2:6" x14ac:dyDescent="0.25">
      <c r="B852" s="4">
        <f t="shared" si="26"/>
        <v>578.45999999999231</v>
      </c>
      <c r="C852" s="199">
        <v>359.00350328430403</v>
      </c>
      <c r="D852" s="7"/>
      <c r="E852" s="4">
        <f t="shared" si="27"/>
        <v>448.45999999999231</v>
      </c>
      <c r="F852" s="200">
        <v>540.18148016199086</v>
      </c>
    </row>
    <row r="853" spans="2:6" x14ac:dyDescent="0.25">
      <c r="B853" s="4">
        <f t="shared" si="26"/>
        <v>578.4699999999923</v>
      </c>
      <c r="C853" s="199">
        <v>359.15493848357823</v>
      </c>
      <c r="D853" s="7"/>
      <c r="E853" s="4">
        <f t="shared" si="27"/>
        <v>448.4699999999923</v>
      </c>
      <c r="F853" s="200">
        <v>540.37366593476509</v>
      </c>
    </row>
    <row r="854" spans="2:6" x14ac:dyDescent="0.25">
      <c r="B854" s="4">
        <f t="shared" si="26"/>
        <v>578.47999999999229</v>
      </c>
      <c r="C854" s="199">
        <v>359.30637368285295</v>
      </c>
      <c r="D854" s="7"/>
      <c r="E854" s="4">
        <f t="shared" si="27"/>
        <v>448.47999999999229</v>
      </c>
      <c r="F854" s="200">
        <v>540.56585170753942</v>
      </c>
    </row>
    <row r="855" spans="2:6" x14ac:dyDescent="0.25">
      <c r="B855" s="4">
        <f t="shared" si="26"/>
        <v>578.48999999999228</v>
      </c>
      <c r="C855" s="199">
        <v>359.45780888212698</v>
      </c>
      <c r="D855" s="7"/>
      <c r="E855" s="4">
        <f t="shared" si="27"/>
        <v>448.48999999999228</v>
      </c>
      <c r="F855" s="200">
        <v>540.75844292672514</v>
      </c>
    </row>
    <row r="856" spans="2:6" x14ac:dyDescent="0.25">
      <c r="B856" s="4">
        <f t="shared" si="26"/>
        <v>578.49999999999227</v>
      </c>
      <c r="C856" s="199">
        <v>359.60924408140102</v>
      </c>
      <c r="D856" s="7"/>
      <c r="E856" s="4">
        <f t="shared" si="27"/>
        <v>448.49999999999227</v>
      </c>
      <c r="F856" s="200">
        <v>540.9510341459146</v>
      </c>
    </row>
    <row r="857" spans="2:6" x14ac:dyDescent="0.25">
      <c r="B857" s="4">
        <f t="shared" si="26"/>
        <v>578.50999999999226</v>
      </c>
      <c r="C857" s="199">
        <v>359.7606792806759</v>
      </c>
      <c r="D857" s="7"/>
      <c r="E857" s="4">
        <f t="shared" si="27"/>
        <v>448.50999999999226</v>
      </c>
      <c r="F857" s="200">
        <v>541.14362536510487</v>
      </c>
    </row>
    <row r="858" spans="2:6" x14ac:dyDescent="0.25">
      <c r="B858" s="4">
        <f t="shared" si="26"/>
        <v>578.51999999999225</v>
      </c>
      <c r="C858" s="199">
        <v>359.91233744599572</v>
      </c>
      <c r="D858" s="7"/>
      <c r="E858" s="4">
        <f t="shared" si="27"/>
        <v>448.51999999999225</v>
      </c>
      <c r="F858" s="200">
        <v>541.3362165842949</v>
      </c>
    </row>
    <row r="859" spans="2:6" x14ac:dyDescent="0.25">
      <c r="B859" s="4">
        <f t="shared" si="26"/>
        <v>578.52999999999224</v>
      </c>
      <c r="C859" s="199">
        <v>360.06399561132019</v>
      </c>
      <c r="D859" s="7"/>
      <c r="E859" s="4">
        <f t="shared" si="27"/>
        <v>448.52999999999224</v>
      </c>
      <c r="F859" s="200">
        <v>541.52880780348426</v>
      </c>
    </row>
    <row r="860" spans="2:6" x14ac:dyDescent="0.25">
      <c r="B860" s="4">
        <f t="shared" si="26"/>
        <v>578.53999999999223</v>
      </c>
      <c r="C860" s="199">
        <v>360.21565377664393</v>
      </c>
      <c r="D860" s="7"/>
      <c r="E860" s="4">
        <f t="shared" si="27"/>
        <v>448.53999999999223</v>
      </c>
      <c r="F860" s="200">
        <v>541.72139902267384</v>
      </c>
    </row>
    <row r="861" spans="2:6" x14ac:dyDescent="0.25">
      <c r="B861" s="4">
        <f t="shared" si="26"/>
        <v>578.54999999999222</v>
      </c>
      <c r="C861" s="199">
        <v>360.36731194196841</v>
      </c>
      <c r="D861" s="7"/>
      <c r="E861" s="4">
        <f t="shared" si="27"/>
        <v>448.54999999999222</v>
      </c>
      <c r="F861" s="200">
        <v>541.9139902418641</v>
      </c>
    </row>
    <row r="862" spans="2:6" x14ac:dyDescent="0.25">
      <c r="B862" s="4">
        <f t="shared" si="26"/>
        <v>578.55999999999221</v>
      </c>
      <c r="C862" s="199">
        <v>360.51897010729198</v>
      </c>
      <c r="D862" s="7"/>
      <c r="E862" s="4">
        <f t="shared" si="27"/>
        <v>448.55999999999221</v>
      </c>
      <c r="F862" s="200">
        <v>542.10658146105322</v>
      </c>
    </row>
    <row r="863" spans="2:6" x14ac:dyDescent="0.25">
      <c r="B863" s="4">
        <f t="shared" si="26"/>
        <v>578.56999999999221</v>
      </c>
      <c r="C863" s="199">
        <v>360.67062827261645</v>
      </c>
      <c r="D863" s="7"/>
      <c r="E863" s="4">
        <f t="shared" si="27"/>
        <v>448.56999999999221</v>
      </c>
      <c r="F863" s="200">
        <v>542.29917268024349</v>
      </c>
    </row>
    <row r="864" spans="2:6" x14ac:dyDescent="0.25">
      <c r="B864" s="4">
        <f t="shared" si="26"/>
        <v>578.5799999999922</v>
      </c>
      <c r="C864" s="199">
        <v>360.82228643794014</v>
      </c>
      <c r="D864" s="7"/>
      <c r="E864" s="4">
        <f t="shared" si="27"/>
        <v>448.5799999999922</v>
      </c>
      <c r="F864" s="200">
        <v>542.49176389943386</v>
      </c>
    </row>
    <row r="865" spans="2:6" x14ac:dyDescent="0.25">
      <c r="B865" s="4">
        <f t="shared" si="26"/>
        <v>578.58999999999219</v>
      </c>
      <c r="C865" s="199">
        <v>360.97394460326456</v>
      </c>
      <c r="D865" s="7"/>
      <c r="E865" s="4">
        <f t="shared" si="27"/>
        <v>448.58999999999219</v>
      </c>
      <c r="F865" s="200">
        <v>542.68474396407919</v>
      </c>
    </row>
    <row r="866" spans="2:6" x14ac:dyDescent="0.25">
      <c r="B866" s="4">
        <f t="shared" si="26"/>
        <v>578.59999999999218</v>
      </c>
      <c r="C866" s="199">
        <v>361.12560276858824</v>
      </c>
      <c r="D866" s="7"/>
      <c r="E866" s="4">
        <f t="shared" si="27"/>
        <v>448.59999999999218</v>
      </c>
      <c r="F866" s="200">
        <v>542.87772402872793</v>
      </c>
    </row>
    <row r="867" spans="2:6" x14ac:dyDescent="0.25">
      <c r="B867" s="4">
        <f t="shared" si="26"/>
        <v>578.60999999999217</v>
      </c>
      <c r="C867" s="199">
        <v>361.27726093391271</v>
      </c>
      <c r="D867" s="7"/>
      <c r="E867" s="4">
        <f t="shared" si="27"/>
        <v>448.60999999999217</v>
      </c>
      <c r="F867" s="200">
        <v>543.07070409337666</v>
      </c>
    </row>
    <row r="868" spans="2:6" x14ac:dyDescent="0.25">
      <c r="B868" s="4">
        <f t="shared" si="26"/>
        <v>578.61999999999216</v>
      </c>
      <c r="C868" s="199">
        <v>361.42914501114689</v>
      </c>
      <c r="D868" s="7"/>
      <c r="E868" s="4">
        <f t="shared" si="27"/>
        <v>448.61999999999216</v>
      </c>
      <c r="F868" s="200">
        <v>543.26368415802631</v>
      </c>
    </row>
    <row r="869" spans="2:6" x14ac:dyDescent="0.25">
      <c r="B869" s="4">
        <f t="shared" si="26"/>
        <v>578.62999999999215</v>
      </c>
      <c r="C869" s="199">
        <v>361.58102908838117</v>
      </c>
      <c r="D869" s="7"/>
      <c r="E869" s="4">
        <f t="shared" si="27"/>
        <v>448.62999999999215</v>
      </c>
      <c r="F869" s="200">
        <v>543.45666422267539</v>
      </c>
    </row>
    <row r="870" spans="2:6" x14ac:dyDescent="0.25">
      <c r="B870" s="4">
        <f t="shared" si="26"/>
        <v>578.63999999999214</v>
      </c>
      <c r="C870" s="199">
        <v>361.73291316561466</v>
      </c>
      <c r="D870" s="7"/>
      <c r="E870" s="4">
        <f t="shared" si="27"/>
        <v>448.63999999999214</v>
      </c>
      <c r="F870" s="200">
        <v>543.64964428732412</v>
      </c>
    </row>
    <row r="871" spans="2:6" x14ac:dyDescent="0.25">
      <c r="B871" s="4">
        <f t="shared" si="26"/>
        <v>578.64999999999213</v>
      </c>
      <c r="C871" s="199">
        <v>361.88479724284883</v>
      </c>
      <c r="D871" s="7"/>
      <c r="E871" s="4">
        <f t="shared" si="27"/>
        <v>448.64999999999213</v>
      </c>
      <c r="F871" s="200">
        <v>543.84262435197274</v>
      </c>
    </row>
    <row r="872" spans="2:6" x14ac:dyDescent="0.25">
      <c r="B872" s="4">
        <f t="shared" si="26"/>
        <v>578.65999999999212</v>
      </c>
      <c r="C872" s="199">
        <v>362.03668132008221</v>
      </c>
      <c r="D872" s="7"/>
      <c r="E872" s="4">
        <f t="shared" si="27"/>
        <v>448.65999999999212</v>
      </c>
      <c r="F872" s="200">
        <v>544.0356044166216</v>
      </c>
    </row>
    <row r="873" spans="2:6" x14ac:dyDescent="0.25">
      <c r="B873" s="4">
        <f t="shared" si="26"/>
        <v>578.66999999999211</v>
      </c>
      <c r="C873" s="199">
        <v>362.18856539731661</v>
      </c>
      <c r="D873" s="7"/>
      <c r="E873" s="4">
        <f t="shared" si="27"/>
        <v>448.66999999999211</v>
      </c>
      <c r="F873" s="200">
        <v>544.22858448127045</v>
      </c>
    </row>
    <row r="874" spans="2:6" x14ac:dyDescent="0.25">
      <c r="B874" s="4">
        <f t="shared" si="26"/>
        <v>578.67999999999211</v>
      </c>
      <c r="C874" s="199">
        <v>362.34044947454987</v>
      </c>
      <c r="D874" s="7"/>
      <c r="E874" s="4">
        <f t="shared" si="27"/>
        <v>448.67999999999211</v>
      </c>
      <c r="F874" s="200">
        <v>544.42156454592009</v>
      </c>
    </row>
    <row r="875" spans="2:6" x14ac:dyDescent="0.25">
      <c r="B875" s="4">
        <f t="shared" si="26"/>
        <v>578.6899999999921</v>
      </c>
      <c r="C875" s="199">
        <v>362.49233355178438</v>
      </c>
      <c r="D875" s="7"/>
      <c r="E875" s="4">
        <f t="shared" si="27"/>
        <v>448.6899999999921</v>
      </c>
      <c r="F875" s="200">
        <v>544.6149249040501</v>
      </c>
    </row>
    <row r="876" spans="2:6" x14ac:dyDescent="0.25">
      <c r="B876" s="4">
        <f t="shared" si="26"/>
        <v>578.69999999999209</v>
      </c>
      <c r="C876" s="199">
        <v>362.64421762901861</v>
      </c>
      <c r="D876" s="7"/>
      <c r="E876" s="4">
        <f t="shared" si="27"/>
        <v>448.69999999999209</v>
      </c>
      <c r="F876" s="200">
        <v>544.80828526218272</v>
      </c>
    </row>
    <row r="877" spans="2:6" x14ac:dyDescent="0.25">
      <c r="B877" s="4">
        <f t="shared" si="26"/>
        <v>578.70999999999208</v>
      </c>
      <c r="C877" s="199">
        <v>362.79610170625182</v>
      </c>
      <c r="D877" s="7"/>
      <c r="E877" s="4">
        <f t="shared" si="27"/>
        <v>448.70999999999208</v>
      </c>
      <c r="F877" s="200">
        <v>545.00164562031523</v>
      </c>
    </row>
    <row r="878" spans="2:6" x14ac:dyDescent="0.25">
      <c r="B878" s="4">
        <f t="shared" si="26"/>
        <v>578.71999999999207</v>
      </c>
      <c r="C878" s="199">
        <v>362.94821210751297</v>
      </c>
      <c r="D878" s="7"/>
      <c r="E878" s="4">
        <f t="shared" si="27"/>
        <v>448.71999999999207</v>
      </c>
      <c r="F878" s="200">
        <v>545.19500597844706</v>
      </c>
    </row>
    <row r="879" spans="2:6" x14ac:dyDescent="0.25">
      <c r="B879" s="4">
        <f t="shared" si="26"/>
        <v>578.72999999999206</v>
      </c>
      <c r="C879" s="199">
        <v>363.10032250877691</v>
      </c>
      <c r="D879" s="7"/>
      <c r="E879" s="4">
        <f t="shared" si="27"/>
        <v>448.72999999999206</v>
      </c>
      <c r="F879" s="200">
        <v>545.38836633657991</v>
      </c>
    </row>
    <row r="880" spans="2:6" x14ac:dyDescent="0.25">
      <c r="B880" s="4">
        <f t="shared" si="26"/>
        <v>578.73999999999205</v>
      </c>
      <c r="C880" s="199">
        <v>363.25243291004193</v>
      </c>
      <c r="D880" s="7"/>
      <c r="E880" s="4">
        <f t="shared" si="27"/>
        <v>448.73999999999205</v>
      </c>
      <c r="F880" s="200">
        <v>545.5817266947123</v>
      </c>
    </row>
    <row r="881" spans="2:6" x14ac:dyDescent="0.25">
      <c r="B881" s="4">
        <f t="shared" si="26"/>
        <v>578.74999999999204</v>
      </c>
      <c r="C881" s="199">
        <v>363.40454331130582</v>
      </c>
      <c r="D881" s="7"/>
      <c r="E881" s="4">
        <f t="shared" si="27"/>
        <v>448.74999999999204</v>
      </c>
      <c r="F881" s="200">
        <v>545.77508705284413</v>
      </c>
    </row>
    <row r="882" spans="2:6" x14ac:dyDescent="0.25">
      <c r="B882" s="4">
        <f t="shared" si="26"/>
        <v>578.75999999999203</v>
      </c>
      <c r="C882" s="199">
        <v>363.55665371257089</v>
      </c>
      <c r="D882" s="7"/>
      <c r="E882" s="4">
        <f t="shared" si="27"/>
        <v>448.75999999999203</v>
      </c>
      <c r="F882" s="200">
        <v>545.96844741097709</v>
      </c>
    </row>
    <row r="883" spans="2:6" x14ac:dyDescent="0.25">
      <c r="B883" s="4">
        <f t="shared" si="26"/>
        <v>578.76999999999202</v>
      </c>
      <c r="C883" s="199">
        <v>363.70876411383483</v>
      </c>
      <c r="D883" s="7"/>
      <c r="E883" s="4">
        <f t="shared" si="27"/>
        <v>448.76999999999202</v>
      </c>
      <c r="F883" s="200">
        <v>546.16180776910926</v>
      </c>
    </row>
    <row r="884" spans="2:6" x14ac:dyDescent="0.25">
      <c r="B884" s="4">
        <f t="shared" si="26"/>
        <v>578.77999999999201</v>
      </c>
      <c r="C884" s="199">
        <v>363.860874515099</v>
      </c>
      <c r="D884" s="7"/>
      <c r="E884" s="4">
        <f t="shared" si="27"/>
        <v>448.77999999999201</v>
      </c>
      <c r="F884" s="200">
        <v>546.35516812724211</v>
      </c>
    </row>
    <row r="885" spans="2:6" x14ac:dyDescent="0.25">
      <c r="B885" s="4">
        <f t="shared" si="26"/>
        <v>578.78999999999201</v>
      </c>
      <c r="C885" s="199">
        <v>364.01298491636385</v>
      </c>
      <c r="D885" s="7"/>
      <c r="E885" s="4">
        <f t="shared" si="27"/>
        <v>448.78999999999201</v>
      </c>
      <c r="F885" s="200">
        <v>546.54890235628648</v>
      </c>
    </row>
    <row r="886" spans="2:6" x14ac:dyDescent="0.25">
      <c r="B886" s="4">
        <f t="shared" si="26"/>
        <v>578.799999999992</v>
      </c>
      <c r="C886" s="199">
        <v>364.16509531762796</v>
      </c>
      <c r="D886" s="7"/>
      <c r="E886" s="4">
        <f t="shared" si="27"/>
        <v>448.799999999992</v>
      </c>
      <c r="F886" s="200">
        <v>546.74263658533414</v>
      </c>
    </row>
    <row r="887" spans="2:6" x14ac:dyDescent="0.25">
      <c r="B887" s="4">
        <f t="shared" si="26"/>
        <v>578.80999999999199</v>
      </c>
      <c r="C887" s="199">
        <v>364.31720571889292</v>
      </c>
      <c r="D887" s="7"/>
      <c r="E887" s="4">
        <f t="shared" si="27"/>
        <v>448.80999999999199</v>
      </c>
      <c r="F887" s="200">
        <v>546.93637081438214</v>
      </c>
    </row>
    <row r="888" spans="2:6" x14ac:dyDescent="0.25">
      <c r="B888" s="4">
        <f t="shared" si="26"/>
        <v>578.81999999999198</v>
      </c>
      <c r="C888" s="199">
        <v>364.4695367957458</v>
      </c>
      <c r="D888" s="7"/>
      <c r="E888" s="4">
        <f t="shared" si="27"/>
        <v>448.81999999999198</v>
      </c>
      <c r="F888" s="200">
        <v>547.13010504342981</v>
      </c>
    </row>
    <row r="889" spans="2:6" x14ac:dyDescent="0.25">
      <c r="B889" s="4">
        <f t="shared" si="26"/>
        <v>578.82999999999197</v>
      </c>
      <c r="C889" s="199">
        <v>364.62186787260026</v>
      </c>
      <c r="D889" s="7"/>
      <c r="E889" s="4">
        <f t="shared" si="27"/>
        <v>448.82999999999197</v>
      </c>
      <c r="F889" s="200">
        <v>547.32383927247758</v>
      </c>
    </row>
    <row r="890" spans="2:6" x14ac:dyDescent="0.25">
      <c r="B890" s="4">
        <f t="shared" si="26"/>
        <v>578.83999999999196</v>
      </c>
      <c r="C890" s="199">
        <v>364.77419894945388</v>
      </c>
      <c r="D890" s="7"/>
      <c r="E890" s="4">
        <f t="shared" si="27"/>
        <v>448.83999999999196</v>
      </c>
      <c r="F890" s="200">
        <v>547.51757350152604</v>
      </c>
    </row>
    <row r="891" spans="2:6" x14ac:dyDescent="0.25">
      <c r="B891" s="4">
        <f t="shared" si="26"/>
        <v>578.84999999999195</v>
      </c>
      <c r="C891" s="199">
        <v>364.92653002630834</v>
      </c>
      <c r="D891" s="7"/>
      <c r="E891" s="4">
        <f t="shared" si="27"/>
        <v>448.84999999999195</v>
      </c>
      <c r="F891" s="200">
        <v>547.71130773057416</v>
      </c>
    </row>
    <row r="892" spans="2:6" x14ac:dyDescent="0.25">
      <c r="B892" s="4">
        <f t="shared" si="26"/>
        <v>578.85999999999194</v>
      </c>
      <c r="C892" s="199">
        <v>365.07886110316224</v>
      </c>
      <c r="D892" s="7"/>
      <c r="E892" s="4">
        <f t="shared" si="27"/>
        <v>448.85999999999194</v>
      </c>
      <c r="F892" s="200">
        <v>547.9050419596216</v>
      </c>
    </row>
    <row r="893" spans="2:6" x14ac:dyDescent="0.25">
      <c r="B893" s="4">
        <f t="shared" si="26"/>
        <v>578.86999999999193</v>
      </c>
      <c r="C893" s="199">
        <v>365.23119218001676</v>
      </c>
      <c r="D893" s="7"/>
      <c r="E893" s="4">
        <f t="shared" si="27"/>
        <v>448.86999999999193</v>
      </c>
      <c r="F893" s="200">
        <v>548.0987761886696</v>
      </c>
    </row>
    <row r="894" spans="2:6" x14ac:dyDescent="0.25">
      <c r="B894" s="4">
        <f t="shared" si="26"/>
        <v>578.87999999999192</v>
      </c>
      <c r="C894" s="199">
        <v>365.38352325687026</v>
      </c>
      <c r="D894" s="7"/>
      <c r="E894" s="4">
        <f t="shared" si="27"/>
        <v>448.87999999999192</v>
      </c>
      <c r="F894" s="200">
        <v>548.29251041771715</v>
      </c>
    </row>
    <row r="895" spans="2:6" x14ac:dyDescent="0.25">
      <c r="B895" s="4">
        <f t="shared" si="26"/>
        <v>578.88999999999191</v>
      </c>
      <c r="C895" s="199">
        <v>365.5358543337249</v>
      </c>
      <c r="D895" s="7"/>
      <c r="E895" s="4">
        <f t="shared" si="27"/>
        <v>448.88999999999191</v>
      </c>
      <c r="F895" s="200">
        <v>548.48661972501577</v>
      </c>
    </row>
    <row r="896" spans="2:6" x14ac:dyDescent="0.25">
      <c r="B896" s="4">
        <f t="shared" si="26"/>
        <v>578.89999999999191</v>
      </c>
      <c r="C896" s="199">
        <v>365.6881854105784</v>
      </c>
      <c r="D896" s="7"/>
      <c r="E896" s="4">
        <f t="shared" si="27"/>
        <v>448.89999999999191</v>
      </c>
      <c r="F896" s="200">
        <v>548.68072903231894</v>
      </c>
    </row>
    <row r="897" spans="2:6" x14ac:dyDescent="0.25">
      <c r="B897" s="4">
        <f t="shared" si="26"/>
        <v>578.9099999999919</v>
      </c>
      <c r="C897" s="199">
        <v>365.84051648743298</v>
      </c>
      <c r="D897" s="7"/>
      <c r="E897" s="4">
        <f t="shared" si="27"/>
        <v>448.9099999999919</v>
      </c>
      <c r="F897" s="200">
        <v>548.87483833962108</v>
      </c>
    </row>
    <row r="898" spans="2:6" x14ac:dyDescent="0.25">
      <c r="B898" s="4">
        <f t="shared" si="26"/>
        <v>578.91999999999189</v>
      </c>
      <c r="C898" s="199">
        <v>365.99306178571123</v>
      </c>
      <c r="D898" s="7"/>
      <c r="E898" s="4">
        <f t="shared" si="27"/>
        <v>448.91999999999189</v>
      </c>
      <c r="F898" s="200">
        <v>549.06894764692299</v>
      </c>
    </row>
    <row r="899" spans="2:6" x14ac:dyDescent="0.25">
      <c r="B899" s="4">
        <f t="shared" si="26"/>
        <v>578.92999999999188</v>
      </c>
      <c r="C899" s="199">
        <v>366.14560708399216</v>
      </c>
      <c r="D899" s="7"/>
      <c r="E899" s="4">
        <f t="shared" si="27"/>
        <v>448.92999999999188</v>
      </c>
      <c r="F899" s="200">
        <v>549.26305695422525</v>
      </c>
    </row>
    <row r="900" spans="2:6" x14ac:dyDescent="0.25">
      <c r="B900" s="4">
        <f t="shared" si="26"/>
        <v>578.93999999999187</v>
      </c>
      <c r="C900" s="199">
        <v>366.29815238227445</v>
      </c>
      <c r="D900" s="7"/>
      <c r="E900" s="4">
        <f t="shared" si="27"/>
        <v>448.93999999999187</v>
      </c>
      <c r="F900" s="200">
        <v>549.45716626152841</v>
      </c>
    </row>
    <row r="901" spans="2:6" x14ac:dyDescent="0.25">
      <c r="B901" s="4">
        <f t="shared" si="26"/>
        <v>578.94999999999186</v>
      </c>
      <c r="C901" s="199">
        <v>366.45069768055572</v>
      </c>
      <c r="D901" s="7"/>
      <c r="E901" s="4">
        <f t="shared" si="27"/>
        <v>448.94999999999186</v>
      </c>
      <c r="F901" s="200">
        <v>549.65127556883021</v>
      </c>
    </row>
    <row r="902" spans="2:6" x14ac:dyDescent="0.25">
      <c r="B902" s="4">
        <f t="shared" si="26"/>
        <v>578.95999999999185</v>
      </c>
      <c r="C902" s="199">
        <v>366.60324297883659</v>
      </c>
      <c r="D902" s="7"/>
      <c r="E902" s="4">
        <f t="shared" si="27"/>
        <v>448.95999999999185</v>
      </c>
      <c r="F902" s="200">
        <v>549.84538487613247</v>
      </c>
    </row>
    <row r="903" spans="2:6" x14ac:dyDescent="0.25">
      <c r="B903" s="4">
        <f t="shared" si="26"/>
        <v>578.96999999999184</v>
      </c>
      <c r="C903" s="199">
        <v>366.75578827711792</v>
      </c>
      <c r="D903" s="7"/>
      <c r="E903" s="4">
        <f t="shared" si="27"/>
        <v>448.96999999999184</v>
      </c>
      <c r="F903" s="200">
        <v>550.03949418343575</v>
      </c>
    </row>
    <row r="904" spans="2:6" x14ac:dyDescent="0.25">
      <c r="B904" s="4">
        <f t="shared" ref="B904:B967" si="28">+B903+0.01</f>
        <v>578.97999999999183</v>
      </c>
      <c r="C904" s="199">
        <v>366.90833357540004</v>
      </c>
      <c r="D904" s="7"/>
      <c r="E904" s="4">
        <f t="shared" ref="E904:E967" si="29">+E903+0.01</f>
        <v>448.97999999999183</v>
      </c>
      <c r="F904" s="200">
        <v>550.23360349073755</v>
      </c>
    </row>
    <row r="905" spans="2:6" x14ac:dyDescent="0.25">
      <c r="B905" s="4">
        <f t="shared" si="28"/>
        <v>578.98999999999182</v>
      </c>
      <c r="C905" s="199">
        <v>367.06087887368119</v>
      </c>
      <c r="D905" s="7"/>
      <c r="E905" s="4">
        <f t="shared" si="29"/>
        <v>448.98999999999182</v>
      </c>
      <c r="F905" s="200">
        <v>550.42809009681775</v>
      </c>
    </row>
    <row r="906" spans="2:6" x14ac:dyDescent="0.25">
      <c r="B906" s="4">
        <f t="shared" si="28"/>
        <v>578.99999999999181</v>
      </c>
      <c r="C906" s="199">
        <v>367.21342417196234</v>
      </c>
      <c r="D906" s="7"/>
      <c r="E906" s="4">
        <f t="shared" si="29"/>
        <v>448.99999999999181</v>
      </c>
      <c r="F906" s="200">
        <v>550.62257670290182</v>
      </c>
    </row>
    <row r="907" spans="2:6" x14ac:dyDescent="0.25">
      <c r="B907" s="4">
        <f t="shared" si="28"/>
        <v>579.00999999999181</v>
      </c>
      <c r="C907" s="199">
        <v>367.36596947024367</v>
      </c>
      <c r="D907" s="7"/>
      <c r="E907" s="4">
        <f t="shared" si="29"/>
        <v>449.00999999999181</v>
      </c>
      <c r="F907" s="200">
        <v>550.81706330898601</v>
      </c>
    </row>
    <row r="908" spans="2:6" x14ac:dyDescent="0.25">
      <c r="B908" s="4">
        <f t="shared" si="28"/>
        <v>579.0199999999918</v>
      </c>
      <c r="C908" s="199">
        <v>367.51871977707538</v>
      </c>
      <c r="D908" s="7"/>
      <c r="E908" s="4">
        <f t="shared" si="29"/>
        <v>449.0199999999918</v>
      </c>
      <c r="F908" s="200">
        <v>551.01154991506928</v>
      </c>
    </row>
    <row r="909" spans="2:6" x14ac:dyDescent="0.25">
      <c r="B909" s="4">
        <f t="shared" si="28"/>
        <v>579.02999999999179</v>
      </c>
      <c r="C909" s="199">
        <v>367.67147008390708</v>
      </c>
      <c r="D909" s="7"/>
      <c r="E909" s="4">
        <f t="shared" si="29"/>
        <v>449.02999999999179</v>
      </c>
      <c r="F909" s="200">
        <v>551.20603652115335</v>
      </c>
    </row>
    <row r="910" spans="2:6" x14ac:dyDescent="0.25">
      <c r="B910" s="4">
        <f t="shared" si="28"/>
        <v>579.03999999999178</v>
      </c>
      <c r="C910" s="199">
        <v>367.82422039073822</v>
      </c>
      <c r="D910" s="7"/>
      <c r="E910" s="4">
        <f t="shared" si="29"/>
        <v>449.03999999999178</v>
      </c>
      <c r="F910" s="200">
        <v>551.40052312723765</v>
      </c>
    </row>
    <row r="911" spans="2:6" x14ac:dyDescent="0.25">
      <c r="B911" s="4">
        <f t="shared" si="28"/>
        <v>579.04999999999177</v>
      </c>
      <c r="C911" s="199">
        <v>367.97697069757072</v>
      </c>
      <c r="D911" s="7"/>
      <c r="E911" s="4">
        <f t="shared" si="29"/>
        <v>449.04999999999177</v>
      </c>
      <c r="F911" s="200">
        <v>551.59500973332069</v>
      </c>
    </row>
    <row r="912" spans="2:6" x14ac:dyDescent="0.25">
      <c r="B912" s="4">
        <f t="shared" si="28"/>
        <v>579.05999999999176</v>
      </c>
      <c r="C912" s="199">
        <v>368.12972100440214</v>
      </c>
      <c r="D912" s="7"/>
      <c r="E912" s="4">
        <f t="shared" si="29"/>
        <v>449.05999999999176</v>
      </c>
      <c r="F912" s="200">
        <v>551.78949633940522</v>
      </c>
    </row>
    <row r="913" spans="2:6" x14ac:dyDescent="0.25">
      <c r="B913" s="4">
        <f t="shared" si="28"/>
        <v>579.06999999999175</v>
      </c>
      <c r="C913" s="199">
        <v>368.28247131123345</v>
      </c>
      <c r="D913" s="7"/>
      <c r="E913" s="4">
        <f t="shared" si="29"/>
        <v>449.06999999999175</v>
      </c>
      <c r="F913" s="200">
        <v>551.98398294548952</v>
      </c>
    </row>
    <row r="914" spans="2:6" x14ac:dyDescent="0.25">
      <c r="B914" s="4">
        <f t="shared" si="28"/>
        <v>579.07999999999174</v>
      </c>
      <c r="C914" s="199">
        <v>368.43522161806487</v>
      </c>
      <c r="D914" s="7"/>
      <c r="E914" s="4">
        <f t="shared" si="29"/>
        <v>449.07999999999174</v>
      </c>
      <c r="F914" s="200">
        <v>552.1784695515737</v>
      </c>
    </row>
    <row r="915" spans="2:6" x14ac:dyDescent="0.25">
      <c r="B915" s="4">
        <f t="shared" si="28"/>
        <v>579.08999999999173</v>
      </c>
      <c r="C915" s="199">
        <v>368.58797192489629</v>
      </c>
      <c r="D915" s="7"/>
      <c r="E915" s="4">
        <f t="shared" si="29"/>
        <v>449.08999999999173</v>
      </c>
      <c r="F915" s="200">
        <v>552.37333961370643</v>
      </c>
    </row>
    <row r="916" spans="2:6" x14ac:dyDescent="0.25">
      <c r="B916" s="4">
        <f t="shared" si="28"/>
        <v>579.09999999999172</v>
      </c>
      <c r="C916" s="199">
        <v>368.74072223172874</v>
      </c>
      <c r="D916" s="7"/>
      <c r="E916" s="4">
        <f t="shared" si="29"/>
        <v>449.09999999999172</v>
      </c>
      <c r="F916" s="200">
        <v>552.5682096758411</v>
      </c>
    </row>
    <row r="917" spans="2:6" x14ac:dyDescent="0.25">
      <c r="B917" s="4">
        <f t="shared" si="28"/>
        <v>579.10999999999171</v>
      </c>
      <c r="C917" s="199">
        <v>368.89347253856022</v>
      </c>
      <c r="D917" s="7"/>
      <c r="E917" s="4">
        <f t="shared" si="29"/>
        <v>449.10999999999171</v>
      </c>
      <c r="F917" s="200">
        <v>552.76307973797702</v>
      </c>
    </row>
    <row r="918" spans="2:6" x14ac:dyDescent="0.25">
      <c r="B918" s="4">
        <f t="shared" si="28"/>
        <v>579.11999999999171</v>
      </c>
      <c r="C918" s="199">
        <v>369.04641951445728</v>
      </c>
      <c r="D918" s="7"/>
      <c r="E918" s="4">
        <f t="shared" si="29"/>
        <v>449.11999999999171</v>
      </c>
      <c r="F918" s="200">
        <v>552.95794980011169</v>
      </c>
    </row>
    <row r="919" spans="2:6" x14ac:dyDescent="0.25">
      <c r="B919" s="4">
        <f t="shared" si="28"/>
        <v>579.1299999999917</v>
      </c>
      <c r="C919" s="199">
        <v>369.19936649035884</v>
      </c>
      <c r="D919" s="7"/>
      <c r="E919" s="4">
        <f t="shared" si="29"/>
        <v>449.1299999999917</v>
      </c>
      <c r="F919" s="200">
        <v>553.15281986224693</v>
      </c>
    </row>
    <row r="920" spans="2:6" x14ac:dyDescent="0.25">
      <c r="B920" s="4">
        <f t="shared" si="28"/>
        <v>579.13999999999169</v>
      </c>
      <c r="C920" s="199">
        <v>369.35231346626034</v>
      </c>
      <c r="D920" s="7"/>
      <c r="E920" s="4">
        <f t="shared" si="29"/>
        <v>449.13999999999169</v>
      </c>
      <c r="F920" s="200">
        <v>553.34768992438251</v>
      </c>
    </row>
    <row r="921" spans="2:6" x14ac:dyDescent="0.25">
      <c r="B921" s="4">
        <f t="shared" si="28"/>
        <v>579.14999999999168</v>
      </c>
      <c r="C921" s="199">
        <v>369.5052604421619</v>
      </c>
      <c r="D921" s="7"/>
      <c r="E921" s="4">
        <f t="shared" si="29"/>
        <v>449.14999999999168</v>
      </c>
      <c r="F921" s="200">
        <v>553.54255998651752</v>
      </c>
    </row>
    <row r="922" spans="2:6" x14ac:dyDescent="0.25">
      <c r="B922" s="4">
        <f t="shared" si="28"/>
        <v>579.15999999999167</v>
      </c>
      <c r="C922" s="199">
        <v>369.65820741806368</v>
      </c>
      <c r="D922" s="7"/>
      <c r="E922" s="4">
        <f t="shared" si="29"/>
        <v>449.15999999999167</v>
      </c>
      <c r="F922" s="200">
        <v>553.73743004865332</v>
      </c>
    </row>
    <row r="923" spans="2:6" x14ac:dyDescent="0.25">
      <c r="B923" s="4">
        <f t="shared" si="28"/>
        <v>579.16999999999166</v>
      </c>
      <c r="C923" s="199">
        <v>369.81115439396427</v>
      </c>
      <c r="D923" s="7"/>
      <c r="E923" s="4">
        <f t="shared" si="29"/>
        <v>449.16999999999166</v>
      </c>
      <c r="F923" s="200">
        <v>553.93230011078833</v>
      </c>
    </row>
    <row r="924" spans="2:6" x14ac:dyDescent="0.25">
      <c r="B924" s="4">
        <f t="shared" si="28"/>
        <v>579.17999999999165</v>
      </c>
      <c r="C924" s="199">
        <v>369.96410136986583</v>
      </c>
      <c r="D924" s="7"/>
      <c r="E924" s="4">
        <f t="shared" si="29"/>
        <v>449.17999999999165</v>
      </c>
      <c r="F924" s="200">
        <v>554.12717017292289</v>
      </c>
    </row>
    <row r="925" spans="2:6" x14ac:dyDescent="0.25">
      <c r="B925" s="4">
        <f t="shared" si="28"/>
        <v>579.18999999999164</v>
      </c>
      <c r="C925" s="199">
        <v>370.11704834576744</v>
      </c>
      <c r="D925" s="7"/>
      <c r="E925" s="4">
        <f t="shared" si="29"/>
        <v>449.18999999999164</v>
      </c>
      <c r="F925" s="200">
        <v>554.32243098660388</v>
      </c>
    </row>
    <row r="926" spans="2:6" x14ac:dyDescent="0.25">
      <c r="B926" s="4">
        <f t="shared" si="28"/>
        <v>579.19999999999163</v>
      </c>
      <c r="C926" s="199">
        <v>370.26999532166894</v>
      </c>
      <c r="D926" s="7"/>
      <c r="E926" s="4">
        <f t="shared" si="29"/>
        <v>449.19999999999163</v>
      </c>
      <c r="F926" s="200">
        <v>554.51769180028555</v>
      </c>
    </row>
    <row r="927" spans="2:6" x14ac:dyDescent="0.25">
      <c r="B927" s="4">
        <f t="shared" si="28"/>
        <v>579.20999999999162</v>
      </c>
      <c r="C927" s="199">
        <v>370.4229422975705</v>
      </c>
      <c r="D927" s="7"/>
      <c r="E927" s="4">
        <f t="shared" si="29"/>
        <v>449.20999999999162</v>
      </c>
      <c r="F927" s="200">
        <v>554.71295261396813</v>
      </c>
    </row>
    <row r="928" spans="2:6" x14ac:dyDescent="0.25">
      <c r="B928" s="4">
        <f t="shared" si="28"/>
        <v>579.21999999999161</v>
      </c>
      <c r="C928" s="199">
        <v>370.57608169545654</v>
      </c>
      <c r="D928" s="7"/>
      <c r="E928" s="4">
        <f t="shared" si="29"/>
        <v>449.21999999999161</v>
      </c>
      <c r="F928" s="200">
        <v>554.90821342764912</v>
      </c>
    </row>
    <row r="929" spans="2:6" x14ac:dyDescent="0.25">
      <c r="B929" s="4">
        <f t="shared" si="28"/>
        <v>579.22999999999161</v>
      </c>
      <c r="C929" s="199">
        <v>370.72922109334286</v>
      </c>
      <c r="D929" s="7"/>
      <c r="E929" s="4">
        <f t="shared" si="29"/>
        <v>449.22999999999161</v>
      </c>
      <c r="F929" s="200">
        <v>555.1034742413317</v>
      </c>
    </row>
    <row r="930" spans="2:6" x14ac:dyDescent="0.25">
      <c r="B930" s="4">
        <f t="shared" si="28"/>
        <v>579.2399999999916</v>
      </c>
      <c r="C930" s="199">
        <v>370.88236049122952</v>
      </c>
      <c r="D930" s="7"/>
      <c r="E930" s="4">
        <f t="shared" si="29"/>
        <v>449.2399999999916</v>
      </c>
      <c r="F930" s="200">
        <v>555.29873505501428</v>
      </c>
    </row>
    <row r="931" spans="2:6" x14ac:dyDescent="0.25">
      <c r="B931" s="4">
        <f t="shared" si="28"/>
        <v>579.24999999999159</v>
      </c>
      <c r="C931" s="199">
        <v>371.03549988911504</v>
      </c>
      <c r="D931" s="7"/>
      <c r="E931" s="4">
        <f t="shared" si="29"/>
        <v>449.24999999999159</v>
      </c>
      <c r="F931" s="200">
        <v>555.49399586869606</v>
      </c>
    </row>
    <row r="932" spans="2:6" x14ac:dyDescent="0.25">
      <c r="B932" s="4">
        <f t="shared" si="28"/>
        <v>579.25999999999158</v>
      </c>
      <c r="C932" s="199">
        <v>371.18863928700176</v>
      </c>
      <c r="D932" s="7"/>
      <c r="E932" s="4">
        <f t="shared" si="29"/>
        <v>449.25999999999158</v>
      </c>
      <c r="F932" s="200">
        <v>555.68925668237819</v>
      </c>
    </row>
    <row r="933" spans="2:6" x14ac:dyDescent="0.25">
      <c r="B933" s="4">
        <f t="shared" si="28"/>
        <v>579.26999999999157</v>
      </c>
      <c r="C933" s="199">
        <v>371.34177868488803</v>
      </c>
      <c r="D933" s="7"/>
      <c r="E933" s="4">
        <f t="shared" si="29"/>
        <v>449.26999999999157</v>
      </c>
      <c r="F933" s="200">
        <v>555.88451749605974</v>
      </c>
    </row>
    <row r="934" spans="2:6" x14ac:dyDescent="0.25">
      <c r="B934" s="4">
        <f t="shared" si="28"/>
        <v>579.27999999999156</v>
      </c>
      <c r="C934" s="199">
        <v>371.49491808277469</v>
      </c>
      <c r="D934" s="7"/>
      <c r="E934" s="4">
        <f t="shared" si="29"/>
        <v>449.27999999999156</v>
      </c>
      <c r="F934" s="200">
        <v>556.07977830974232</v>
      </c>
    </row>
    <row r="935" spans="2:6" x14ac:dyDescent="0.25">
      <c r="B935" s="4">
        <f t="shared" si="28"/>
        <v>579.28999999999155</v>
      </c>
      <c r="C935" s="199">
        <v>371.64805748066016</v>
      </c>
      <c r="D935" s="7"/>
      <c r="E935" s="4">
        <f t="shared" si="29"/>
        <v>449.28999999999155</v>
      </c>
      <c r="F935" s="200">
        <v>556.27543695901352</v>
      </c>
    </row>
    <row r="936" spans="2:6" x14ac:dyDescent="0.25">
      <c r="B936" s="4">
        <f t="shared" si="28"/>
        <v>579.29999999999154</v>
      </c>
      <c r="C936" s="199">
        <v>371.80119687854676</v>
      </c>
      <c r="D936" s="7"/>
      <c r="E936" s="4">
        <f t="shared" si="29"/>
        <v>449.29999999999154</v>
      </c>
      <c r="F936" s="200">
        <v>556.47109560828881</v>
      </c>
    </row>
    <row r="937" spans="2:6" x14ac:dyDescent="0.25">
      <c r="B937" s="4">
        <f t="shared" si="28"/>
        <v>579.30999999999153</v>
      </c>
      <c r="C937" s="199">
        <v>371.95433627643325</v>
      </c>
      <c r="D937" s="7"/>
      <c r="E937" s="4">
        <f t="shared" si="29"/>
        <v>449.30999999999153</v>
      </c>
      <c r="F937" s="200">
        <v>556.66675425756489</v>
      </c>
    </row>
    <row r="938" spans="2:6" x14ac:dyDescent="0.25">
      <c r="B938" s="4">
        <f t="shared" si="28"/>
        <v>579.31999999999152</v>
      </c>
      <c r="C938" s="199">
        <v>372.1076656568743</v>
      </c>
      <c r="D938" s="7"/>
      <c r="E938" s="4">
        <f t="shared" si="29"/>
        <v>449.31999999999152</v>
      </c>
      <c r="F938" s="200">
        <v>556.86241290683961</v>
      </c>
    </row>
    <row r="939" spans="2:6" x14ac:dyDescent="0.25">
      <c r="B939" s="4">
        <f t="shared" si="28"/>
        <v>579.32999999999151</v>
      </c>
      <c r="C939" s="199">
        <v>372.26099503731797</v>
      </c>
      <c r="D939" s="7"/>
      <c r="E939" s="4">
        <f t="shared" si="29"/>
        <v>449.32999999999151</v>
      </c>
      <c r="F939" s="200">
        <v>557.05807155611603</v>
      </c>
    </row>
    <row r="940" spans="2:6" x14ac:dyDescent="0.25">
      <c r="B940" s="4">
        <f t="shared" si="28"/>
        <v>579.33999999999151</v>
      </c>
      <c r="C940" s="199">
        <v>372.41432441776152</v>
      </c>
      <c r="D940" s="7"/>
      <c r="E940" s="4">
        <f t="shared" si="29"/>
        <v>449.33999999999151</v>
      </c>
      <c r="F940" s="200">
        <v>557.25373020539121</v>
      </c>
    </row>
    <row r="941" spans="2:6" x14ac:dyDescent="0.25">
      <c r="B941" s="4">
        <f t="shared" si="28"/>
        <v>579.3499999999915</v>
      </c>
      <c r="C941" s="199">
        <v>372.56765379820496</v>
      </c>
      <c r="D941" s="7"/>
      <c r="E941" s="4">
        <f t="shared" si="29"/>
        <v>449.3499999999915</v>
      </c>
      <c r="F941" s="200">
        <v>557.44938885466729</v>
      </c>
    </row>
    <row r="942" spans="2:6" x14ac:dyDescent="0.25">
      <c r="B942" s="4">
        <f t="shared" si="28"/>
        <v>579.35999999999149</v>
      </c>
      <c r="C942" s="199">
        <v>372.7209831786497</v>
      </c>
      <c r="D942" s="7"/>
      <c r="E942" s="4">
        <f t="shared" si="29"/>
        <v>449.35999999999149</v>
      </c>
      <c r="F942" s="200">
        <v>557.64504750394212</v>
      </c>
    </row>
    <row r="943" spans="2:6" x14ac:dyDescent="0.25">
      <c r="B943" s="4">
        <f t="shared" si="28"/>
        <v>579.36999999999148</v>
      </c>
      <c r="C943" s="199">
        <v>372.87431255909314</v>
      </c>
      <c r="D943" s="7"/>
      <c r="E943" s="4">
        <f t="shared" si="29"/>
        <v>449.36999999999148</v>
      </c>
      <c r="F943" s="200">
        <v>557.84070615321832</v>
      </c>
    </row>
    <row r="944" spans="2:6" x14ac:dyDescent="0.25">
      <c r="B944" s="4">
        <f t="shared" si="28"/>
        <v>579.37999999999147</v>
      </c>
      <c r="C944" s="199">
        <v>373.02764193953669</v>
      </c>
      <c r="D944" s="7"/>
      <c r="E944" s="4">
        <f t="shared" si="29"/>
        <v>449.37999999999147</v>
      </c>
      <c r="F944" s="200">
        <v>558.03636480249349</v>
      </c>
    </row>
    <row r="945" spans="2:6" x14ac:dyDescent="0.25">
      <c r="B945" s="4">
        <f t="shared" si="28"/>
        <v>579.38999999999146</v>
      </c>
      <c r="C945" s="199">
        <v>373.18097131998036</v>
      </c>
      <c r="D945" s="7"/>
      <c r="E945" s="4">
        <f t="shared" si="29"/>
        <v>449.38999999999146</v>
      </c>
      <c r="F945" s="200">
        <v>558.23242298439436</v>
      </c>
    </row>
    <row r="946" spans="2:6" x14ac:dyDescent="0.25">
      <c r="B946" s="4">
        <f t="shared" si="28"/>
        <v>579.39999999999145</v>
      </c>
      <c r="C946" s="199">
        <v>373.33430070042488</v>
      </c>
      <c r="D946" s="7"/>
      <c r="E946" s="4">
        <f t="shared" si="29"/>
        <v>449.39999999999145</v>
      </c>
      <c r="F946" s="200">
        <v>558.42848116629784</v>
      </c>
    </row>
    <row r="947" spans="2:6" x14ac:dyDescent="0.25">
      <c r="B947" s="4">
        <f t="shared" si="28"/>
        <v>579.40999999999144</v>
      </c>
      <c r="C947" s="199">
        <v>373.48763008086854</v>
      </c>
      <c r="D947" s="7"/>
      <c r="E947" s="4">
        <f t="shared" si="29"/>
        <v>449.40999999999144</v>
      </c>
      <c r="F947" s="200">
        <v>558.62453934820269</v>
      </c>
    </row>
    <row r="948" spans="2:6" x14ac:dyDescent="0.25">
      <c r="B948" s="4">
        <f t="shared" si="28"/>
        <v>579.41999999999143</v>
      </c>
      <c r="C948" s="199">
        <v>373.64114859838639</v>
      </c>
      <c r="D948" s="7"/>
      <c r="E948" s="4">
        <f t="shared" si="29"/>
        <v>449.41999999999143</v>
      </c>
      <c r="F948" s="200">
        <v>558.82059753010617</v>
      </c>
    </row>
    <row r="949" spans="2:6" x14ac:dyDescent="0.25">
      <c r="B949" s="4">
        <f t="shared" si="28"/>
        <v>579.42999999999142</v>
      </c>
      <c r="C949" s="199">
        <v>373.79466711590504</v>
      </c>
      <c r="D949" s="7"/>
      <c r="E949" s="4">
        <f t="shared" si="29"/>
        <v>449.42999999999142</v>
      </c>
      <c r="F949" s="200">
        <v>559.01665571200965</v>
      </c>
    </row>
    <row r="950" spans="2:6" x14ac:dyDescent="0.25">
      <c r="B950" s="4">
        <f t="shared" si="28"/>
        <v>579.43999999999141</v>
      </c>
      <c r="C950" s="199">
        <v>373.94818563342363</v>
      </c>
      <c r="D950" s="7"/>
      <c r="E950" s="4">
        <f t="shared" si="29"/>
        <v>449.43999999999141</v>
      </c>
      <c r="F950" s="200">
        <v>559.21271389391359</v>
      </c>
    </row>
    <row r="951" spans="2:6" x14ac:dyDescent="0.25">
      <c r="B951" s="4">
        <f t="shared" si="28"/>
        <v>579.44999999999141</v>
      </c>
      <c r="C951" s="199">
        <v>374.10170415094223</v>
      </c>
      <c r="D951" s="7"/>
      <c r="E951" s="4">
        <f t="shared" si="29"/>
        <v>449.44999999999141</v>
      </c>
      <c r="F951" s="200">
        <v>559.40877207581707</v>
      </c>
    </row>
    <row r="952" spans="2:6" x14ac:dyDescent="0.25">
      <c r="B952" s="4">
        <f t="shared" si="28"/>
        <v>579.4599999999914</v>
      </c>
      <c r="C952" s="199">
        <v>374.25522266846173</v>
      </c>
      <c r="D952" s="7"/>
      <c r="E952" s="4">
        <f t="shared" si="29"/>
        <v>449.4599999999914</v>
      </c>
      <c r="F952" s="200">
        <v>559.60483025772044</v>
      </c>
    </row>
    <row r="953" spans="2:6" x14ac:dyDescent="0.25">
      <c r="B953" s="4">
        <f t="shared" si="28"/>
        <v>579.46999999999139</v>
      </c>
      <c r="C953" s="199">
        <v>374.40874118598032</v>
      </c>
      <c r="D953" s="7"/>
      <c r="E953" s="4">
        <f t="shared" si="29"/>
        <v>449.46999999999139</v>
      </c>
      <c r="F953" s="200">
        <v>559.80088843962426</v>
      </c>
    </row>
    <row r="954" spans="2:6" x14ac:dyDescent="0.25">
      <c r="B954" s="4">
        <f t="shared" si="28"/>
        <v>579.47999999999138</v>
      </c>
      <c r="C954" s="199">
        <v>374.5622597034988</v>
      </c>
      <c r="D954" s="7"/>
      <c r="E954" s="4">
        <f t="shared" si="29"/>
        <v>449.47999999999138</v>
      </c>
      <c r="F954" s="200">
        <v>559.99694662152865</v>
      </c>
    </row>
    <row r="955" spans="2:6" x14ac:dyDescent="0.25">
      <c r="B955" s="4">
        <f t="shared" si="28"/>
        <v>579.48999999999137</v>
      </c>
      <c r="C955" s="199">
        <v>374.71577822101716</v>
      </c>
      <c r="D955" s="7"/>
      <c r="E955" s="4">
        <f t="shared" si="29"/>
        <v>449.48999999999137</v>
      </c>
      <c r="F955" s="200">
        <v>560.19340004198591</v>
      </c>
    </row>
    <row r="956" spans="2:6" x14ac:dyDescent="0.25">
      <c r="B956" s="4">
        <f t="shared" si="28"/>
        <v>579.49999999999136</v>
      </c>
      <c r="C956" s="199">
        <v>374.86929673853581</v>
      </c>
      <c r="D956" s="7"/>
      <c r="E956" s="4">
        <f t="shared" si="29"/>
        <v>449.49999999999136</v>
      </c>
      <c r="F956" s="200">
        <v>560.38985346244806</v>
      </c>
    </row>
    <row r="957" spans="2:6" x14ac:dyDescent="0.25">
      <c r="B957" s="4">
        <f t="shared" si="28"/>
        <v>579.50999999999135</v>
      </c>
      <c r="C957" s="199">
        <v>375.0228152560544</v>
      </c>
      <c r="D957" s="7"/>
      <c r="E957" s="4">
        <f t="shared" si="29"/>
        <v>449.50999999999135</v>
      </c>
      <c r="F957" s="200">
        <v>560.58630688291009</v>
      </c>
    </row>
    <row r="958" spans="2:6" x14ac:dyDescent="0.25">
      <c r="B958" s="4">
        <f t="shared" si="28"/>
        <v>579.51999999999134</v>
      </c>
      <c r="C958" s="199">
        <v>375.1765216827406</v>
      </c>
      <c r="D958" s="7"/>
      <c r="E958" s="4">
        <f t="shared" si="29"/>
        <v>449.51999999999134</v>
      </c>
      <c r="F958" s="200">
        <v>560.78276030337247</v>
      </c>
    </row>
    <row r="959" spans="2:6" x14ac:dyDescent="0.25">
      <c r="B959" s="4">
        <f t="shared" si="28"/>
        <v>579.52999999999133</v>
      </c>
      <c r="C959" s="199">
        <v>375.3302281094297</v>
      </c>
      <c r="D959" s="7"/>
      <c r="E959" s="4">
        <f t="shared" si="29"/>
        <v>449.52999999999133</v>
      </c>
      <c r="F959" s="200">
        <v>560.97921372383303</v>
      </c>
    </row>
    <row r="960" spans="2:6" x14ac:dyDescent="0.25">
      <c r="B960" s="4">
        <f t="shared" si="28"/>
        <v>579.53999999999132</v>
      </c>
      <c r="C960" s="199">
        <v>375.48393453611857</v>
      </c>
      <c r="D960" s="7"/>
      <c r="E960" s="4">
        <f t="shared" si="29"/>
        <v>449.53999999999132</v>
      </c>
      <c r="F960" s="200">
        <v>561.17566714429506</v>
      </c>
    </row>
    <row r="961" spans="2:6" x14ac:dyDescent="0.25">
      <c r="B961" s="4">
        <f t="shared" si="28"/>
        <v>579.54999999999131</v>
      </c>
      <c r="C961" s="199">
        <v>375.63764096280858</v>
      </c>
      <c r="D961" s="7"/>
      <c r="E961" s="4">
        <f t="shared" si="29"/>
        <v>449.54999999999131</v>
      </c>
      <c r="F961" s="200">
        <v>561.3721205647571</v>
      </c>
    </row>
    <row r="962" spans="2:6" x14ac:dyDescent="0.25">
      <c r="B962" s="4">
        <f t="shared" si="28"/>
        <v>579.55999999999131</v>
      </c>
      <c r="C962" s="199">
        <v>375.79134738949733</v>
      </c>
      <c r="D962" s="7"/>
      <c r="E962" s="4">
        <f t="shared" si="29"/>
        <v>449.55999999999131</v>
      </c>
      <c r="F962" s="200">
        <v>561.5685739852189</v>
      </c>
    </row>
    <row r="963" spans="2:6" x14ac:dyDescent="0.25">
      <c r="B963" s="4">
        <f t="shared" si="28"/>
        <v>579.5699999999913</v>
      </c>
      <c r="C963" s="199">
        <v>375.94505381618649</v>
      </c>
      <c r="D963" s="7"/>
      <c r="E963" s="4">
        <f t="shared" si="29"/>
        <v>449.5699999999913</v>
      </c>
      <c r="F963" s="200">
        <v>561.76502740568003</v>
      </c>
    </row>
    <row r="964" spans="2:6" x14ac:dyDescent="0.25">
      <c r="B964" s="4">
        <f t="shared" si="28"/>
        <v>579.57999999999129</v>
      </c>
      <c r="C964" s="199">
        <v>376.0987602428753</v>
      </c>
      <c r="D964" s="7"/>
      <c r="E964" s="4">
        <f t="shared" si="29"/>
        <v>449.57999999999129</v>
      </c>
      <c r="F964" s="200">
        <v>561.96148082614218</v>
      </c>
    </row>
    <row r="965" spans="2:6" x14ac:dyDescent="0.25">
      <c r="B965" s="4">
        <f t="shared" si="28"/>
        <v>579.58999999999128</v>
      </c>
      <c r="C965" s="199">
        <v>376.25246666956519</v>
      </c>
      <c r="D965" s="7"/>
      <c r="E965" s="4">
        <f t="shared" si="29"/>
        <v>449.58999999999128</v>
      </c>
      <c r="F965" s="200">
        <v>562.15832007004724</v>
      </c>
    </row>
    <row r="966" spans="2:6" x14ac:dyDescent="0.25">
      <c r="B966" s="4">
        <f t="shared" si="28"/>
        <v>579.59999999999127</v>
      </c>
      <c r="C966" s="199">
        <v>376.40617309625407</v>
      </c>
      <c r="D966" s="7"/>
      <c r="E966" s="4">
        <f t="shared" si="29"/>
        <v>449.59999999999127</v>
      </c>
      <c r="F966" s="200">
        <v>562.35515931395378</v>
      </c>
    </row>
    <row r="967" spans="2:6" x14ac:dyDescent="0.25">
      <c r="B967" s="4">
        <f t="shared" si="28"/>
        <v>579.60999999999126</v>
      </c>
      <c r="C967" s="199">
        <v>376.55987952294322</v>
      </c>
      <c r="D967" s="7"/>
      <c r="E967" s="4">
        <f t="shared" si="29"/>
        <v>449.60999999999126</v>
      </c>
      <c r="F967" s="200">
        <v>562.55199855785986</v>
      </c>
    </row>
    <row r="968" spans="2:6" x14ac:dyDescent="0.25">
      <c r="B968" s="4">
        <f t="shared" ref="B968:B1031" si="30">+B967+0.01</f>
        <v>579.61999999999125</v>
      </c>
      <c r="C968" s="199">
        <v>376.71377204883794</v>
      </c>
      <c r="D968" s="7"/>
      <c r="E968" s="4">
        <f t="shared" ref="E968:E1006" si="31">+E967+0.01</f>
        <v>449.61999999999125</v>
      </c>
      <c r="F968" s="200">
        <v>562.74883780176731</v>
      </c>
    </row>
    <row r="969" spans="2:6" x14ac:dyDescent="0.25">
      <c r="B969" s="4">
        <f t="shared" si="30"/>
        <v>579.62999999999124</v>
      </c>
      <c r="C969" s="199">
        <v>376.8676645747326</v>
      </c>
      <c r="D969" s="7"/>
      <c r="E969" s="4">
        <f t="shared" si="31"/>
        <v>449.62999999999124</v>
      </c>
      <c r="F969" s="200">
        <v>562.94567704567385</v>
      </c>
    </row>
    <row r="970" spans="2:6" x14ac:dyDescent="0.25">
      <c r="B970" s="4">
        <f t="shared" si="30"/>
        <v>579.63999999999123</v>
      </c>
      <c r="C970" s="199">
        <v>377.02155710062698</v>
      </c>
      <c r="D970" s="7"/>
      <c r="E970" s="4">
        <f t="shared" si="31"/>
        <v>449.63999999999123</v>
      </c>
      <c r="F970" s="200">
        <v>563.14251628958039</v>
      </c>
    </row>
    <row r="971" spans="2:6" x14ac:dyDescent="0.25">
      <c r="B971" s="4">
        <f t="shared" si="30"/>
        <v>579.64999999999122</v>
      </c>
      <c r="C971" s="199">
        <v>377.17544962652141</v>
      </c>
      <c r="D971" s="7"/>
      <c r="E971" s="4">
        <f t="shared" si="31"/>
        <v>449.64999999999122</v>
      </c>
      <c r="F971" s="200">
        <v>563.33935553348772</v>
      </c>
    </row>
    <row r="972" spans="2:6" x14ac:dyDescent="0.25">
      <c r="B972" s="4">
        <f t="shared" si="30"/>
        <v>579.65999999999121</v>
      </c>
      <c r="C972" s="199">
        <v>377.32934215241573</v>
      </c>
      <c r="D972" s="7"/>
      <c r="E972" s="4">
        <f t="shared" si="31"/>
        <v>449.65999999999121</v>
      </c>
      <c r="F972" s="200">
        <v>563.53619477739426</v>
      </c>
    </row>
    <row r="973" spans="2:6" x14ac:dyDescent="0.25">
      <c r="B973" s="4">
        <f t="shared" si="30"/>
        <v>579.66999999999121</v>
      </c>
      <c r="C973" s="199">
        <v>377.48323467831005</v>
      </c>
      <c r="D973" s="7"/>
      <c r="E973" s="4">
        <f t="shared" si="31"/>
        <v>449.66999999999121</v>
      </c>
      <c r="F973" s="200">
        <v>563.7330340213008</v>
      </c>
    </row>
    <row r="974" spans="2:6" x14ac:dyDescent="0.25">
      <c r="B974" s="4">
        <f t="shared" si="30"/>
        <v>579.6799999999912</v>
      </c>
      <c r="C974" s="199">
        <v>377.63712720420443</v>
      </c>
      <c r="D974" s="7"/>
      <c r="E974" s="4">
        <f t="shared" si="31"/>
        <v>449.6799999999912</v>
      </c>
      <c r="F974" s="200">
        <v>563.92987326520824</v>
      </c>
    </row>
    <row r="975" spans="2:6" x14ac:dyDescent="0.25">
      <c r="B975" s="4">
        <f t="shared" si="30"/>
        <v>579.68999999999119</v>
      </c>
      <c r="C975" s="199">
        <v>377.79101973009824</v>
      </c>
      <c r="D975" s="7"/>
      <c r="E975" s="4">
        <f t="shared" si="31"/>
        <v>449.68999999999119</v>
      </c>
      <c r="F975" s="200">
        <v>564.12708598073527</v>
      </c>
    </row>
    <row r="976" spans="2:6" x14ac:dyDescent="0.25">
      <c r="B976" s="4">
        <f t="shared" si="30"/>
        <v>579.69999999999118</v>
      </c>
      <c r="C976" s="199">
        <v>377.94491225599262</v>
      </c>
      <c r="D976" s="7"/>
      <c r="E976" s="4">
        <f t="shared" si="31"/>
        <v>449.69999999999118</v>
      </c>
      <c r="F976" s="200">
        <v>564.32429869626731</v>
      </c>
    </row>
    <row r="977" spans="2:6" x14ac:dyDescent="0.25">
      <c r="B977" s="4">
        <f t="shared" si="30"/>
        <v>579.70999999999117</v>
      </c>
      <c r="C977" s="199">
        <v>378.09880478188694</v>
      </c>
      <c r="D977" s="7"/>
      <c r="E977" s="4">
        <f t="shared" si="31"/>
        <v>449.70999999999117</v>
      </c>
      <c r="F977" s="200">
        <v>564.52151141179888</v>
      </c>
    </row>
    <row r="978" spans="2:6" x14ac:dyDescent="0.25">
      <c r="B978" s="4">
        <f t="shared" si="30"/>
        <v>579.71999999999116</v>
      </c>
      <c r="C978" s="199">
        <v>378.25288389794491</v>
      </c>
      <c r="D978" s="7"/>
      <c r="E978" s="4">
        <f t="shared" si="31"/>
        <v>449.71999999999116</v>
      </c>
      <c r="F978" s="200">
        <v>564.71872412732932</v>
      </c>
    </row>
    <row r="979" spans="2:6" x14ac:dyDescent="0.25">
      <c r="B979" s="4">
        <f t="shared" si="30"/>
        <v>579.72999999999115</v>
      </c>
      <c r="C979" s="199">
        <v>378.40696301400561</v>
      </c>
      <c r="D979" s="7"/>
      <c r="E979" s="4">
        <f t="shared" si="31"/>
        <v>449.72999999999115</v>
      </c>
      <c r="F979" s="200">
        <v>564.91593684286079</v>
      </c>
    </row>
    <row r="980" spans="2:6" x14ac:dyDescent="0.25">
      <c r="B980" s="4">
        <f t="shared" si="30"/>
        <v>579.73999999999114</v>
      </c>
      <c r="C980" s="199">
        <v>378.56104213006734</v>
      </c>
      <c r="D980" s="7"/>
      <c r="E980" s="4">
        <f t="shared" si="31"/>
        <v>449.73999999999114</v>
      </c>
      <c r="F980" s="200">
        <v>565.11314955839214</v>
      </c>
    </row>
    <row r="981" spans="2:6" x14ac:dyDescent="0.25">
      <c r="B981" s="4">
        <f t="shared" si="30"/>
        <v>579.74999999999113</v>
      </c>
      <c r="C981" s="199">
        <v>378.715121246129</v>
      </c>
      <c r="D981" s="7"/>
      <c r="E981" s="4">
        <f t="shared" si="31"/>
        <v>449.74999999999113</v>
      </c>
      <c r="F981" s="200">
        <v>565.31036227392326</v>
      </c>
    </row>
    <row r="982" spans="2:6" x14ac:dyDescent="0.25">
      <c r="B982" s="4">
        <f t="shared" si="30"/>
        <v>579.75999999999112</v>
      </c>
      <c r="C982" s="199">
        <v>378.86920036218942</v>
      </c>
      <c r="D982" s="7"/>
      <c r="E982" s="4">
        <f t="shared" si="31"/>
        <v>449.75999999999112</v>
      </c>
      <c r="F982" s="200">
        <v>565.50757498945472</v>
      </c>
    </row>
    <row r="983" spans="2:6" x14ac:dyDescent="0.25">
      <c r="B983" s="4">
        <f t="shared" si="30"/>
        <v>579.76999999999111</v>
      </c>
      <c r="C983" s="199">
        <v>379.02327947825114</v>
      </c>
      <c r="D983" s="7"/>
      <c r="E983" s="4">
        <f t="shared" si="31"/>
        <v>449.76999999999111</v>
      </c>
      <c r="F983" s="200">
        <v>565.70478770498607</v>
      </c>
    </row>
    <row r="984" spans="2:6" x14ac:dyDescent="0.25">
      <c r="B984" s="4">
        <f t="shared" si="30"/>
        <v>579.77999999999111</v>
      </c>
      <c r="C984" s="199">
        <v>379.17735859431275</v>
      </c>
      <c r="D984" s="7"/>
      <c r="E984" s="4">
        <f t="shared" si="31"/>
        <v>449.77999999999111</v>
      </c>
      <c r="F984" s="200">
        <v>565.90200042051765</v>
      </c>
    </row>
    <row r="985" spans="2:6" x14ac:dyDescent="0.25">
      <c r="B985" s="4">
        <f t="shared" si="30"/>
        <v>579.7899999999911</v>
      </c>
      <c r="C985" s="199">
        <v>379.33143771037351</v>
      </c>
      <c r="D985" s="7"/>
      <c r="E985" s="4">
        <f t="shared" si="31"/>
        <v>449.7899999999911</v>
      </c>
      <c r="F985" s="200">
        <v>566.09956967625806</v>
      </c>
    </row>
    <row r="986" spans="2:6" x14ac:dyDescent="0.25">
      <c r="B986" s="4">
        <f t="shared" si="30"/>
        <v>579.79999999999109</v>
      </c>
      <c r="C986" s="199">
        <v>379.48551682643523</v>
      </c>
      <c r="D986" s="7"/>
      <c r="E986" s="4">
        <f t="shared" si="31"/>
        <v>449.79999999999109</v>
      </c>
      <c r="F986" s="200">
        <v>566.29713893200187</v>
      </c>
    </row>
    <row r="987" spans="2:6" x14ac:dyDescent="0.25">
      <c r="B987" s="4">
        <f t="shared" si="30"/>
        <v>579.80999999999108</v>
      </c>
      <c r="C987" s="199">
        <v>379.63959594249678</v>
      </c>
      <c r="D987" s="7"/>
      <c r="E987" s="4">
        <f t="shared" si="31"/>
        <v>449.80999999999108</v>
      </c>
      <c r="F987" s="200">
        <v>566.49470818774614</v>
      </c>
    </row>
    <row r="988" spans="2:6" x14ac:dyDescent="0.25">
      <c r="B988" s="4">
        <f t="shared" si="30"/>
        <v>579.81999999999107</v>
      </c>
      <c r="C988" s="199">
        <v>379.79386315464006</v>
      </c>
      <c r="D988" s="7"/>
      <c r="E988" s="4">
        <f t="shared" si="31"/>
        <v>449.81999999999107</v>
      </c>
      <c r="F988" s="200">
        <v>566.69227744349041</v>
      </c>
    </row>
    <row r="989" spans="2:6" x14ac:dyDescent="0.25">
      <c r="B989" s="4">
        <f t="shared" si="30"/>
        <v>579.82999999999106</v>
      </c>
      <c r="C989" s="199">
        <v>379.94813036678181</v>
      </c>
      <c r="D989" s="7"/>
      <c r="E989" s="4">
        <f t="shared" si="31"/>
        <v>449.82999999999106</v>
      </c>
      <c r="F989" s="200">
        <v>566.88984669923445</v>
      </c>
    </row>
    <row r="990" spans="2:6" x14ac:dyDescent="0.25">
      <c r="B990" s="4">
        <f t="shared" si="30"/>
        <v>579.83999999999105</v>
      </c>
      <c r="C990" s="199">
        <v>380.10239757892447</v>
      </c>
      <c r="D990" s="7"/>
      <c r="E990" s="4">
        <f t="shared" si="31"/>
        <v>449.83999999999105</v>
      </c>
      <c r="F990" s="200">
        <v>567.0874159549785</v>
      </c>
    </row>
    <row r="991" spans="2:6" x14ac:dyDescent="0.25">
      <c r="B991" s="4">
        <f t="shared" si="30"/>
        <v>579.84999999999104</v>
      </c>
      <c r="C991" s="199">
        <v>380.25666479106724</v>
      </c>
      <c r="D991" s="7"/>
      <c r="E991" s="4">
        <f t="shared" si="31"/>
        <v>449.84999999999104</v>
      </c>
      <c r="F991" s="200">
        <v>567.28498521072265</v>
      </c>
    </row>
    <row r="992" spans="2:6" x14ac:dyDescent="0.25">
      <c r="B992" s="4">
        <f t="shared" si="30"/>
        <v>579.85999999999103</v>
      </c>
      <c r="C992" s="199">
        <v>380.4109320032091</v>
      </c>
      <c r="D992" s="7"/>
      <c r="E992" s="4">
        <f t="shared" si="31"/>
        <v>449.85999999999103</v>
      </c>
      <c r="F992" s="200">
        <v>567.48255446646681</v>
      </c>
    </row>
    <row r="993" spans="2:6" x14ac:dyDescent="0.25">
      <c r="B993" s="4">
        <f t="shared" si="30"/>
        <v>579.86999999999102</v>
      </c>
      <c r="C993" s="199">
        <v>380.5651992153517</v>
      </c>
      <c r="D993" s="7"/>
      <c r="E993" s="4">
        <f t="shared" si="31"/>
        <v>449.86999999999102</v>
      </c>
      <c r="F993" s="200">
        <v>567.68012372221108</v>
      </c>
    </row>
    <row r="994" spans="2:6" x14ac:dyDescent="0.25">
      <c r="B994" s="4">
        <f t="shared" si="30"/>
        <v>579.87999999999101</v>
      </c>
      <c r="C994" s="199">
        <v>380.71946642749452</v>
      </c>
      <c r="D994" s="7"/>
      <c r="E994" s="4">
        <f t="shared" si="31"/>
        <v>449.87999999999101</v>
      </c>
      <c r="F994" s="200">
        <v>567.87769297795501</v>
      </c>
    </row>
    <row r="995" spans="2:6" x14ac:dyDescent="0.25">
      <c r="B995" s="4">
        <f t="shared" si="30"/>
        <v>579.88999999999101</v>
      </c>
      <c r="C995" s="199">
        <v>380.87373363963633</v>
      </c>
      <c r="D995" s="7"/>
      <c r="E995" s="4">
        <f t="shared" si="31"/>
        <v>449.88999999999101</v>
      </c>
      <c r="F995" s="200">
        <v>568.07560075538424</v>
      </c>
    </row>
    <row r="996" spans="2:6" x14ac:dyDescent="0.25">
      <c r="B996" s="4">
        <f t="shared" si="30"/>
        <v>579.899999999991</v>
      </c>
      <c r="C996" s="199">
        <v>381.0280008517791</v>
      </c>
      <c r="D996" s="7"/>
      <c r="E996" s="4">
        <f t="shared" si="31"/>
        <v>449.899999999991</v>
      </c>
      <c r="F996" s="200">
        <v>568.27350853281473</v>
      </c>
    </row>
    <row r="997" spans="2:6" x14ac:dyDescent="0.25">
      <c r="B997" s="4">
        <f t="shared" si="30"/>
        <v>579.90999999999099</v>
      </c>
      <c r="C997" s="199">
        <v>381.18226806392204</v>
      </c>
      <c r="D997" s="7"/>
      <c r="E997" s="4">
        <f t="shared" si="31"/>
        <v>449.90999999999099</v>
      </c>
      <c r="F997" s="200">
        <v>568.47141631024488</v>
      </c>
    </row>
    <row r="998" spans="2:6" x14ac:dyDescent="0.25">
      <c r="B998" s="4">
        <f t="shared" si="30"/>
        <v>579.91999999999098</v>
      </c>
      <c r="C998" s="199">
        <v>381.33672598258352</v>
      </c>
      <c r="D998" s="7"/>
      <c r="E998" s="4">
        <f t="shared" si="31"/>
        <v>449.91999999999098</v>
      </c>
      <c r="F998" s="200">
        <v>568.66932408767582</v>
      </c>
    </row>
    <row r="999" spans="2:6" x14ac:dyDescent="0.25">
      <c r="B999" s="4">
        <f t="shared" si="30"/>
        <v>579.92999999999097</v>
      </c>
      <c r="C999" s="199">
        <v>381.49118390124687</v>
      </c>
      <c r="D999" s="7"/>
      <c r="E999" s="4">
        <f t="shared" si="31"/>
        <v>449.92999999999097</v>
      </c>
      <c r="F999" s="200">
        <v>568.86723186510631</v>
      </c>
    </row>
    <row r="1000" spans="2:6" x14ac:dyDescent="0.25">
      <c r="B1000" s="4">
        <f t="shared" si="30"/>
        <v>579.93999999999096</v>
      </c>
      <c r="C1000" s="199">
        <v>381.64564181991125</v>
      </c>
      <c r="D1000" s="7"/>
      <c r="E1000" s="4">
        <f t="shared" si="31"/>
        <v>449.93999999999096</v>
      </c>
      <c r="F1000" s="200">
        <v>569.06513964253747</v>
      </c>
    </row>
    <row r="1001" spans="2:6" x14ac:dyDescent="0.25">
      <c r="B1001" s="4">
        <f t="shared" si="30"/>
        <v>579.94999999999095</v>
      </c>
      <c r="C1001" s="199">
        <v>381.80009973857551</v>
      </c>
      <c r="D1001" s="7"/>
      <c r="E1001" s="4">
        <f t="shared" si="31"/>
        <v>449.94999999999095</v>
      </c>
      <c r="F1001" s="200">
        <v>569.26304741996796</v>
      </c>
    </row>
    <row r="1002" spans="2:6" x14ac:dyDescent="0.25">
      <c r="B1002" s="4">
        <f t="shared" si="30"/>
        <v>579.95999999999094</v>
      </c>
      <c r="C1002" s="199">
        <v>381.95455765723989</v>
      </c>
      <c r="D1002" s="7"/>
      <c r="E1002" s="4">
        <f t="shared" si="31"/>
        <v>449.95999999999094</v>
      </c>
      <c r="F1002" s="200">
        <v>569.46095519739822</v>
      </c>
    </row>
    <row r="1003" spans="2:6" x14ac:dyDescent="0.25">
      <c r="B1003" s="4">
        <f t="shared" si="30"/>
        <v>579.96999999999093</v>
      </c>
      <c r="C1003" s="199">
        <v>382.10901557590307</v>
      </c>
      <c r="D1003" s="7"/>
      <c r="E1003" s="4">
        <f t="shared" si="31"/>
        <v>449.96999999999093</v>
      </c>
      <c r="F1003" s="200">
        <v>569.65886297482916</v>
      </c>
    </row>
    <row r="1004" spans="2:6" x14ac:dyDescent="0.25">
      <c r="B1004" s="4">
        <f t="shared" si="30"/>
        <v>579.97999999999092</v>
      </c>
      <c r="C1004" s="199">
        <v>382.26347349456745</v>
      </c>
      <c r="D1004" s="7"/>
      <c r="E1004" s="4">
        <f t="shared" si="31"/>
        <v>449.97999999999092</v>
      </c>
      <c r="F1004" s="200">
        <v>569.85677075225965</v>
      </c>
    </row>
    <row r="1005" spans="2:6" x14ac:dyDescent="0.25">
      <c r="B1005" s="4">
        <f t="shared" si="30"/>
        <v>579.98999999999091</v>
      </c>
      <c r="C1005" s="199">
        <v>382.41793141323171</v>
      </c>
      <c r="D1005" s="7"/>
      <c r="E1005" s="4">
        <f t="shared" si="31"/>
        <v>449.98999999999091</v>
      </c>
      <c r="F1005" s="200">
        <v>570.0550015045452</v>
      </c>
    </row>
    <row r="1006" spans="2:6" x14ac:dyDescent="0.25">
      <c r="B1006" s="4">
        <f t="shared" si="30"/>
        <v>579.99999999999091</v>
      </c>
      <c r="C1006" s="199">
        <v>382.57238933189518</v>
      </c>
      <c r="D1006" s="7"/>
      <c r="E1006" s="4">
        <f t="shared" si="31"/>
        <v>449.99999999999091</v>
      </c>
      <c r="F1006" s="200">
        <v>570.25323225683405</v>
      </c>
    </row>
    <row r="1007" spans="2:6" x14ac:dyDescent="0.25">
      <c r="B1007" s="4">
        <f t="shared" si="30"/>
        <v>580.0099999999909</v>
      </c>
      <c r="C1007" s="199">
        <v>382.72684725055944</v>
      </c>
      <c r="D1007" s="7"/>
    </row>
    <row r="1008" spans="2:6" x14ac:dyDescent="0.25">
      <c r="B1008" s="4">
        <f t="shared" si="30"/>
        <v>580.01999999999089</v>
      </c>
      <c r="C1008" s="199">
        <v>382.88149659084456</v>
      </c>
      <c r="D1008" s="7"/>
    </row>
    <row r="1009" spans="2:4" x14ac:dyDescent="0.25">
      <c r="B1009" s="4">
        <f t="shared" si="30"/>
        <v>580.02999999999088</v>
      </c>
      <c r="C1009" s="199">
        <v>383.0361459311307</v>
      </c>
      <c r="D1009" s="7"/>
    </row>
    <row r="1010" spans="2:4" x14ac:dyDescent="0.25">
      <c r="B1010" s="4">
        <f t="shared" si="30"/>
        <v>580.03999999999087</v>
      </c>
      <c r="C1010" s="199">
        <v>383.19079527141662</v>
      </c>
      <c r="D1010" s="7"/>
    </row>
    <row r="1011" spans="2:4" x14ac:dyDescent="0.25">
      <c r="B1011" s="4">
        <f t="shared" si="30"/>
        <v>580.04999999999086</v>
      </c>
      <c r="C1011" s="199">
        <v>383.34544461170339</v>
      </c>
      <c r="D1011" s="7"/>
    </row>
    <row r="1012" spans="2:4" x14ac:dyDescent="0.25">
      <c r="B1012" s="4">
        <f t="shared" si="30"/>
        <v>580.05999999999085</v>
      </c>
      <c r="C1012" s="199">
        <v>383.5000939519893</v>
      </c>
      <c r="D1012" s="7"/>
    </row>
    <row r="1013" spans="2:4" x14ac:dyDescent="0.25">
      <c r="B1013" s="4">
        <f t="shared" si="30"/>
        <v>580.06999999999084</v>
      </c>
      <c r="C1013" s="199">
        <v>383.6547432922751</v>
      </c>
      <c r="D1013" s="7"/>
    </row>
    <row r="1014" spans="2:4" x14ac:dyDescent="0.25">
      <c r="B1014" s="4">
        <f t="shared" si="30"/>
        <v>580.07999999999083</v>
      </c>
      <c r="C1014" s="199">
        <v>383.80939263256118</v>
      </c>
      <c r="D1014" s="7"/>
    </row>
    <row r="1015" spans="2:4" x14ac:dyDescent="0.25">
      <c r="B1015" s="4">
        <f t="shared" si="30"/>
        <v>580.08999999999082</v>
      </c>
      <c r="C1015" s="199">
        <v>383.96404197284801</v>
      </c>
      <c r="D1015" s="7"/>
    </row>
    <row r="1016" spans="2:4" x14ac:dyDescent="0.25">
      <c r="B1016" s="4">
        <f t="shared" si="30"/>
        <v>580.09999999999081</v>
      </c>
      <c r="C1016" s="199">
        <v>384.11869131313387</v>
      </c>
      <c r="D1016" s="7"/>
    </row>
    <row r="1017" spans="2:4" x14ac:dyDescent="0.25">
      <c r="B1017" s="4">
        <f t="shared" si="30"/>
        <v>580.10999999999081</v>
      </c>
      <c r="C1017" s="199">
        <v>384.27334065341978</v>
      </c>
      <c r="D1017" s="7"/>
    </row>
    <row r="1018" spans="2:4" x14ac:dyDescent="0.25">
      <c r="B1018" s="4">
        <f t="shared" si="30"/>
        <v>580.1199999999908</v>
      </c>
      <c r="C1018" s="199">
        <v>384.42817959925975</v>
      </c>
      <c r="D1018" s="7"/>
    </row>
    <row r="1019" spans="2:4" x14ac:dyDescent="0.25">
      <c r="B1019" s="4">
        <f t="shared" si="30"/>
        <v>580.12999999999079</v>
      </c>
      <c r="C1019" s="199">
        <v>384.58301854510222</v>
      </c>
      <c r="D1019" s="7"/>
    </row>
    <row r="1020" spans="2:4" x14ac:dyDescent="0.25">
      <c r="B1020" s="4">
        <f t="shared" si="30"/>
        <v>580.13999999999078</v>
      </c>
      <c r="C1020" s="199">
        <v>384.73785749094486</v>
      </c>
      <c r="D1020" s="7"/>
    </row>
    <row r="1021" spans="2:4" x14ac:dyDescent="0.25">
      <c r="B1021" s="4">
        <f t="shared" si="30"/>
        <v>580.14999999999077</v>
      </c>
      <c r="C1021" s="199">
        <v>384.8926964367875</v>
      </c>
      <c r="D1021" s="7"/>
    </row>
    <row r="1022" spans="2:4" x14ac:dyDescent="0.25">
      <c r="B1022" s="4">
        <f t="shared" si="30"/>
        <v>580.15999999999076</v>
      </c>
      <c r="C1022" s="199">
        <v>385.04753538263077</v>
      </c>
      <c r="D1022" s="7"/>
    </row>
    <row r="1023" spans="2:4" x14ac:dyDescent="0.25">
      <c r="B1023" s="4">
        <f t="shared" si="30"/>
        <v>580.16999999999075</v>
      </c>
      <c r="C1023" s="199">
        <v>385.20237432847335</v>
      </c>
      <c r="D1023" s="7"/>
    </row>
    <row r="1024" spans="2:4" x14ac:dyDescent="0.25">
      <c r="B1024" s="4">
        <f t="shared" si="30"/>
        <v>580.17999999999074</v>
      </c>
      <c r="C1024" s="199">
        <v>385.35721327431605</v>
      </c>
      <c r="D1024" s="7"/>
    </row>
    <row r="1025" spans="2:4" x14ac:dyDescent="0.25">
      <c r="B1025" s="4">
        <f t="shared" si="30"/>
        <v>580.18999999999073</v>
      </c>
      <c r="C1025" s="199">
        <v>385.51205222015949</v>
      </c>
      <c r="D1025" s="7"/>
    </row>
    <row r="1026" spans="2:4" x14ac:dyDescent="0.25">
      <c r="B1026" s="4">
        <f t="shared" si="30"/>
        <v>580.19999999999072</v>
      </c>
      <c r="C1026" s="199">
        <v>385.66689116600207</v>
      </c>
      <c r="D1026" s="7"/>
    </row>
    <row r="1027" spans="2:4" x14ac:dyDescent="0.25">
      <c r="B1027" s="4">
        <f t="shared" si="30"/>
        <v>580.20999999999071</v>
      </c>
      <c r="C1027" s="199">
        <v>385.82173011184472</v>
      </c>
      <c r="D1027" s="7"/>
    </row>
    <row r="1028" spans="2:4" x14ac:dyDescent="0.25">
      <c r="B1028" s="4">
        <f t="shared" si="30"/>
        <v>580.2199999999907</v>
      </c>
      <c r="C1028" s="199">
        <v>385.97675626938792</v>
      </c>
      <c r="D1028" s="7"/>
    </row>
    <row r="1029" spans="2:4" x14ac:dyDescent="0.25">
      <c r="B1029" s="4">
        <f t="shared" si="30"/>
        <v>580.2299999999907</v>
      </c>
      <c r="C1029" s="199">
        <v>386.13178242692982</v>
      </c>
      <c r="D1029" s="7"/>
    </row>
    <row r="1030" spans="2:4" x14ac:dyDescent="0.25">
      <c r="B1030" s="4">
        <f t="shared" si="30"/>
        <v>580.23999999999069</v>
      </c>
      <c r="C1030" s="199">
        <v>386.28680858447132</v>
      </c>
      <c r="D1030" s="7"/>
    </row>
    <row r="1031" spans="2:4" x14ac:dyDescent="0.25">
      <c r="B1031" s="4">
        <f t="shared" si="30"/>
        <v>580.24999999999068</v>
      </c>
      <c r="C1031" s="199">
        <v>386.44183474201299</v>
      </c>
      <c r="D1031" s="7"/>
    </row>
    <row r="1032" spans="2:4" x14ac:dyDescent="0.25">
      <c r="B1032" s="4">
        <f t="shared" ref="B1032:B1095" si="32">+B1031+0.01</f>
        <v>580.25999999999067</v>
      </c>
      <c r="C1032" s="199">
        <v>386.59686089955477</v>
      </c>
      <c r="D1032" s="7"/>
    </row>
    <row r="1033" spans="2:4" x14ac:dyDescent="0.25">
      <c r="B1033" s="4">
        <f t="shared" si="32"/>
        <v>580.26999999999066</v>
      </c>
      <c r="C1033" s="199">
        <v>386.75188705709621</v>
      </c>
      <c r="D1033" s="7"/>
    </row>
    <row r="1034" spans="2:4" x14ac:dyDescent="0.25">
      <c r="B1034" s="4">
        <f t="shared" si="32"/>
        <v>580.27999999999065</v>
      </c>
      <c r="C1034" s="199">
        <v>386.90691321463811</v>
      </c>
      <c r="D1034" s="7"/>
    </row>
    <row r="1035" spans="2:4" x14ac:dyDescent="0.25">
      <c r="B1035" s="4">
        <f t="shared" si="32"/>
        <v>580.28999999999064</v>
      </c>
      <c r="C1035" s="199">
        <v>387.06193937218063</v>
      </c>
      <c r="D1035" s="7"/>
    </row>
    <row r="1036" spans="2:4" x14ac:dyDescent="0.25">
      <c r="B1036" s="4">
        <f t="shared" si="32"/>
        <v>580.29999999999063</v>
      </c>
      <c r="C1036" s="199">
        <v>387.21696552972253</v>
      </c>
      <c r="D1036" s="7"/>
    </row>
    <row r="1037" spans="2:4" x14ac:dyDescent="0.25">
      <c r="B1037" s="4">
        <f t="shared" si="32"/>
        <v>580.30999999999062</v>
      </c>
      <c r="C1037" s="199">
        <v>387.37199168726403</v>
      </c>
      <c r="D1037" s="7"/>
    </row>
    <row r="1038" spans="2:4" x14ac:dyDescent="0.25">
      <c r="B1038" s="4">
        <f t="shared" si="32"/>
        <v>580.31999999999061</v>
      </c>
      <c r="C1038" s="199">
        <v>387.5272029561047</v>
      </c>
      <c r="D1038" s="7"/>
    </row>
    <row r="1039" spans="2:4" x14ac:dyDescent="0.25">
      <c r="B1039" s="4">
        <f t="shared" si="32"/>
        <v>580.3299999999906</v>
      </c>
      <c r="C1039" s="199">
        <v>387.68241422494975</v>
      </c>
      <c r="D1039" s="7"/>
    </row>
    <row r="1040" spans="2:4" x14ac:dyDescent="0.25">
      <c r="B1040" s="4">
        <f t="shared" si="32"/>
        <v>580.3399999999906</v>
      </c>
      <c r="C1040" s="199">
        <v>387.83762549379401</v>
      </c>
      <c r="D1040" s="7"/>
    </row>
    <row r="1041" spans="2:4" x14ac:dyDescent="0.25">
      <c r="B1041" s="4">
        <f t="shared" si="32"/>
        <v>580.34999999999059</v>
      </c>
      <c r="C1041" s="199">
        <v>387.99283676263929</v>
      </c>
      <c r="D1041" s="7"/>
    </row>
    <row r="1042" spans="2:4" x14ac:dyDescent="0.25">
      <c r="B1042" s="4">
        <f t="shared" si="32"/>
        <v>580.35999999999058</v>
      </c>
      <c r="C1042" s="199">
        <v>388.14804803148445</v>
      </c>
      <c r="D1042" s="7"/>
    </row>
    <row r="1043" spans="2:4" x14ac:dyDescent="0.25">
      <c r="B1043" s="4">
        <f t="shared" si="32"/>
        <v>580.36999999999057</v>
      </c>
      <c r="C1043" s="199">
        <v>388.30325930032876</v>
      </c>
      <c r="D1043" s="7"/>
    </row>
    <row r="1044" spans="2:4" x14ac:dyDescent="0.25">
      <c r="B1044" s="4">
        <f t="shared" si="32"/>
        <v>580.37999999999056</v>
      </c>
      <c r="C1044" s="199">
        <v>388.45847056917404</v>
      </c>
      <c r="D1044" s="7"/>
    </row>
    <row r="1045" spans="2:4" x14ac:dyDescent="0.25">
      <c r="B1045" s="4">
        <f t="shared" si="32"/>
        <v>580.38999999999055</v>
      </c>
      <c r="C1045" s="199">
        <v>388.61368183801829</v>
      </c>
      <c r="D1045" s="7"/>
    </row>
    <row r="1046" spans="2:4" x14ac:dyDescent="0.25">
      <c r="B1046" s="4">
        <f t="shared" si="32"/>
        <v>580.39999999999054</v>
      </c>
      <c r="C1046" s="199">
        <v>388.76889310686352</v>
      </c>
      <c r="D1046" s="7"/>
    </row>
    <row r="1047" spans="2:4" x14ac:dyDescent="0.25">
      <c r="B1047" s="4">
        <f t="shared" si="32"/>
        <v>580.40999999999053</v>
      </c>
      <c r="C1047" s="199">
        <v>388.92410437570788</v>
      </c>
      <c r="D1047" s="7"/>
    </row>
    <row r="1048" spans="2:4" x14ac:dyDescent="0.25">
      <c r="B1048" s="4">
        <f t="shared" si="32"/>
        <v>580.41999999999052</v>
      </c>
      <c r="C1048" s="199">
        <v>389.07949855824489</v>
      </c>
      <c r="D1048" s="7"/>
    </row>
    <row r="1049" spans="2:4" x14ac:dyDescent="0.25">
      <c r="B1049" s="4">
        <f t="shared" si="32"/>
        <v>580.42999999999051</v>
      </c>
      <c r="C1049" s="199">
        <v>389.23489274078185</v>
      </c>
      <c r="D1049" s="7"/>
    </row>
    <row r="1050" spans="2:4" x14ac:dyDescent="0.25">
      <c r="B1050" s="4">
        <f t="shared" si="32"/>
        <v>580.4399999999905</v>
      </c>
      <c r="C1050" s="199">
        <v>389.39028692331846</v>
      </c>
      <c r="D1050" s="7"/>
    </row>
    <row r="1051" spans="2:4" x14ac:dyDescent="0.25">
      <c r="B1051" s="4">
        <f t="shared" si="32"/>
        <v>580.4499999999905</v>
      </c>
      <c r="C1051" s="199">
        <v>389.54568110585524</v>
      </c>
      <c r="D1051" s="7"/>
    </row>
    <row r="1052" spans="2:4" x14ac:dyDescent="0.25">
      <c r="B1052" s="4">
        <f t="shared" si="32"/>
        <v>580.45999999999049</v>
      </c>
      <c r="C1052" s="199">
        <v>389.70107528839202</v>
      </c>
      <c r="D1052" s="7"/>
    </row>
    <row r="1053" spans="2:4" x14ac:dyDescent="0.25">
      <c r="B1053" s="4">
        <f t="shared" si="32"/>
        <v>580.46999999999048</v>
      </c>
      <c r="C1053" s="199">
        <v>389.8564694709288</v>
      </c>
      <c r="D1053" s="7"/>
    </row>
    <row r="1054" spans="2:4" x14ac:dyDescent="0.25">
      <c r="B1054" s="4">
        <f t="shared" si="32"/>
        <v>580.47999999999047</v>
      </c>
      <c r="C1054" s="199">
        <v>390.01186365346541</v>
      </c>
      <c r="D1054" s="7"/>
    </row>
    <row r="1055" spans="2:4" x14ac:dyDescent="0.25">
      <c r="B1055" s="4">
        <f t="shared" si="32"/>
        <v>580.48999999999046</v>
      </c>
      <c r="C1055" s="199">
        <v>390.16725783600236</v>
      </c>
      <c r="D1055" s="7"/>
    </row>
    <row r="1056" spans="2:4" x14ac:dyDescent="0.25">
      <c r="B1056" s="4">
        <f t="shared" si="32"/>
        <v>580.49999999999045</v>
      </c>
      <c r="C1056" s="199">
        <v>390.32265201853903</v>
      </c>
      <c r="D1056" s="7"/>
    </row>
    <row r="1057" spans="2:4" x14ac:dyDescent="0.25">
      <c r="B1057" s="4">
        <f t="shared" si="32"/>
        <v>580.50999999999044</v>
      </c>
      <c r="C1057" s="199">
        <v>390.47804620107576</v>
      </c>
      <c r="D1057" s="7"/>
    </row>
    <row r="1058" spans="2:4" x14ac:dyDescent="0.25">
      <c r="B1058" s="4">
        <f t="shared" si="32"/>
        <v>580.51999999999043</v>
      </c>
      <c r="C1058" s="199">
        <v>390.63362226195386</v>
      </c>
      <c r="D1058" s="7"/>
    </row>
    <row r="1059" spans="2:4" x14ac:dyDescent="0.25">
      <c r="B1059" s="4">
        <f t="shared" si="32"/>
        <v>580.52999999999042</v>
      </c>
      <c r="C1059" s="199">
        <v>390.7891983228356</v>
      </c>
      <c r="D1059" s="7"/>
    </row>
    <row r="1060" spans="2:4" x14ac:dyDescent="0.25">
      <c r="B1060" s="4">
        <f t="shared" si="32"/>
        <v>580.53999999999041</v>
      </c>
      <c r="C1060" s="199">
        <v>390.94477438371638</v>
      </c>
      <c r="D1060" s="7"/>
    </row>
    <row r="1061" spans="2:4" x14ac:dyDescent="0.25">
      <c r="B1061" s="4">
        <f t="shared" si="32"/>
        <v>580.5499999999904</v>
      </c>
      <c r="C1061" s="199">
        <v>391.10035044459801</v>
      </c>
      <c r="D1061" s="7"/>
    </row>
    <row r="1062" spans="2:4" x14ac:dyDescent="0.25">
      <c r="B1062" s="4">
        <f t="shared" si="32"/>
        <v>580.5599999999904</v>
      </c>
      <c r="C1062" s="199">
        <v>391.25592650547981</v>
      </c>
      <c r="D1062" s="7"/>
    </row>
    <row r="1063" spans="2:4" x14ac:dyDescent="0.25">
      <c r="B1063" s="4">
        <f t="shared" si="32"/>
        <v>580.56999999999039</v>
      </c>
      <c r="C1063" s="199">
        <v>391.4115025663607</v>
      </c>
      <c r="D1063" s="7"/>
    </row>
    <row r="1064" spans="2:4" x14ac:dyDescent="0.25">
      <c r="B1064" s="4">
        <f t="shared" si="32"/>
        <v>580.57999999999038</v>
      </c>
      <c r="C1064" s="199">
        <v>391.56707862724232</v>
      </c>
      <c r="D1064" s="7"/>
    </row>
    <row r="1065" spans="2:4" x14ac:dyDescent="0.25">
      <c r="B1065" s="4">
        <f t="shared" si="32"/>
        <v>580.58999999999037</v>
      </c>
      <c r="C1065" s="199">
        <v>391.72265468812407</v>
      </c>
      <c r="D1065" s="7"/>
    </row>
    <row r="1066" spans="2:4" x14ac:dyDescent="0.25">
      <c r="B1066" s="4">
        <f t="shared" si="32"/>
        <v>580.59999999999036</v>
      </c>
      <c r="C1066" s="199">
        <v>391.8782307490049</v>
      </c>
      <c r="D1066" s="7"/>
    </row>
    <row r="1067" spans="2:4" x14ac:dyDescent="0.25">
      <c r="B1067" s="4">
        <f t="shared" si="32"/>
        <v>580.60999999999035</v>
      </c>
      <c r="C1067" s="199">
        <v>392.03380680988647</v>
      </c>
      <c r="D1067" s="7"/>
    </row>
    <row r="1068" spans="2:4" x14ac:dyDescent="0.25">
      <c r="B1068" s="4">
        <f t="shared" si="32"/>
        <v>580.61999999999034</v>
      </c>
      <c r="C1068" s="199">
        <v>392.18956117712645</v>
      </c>
      <c r="D1068" s="7"/>
    </row>
    <row r="1069" spans="2:4" x14ac:dyDescent="0.25">
      <c r="B1069" s="4">
        <f t="shared" si="32"/>
        <v>580.62999999999033</v>
      </c>
      <c r="C1069" s="199">
        <v>392.34531554436563</v>
      </c>
      <c r="D1069" s="7"/>
    </row>
    <row r="1070" spans="2:4" x14ac:dyDescent="0.25">
      <c r="B1070" s="4">
        <f t="shared" si="32"/>
        <v>580.63999999999032</v>
      </c>
      <c r="C1070" s="199">
        <v>392.50106991160374</v>
      </c>
      <c r="D1070" s="7"/>
    </row>
    <row r="1071" spans="2:4" x14ac:dyDescent="0.25">
      <c r="B1071" s="4">
        <f t="shared" si="32"/>
        <v>580.64999999999031</v>
      </c>
      <c r="C1071" s="199">
        <v>392.65682427884286</v>
      </c>
      <c r="D1071" s="7"/>
    </row>
    <row r="1072" spans="2:4" x14ac:dyDescent="0.25">
      <c r="B1072" s="4">
        <f t="shared" si="32"/>
        <v>580.6599999999903</v>
      </c>
      <c r="C1072" s="199">
        <v>392.81257864608187</v>
      </c>
      <c r="D1072" s="7"/>
    </row>
    <row r="1073" spans="2:4" x14ac:dyDescent="0.25">
      <c r="B1073" s="4">
        <f t="shared" si="32"/>
        <v>580.6699999999903</v>
      </c>
      <c r="C1073" s="199">
        <v>392.968333013321</v>
      </c>
      <c r="D1073" s="7"/>
    </row>
    <row r="1074" spans="2:4" x14ac:dyDescent="0.25">
      <c r="B1074" s="4">
        <f t="shared" si="32"/>
        <v>580.67999999999029</v>
      </c>
      <c r="C1074" s="199">
        <v>393.12408738056024</v>
      </c>
      <c r="D1074" s="7"/>
    </row>
    <row r="1075" spans="2:4" x14ac:dyDescent="0.25">
      <c r="B1075" s="4">
        <f t="shared" si="32"/>
        <v>580.68999999999028</v>
      </c>
      <c r="C1075" s="199">
        <v>393.27984174779931</v>
      </c>
      <c r="D1075" s="7"/>
    </row>
    <row r="1076" spans="2:4" x14ac:dyDescent="0.25">
      <c r="B1076" s="4">
        <f t="shared" si="32"/>
        <v>580.69999999999027</v>
      </c>
      <c r="C1076" s="199">
        <v>393.43559611503736</v>
      </c>
      <c r="D1076" s="7"/>
    </row>
    <row r="1077" spans="2:4" x14ac:dyDescent="0.25">
      <c r="B1077" s="4">
        <f t="shared" si="32"/>
        <v>580.70999999999026</v>
      </c>
      <c r="C1077" s="199">
        <v>393.59135048227648</v>
      </c>
      <c r="D1077" s="7"/>
    </row>
    <row r="1078" spans="2:4" x14ac:dyDescent="0.25">
      <c r="B1078" s="4">
        <f t="shared" si="32"/>
        <v>580.71999999999025</v>
      </c>
      <c r="C1078" s="199">
        <v>393.74728412823384</v>
      </c>
      <c r="D1078" s="7"/>
    </row>
    <row r="1079" spans="2:4" x14ac:dyDescent="0.25">
      <c r="B1079" s="4">
        <f t="shared" si="32"/>
        <v>580.72999999999024</v>
      </c>
      <c r="C1079" s="199">
        <v>393.90321777419501</v>
      </c>
      <c r="D1079" s="7"/>
    </row>
    <row r="1080" spans="2:4" x14ac:dyDescent="0.25">
      <c r="B1080" s="4">
        <f t="shared" si="32"/>
        <v>580.73999999999023</v>
      </c>
      <c r="C1080" s="199">
        <v>394.05915142015618</v>
      </c>
      <c r="D1080" s="7"/>
    </row>
    <row r="1081" spans="2:4" x14ac:dyDescent="0.25">
      <c r="B1081" s="4">
        <f t="shared" si="32"/>
        <v>580.74999999999022</v>
      </c>
      <c r="C1081" s="199">
        <v>394.21508506611741</v>
      </c>
      <c r="D1081" s="7"/>
    </row>
    <row r="1082" spans="2:4" x14ac:dyDescent="0.25">
      <c r="B1082" s="4">
        <f t="shared" si="32"/>
        <v>580.75999999999021</v>
      </c>
      <c r="C1082" s="199">
        <v>394.37101871207841</v>
      </c>
      <c r="D1082" s="7"/>
    </row>
    <row r="1083" spans="2:4" x14ac:dyDescent="0.25">
      <c r="B1083" s="4">
        <f t="shared" si="32"/>
        <v>580.7699999999902</v>
      </c>
      <c r="C1083" s="199">
        <v>394.52695235803958</v>
      </c>
      <c r="D1083" s="7"/>
    </row>
    <row r="1084" spans="2:4" x14ac:dyDescent="0.25">
      <c r="B1084" s="4">
        <f t="shared" si="32"/>
        <v>580.7799999999902</v>
      </c>
      <c r="C1084" s="199">
        <v>394.68288600400086</v>
      </c>
      <c r="D1084" s="7"/>
    </row>
    <row r="1085" spans="2:4" x14ac:dyDescent="0.25">
      <c r="B1085" s="4">
        <f t="shared" si="32"/>
        <v>580.78999999999019</v>
      </c>
      <c r="C1085" s="199">
        <v>394.83881964996107</v>
      </c>
      <c r="D1085" s="7"/>
    </row>
    <row r="1086" spans="2:4" x14ac:dyDescent="0.25">
      <c r="B1086" s="4">
        <f t="shared" si="32"/>
        <v>580.79999999999018</v>
      </c>
      <c r="C1086" s="199">
        <v>394.99475329592224</v>
      </c>
      <c r="D1086" s="7"/>
    </row>
    <row r="1087" spans="2:4" x14ac:dyDescent="0.25">
      <c r="B1087" s="4">
        <f t="shared" si="32"/>
        <v>580.80999999999017</v>
      </c>
      <c r="C1087" s="199">
        <v>395.15068694188352</v>
      </c>
      <c r="D1087" s="7"/>
    </row>
    <row r="1088" spans="2:4" x14ac:dyDescent="0.25">
      <c r="B1088" s="4">
        <f t="shared" si="32"/>
        <v>580.81999999999016</v>
      </c>
      <c r="C1088" s="199">
        <v>395.30680002132362</v>
      </c>
      <c r="D1088" s="7"/>
    </row>
    <row r="1089" spans="2:4" x14ac:dyDescent="0.25">
      <c r="B1089" s="4">
        <f t="shared" si="32"/>
        <v>580.82999999999015</v>
      </c>
      <c r="C1089" s="199">
        <v>395.46291310076293</v>
      </c>
      <c r="D1089" s="7"/>
    </row>
    <row r="1090" spans="2:4" x14ac:dyDescent="0.25">
      <c r="B1090" s="4">
        <f t="shared" si="32"/>
        <v>580.83999999999014</v>
      </c>
      <c r="C1090" s="199">
        <v>395.61902618020235</v>
      </c>
      <c r="D1090" s="7"/>
    </row>
    <row r="1091" spans="2:4" x14ac:dyDescent="0.25">
      <c r="B1091" s="4">
        <f t="shared" si="32"/>
        <v>580.84999999999013</v>
      </c>
      <c r="C1091" s="199">
        <v>395.77513925964058</v>
      </c>
      <c r="D1091" s="7"/>
    </row>
    <row r="1092" spans="2:4" x14ac:dyDescent="0.25">
      <c r="B1092" s="4">
        <f t="shared" si="32"/>
        <v>580.85999999999012</v>
      </c>
      <c r="C1092" s="199">
        <v>395.93125233908012</v>
      </c>
      <c r="D1092" s="7"/>
    </row>
    <row r="1093" spans="2:4" x14ac:dyDescent="0.25">
      <c r="B1093" s="4">
        <f t="shared" si="32"/>
        <v>580.86999999999011</v>
      </c>
      <c r="C1093" s="199">
        <v>396.08736541851937</v>
      </c>
      <c r="D1093" s="7"/>
    </row>
    <row r="1094" spans="2:4" x14ac:dyDescent="0.25">
      <c r="B1094" s="4">
        <f t="shared" si="32"/>
        <v>580.8799999999901</v>
      </c>
      <c r="C1094" s="199">
        <v>396.24347849795856</v>
      </c>
      <c r="D1094" s="7"/>
    </row>
    <row r="1095" spans="2:4" x14ac:dyDescent="0.25">
      <c r="B1095" s="4">
        <f t="shared" si="32"/>
        <v>580.8899999999901</v>
      </c>
      <c r="C1095" s="199">
        <v>396.39959157739798</v>
      </c>
      <c r="D1095" s="7"/>
    </row>
    <row r="1096" spans="2:4" x14ac:dyDescent="0.25">
      <c r="B1096" s="4">
        <f t="shared" ref="B1096:B1159" si="33">+B1095+0.01</f>
        <v>580.89999999999009</v>
      </c>
      <c r="C1096" s="199">
        <v>396.55570465683735</v>
      </c>
      <c r="D1096" s="7"/>
    </row>
    <row r="1097" spans="2:4" x14ac:dyDescent="0.25">
      <c r="B1097" s="4">
        <f t="shared" si="33"/>
        <v>580.90999999999008</v>
      </c>
      <c r="C1097" s="199">
        <v>396.71181773627569</v>
      </c>
      <c r="D1097" s="7"/>
    </row>
    <row r="1098" spans="2:4" x14ac:dyDescent="0.25">
      <c r="B1098" s="4">
        <f t="shared" si="33"/>
        <v>580.91999999999007</v>
      </c>
      <c r="C1098" s="199">
        <v>396.86810919178447</v>
      </c>
      <c r="D1098" s="7"/>
    </row>
    <row r="1099" spans="2:4" x14ac:dyDescent="0.25">
      <c r="B1099" s="4">
        <f t="shared" si="33"/>
        <v>580.92999999999006</v>
      </c>
      <c r="C1099" s="199">
        <v>397.02440064729598</v>
      </c>
      <c r="D1099" s="7"/>
    </row>
    <row r="1100" spans="2:4" x14ac:dyDescent="0.25">
      <c r="B1100" s="4">
        <f t="shared" si="33"/>
        <v>580.93999999999005</v>
      </c>
      <c r="C1100" s="199">
        <v>397.18069210280771</v>
      </c>
      <c r="D1100" s="7"/>
    </row>
    <row r="1101" spans="2:4" x14ac:dyDescent="0.25">
      <c r="B1101" s="4">
        <f t="shared" si="33"/>
        <v>580.94999999999004</v>
      </c>
      <c r="C1101" s="199">
        <v>397.33698355831928</v>
      </c>
      <c r="D1101" s="7"/>
    </row>
    <row r="1102" spans="2:4" x14ac:dyDescent="0.25">
      <c r="B1102" s="4">
        <f t="shared" si="33"/>
        <v>580.95999999999003</v>
      </c>
      <c r="C1102" s="199">
        <v>397.4932750138309</v>
      </c>
      <c r="D1102" s="7"/>
    </row>
    <row r="1103" spans="2:4" x14ac:dyDescent="0.25">
      <c r="B1103" s="4">
        <f t="shared" si="33"/>
        <v>580.96999999999002</v>
      </c>
      <c r="C1103" s="199">
        <v>397.64956646934223</v>
      </c>
      <c r="D1103" s="7"/>
    </row>
    <row r="1104" spans="2:4" x14ac:dyDescent="0.25">
      <c r="B1104" s="4">
        <f t="shared" si="33"/>
        <v>580.97999999999001</v>
      </c>
      <c r="C1104" s="199">
        <v>397.80585792485294</v>
      </c>
      <c r="D1104" s="7"/>
    </row>
    <row r="1105" spans="2:4" x14ac:dyDescent="0.25">
      <c r="B1105" s="4">
        <f t="shared" si="33"/>
        <v>580.98999999999</v>
      </c>
      <c r="C1105" s="199">
        <v>397.96214938036451</v>
      </c>
      <c r="D1105" s="7"/>
    </row>
    <row r="1106" spans="2:4" x14ac:dyDescent="0.25">
      <c r="B1106" s="4">
        <f t="shared" si="33"/>
        <v>580.99999999999</v>
      </c>
      <c r="C1106" s="199">
        <v>398.11844083587619</v>
      </c>
      <c r="D1106" s="7"/>
    </row>
    <row r="1107" spans="2:4" x14ac:dyDescent="0.25">
      <c r="B1107" s="4">
        <f t="shared" si="33"/>
        <v>581.00999999998999</v>
      </c>
      <c r="C1107" s="199">
        <v>398.27473229138775</v>
      </c>
      <c r="D1107" s="7"/>
    </row>
    <row r="1108" spans="2:4" x14ac:dyDescent="0.25">
      <c r="B1108" s="4">
        <f t="shared" si="33"/>
        <v>581.01999999998998</v>
      </c>
      <c r="C1108" s="199">
        <v>398.4312012375517</v>
      </c>
      <c r="D1108" s="7"/>
    </row>
    <row r="1109" spans="2:4" x14ac:dyDescent="0.25">
      <c r="B1109" s="4">
        <f t="shared" si="33"/>
        <v>581.02999999998997</v>
      </c>
      <c r="C1109" s="199">
        <v>398.58767018371412</v>
      </c>
      <c r="D1109" s="7"/>
    </row>
    <row r="1110" spans="2:4" x14ac:dyDescent="0.25">
      <c r="B1110" s="4">
        <f t="shared" si="33"/>
        <v>581.03999999998996</v>
      </c>
      <c r="C1110" s="199">
        <v>398.74413912987757</v>
      </c>
      <c r="D1110" s="7"/>
    </row>
    <row r="1111" spans="2:4" x14ac:dyDescent="0.25">
      <c r="B1111" s="4">
        <f t="shared" si="33"/>
        <v>581.04999999998995</v>
      </c>
      <c r="C1111" s="199">
        <v>398.90060807604095</v>
      </c>
      <c r="D1111" s="7"/>
    </row>
    <row r="1112" spans="2:4" x14ac:dyDescent="0.25">
      <c r="B1112" s="4">
        <f t="shared" si="33"/>
        <v>581.05999999998994</v>
      </c>
      <c r="C1112" s="199">
        <v>399.05707702220343</v>
      </c>
      <c r="D1112" s="7"/>
    </row>
    <row r="1113" spans="2:4" x14ac:dyDescent="0.25">
      <c r="B1113" s="4">
        <f t="shared" si="33"/>
        <v>581.06999999998993</v>
      </c>
      <c r="C1113" s="199">
        <v>399.21354596836682</v>
      </c>
      <c r="D1113" s="7"/>
    </row>
    <row r="1114" spans="2:4" x14ac:dyDescent="0.25">
      <c r="B1114" s="4">
        <f t="shared" si="33"/>
        <v>581.07999999998992</v>
      </c>
      <c r="C1114" s="199">
        <v>399.37001491452929</v>
      </c>
      <c r="D1114" s="7"/>
    </row>
    <row r="1115" spans="2:4" x14ac:dyDescent="0.25">
      <c r="B1115" s="4">
        <f t="shared" si="33"/>
        <v>581.08999999998991</v>
      </c>
      <c r="C1115" s="199">
        <v>399.52648386069291</v>
      </c>
      <c r="D1115" s="7"/>
    </row>
    <row r="1116" spans="2:4" x14ac:dyDescent="0.25">
      <c r="B1116" s="4">
        <f t="shared" si="33"/>
        <v>581.0999999999899</v>
      </c>
      <c r="C1116" s="199">
        <v>399.68295280685624</v>
      </c>
      <c r="D1116" s="7"/>
    </row>
    <row r="1117" spans="2:4" x14ac:dyDescent="0.25">
      <c r="B1117" s="4">
        <f t="shared" si="33"/>
        <v>581.1099999999899</v>
      </c>
      <c r="C1117" s="199">
        <v>399.83942175301877</v>
      </c>
      <c r="D1117" s="7"/>
    </row>
    <row r="1118" spans="2:4" x14ac:dyDescent="0.25">
      <c r="B1118" s="4">
        <f t="shared" si="33"/>
        <v>581.11999999998989</v>
      </c>
      <c r="C1118" s="199">
        <v>399.99606752134332</v>
      </c>
      <c r="D1118" s="7"/>
    </row>
    <row r="1119" spans="2:4" x14ac:dyDescent="0.25">
      <c r="B1119" s="4">
        <f t="shared" si="33"/>
        <v>581.12999999998988</v>
      </c>
      <c r="C1119" s="199">
        <v>400.15271328967066</v>
      </c>
      <c r="D1119" s="7"/>
    </row>
    <row r="1120" spans="2:4" x14ac:dyDescent="0.25">
      <c r="B1120" s="4">
        <f t="shared" si="33"/>
        <v>581.13999999998987</v>
      </c>
      <c r="C1120" s="199">
        <v>400.30935905799788</v>
      </c>
      <c r="D1120" s="7"/>
    </row>
    <row r="1121" spans="2:4" x14ac:dyDescent="0.25">
      <c r="B1121" s="4">
        <f t="shared" si="33"/>
        <v>581.14999999998986</v>
      </c>
      <c r="C1121" s="199">
        <v>400.46600482632613</v>
      </c>
      <c r="D1121" s="7"/>
    </row>
    <row r="1122" spans="2:4" x14ac:dyDescent="0.25">
      <c r="B1122" s="4">
        <f t="shared" si="33"/>
        <v>581.15999999998985</v>
      </c>
      <c r="C1122" s="199">
        <v>400.62265059465335</v>
      </c>
      <c r="D1122" s="7"/>
    </row>
    <row r="1123" spans="2:4" x14ac:dyDescent="0.25">
      <c r="B1123" s="4">
        <f t="shared" si="33"/>
        <v>581.16999999998984</v>
      </c>
      <c r="C1123" s="199">
        <v>400.77929636298154</v>
      </c>
      <c r="D1123" s="7"/>
    </row>
    <row r="1124" spans="2:4" x14ac:dyDescent="0.25">
      <c r="B1124" s="4">
        <f t="shared" si="33"/>
        <v>581.17999999998983</v>
      </c>
      <c r="C1124" s="199">
        <v>400.93594213130882</v>
      </c>
      <c r="D1124" s="7"/>
    </row>
    <row r="1125" spans="2:4" x14ac:dyDescent="0.25">
      <c r="B1125" s="4">
        <f t="shared" si="33"/>
        <v>581.18999999998982</v>
      </c>
      <c r="C1125" s="199">
        <v>401.09258789963599</v>
      </c>
      <c r="D1125" s="7"/>
    </row>
    <row r="1126" spans="2:4" x14ac:dyDescent="0.25">
      <c r="B1126" s="4">
        <f t="shared" si="33"/>
        <v>581.19999999998981</v>
      </c>
      <c r="C1126" s="199">
        <v>401.24923366796423</v>
      </c>
      <c r="D1126" s="7"/>
    </row>
    <row r="1127" spans="2:4" x14ac:dyDescent="0.25">
      <c r="B1127" s="4">
        <f t="shared" si="33"/>
        <v>581.2099999999898</v>
      </c>
      <c r="C1127" s="199">
        <v>401.40587943629151</v>
      </c>
      <c r="D1127" s="7"/>
    </row>
    <row r="1128" spans="2:4" x14ac:dyDescent="0.25">
      <c r="B1128" s="4">
        <f t="shared" si="33"/>
        <v>581.2199999999898</v>
      </c>
      <c r="C1128" s="199">
        <v>401.56270139552248</v>
      </c>
      <c r="D1128" s="7"/>
    </row>
    <row r="1129" spans="2:4" x14ac:dyDescent="0.25">
      <c r="B1129" s="4">
        <f t="shared" si="33"/>
        <v>581.22999999998979</v>
      </c>
      <c r="C1129" s="199">
        <v>401.71952335475174</v>
      </c>
      <c r="D1129" s="7"/>
    </row>
    <row r="1130" spans="2:4" x14ac:dyDescent="0.25">
      <c r="B1130" s="4">
        <f t="shared" si="33"/>
        <v>581.23999999998978</v>
      </c>
      <c r="C1130" s="199">
        <v>401.87634531398214</v>
      </c>
      <c r="D1130" s="7"/>
    </row>
    <row r="1131" spans="2:4" x14ac:dyDescent="0.25">
      <c r="B1131" s="4">
        <f t="shared" si="33"/>
        <v>581.24999999998977</v>
      </c>
      <c r="C1131" s="199">
        <v>402.03316727321175</v>
      </c>
      <c r="D1131" s="7"/>
    </row>
    <row r="1132" spans="2:4" x14ac:dyDescent="0.25">
      <c r="B1132" s="4">
        <f t="shared" si="33"/>
        <v>581.25999999998976</v>
      </c>
      <c r="C1132" s="199">
        <v>402.18998923244084</v>
      </c>
      <c r="D1132" s="7"/>
    </row>
    <row r="1133" spans="2:4" x14ac:dyDescent="0.25">
      <c r="B1133" s="4">
        <f t="shared" si="33"/>
        <v>581.26999999998975</v>
      </c>
      <c r="C1133" s="199">
        <v>402.34681119167129</v>
      </c>
      <c r="D1133" s="7"/>
    </row>
    <row r="1134" spans="2:4" x14ac:dyDescent="0.25">
      <c r="B1134" s="4">
        <f t="shared" si="33"/>
        <v>581.27999999998974</v>
      </c>
      <c r="C1134" s="199">
        <v>402.50363315090084</v>
      </c>
      <c r="D1134" s="7"/>
    </row>
    <row r="1135" spans="2:4" x14ac:dyDescent="0.25">
      <c r="B1135" s="4">
        <f t="shared" si="33"/>
        <v>581.28999999998973</v>
      </c>
      <c r="C1135" s="199">
        <v>402.66045511013039</v>
      </c>
      <c r="D1135" s="7"/>
    </row>
    <row r="1136" spans="2:4" x14ac:dyDescent="0.25">
      <c r="B1136" s="4">
        <f t="shared" si="33"/>
        <v>581.29999999998972</v>
      </c>
      <c r="C1136" s="199">
        <v>402.81727706936061</v>
      </c>
      <c r="D1136" s="7"/>
    </row>
    <row r="1137" spans="2:4" x14ac:dyDescent="0.25">
      <c r="B1137" s="4">
        <f t="shared" si="33"/>
        <v>581.30999999998971</v>
      </c>
      <c r="C1137" s="199">
        <v>402.97409902859016</v>
      </c>
      <c r="D1137" s="7"/>
    </row>
    <row r="1138" spans="2:4" x14ac:dyDescent="0.25">
      <c r="B1138" s="4">
        <f t="shared" si="33"/>
        <v>581.3199999999897</v>
      </c>
      <c r="C1138" s="199">
        <v>403.13109592043151</v>
      </c>
      <c r="D1138" s="7"/>
    </row>
    <row r="1139" spans="2:4" x14ac:dyDescent="0.25">
      <c r="B1139" s="4">
        <f t="shared" si="33"/>
        <v>581.3299999999897</v>
      </c>
      <c r="C1139" s="199">
        <v>403.28809281227706</v>
      </c>
      <c r="D1139" s="7"/>
    </row>
    <row r="1140" spans="2:4" x14ac:dyDescent="0.25">
      <c r="B1140" s="4">
        <f t="shared" si="33"/>
        <v>581.33999999998969</v>
      </c>
      <c r="C1140" s="199">
        <v>403.4450897041217</v>
      </c>
      <c r="D1140" s="7"/>
    </row>
    <row r="1141" spans="2:4" x14ac:dyDescent="0.25">
      <c r="B1141" s="4">
        <f t="shared" si="33"/>
        <v>581.34999999998968</v>
      </c>
      <c r="C1141" s="199">
        <v>403.60208659596634</v>
      </c>
      <c r="D1141" s="7"/>
    </row>
    <row r="1142" spans="2:4" x14ac:dyDescent="0.25">
      <c r="B1142" s="4">
        <f t="shared" si="33"/>
        <v>581.35999999998967</v>
      </c>
      <c r="C1142" s="199">
        <v>403.75908348781076</v>
      </c>
      <c r="D1142" s="7"/>
    </row>
    <row r="1143" spans="2:4" x14ac:dyDescent="0.25">
      <c r="B1143" s="4">
        <f t="shared" si="33"/>
        <v>581.36999999998966</v>
      </c>
      <c r="C1143" s="199">
        <v>403.91608037965563</v>
      </c>
      <c r="D1143" s="7"/>
    </row>
    <row r="1144" spans="2:4" x14ac:dyDescent="0.25">
      <c r="B1144" s="4">
        <f t="shared" si="33"/>
        <v>581.37999999998965</v>
      </c>
      <c r="C1144" s="199">
        <v>404.07307727150095</v>
      </c>
      <c r="D1144" s="7"/>
    </row>
    <row r="1145" spans="2:4" x14ac:dyDescent="0.25">
      <c r="B1145" s="4">
        <f t="shared" si="33"/>
        <v>581.38999999998964</v>
      </c>
      <c r="C1145" s="199">
        <v>404.23007416334536</v>
      </c>
      <c r="D1145" s="7"/>
    </row>
    <row r="1146" spans="2:4" x14ac:dyDescent="0.25">
      <c r="B1146" s="4">
        <f t="shared" si="33"/>
        <v>581.39999999998963</v>
      </c>
      <c r="C1146" s="199">
        <v>404.38707105519001</v>
      </c>
      <c r="D1146" s="7"/>
    </row>
    <row r="1147" spans="2:4" x14ac:dyDescent="0.25">
      <c r="B1147" s="4">
        <f t="shared" si="33"/>
        <v>581.40999999998962</v>
      </c>
      <c r="C1147" s="199">
        <v>404.54406794703465</v>
      </c>
      <c r="D1147" s="7"/>
    </row>
    <row r="1148" spans="2:4" x14ac:dyDescent="0.25">
      <c r="B1148" s="4">
        <f t="shared" si="33"/>
        <v>581.41999999998961</v>
      </c>
      <c r="C1148" s="199">
        <v>404.70123807280294</v>
      </c>
      <c r="D1148" s="7"/>
    </row>
    <row r="1149" spans="2:4" x14ac:dyDescent="0.25">
      <c r="B1149" s="4">
        <f t="shared" si="33"/>
        <v>581.4299999999896</v>
      </c>
      <c r="C1149" s="199">
        <v>404.85840819857106</v>
      </c>
      <c r="D1149" s="7"/>
    </row>
    <row r="1150" spans="2:4" x14ac:dyDescent="0.25">
      <c r="B1150" s="4">
        <f t="shared" si="33"/>
        <v>581.4399999999896</v>
      </c>
      <c r="C1150" s="199">
        <v>405.01557832434003</v>
      </c>
      <c r="D1150" s="7"/>
    </row>
    <row r="1151" spans="2:4" x14ac:dyDescent="0.25">
      <c r="B1151" s="4">
        <f t="shared" si="33"/>
        <v>581.44999999998959</v>
      </c>
      <c r="C1151" s="199">
        <v>405.172748450109</v>
      </c>
      <c r="D1151" s="7"/>
    </row>
    <row r="1152" spans="2:4" x14ac:dyDescent="0.25">
      <c r="B1152" s="4">
        <f t="shared" si="33"/>
        <v>581.45999999998958</v>
      </c>
      <c r="C1152" s="199">
        <v>405.32991857587785</v>
      </c>
      <c r="D1152" s="7"/>
    </row>
    <row r="1153" spans="2:4" x14ac:dyDescent="0.25">
      <c r="B1153" s="4">
        <f t="shared" si="33"/>
        <v>581.46999999998957</v>
      </c>
      <c r="C1153" s="199">
        <v>405.48708870164677</v>
      </c>
      <c r="D1153" s="7"/>
    </row>
    <row r="1154" spans="2:4" x14ac:dyDescent="0.25">
      <c r="B1154" s="4">
        <f t="shared" si="33"/>
        <v>581.47999999998956</v>
      </c>
      <c r="C1154" s="199">
        <v>405.64425882741591</v>
      </c>
      <c r="D1154" s="7"/>
    </row>
    <row r="1155" spans="2:4" x14ac:dyDescent="0.25">
      <c r="B1155" s="4">
        <f t="shared" si="33"/>
        <v>581.48999999998955</v>
      </c>
      <c r="C1155" s="199">
        <v>405.80142895318386</v>
      </c>
      <c r="D1155" s="7"/>
    </row>
    <row r="1156" spans="2:4" x14ac:dyDescent="0.25">
      <c r="B1156" s="4">
        <f t="shared" si="33"/>
        <v>581.49999999998954</v>
      </c>
      <c r="C1156" s="199">
        <v>405.95859907895283</v>
      </c>
      <c r="D1156" s="7"/>
    </row>
    <row r="1157" spans="2:4" x14ac:dyDescent="0.25">
      <c r="B1157" s="4">
        <f t="shared" si="33"/>
        <v>581.50999999998953</v>
      </c>
      <c r="C1157" s="199">
        <v>406.11576920472174</v>
      </c>
      <c r="D1157" s="7"/>
    </row>
    <row r="1158" spans="2:4" x14ac:dyDescent="0.25">
      <c r="B1158" s="4">
        <f t="shared" si="33"/>
        <v>581.51999999998952</v>
      </c>
      <c r="C1158" s="199">
        <v>406.27311154435148</v>
      </c>
      <c r="D1158" s="7"/>
    </row>
    <row r="1159" spans="2:4" x14ac:dyDescent="0.25">
      <c r="B1159" s="4">
        <f t="shared" si="33"/>
        <v>581.52999999998951</v>
      </c>
      <c r="C1159" s="199">
        <v>406.43045388398303</v>
      </c>
      <c r="D1159" s="7"/>
    </row>
    <row r="1160" spans="2:4" x14ac:dyDescent="0.25">
      <c r="B1160" s="4">
        <f t="shared" ref="B1160:B1223" si="34">+B1159+0.01</f>
        <v>581.5399999999895</v>
      </c>
      <c r="C1160" s="199">
        <v>406.58779622361482</v>
      </c>
      <c r="D1160" s="7"/>
    </row>
    <row r="1161" spans="2:4" x14ac:dyDescent="0.25">
      <c r="B1161" s="4">
        <f t="shared" si="34"/>
        <v>581.5499999999895</v>
      </c>
      <c r="C1161" s="199">
        <v>406.74513856324609</v>
      </c>
      <c r="D1161" s="7"/>
    </row>
    <row r="1162" spans="2:4" x14ac:dyDescent="0.25">
      <c r="B1162" s="4">
        <f t="shared" si="34"/>
        <v>581.55999999998949</v>
      </c>
      <c r="C1162" s="199">
        <v>406.90248090287753</v>
      </c>
      <c r="D1162" s="7"/>
    </row>
    <row r="1163" spans="2:4" x14ac:dyDescent="0.25">
      <c r="B1163" s="4">
        <f t="shared" si="34"/>
        <v>581.56999999998948</v>
      </c>
      <c r="C1163" s="199">
        <v>407.05982324250925</v>
      </c>
      <c r="D1163" s="7"/>
    </row>
    <row r="1164" spans="2:4" x14ac:dyDescent="0.25">
      <c r="B1164" s="4">
        <f t="shared" si="34"/>
        <v>581.57999999998947</v>
      </c>
      <c r="C1164" s="199">
        <v>407.21716558213984</v>
      </c>
      <c r="D1164" s="7"/>
    </row>
    <row r="1165" spans="2:4" x14ac:dyDescent="0.25">
      <c r="B1165" s="4">
        <f t="shared" si="34"/>
        <v>581.58999999998946</v>
      </c>
      <c r="C1165" s="199">
        <v>407.3745079217714</v>
      </c>
      <c r="D1165" s="7"/>
    </row>
    <row r="1166" spans="2:4" x14ac:dyDescent="0.25">
      <c r="B1166" s="4">
        <f t="shared" si="34"/>
        <v>581.59999999998945</v>
      </c>
      <c r="C1166" s="199">
        <v>407.53185026140289</v>
      </c>
      <c r="D1166" s="7"/>
    </row>
    <row r="1167" spans="2:4" x14ac:dyDescent="0.25">
      <c r="B1167" s="4">
        <f t="shared" si="34"/>
        <v>581.60999999998944</v>
      </c>
      <c r="C1167" s="199">
        <v>407.68919260103434</v>
      </c>
      <c r="D1167" s="7"/>
    </row>
    <row r="1168" spans="2:4" x14ac:dyDescent="0.25">
      <c r="B1168" s="4">
        <f t="shared" si="34"/>
        <v>581.61999999998943</v>
      </c>
      <c r="C1168" s="199">
        <v>407.84670734672142</v>
      </c>
      <c r="D1168" s="7"/>
    </row>
    <row r="1169" spans="2:4" x14ac:dyDescent="0.25">
      <c r="B1169" s="4">
        <f t="shared" si="34"/>
        <v>581.62999999998942</v>
      </c>
      <c r="C1169" s="199">
        <v>408.0042220924081</v>
      </c>
      <c r="D1169" s="7"/>
    </row>
    <row r="1170" spans="2:4" x14ac:dyDescent="0.25">
      <c r="B1170" s="4">
        <f t="shared" si="34"/>
        <v>581.63999999998941</v>
      </c>
      <c r="C1170" s="199">
        <v>408.16173683809461</v>
      </c>
      <c r="D1170" s="7"/>
    </row>
    <row r="1171" spans="2:4" x14ac:dyDescent="0.25">
      <c r="B1171" s="4">
        <f t="shared" si="34"/>
        <v>581.6499999999894</v>
      </c>
      <c r="C1171" s="199">
        <v>408.31925158378129</v>
      </c>
      <c r="D1171" s="7"/>
    </row>
    <row r="1172" spans="2:4" x14ac:dyDescent="0.25">
      <c r="B1172" s="4">
        <f t="shared" si="34"/>
        <v>581.6599999999894</v>
      </c>
      <c r="C1172" s="199">
        <v>408.47676632946792</v>
      </c>
      <c r="D1172" s="7"/>
    </row>
    <row r="1173" spans="2:4" x14ac:dyDescent="0.25">
      <c r="B1173" s="4">
        <f t="shared" si="34"/>
        <v>581.66999999998939</v>
      </c>
      <c r="C1173" s="199">
        <v>408.63428107515432</v>
      </c>
      <c r="D1173" s="7"/>
    </row>
    <row r="1174" spans="2:4" x14ac:dyDescent="0.25">
      <c r="B1174" s="4">
        <f t="shared" si="34"/>
        <v>581.67999999998938</v>
      </c>
      <c r="C1174" s="199">
        <v>408.79179582084083</v>
      </c>
      <c r="D1174" s="7"/>
    </row>
    <row r="1175" spans="2:4" x14ac:dyDescent="0.25">
      <c r="B1175" s="4">
        <f t="shared" si="34"/>
        <v>581.68999999998937</v>
      </c>
      <c r="C1175" s="199">
        <v>408.94931056652746</v>
      </c>
      <c r="D1175" s="7"/>
    </row>
    <row r="1176" spans="2:4" x14ac:dyDescent="0.25">
      <c r="B1176" s="4">
        <f t="shared" si="34"/>
        <v>581.69999999998936</v>
      </c>
      <c r="C1176" s="199">
        <v>409.1068253122142</v>
      </c>
      <c r="D1176" s="7"/>
    </row>
    <row r="1177" spans="2:4" x14ac:dyDescent="0.25">
      <c r="B1177" s="4">
        <f t="shared" si="34"/>
        <v>581.70999999998935</v>
      </c>
      <c r="C1177" s="199">
        <v>409.26434005789969</v>
      </c>
      <c r="D1177" s="7"/>
    </row>
    <row r="1178" spans="2:4" x14ac:dyDescent="0.25">
      <c r="B1178" s="4">
        <f t="shared" si="34"/>
        <v>581.71999999998934</v>
      </c>
      <c r="C1178" s="199">
        <v>409.42202925165799</v>
      </c>
      <c r="D1178" s="7"/>
    </row>
    <row r="1179" spans="2:4" x14ac:dyDescent="0.25">
      <c r="B1179" s="4">
        <f t="shared" si="34"/>
        <v>581.72999999998933</v>
      </c>
      <c r="C1179" s="199">
        <v>409.57971844541936</v>
      </c>
      <c r="D1179" s="7"/>
    </row>
    <row r="1180" spans="2:4" x14ac:dyDescent="0.25">
      <c r="B1180" s="4">
        <f t="shared" si="34"/>
        <v>581.73999999998932</v>
      </c>
      <c r="C1180" s="199">
        <v>409.73740763918016</v>
      </c>
      <c r="D1180" s="7"/>
    </row>
    <row r="1181" spans="2:4" x14ac:dyDescent="0.25">
      <c r="B1181" s="4">
        <f t="shared" si="34"/>
        <v>581.74999999998931</v>
      </c>
      <c r="C1181" s="199">
        <v>409.89509683294193</v>
      </c>
      <c r="D1181" s="7"/>
    </row>
    <row r="1182" spans="2:4" x14ac:dyDescent="0.25">
      <c r="B1182" s="4">
        <f t="shared" si="34"/>
        <v>581.7599999999893</v>
      </c>
      <c r="C1182" s="199">
        <v>410.05278602670273</v>
      </c>
      <c r="D1182" s="7"/>
    </row>
    <row r="1183" spans="2:4" x14ac:dyDescent="0.25">
      <c r="B1183" s="4">
        <f t="shared" si="34"/>
        <v>581.7699999999893</v>
      </c>
      <c r="C1183" s="199">
        <v>410.21047522046445</v>
      </c>
      <c r="D1183" s="7"/>
    </row>
    <row r="1184" spans="2:4" x14ac:dyDescent="0.25">
      <c r="B1184" s="4">
        <f t="shared" si="34"/>
        <v>581.77999999998929</v>
      </c>
      <c r="C1184" s="199">
        <v>410.36816441422479</v>
      </c>
      <c r="D1184" s="7"/>
    </row>
    <row r="1185" spans="2:4" x14ac:dyDescent="0.25">
      <c r="B1185" s="4">
        <f t="shared" si="34"/>
        <v>581.78999999998928</v>
      </c>
      <c r="C1185" s="199">
        <v>410.52585360798662</v>
      </c>
      <c r="D1185" s="7"/>
    </row>
    <row r="1186" spans="2:4" x14ac:dyDescent="0.25">
      <c r="B1186" s="4">
        <f t="shared" si="34"/>
        <v>581.79999999998927</v>
      </c>
      <c r="C1186" s="199">
        <v>410.68354280174736</v>
      </c>
      <c r="D1186" s="7"/>
    </row>
    <row r="1187" spans="2:4" x14ac:dyDescent="0.25">
      <c r="B1187" s="4">
        <f t="shared" si="34"/>
        <v>581.80999999998926</v>
      </c>
      <c r="C1187" s="199">
        <v>410.84123199550913</v>
      </c>
      <c r="D1187" s="7"/>
    </row>
    <row r="1188" spans="2:4" x14ac:dyDescent="0.25">
      <c r="B1188" s="4">
        <f t="shared" si="34"/>
        <v>581.81999999998925</v>
      </c>
      <c r="C1188" s="199">
        <v>410.99909629813919</v>
      </c>
      <c r="D1188" s="7"/>
    </row>
    <row r="1189" spans="2:4" x14ac:dyDescent="0.25">
      <c r="B1189" s="4">
        <f t="shared" si="34"/>
        <v>581.82999999998924</v>
      </c>
      <c r="C1189" s="199">
        <v>411.15696060076772</v>
      </c>
      <c r="D1189" s="7"/>
    </row>
    <row r="1190" spans="2:4" x14ac:dyDescent="0.25">
      <c r="B1190" s="4">
        <f t="shared" si="34"/>
        <v>581.83999999998923</v>
      </c>
      <c r="C1190" s="199">
        <v>411.31482490339619</v>
      </c>
      <c r="D1190" s="7"/>
    </row>
    <row r="1191" spans="2:4" x14ac:dyDescent="0.25">
      <c r="B1191" s="4">
        <f t="shared" si="34"/>
        <v>581.84999999998922</v>
      </c>
      <c r="C1191" s="199">
        <v>411.47268920602488</v>
      </c>
      <c r="D1191" s="7"/>
    </row>
    <row r="1192" spans="2:4" x14ac:dyDescent="0.25">
      <c r="B1192" s="4">
        <f t="shared" si="34"/>
        <v>581.85999999998921</v>
      </c>
      <c r="C1192" s="199">
        <v>411.63055350865352</v>
      </c>
      <c r="D1192" s="7"/>
    </row>
    <row r="1193" spans="2:4" x14ac:dyDescent="0.25">
      <c r="B1193" s="4">
        <f t="shared" si="34"/>
        <v>581.8699999999892</v>
      </c>
      <c r="C1193" s="199">
        <v>411.78841781128199</v>
      </c>
      <c r="D1193" s="7"/>
    </row>
    <row r="1194" spans="2:4" x14ac:dyDescent="0.25">
      <c r="B1194" s="4">
        <f t="shared" si="34"/>
        <v>581.8799999999892</v>
      </c>
      <c r="C1194" s="199">
        <v>411.94628211391046</v>
      </c>
      <c r="D1194" s="7"/>
    </row>
    <row r="1195" spans="2:4" x14ac:dyDescent="0.25">
      <c r="B1195" s="4">
        <f t="shared" si="34"/>
        <v>581.88999999998919</v>
      </c>
      <c r="C1195" s="199">
        <v>412.10414641653921</v>
      </c>
      <c r="D1195" s="7"/>
    </row>
    <row r="1196" spans="2:4" x14ac:dyDescent="0.25">
      <c r="B1196" s="4">
        <f t="shared" si="34"/>
        <v>581.89999999998918</v>
      </c>
      <c r="C1196" s="199">
        <v>412.26201071916768</v>
      </c>
      <c r="D1196" s="7"/>
    </row>
    <row r="1197" spans="2:4" x14ac:dyDescent="0.25">
      <c r="B1197" s="4">
        <f t="shared" si="34"/>
        <v>581.90999999998917</v>
      </c>
      <c r="C1197" s="199">
        <v>412.41987502179632</v>
      </c>
      <c r="D1197" s="7"/>
    </row>
    <row r="1198" spans="2:4" x14ac:dyDescent="0.25">
      <c r="B1198" s="4">
        <f t="shared" si="34"/>
        <v>581.91999999998916</v>
      </c>
      <c r="C1198" s="199">
        <v>412.57791517275115</v>
      </c>
      <c r="D1198" s="7"/>
    </row>
    <row r="1199" spans="2:4" x14ac:dyDescent="0.25">
      <c r="B1199" s="4">
        <f t="shared" si="34"/>
        <v>581.92999999998915</v>
      </c>
      <c r="C1199" s="199">
        <v>412.73595532370808</v>
      </c>
      <c r="D1199" s="7"/>
    </row>
    <row r="1200" spans="2:4" x14ac:dyDescent="0.25">
      <c r="B1200" s="4">
        <f t="shared" si="34"/>
        <v>581.93999999998914</v>
      </c>
      <c r="C1200" s="199">
        <v>412.8939954746661</v>
      </c>
      <c r="D1200" s="7"/>
    </row>
    <row r="1201" spans="2:4" x14ac:dyDescent="0.25">
      <c r="B1201" s="4">
        <f t="shared" si="34"/>
        <v>581.94999999998913</v>
      </c>
      <c r="C1201" s="199">
        <v>413.05203562562355</v>
      </c>
      <c r="D1201" s="7"/>
    </row>
    <row r="1202" spans="2:4" x14ac:dyDescent="0.25">
      <c r="B1202" s="4">
        <f t="shared" si="34"/>
        <v>581.95999999998912</v>
      </c>
      <c r="C1202" s="199">
        <v>413.21007577658168</v>
      </c>
      <c r="D1202" s="7"/>
    </row>
    <row r="1203" spans="2:4" x14ac:dyDescent="0.25">
      <c r="B1203" s="4">
        <f t="shared" si="34"/>
        <v>581.96999999998911</v>
      </c>
      <c r="C1203" s="199">
        <v>413.36811592753952</v>
      </c>
      <c r="D1203" s="7"/>
    </row>
    <row r="1204" spans="2:4" x14ac:dyDescent="0.25">
      <c r="B1204" s="4">
        <f t="shared" si="34"/>
        <v>581.9799999999891</v>
      </c>
      <c r="C1204" s="199">
        <v>413.52615607849697</v>
      </c>
      <c r="D1204" s="7"/>
    </row>
    <row r="1205" spans="2:4" x14ac:dyDescent="0.25">
      <c r="B1205" s="4">
        <f t="shared" si="34"/>
        <v>581.9899999999891</v>
      </c>
      <c r="C1205" s="199">
        <v>413.68419622945504</v>
      </c>
      <c r="D1205" s="7"/>
    </row>
    <row r="1206" spans="2:4" x14ac:dyDescent="0.25">
      <c r="B1206" s="4">
        <f t="shared" si="34"/>
        <v>581.99999999998909</v>
      </c>
      <c r="C1206" s="199">
        <v>413.84223638041288</v>
      </c>
      <c r="D1206" s="7"/>
    </row>
    <row r="1207" spans="2:4" x14ac:dyDescent="0.25">
      <c r="B1207" s="4">
        <f t="shared" si="34"/>
        <v>582.00999999998908</v>
      </c>
      <c r="C1207" s="199">
        <v>414.00027653137028</v>
      </c>
      <c r="D1207" s="7"/>
    </row>
    <row r="1208" spans="2:4" x14ac:dyDescent="0.25">
      <c r="B1208" s="4">
        <f t="shared" si="34"/>
        <v>582.01999999998907</v>
      </c>
      <c r="C1208" s="199">
        <v>414.15849350064497</v>
      </c>
      <c r="D1208" s="7"/>
    </row>
    <row r="1209" spans="2:4" x14ac:dyDescent="0.25">
      <c r="B1209" s="4">
        <f t="shared" si="34"/>
        <v>582.02999999998906</v>
      </c>
      <c r="C1209" s="199">
        <v>414.31671046991886</v>
      </c>
      <c r="D1209" s="7"/>
    </row>
    <row r="1210" spans="2:4" x14ac:dyDescent="0.25">
      <c r="B1210" s="4">
        <f t="shared" si="34"/>
        <v>582.03999999998905</v>
      </c>
      <c r="C1210" s="199">
        <v>414.47492743919304</v>
      </c>
      <c r="D1210" s="7"/>
    </row>
    <row r="1211" spans="2:4" x14ac:dyDescent="0.25">
      <c r="B1211" s="4">
        <f t="shared" si="34"/>
        <v>582.04999999998904</v>
      </c>
      <c r="C1211" s="199">
        <v>414.63314440846705</v>
      </c>
      <c r="D1211" s="7"/>
    </row>
    <row r="1212" spans="2:4" x14ac:dyDescent="0.25">
      <c r="B1212" s="4">
        <f t="shared" si="34"/>
        <v>582.05999999998903</v>
      </c>
      <c r="C1212" s="199">
        <v>414.79136137774162</v>
      </c>
      <c r="D1212" s="7"/>
    </row>
    <row r="1213" spans="2:4" x14ac:dyDescent="0.25">
      <c r="B1213" s="4">
        <f t="shared" si="34"/>
        <v>582.06999999998902</v>
      </c>
      <c r="C1213" s="199">
        <v>414.94957834701574</v>
      </c>
      <c r="D1213" s="7"/>
    </row>
    <row r="1214" spans="2:4" x14ac:dyDescent="0.25">
      <c r="B1214" s="4">
        <f t="shared" si="34"/>
        <v>582.07999999998901</v>
      </c>
      <c r="C1214" s="199">
        <v>415.10779531628981</v>
      </c>
      <c r="D1214" s="7"/>
    </row>
    <row r="1215" spans="2:4" x14ac:dyDescent="0.25">
      <c r="B1215" s="4">
        <f t="shared" si="34"/>
        <v>582.089999999989</v>
      </c>
      <c r="C1215" s="199">
        <v>415.26601228556393</v>
      </c>
      <c r="D1215" s="7"/>
    </row>
    <row r="1216" spans="2:4" x14ac:dyDescent="0.25">
      <c r="B1216" s="4">
        <f t="shared" si="34"/>
        <v>582.099999999989</v>
      </c>
      <c r="C1216" s="199">
        <v>415.42422925483771</v>
      </c>
      <c r="D1216" s="7"/>
    </row>
    <row r="1217" spans="2:4" x14ac:dyDescent="0.25">
      <c r="B1217" s="4">
        <f t="shared" si="34"/>
        <v>582.10999999998899</v>
      </c>
      <c r="C1217" s="199">
        <v>415.58244622411195</v>
      </c>
      <c r="D1217" s="7"/>
    </row>
    <row r="1218" spans="2:4" x14ac:dyDescent="0.25">
      <c r="B1218" s="4">
        <f t="shared" si="34"/>
        <v>582.11999999998898</v>
      </c>
      <c r="C1218" s="199">
        <v>415.74084279673457</v>
      </c>
      <c r="D1218" s="7"/>
    </row>
    <row r="1219" spans="2:4" x14ac:dyDescent="0.25">
      <c r="B1219" s="4">
        <f t="shared" si="34"/>
        <v>582.12999999998897</v>
      </c>
      <c r="C1219" s="199">
        <v>415.899239369361</v>
      </c>
      <c r="D1219" s="7"/>
    </row>
    <row r="1220" spans="2:4" x14ac:dyDescent="0.25">
      <c r="B1220" s="4">
        <f t="shared" si="34"/>
        <v>582.13999999998896</v>
      </c>
      <c r="C1220" s="199">
        <v>416.05763594198743</v>
      </c>
      <c r="D1220" s="7"/>
    </row>
    <row r="1221" spans="2:4" x14ac:dyDescent="0.25">
      <c r="B1221" s="4">
        <f t="shared" si="34"/>
        <v>582.14999999998895</v>
      </c>
      <c r="C1221" s="199">
        <v>416.21603251461369</v>
      </c>
      <c r="D1221" s="7"/>
    </row>
    <row r="1222" spans="2:4" x14ac:dyDescent="0.25">
      <c r="B1222" s="4">
        <f t="shared" si="34"/>
        <v>582.15999999998894</v>
      </c>
      <c r="C1222" s="199">
        <v>416.37442908723995</v>
      </c>
      <c r="D1222" s="7"/>
    </row>
    <row r="1223" spans="2:4" x14ac:dyDescent="0.25">
      <c r="B1223" s="4">
        <f t="shared" si="34"/>
        <v>582.16999999998893</v>
      </c>
      <c r="C1223" s="199">
        <v>416.53282565986638</v>
      </c>
      <c r="D1223" s="7"/>
    </row>
    <row r="1224" spans="2:4" x14ac:dyDescent="0.25">
      <c r="B1224" s="4">
        <f t="shared" ref="B1224:B1287" si="35">+B1223+0.01</f>
        <v>582.17999999998892</v>
      </c>
      <c r="C1224" s="199">
        <v>416.69122223249281</v>
      </c>
      <c r="D1224" s="7"/>
    </row>
    <row r="1225" spans="2:4" x14ac:dyDescent="0.25">
      <c r="B1225" s="4">
        <f t="shared" si="35"/>
        <v>582.18999999998891</v>
      </c>
      <c r="C1225" s="199">
        <v>416.84961880511906</v>
      </c>
      <c r="D1225" s="7"/>
    </row>
    <row r="1226" spans="2:4" x14ac:dyDescent="0.25">
      <c r="B1226" s="4">
        <f t="shared" si="35"/>
        <v>582.1999999999889</v>
      </c>
      <c r="C1226" s="199">
        <v>417.00801537774555</v>
      </c>
      <c r="D1226" s="7"/>
    </row>
    <row r="1227" spans="2:4" x14ac:dyDescent="0.25">
      <c r="B1227" s="4">
        <f t="shared" si="35"/>
        <v>582.2099999999889</v>
      </c>
      <c r="C1227" s="199">
        <v>417.16641195037175</v>
      </c>
      <c r="D1227" s="7"/>
    </row>
    <row r="1228" spans="2:4" x14ac:dyDescent="0.25">
      <c r="B1228" s="4">
        <f t="shared" si="35"/>
        <v>582.21999999998889</v>
      </c>
      <c r="C1228" s="199">
        <v>417.32499077516945</v>
      </c>
      <c r="D1228" s="7"/>
    </row>
    <row r="1229" spans="2:4" x14ac:dyDescent="0.25">
      <c r="B1229" s="4">
        <f t="shared" si="35"/>
        <v>582.22999999998888</v>
      </c>
      <c r="C1229" s="199">
        <v>417.48356959996613</v>
      </c>
      <c r="D1229" s="7"/>
    </row>
    <row r="1230" spans="2:4" x14ac:dyDescent="0.25">
      <c r="B1230" s="4">
        <f t="shared" si="35"/>
        <v>582.23999999998887</v>
      </c>
      <c r="C1230" s="199">
        <v>417.64214842476252</v>
      </c>
      <c r="D1230" s="7"/>
    </row>
    <row r="1231" spans="2:4" x14ac:dyDescent="0.25">
      <c r="B1231" s="4">
        <f t="shared" si="35"/>
        <v>582.24999999998886</v>
      </c>
      <c r="C1231" s="199">
        <v>417.80072724956011</v>
      </c>
      <c r="D1231" s="7"/>
    </row>
    <row r="1232" spans="2:4" x14ac:dyDescent="0.25">
      <c r="B1232" s="4">
        <f t="shared" si="35"/>
        <v>582.25999999998885</v>
      </c>
      <c r="C1232" s="199">
        <v>417.95930607435679</v>
      </c>
      <c r="D1232" s="7"/>
    </row>
    <row r="1233" spans="2:4" x14ac:dyDescent="0.25">
      <c r="B1233" s="4">
        <f t="shared" si="35"/>
        <v>582.26999999998884</v>
      </c>
      <c r="C1233" s="199">
        <v>418.11788489915426</v>
      </c>
      <c r="D1233" s="7"/>
    </row>
    <row r="1234" spans="2:4" x14ac:dyDescent="0.25">
      <c r="B1234" s="4">
        <f t="shared" si="35"/>
        <v>582.27999999998883</v>
      </c>
      <c r="C1234" s="199">
        <v>418.27646372395066</v>
      </c>
      <c r="D1234" s="7"/>
    </row>
    <row r="1235" spans="2:4" x14ac:dyDescent="0.25">
      <c r="B1235" s="4">
        <f t="shared" si="35"/>
        <v>582.28999999998882</v>
      </c>
      <c r="C1235" s="199">
        <v>418.43504254874733</v>
      </c>
      <c r="D1235" s="7"/>
    </row>
    <row r="1236" spans="2:4" x14ac:dyDescent="0.25">
      <c r="B1236" s="4">
        <f t="shared" si="35"/>
        <v>582.29999999998881</v>
      </c>
      <c r="C1236" s="199">
        <v>418.59362137354486</v>
      </c>
      <c r="D1236" s="7"/>
    </row>
    <row r="1237" spans="2:4" x14ac:dyDescent="0.25">
      <c r="B1237" s="4">
        <f t="shared" si="35"/>
        <v>582.3099999999888</v>
      </c>
      <c r="C1237" s="199">
        <v>418.75220019834126</v>
      </c>
      <c r="D1237" s="7"/>
    </row>
    <row r="1238" spans="2:4" x14ac:dyDescent="0.25">
      <c r="B1238" s="4">
        <f t="shared" si="35"/>
        <v>582.3199999999888</v>
      </c>
      <c r="C1238" s="199">
        <v>418.91096639303095</v>
      </c>
      <c r="D1238" s="7"/>
    </row>
    <row r="1239" spans="2:4" x14ac:dyDescent="0.25">
      <c r="B1239" s="4">
        <f t="shared" si="35"/>
        <v>582.32999999998879</v>
      </c>
      <c r="C1239" s="199">
        <v>419.06973258772314</v>
      </c>
      <c r="D1239" s="7"/>
    </row>
    <row r="1240" spans="2:4" x14ac:dyDescent="0.25">
      <c r="B1240" s="4">
        <f t="shared" si="35"/>
        <v>582.33999999998878</v>
      </c>
      <c r="C1240" s="199">
        <v>419.22849878241647</v>
      </c>
      <c r="D1240" s="7"/>
    </row>
    <row r="1241" spans="2:4" x14ac:dyDescent="0.25">
      <c r="B1241" s="4">
        <f t="shared" si="35"/>
        <v>582.34999999998877</v>
      </c>
      <c r="C1241" s="199">
        <v>419.38726497710957</v>
      </c>
      <c r="D1241" s="7"/>
    </row>
    <row r="1242" spans="2:4" x14ac:dyDescent="0.25">
      <c r="B1242" s="4">
        <f t="shared" si="35"/>
        <v>582.35999999998876</v>
      </c>
      <c r="C1242" s="199">
        <v>419.54603117180193</v>
      </c>
      <c r="D1242" s="7"/>
    </row>
    <row r="1243" spans="2:4" x14ac:dyDescent="0.25">
      <c r="B1243" s="4">
        <f t="shared" si="35"/>
        <v>582.36999999998875</v>
      </c>
      <c r="C1243" s="199">
        <v>419.70479736649503</v>
      </c>
      <c r="D1243" s="7"/>
    </row>
    <row r="1244" spans="2:4" x14ac:dyDescent="0.25">
      <c r="B1244" s="4">
        <f t="shared" si="35"/>
        <v>582.37999999998874</v>
      </c>
      <c r="C1244" s="199">
        <v>419.86356356118836</v>
      </c>
      <c r="D1244" s="7"/>
    </row>
    <row r="1245" spans="2:4" x14ac:dyDescent="0.25">
      <c r="B1245" s="4">
        <f t="shared" si="35"/>
        <v>582.38999999998873</v>
      </c>
      <c r="C1245" s="199">
        <v>420.02232975588055</v>
      </c>
      <c r="D1245" s="7"/>
    </row>
    <row r="1246" spans="2:4" x14ac:dyDescent="0.25">
      <c r="B1246" s="4">
        <f t="shared" si="35"/>
        <v>582.39999999998872</v>
      </c>
      <c r="C1246" s="199">
        <v>420.1810959505741</v>
      </c>
      <c r="D1246" s="7"/>
    </row>
    <row r="1247" spans="2:4" x14ac:dyDescent="0.25">
      <c r="B1247" s="4">
        <f t="shared" si="35"/>
        <v>582.40999999998871</v>
      </c>
      <c r="C1247" s="199">
        <v>420.33986214526715</v>
      </c>
      <c r="D1247" s="7"/>
    </row>
    <row r="1248" spans="2:4" x14ac:dyDescent="0.25">
      <c r="B1248" s="4">
        <f t="shared" si="35"/>
        <v>582.4199999999887</v>
      </c>
      <c r="C1248" s="199">
        <v>420.49881781358147</v>
      </c>
      <c r="D1248" s="7"/>
    </row>
    <row r="1249" spans="2:4" x14ac:dyDescent="0.25">
      <c r="B1249" s="4">
        <f t="shared" si="35"/>
        <v>582.42999999998869</v>
      </c>
      <c r="C1249" s="199">
        <v>420.65777348189636</v>
      </c>
      <c r="D1249" s="7"/>
    </row>
    <row r="1250" spans="2:4" x14ac:dyDescent="0.25">
      <c r="B1250" s="4">
        <f t="shared" si="35"/>
        <v>582.43999999998869</v>
      </c>
      <c r="C1250" s="199">
        <v>420.81672915021119</v>
      </c>
      <c r="D1250" s="7"/>
    </row>
    <row r="1251" spans="2:4" x14ac:dyDescent="0.25">
      <c r="B1251" s="4">
        <f t="shared" si="35"/>
        <v>582.44999999998868</v>
      </c>
      <c r="C1251" s="199">
        <v>420.97568481852579</v>
      </c>
      <c r="D1251" s="7"/>
    </row>
    <row r="1252" spans="2:4" x14ac:dyDescent="0.25">
      <c r="B1252" s="4">
        <f t="shared" si="35"/>
        <v>582.45999999998867</v>
      </c>
      <c r="C1252" s="199">
        <v>421.13464048684068</v>
      </c>
      <c r="D1252" s="7"/>
    </row>
    <row r="1253" spans="2:4" x14ac:dyDescent="0.25">
      <c r="B1253" s="4">
        <f t="shared" si="35"/>
        <v>582.46999999998866</v>
      </c>
      <c r="C1253" s="199">
        <v>421.29359615515466</v>
      </c>
      <c r="D1253" s="7"/>
    </row>
    <row r="1254" spans="2:4" x14ac:dyDescent="0.25">
      <c r="B1254" s="4">
        <f t="shared" si="35"/>
        <v>582.47999999998865</v>
      </c>
      <c r="C1254" s="199">
        <v>421.45255182346926</v>
      </c>
      <c r="D1254" s="7"/>
    </row>
    <row r="1255" spans="2:4" x14ac:dyDescent="0.25">
      <c r="B1255" s="4">
        <f t="shared" si="35"/>
        <v>582.48999999998864</v>
      </c>
      <c r="C1255" s="199">
        <v>421.61150749178432</v>
      </c>
      <c r="D1255" s="7"/>
    </row>
    <row r="1256" spans="2:4" x14ac:dyDescent="0.25">
      <c r="B1256" s="4">
        <f t="shared" si="35"/>
        <v>582.49999999998863</v>
      </c>
      <c r="C1256" s="199">
        <v>421.77046316009898</v>
      </c>
      <c r="D1256" s="7"/>
    </row>
    <row r="1257" spans="2:4" x14ac:dyDescent="0.25">
      <c r="B1257" s="4">
        <f t="shared" si="35"/>
        <v>582.50999999998862</v>
      </c>
      <c r="C1257" s="199">
        <v>421.92941882841387</v>
      </c>
      <c r="D1257" s="7"/>
    </row>
    <row r="1258" spans="2:4" x14ac:dyDescent="0.25">
      <c r="B1258" s="4">
        <f t="shared" si="35"/>
        <v>582.51999999998861</v>
      </c>
      <c r="C1258" s="199">
        <v>422.08856526911467</v>
      </c>
      <c r="D1258" s="7"/>
    </row>
    <row r="1259" spans="2:4" x14ac:dyDescent="0.25">
      <c r="B1259" s="4">
        <f t="shared" si="35"/>
        <v>582.5299999999886</v>
      </c>
      <c r="C1259" s="199">
        <v>422.24771170981825</v>
      </c>
      <c r="D1259" s="7"/>
    </row>
    <row r="1260" spans="2:4" x14ac:dyDescent="0.25">
      <c r="B1260" s="4">
        <f t="shared" si="35"/>
        <v>582.53999999998859</v>
      </c>
      <c r="C1260" s="199">
        <v>422.40685815052183</v>
      </c>
      <c r="D1260" s="7"/>
    </row>
    <row r="1261" spans="2:4" x14ac:dyDescent="0.25">
      <c r="B1261" s="4">
        <f t="shared" si="35"/>
        <v>582.54999999998859</v>
      </c>
      <c r="C1261" s="199">
        <v>422.56600459122524</v>
      </c>
      <c r="D1261" s="7"/>
    </row>
    <row r="1262" spans="2:4" x14ac:dyDescent="0.25">
      <c r="B1262" s="4">
        <f t="shared" si="35"/>
        <v>582.55999999998858</v>
      </c>
      <c r="C1262" s="199">
        <v>422.72515103192876</v>
      </c>
      <c r="D1262" s="7"/>
    </row>
    <row r="1263" spans="2:4" x14ac:dyDescent="0.25">
      <c r="B1263" s="4">
        <f t="shared" si="35"/>
        <v>582.56999999998857</v>
      </c>
      <c r="C1263" s="199">
        <v>422.88429747263245</v>
      </c>
      <c r="D1263" s="7"/>
    </row>
    <row r="1264" spans="2:4" x14ac:dyDescent="0.25">
      <c r="B1264" s="4">
        <f t="shared" si="35"/>
        <v>582.57999999998856</v>
      </c>
      <c r="C1264" s="199">
        <v>423.04344391333598</v>
      </c>
      <c r="D1264" s="7"/>
    </row>
    <row r="1265" spans="2:4" x14ac:dyDescent="0.25">
      <c r="B1265" s="4">
        <f t="shared" si="35"/>
        <v>582.58999999998855</v>
      </c>
      <c r="C1265" s="199">
        <v>423.20259035403956</v>
      </c>
      <c r="D1265" s="7"/>
    </row>
    <row r="1266" spans="2:4" x14ac:dyDescent="0.25">
      <c r="B1266" s="4">
        <f t="shared" si="35"/>
        <v>582.59999999998854</v>
      </c>
      <c r="C1266" s="199">
        <v>423.36173679474285</v>
      </c>
      <c r="D1266" s="7"/>
    </row>
    <row r="1267" spans="2:4" x14ac:dyDescent="0.25">
      <c r="B1267" s="4">
        <f t="shared" si="35"/>
        <v>582.60999999998853</v>
      </c>
      <c r="C1267" s="199">
        <v>423.52088323544649</v>
      </c>
      <c r="D1267" s="7"/>
    </row>
    <row r="1268" spans="2:4" x14ac:dyDescent="0.25">
      <c r="B1268" s="4">
        <f t="shared" si="35"/>
        <v>582.61999999998852</v>
      </c>
      <c r="C1268" s="199">
        <v>423.68022101365841</v>
      </c>
      <c r="D1268" s="7"/>
    </row>
    <row r="1269" spans="2:4" x14ac:dyDescent="0.25">
      <c r="B1269" s="4">
        <f t="shared" si="35"/>
        <v>582.62999999998851</v>
      </c>
      <c r="C1269" s="199">
        <v>423.83955879186908</v>
      </c>
      <c r="D1269" s="7"/>
    </row>
    <row r="1270" spans="2:4" x14ac:dyDescent="0.25">
      <c r="B1270" s="4">
        <f t="shared" si="35"/>
        <v>582.6399999999885</v>
      </c>
      <c r="C1270" s="199">
        <v>423.99889657007952</v>
      </c>
      <c r="D1270" s="7"/>
    </row>
    <row r="1271" spans="2:4" x14ac:dyDescent="0.25">
      <c r="B1271" s="4">
        <f t="shared" si="35"/>
        <v>582.64999999998849</v>
      </c>
      <c r="C1271" s="199">
        <v>424.15823434829014</v>
      </c>
      <c r="D1271" s="7"/>
    </row>
    <row r="1272" spans="2:4" x14ac:dyDescent="0.25">
      <c r="B1272" s="4">
        <f t="shared" si="35"/>
        <v>582.65999999998849</v>
      </c>
      <c r="C1272" s="199">
        <v>424.31757212650155</v>
      </c>
      <c r="D1272" s="7"/>
    </row>
    <row r="1273" spans="2:4" x14ac:dyDescent="0.25">
      <c r="B1273" s="4">
        <f t="shared" si="35"/>
        <v>582.66999999998848</v>
      </c>
      <c r="C1273" s="199">
        <v>424.47690990471216</v>
      </c>
      <c r="D1273" s="7"/>
    </row>
    <row r="1274" spans="2:4" x14ac:dyDescent="0.25">
      <c r="B1274" s="4">
        <f t="shared" si="35"/>
        <v>582.67999999998847</v>
      </c>
      <c r="C1274" s="199">
        <v>424.63624768292266</v>
      </c>
      <c r="D1274" s="7"/>
    </row>
    <row r="1275" spans="2:4" x14ac:dyDescent="0.25">
      <c r="B1275" s="4">
        <f t="shared" si="35"/>
        <v>582.68999999998846</v>
      </c>
      <c r="C1275" s="199">
        <v>424.7955854611331</v>
      </c>
      <c r="D1275" s="7"/>
    </row>
    <row r="1276" spans="2:4" x14ac:dyDescent="0.25">
      <c r="B1276" s="4">
        <f t="shared" si="35"/>
        <v>582.69999999998845</v>
      </c>
      <c r="C1276" s="199">
        <v>424.95492323934513</v>
      </c>
      <c r="D1276" s="7"/>
    </row>
    <row r="1277" spans="2:4" x14ac:dyDescent="0.25">
      <c r="B1277" s="4">
        <f t="shared" si="35"/>
        <v>582.70999999998844</v>
      </c>
      <c r="C1277" s="199">
        <v>425.11426101755552</v>
      </c>
      <c r="D1277" s="7"/>
    </row>
    <row r="1278" spans="2:4" x14ac:dyDescent="0.25">
      <c r="B1278" s="4">
        <f t="shared" si="35"/>
        <v>582.71999999998843</v>
      </c>
      <c r="C1278" s="199">
        <v>425.27379020016662</v>
      </c>
      <c r="D1278" s="7"/>
    </row>
    <row r="1279" spans="2:4" x14ac:dyDescent="0.25">
      <c r="B1279" s="4">
        <f t="shared" si="35"/>
        <v>582.72999999998842</v>
      </c>
      <c r="C1279" s="199">
        <v>425.43331938278249</v>
      </c>
      <c r="D1279" s="7"/>
    </row>
    <row r="1280" spans="2:4" x14ac:dyDescent="0.25">
      <c r="B1280" s="4">
        <f t="shared" si="35"/>
        <v>582.73999999998841</v>
      </c>
      <c r="C1280" s="199">
        <v>425.59284856539864</v>
      </c>
      <c r="D1280" s="7"/>
    </row>
    <row r="1281" spans="2:4" x14ac:dyDescent="0.25">
      <c r="B1281" s="4">
        <f t="shared" si="35"/>
        <v>582.7499999999884</v>
      </c>
      <c r="C1281" s="199">
        <v>425.75237774801445</v>
      </c>
      <c r="D1281" s="7"/>
    </row>
    <row r="1282" spans="2:4" x14ac:dyDescent="0.25">
      <c r="B1282" s="4">
        <f t="shared" si="35"/>
        <v>582.75999999998839</v>
      </c>
      <c r="C1282" s="199">
        <v>425.91190693062947</v>
      </c>
      <c r="D1282" s="7"/>
    </row>
    <row r="1283" spans="2:4" x14ac:dyDescent="0.25">
      <c r="B1283" s="4">
        <f t="shared" si="35"/>
        <v>582.76999999998839</v>
      </c>
      <c r="C1283" s="199">
        <v>426.07143611324528</v>
      </c>
      <c r="D1283" s="7"/>
    </row>
    <row r="1284" spans="2:4" x14ac:dyDescent="0.25">
      <c r="B1284" s="4">
        <f t="shared" si="35"/>
        <v>582.77999999998838</v>
      </c>
      <c r="C1284" s="199">
        <v>426.23096529586121</v>
      </c>
      <c r="D1284" s="7"/>
    </row>
    <row r="1285" spans="2:4" x14ac:dyDescent="0.25">
      <c r="B1285" s="4">
        <f t="shared" si="35"/>
        <v>582.78999999998837</v>
      </c>
      <c r="C1285" s="199">
        <v>426.39049447847731</v>
      </c>
      <c r="D1285" s="7"/>
    </row>
    <row r="1286" spans="2:4" x14ac:dyDescent="0.25">
      <c r="B1286" s="4">
        <f t="shared" si="35"/>
        <v>582.79999999998836</v>
      </c>
      <c r="C1286" s="199">
        <v>426.55002366109227</v>
      </c>
      <c r="D1286" s="7"/>
    </row>
    <row r="1287" spans="2:4" x14ac:dyDescent="0.25">
      <c r="B1287" s="4">
        <f t="shared" si="35"/>
        <v>582.80999999998835</v>
      </c>
      <c r="C1287" s="199">
        <v>426.70955284370814</v>
      </c>
      <c r="D1287" s="7"/>
    </row>
    <row r="1288" spans="2:4" x14ac:dyDescent="0.25">
      <c r="B1288" s="4">
        <f t="shared" ref="B1288:B1351" si="36">+B1287+0.01</f>
        <v>582.81999999998834</v>
      </c>
      <c r="C1288" s="199">
        <v>426.86927538370804</v>
      </c>
      <c r="D1288" s="7"/>
    </row>
    <row r="1289" spans="2:4" x14ac:dyDescent="0.25">
      <c r="B1289" s="4">
        <f t="shared" si="36"/>
        <v>582.82999999998833</v>
      </c>
      <c r="C1289" s="199">
        <v>427.02899792370624</v>
      </c>
      <c r="D1289" s="7"/>
    </row>
    <row r="1290" spans="2:4" x14ac:dyDescent="0.25">
      <c r="B1290" s="4">
        <f t="shared" si="36"/>
        <v>582.83999999998832</v>
      </c>
      <c r="C1290" s="199">
        <v>427.18872046370439</v>
      </c>
      <c r="D1290" s="7"/>
    </row>
    <row r="1291" spans="2:4" x14ac:dyDescent="0.25">
      <c r="B1291" s="4">
        <f t="shared" si="36"/>
        <v>582.84999999998831</v>
      </c>
      <c r="C1291" s="199">
        <v>427.34844300370304</v>
      </c>
      <c r="D1291" s="7"/>
    </row>
    <row r="1292" spans="2:4" x14ac:dyDescent="0.25">
      <c r="B1292" s="4">
        <f t="shared" si="36"/>
        <v>582.8599999999883</v>
      </c>
      <c r="C1292" s="199">
        <v>427.50816554370147</v>
      </c>
      <c r="D1292" s="7"/>
    </row>
    <row r="1293" spans="2:4" x14ac:dyDescent="0.25">
      <c r="B1293" s="4">
        <f t="shared" si="36"/>
        <v>582.86999999998829</v>
      </c>
      <c r="C1293" s="199">
        <v>427.66788808370057</v>
      </c>
      <c r="D1293" s="7"/>
    </row>
    <row r="1294" spans="2:4" x14ac:dyDescent="0.25">
      <c r="B1294" s="4">
        <f t="shared" si="36"/>
        <v>582.87999999998829</v>
      </c>
      <c r="C1294" s="199">
        <v>427.82761062369866</v>
      </c>
      <c r="D1294" s="7"/>
    </row>
    <row r="1295" spans="2:4" x14ac:dyDescent="0.25">
      <c r="B1295" s="4">
        <f t="shared" si="36"/>
        <v>582.88999999998828</v>
      </c>
      <c r="C1295" s="199">
        <v>427.98733316369731</v>
      </c>
      <c r="D1295" s="7"/>
    </row>
    <row r="1296" spans="2:4" x14ac:dyDescent="0.25">
      <c r="B1296" s="4">
        <f t="shared" si="36"/>
        <v>582.89999999998827</v>
      </c>
      <c r="C1296" s="199">
        <v>428.14705570369546</v>
      </c>
      <c r="D1296" s="7"/>
    </row>
    <row r="1297" spans="2:4" x14ac:dyDescent="0.25">
      <c r="B1297" s="4">
        <f t="shared" si="36"/>
        <v>582.90999999998826</v>
      </c>
      <c r="C1297" s="199">
        <v>428.30677824369451</v>
      </c>
      <c r="D1297" s="7"/>
    </row>
    <row r="1298" spans="2:4" x14ac:dyDescent="0.25">
      <c r="B1298" s="4">
        <f t="shared" si="36"/>
        <v>582.91999999998825</v>
      </c>
      <c r="C1298" s="199">
        <v>428.4666952579492</v>
      </c>
      <c r="D1298" s="7"/>
    </row>
    <row r="1299" spans="2:4" x14ac:dyDescent="0.25">
      <c r="B1299" s="4">
        <f t="shared" si="36"/>
        <v>582.92999999998824</v>
      </c>
      <c r="C1299" s="199">
        <v>428.62661227220724</v>
      </c>
      <c r="D1299" s="7"/>
    </row>
    <row r="1300" spans="2:4" x14ac:dyDescent="0.25">
      <c r="B1300" s="4">
        <f t="shared" si="36"/>
        <v>582.93999999998823</v>
      </c>
      <c r="C1300" s="199">
        <v>428.78652928646545</v>
      </c>
      <c r="D1300" s="7"/>
    </row>
    <row r="1301" spans="2:4" x14ac:dyDescent="0.25">
      <c r="B1301" s="4">
        <f t="shared" si="36"/>
        <v>582.94999999998822</v>
      </c>
      <c r="C1301" s="199">
        <v>428.94644630072349</v>
      </c>
      <c r="D1301" s="7"/>
    </row>
    <row r="1302" spans="2:4" x14ac:dyDescent="0.25">
      <c r="B1302" s="4">
        <f t="shared" si="36"/>
        <v>582.95999999998821</v>
      </c>
      <c r="C1302" s="199">
        <v>429.10636331498216</v>
      </c>
      <c r="D1302" s="7"/>
    </row>
    <row r="1303" spans="2:4" x14ac:dyDescent="0.25">
      <c r="B1303" s="4">
        <f t="shared" si="36"/>
        <v>582.9699999999882</v>
      </c>
      <c r="C1303" s="199">
        <v>429.26628032924111</v>
      </c>
      <c r="D1303" s="7"/>
    </row>
    <row r="1304" spans="2:4" x14ac:dyDescent="0.25">
      <c r="B1304" s="4">
        <f t="shared" si="36"/>
        <v>582.97999999998819</v>
      </c>
      <c r="C1304" s="199">
        <v>429.42619734349938</v>
      </c>
      <c r="D1304" s="7"/>
    </row>
    <row r="1305" spans="2:4" x14ac:dyDescent="0.25">
      <c r="B1305" s="4">
        <f t="shared" si="36"/>
        <v>582.98999999998819</v>
      </c>
      <c r="C1305" s="199">
        <v>429.58611435775765</v>
      </c>
      <c r="D1305" s="7"/>
    </row>
    <row r="1306" spans="2:4" x14ac:dyDescent="0.25">
      <c r="B1306" s="4">
        <f t="shared" si="36"/>
        <v>582.99999999998818</v>
      </c>
      <c r="C1306" s="199">
        <v>429.74603137201564</v>
      </c>
      <c r="D1306" s="7"/>
    </row>
    <row r="1307" spans="2:4" x14ac:dyDescent="0.25">
      <c r="B1307" s="4">
        <f t="shared" si="36"/>
        <v>583.00999999998817</v>
      </c>
      <c r="C1307" s="199">
        <v>429.90594838627442</v>
      </c>
      <c r="D1307" s="7"/>
    </row>
    <row r="1308" spans="2:4" x14ac:dyDescent="0.25">
      <c r="B1308" s="4">
        <f t="shared" si="36"/>
        <v>583.01999999998816</v>
      </c>
      <c r="C1308" s="199">
        <v>430.06606454595311</v>
      </c>
      <c r="D1308" s="7"/>
    </row>
    <row r="1309" spans="2:4" x14ac:dyDescent="0.25">
      <c r="B1309" s="4">
        <f t="shared" si="36"/>
        <v>583.02999999998815</v>
      </c>
      <c r="C1309" s="199">
        <v>430.22618070563271</v>
      </c>
      <c r="D1309" s="7"/>
    </row>
    <row r="1310" spans="2:4" x14ac:dyDescent="0.25">
      <c r="B1310" s="4">
        <f t="shared" si="36"/>
        <v>583.03999999998814</v>
      </c>
      <c r="C1310" s="199">
        <v>430.38629686531158</v>
      </c>
      <c r="D1310" s="7"/>
    </row>
    <row r="1311" spans="2:4" x14ac:dyDescent="0.25">
      <c r="B1311" s="4">
        <f t="shared" si="36"/>
        <v>583.04999999998813</v>
      </c>
      <c r="C1311" s="199">
        <v>430.54641302499107</v>
      </c>
      <c r="D1311" s="7"/>
    </row>
    <row r="1312" spans="2:4" x14ac:dyDescent="0.25">
      <c r="B1312" s="4">
        <f t="shared" si="36"/>
        <v>583.05999999998812</v>
      </c>
      <c r="C1312" s="199">
        <v>430.70652918467067</v>
      </c>
      <c r="D1312" s="7"/>
    </row>
    <row r="1313" spans="2:4" x14ac:dyDescent="0.25">
      <c r="B1313" s="4">
        <f t="shared" si="36"/>
        <v>583.06999999998811</v>
      </c>
      <c r="C1313" s="199">
        <v>430.8666453443505</v>
      </c>
      <c r="D1313" s="7"/>
    </row>
    <row r="1314" spans="2:4" x14ac:dyDescent="0.25">
      <c r="B1314" s="4">
        <f t="shared" si="36"/>
        <v>583.0799999999881</v>
      </c>
      <c r="C1314" s="199">
        <v>431.02676150402914</v>
      </c>
      <c r="D1314" s="7"/>
    </row>
    <row r="1315" spans="2:4" x14ac:dyDescent="0.25">
      <c r="B1315" s="4">
        <f t="shared" si="36"/>
        <v>583.08999999998809</v>
      </c>
      <c r="C1315" s="199">
        <v>431.18687766370863</v>
      </c>
      <c r="D1315" s="7"/>
    </row>
    <row r="1316" spans="2:4" x14ac:dyDescent="0.25">
      <c r="B1316" s="4">
        <f t="shared" si="36"/>
        <v>583.09999999998809</v>
      </c>
      <c r="C1316" s="199">
        <v>431.3469938233884</v>
      </c>
      <c r="D1316" s="7"/>
    </row>
    <row r="1317" spans="2:4" x14ac:dyDescent="0.25">
      <c r="B1317" s="4">
        <f t="shared" si="36"/>
        <v>583.10999999998808</v>
      </c>
      <c r="C1317" s="199">
        <v>431.5071099830671</v>
      </c>
      <c r="D1317" s="7"/>
    </row>
    <row r="1318" spans="2:4" x14ac:dyDescent="0.25">
      <c r="B1318" s="4">
        <f t="shared" si="36"/>
        <v>583.11999999998807</v>
      </c>
      <c r="C1318" s="199">
        <v>431.66742738319562</v>
      </c>
      <c r="D1318" s="7"/>
    </row>
    <row r="1319" spans="2:4" x14ac:dyDescent="0.25">
      <c r="B1319" s="4">
        <f t="shared" si="36"/>
        <v>583.12999999998806</v>
      </c>
      <c r="C1319" s="199">
        <v>431.8277447833255</v>
      </c>
      <c r="D1319" s="7"/>
    </row>
    <row r="1320" spans="2:4" x14ac:dyDescent="0.25">
      <c r="B1320" s="4">
        <f t="shared" si="36"/>
        <v>583.13999999998805</v>
      </c>
      <c r="C1320" s="199">
        <v>431.9880621834568</v>
      </c>
      <c r="D1320" s="7"/>
    </row>
    <row r="1321" spans="2:4" x14ac:dyDescent="0.25">
      <c r="B1321" s="4">
        <f t="shared" si="36"/>
        <v>583.14999999998804</v>
      </c>
      <c r="C1321" s="199">
        <v>432.14837958358663</v>
      </c>
      <c r="D1321" s="7"/>
    </row>
    <row r="1322" spans="2:4" x14ac:dyDescent="0.25">
      <c r="B1322" s="4">
        <f t="shared" si="36"/>
        <v>583.15999999998803</v>
      </c>
      <c r="C1322" s="199">
        <v>432.30869698371754</v>
      </c>
      <c r="D1322" s="7"/>
    </row>
    <row r="1323" spans="2:4" x14ac:dyDescent="0.25">
      <c r="B1323" s="4">
        <f t="shared" si="36"/>
        <v>583.16999999998802</v>
      </c>
      <c r="C1323" s="199">
        <v>432.46901438384833</v>
      </c>
      <c r="D1323" s="7"/>
    </row>
    <row r="1324" spans="2:4" x14ac:dyDescent="0.25">
      <c r="B1324" s="4">
        <f t="shared" si="36"/>
        <v>583.17999999998801</v>
      </c>
      <c r="C1324" s="199">
        <v>432.6293317839781</v>
      </c>
      <c r="D1324" s="7"/>
    </row>
    <row r="1325" spans="2:4" x14ac:dyDescent="0.25">
      <c r="B1325" s="4">
        <f t="shared" si="36"/>
        <v>583.189999999988</v>
      </c>
      <c r="C1325" s="199">
        <v>432.78964918410941</v>
      </c>
      <c r="D1325" s="7"/>
    </row>
    <row r="1326" spans="2:4" x14ac:dyDescent="0.25">
      <c r="B1326" s="4">
        <f t="shared" si="36"/>
        <v>583.19999999998799</v>
      </c>
      <c r="C1326" s="199">
        <v>432.94996658423929</v>
      </c>
      <c r="D1326" s="7"/>
    </row>
    <row r="1327" spans="2:4" x14ac:dyDescent="0.25">
      <c r="B1327" s="4">
        <f t="shared" si="36"/>
        <v>583.20999999998799</v>
      </c>
      <c r="C1327" s="199">
        <v>433.11028398437014</v>
      </c>
      <c r="D1327" s="7"/>
    </row>
    <row r="1328" spans="2:4" x14ac:dyDescent="0.25">
      <c r="B1328" s="4">
        <f t="shared" si="36"/>
        <v>583.21999999998798</v>
      </c>
      <c r="C1328" s="199">
        <v>433.27080069228305</v>
      </c>
      <c r="D1328" s="7"/>
    </row>
    <row r="1329" spans="2:4" x14ac:dyDescent="0.25">
      <c r="B1329" s="4">
        <f t="shared" si="36"/>
        <v>583.22999999998797</v>
      </c>
      <c r="C1329" s="199">
        <v>433.43131740019555</v>
      </c>
      <c r="D1329" s="7"/>
    </row>
    <row r="1330" spans="2:4" x14ac:dyDescent="0.25">
      <c r="B1330" s="4">
        <f t="shared" si="36"/>
        <v>583.23999999998796</v>
      </c>
      <c r="C1330" s="199">
        <v>433.59183410810869</v>
      </c>
      <c r="D1330" s="7"/>
    </row>
    <row r="1331" spans="2:4" x14ac:dyDescent="0.25">
      <c r="B1331" s="4">
        <f t="shared" si="36"/>
        <v>583.24999999998795</v>
      </c>
      <c r="C1331" s="199">
        <v>433.75235081602142</v>
      </c>
      <c r="D1331" s="7"/>
    </row>
    <row r="1332" spans="2:4" x14ac:dyDescent="0.25">
      <c r="B1332" s="4">
        <f t="shared" si="36"/>
        <v>583.25999999998794</v>
      </c>
      <c r="C1332" s="199">
        <v>433.91286752393404</v>
      </c>
      <c r="D1332" s="7"/>
    </row>
    <row r="1333" spans="2:4" x14ac:dyDescent="0.25">
      <c r="B1333" s="4">
        <f t="shared" si="36"/>
        <v>583.26999999998793</v>
      </c>
      <c r="C1333" s="199">
        <v>434.07338423184808</v>
      </c>
      <c r="D1333" s="7"/>
    </row>
    <row r="1334" spans="2:4" x14ac:dyDescent="0.25">
      <c r="B1334" s="4">
        <f t="shared" si="36"/>
        <v>583.27999999998792</v>
      </c>
      <c r="C1334" s="199">
        <v>434.2339009397611</v>
      </c>
      <c r="D1334" s="7"/>
    </row>
    <row r="1335" spans="2:4" x14ac:dyDescent="0.25">
      <c r="B1335" s="4">
        <f t="shared" si="36"/>
        <v>583.28999999998791</v>
      </c>
      <c r="C1335" s="199">
        <v>434.39441764767344</v>
      </c>
      <c r="D1335" s="7"/>
    </row>
    <row r="1336" spans="2:4" x14ac:dyDescent="0.25">
      <c r="B1336" s="4">
        <f t="shared" si="36"/>
        <v>583.2999999999879</v>
      </c>
      <c r="C1336" s="199">
        <v>434.55493435558651</v>
      </c>
      <c r="D1336" s="7"/>
    </row>
    <row r="1337" spans="2:4" x14ac:dyDescent="0.25">
      <c r="B1337" s="4">
        <f t="shared" si="36"/>
        <v>583.30999999998789</v>
      </c>
      <c r="C1337" s="199">
        <v>434.7154510635005</v>
      </c>
      <c r="D1337" s="7"/>
    </row>
    <row r="1338" spans="2:4" x14ac:dyDescent="0.25">
      <c r="B1338" s="4">
        <f t="shared" si="36"/>
        <v>583.31999999998789</v>
      </c>
      <c r="C1338" s="199">
        <v>434.87616868043347</v>
      </c>
      <c r="D1338" s="7"/>
    </row>
    <row r="1339" spans="2:4" x14ac:dyDescent="0.25">
      <c r="B1339" s="4">
        <f t="shared" si="36"/>
        <v>583.32999999998788</v>
      </c>
      <c r="C1339" s="199">
        <v>435.03688629737127</v>
      </c>
      <c r="D1339" s="7"/>
    </row>
    <row r="1340" spans="2:4" x14ac:dyDescent="0.25">
      <c r="B1340" s="4">
        <f t="shared" si="36"/>
        <v>583.33999999998787</v>
      </c>
      <c r="C1340" s="199">
        <v>435.1976039143085</v>
      </c>
      <c r="D1340" s="7"/>
    </row>
    <row r="1341" spans="2:4" x14ac:dyDescent="0.25">
      <c r="B1341" s="4">
        <f t="shared" si="36"/>
        <v>583.34999999998786</v>
      </c>
      <c r="C1341" s="199">
        <v>435.35832153124619</v>
      </c>
      <c r="D1341" s="7"/>
    </row>
    <row r="1342" spans="2:4" x14ac:dyDescent="0.25">
      <c r="B1342" s="4">
        <f t="shared" si="36"/>
        <v>583.35999999998785</v>
      </c>
      <c r="C1342" s="199">
        <v>435.51903914818388</v>
      </c>
      <c r="D1342" s="7"/>
    </row>
    <row r="1343" spans="2:4" x14ac:dyDescent="0.25">
      <c r="B1343" s="4">
        <f t="shared" si="36"/>
        <v>583.36999999998784</v>
      </c>
      <c r="C1343" s="199">
        <v>435.67975676512111</v>
      </c>
      <c r="D1343" s="7"/>
    </row>
    <row r="1344" spans="2:4" x14ac:dyDescent="0.25">
      <c r="B1344" s="4">
        <f t="shared" si="36"/>
        <v>583.37999999998783</v>
      </c>
      <c r="C1344" s="199">
        <v>435.84047438205891</v>
      </c>
      <c r="D1344" s="7"/>
    </row>
    <row r="1345" spans="2:4" x14ac:dyDescent="0.25">
      <c r="B1345" s="4">
        <f t="shared" si="36"/>
        <v>583.38999999998782</v>
      </c>
      <c r="C1345" s="199">
        <v>436.00119199899609</v>
      </c>
      <c r="D1345" s="7"/>
    </row>
    <row r="1346" spans="2:4" x14ac:dyDescent="0.25">
      <c r="B1346" s="4">
        <f t="shared" si="36"/>
        <v>583.39999999998781</v>
      </c>
      <c r="C1346" s="199">
        <v>436.16190961593384</v>
      </c>
      <c r="D1346" s="7"/>
    </row>
    <row r="1347" spans="2:4" x14ac:dyDescent="0.25">
      <c r="B1347" s="4">
        <f t="shared" si="36"/>
        <v>583.4099999999878</v>
      </c>
      <c r="C1347" s="199">
        <v>436.32262723287107</v>
      </c>
      <c r="D1347" s="7"/>
    </row>
    <row r="1348" spans="2:4" x14ac:dyDescent="0.25">
      <c r="B1348" s="4">
        <f t="shared" si="36"/>
        <v>583.41999999998779</v>
      </c>
      <c r="C1348" s="199">
        <v>436.48354812124705</v>
      </c>
      <c r="D1348" s="7"/>
    </row>
    <row r="1349" spans="2:4" x14ac:dyDescent="0.25">
      <c r="B1349" s="4">
        <f t="shared" si="36"/>
        <v>583.42999999998779</v>
      </c>
      <c r="C1349" s="199">
        <v>436.64446900962247</v>
      </c>
      <c r="D1349" s="7"/>
    </row>
    <row r="1350" spans="2:4" x14ac:dyDescent="0.25">
      <c r="B1350" s="4">
        <f t="shared" si="36"/>
        <v>583.43999999998778</v>
      </c>
      <c r="C1350" s="199">
        <v>436.80538989799908</v>
      </c>
      <c r="D1350" s="7"/>
    </row>
    <row r="1351" spans="2:4" x14ac:dyDescent="0.25">
      <c r="B1351" s="4">
        <f t="shared" si="36"/>
        <v>583.44999999998777</v>
      </c>
      <c r="C1351" s="199">
        <v>436.96631078637455</v>
      </c>
      <c r="D1351" s="7"/>
    </row>
    <row r="1352" spans="2:4" x14ac:dyDescent="0.25">
      <c r="B1352" s="4">
        <f t="shared" ref="B1352:B1415" si="37">+B1351+0.01</f>
        <v>583.45999999998776</v>
      </c>
      <c r="C1352" s="199">
        <v>437.12723167475025</v>
      </c>
      <c r="D1352" s="7"/>
    </row>
    <row r="1353" spans="2:4" x14ac:dyDescent="0.25">
      <c r="B1353" s="4">
        <f t="shared" si="37"/>
        <v>583.46999999998775</v>
      </c>
      <c r="C1353" s="199">
        <v>437.28815256312612</v>
      </c>
      <c r="D1353" s="7"/>
    </row>
    <row r="1354" spans="2:4" x14ac:dyDescent="0.25">
      <c r="B1354" s="4">
        <f t="shared" si="37"/>
        <v>583.47999999998774</v>
      </c>
      <c r="C1354" s="199">
        <v>437.44907345150153</v>
      </c>
      <c r="D1354" s="7"/>
    </row>
    <row r="1355" spans="2:4" x14ac:dyDescent="0.25">
      <c r="B1355" s="4">
        <f t="shared" si="37"/>
        <v>583.48999999998773</v>
      </c>
      <c r="C1355" s="199">
        <v>437.60999433987814</v>
      </c>
      <c r="D1355" s="7"/>
    </row>
    <row r="1356" spans="2:4" x14ac:dyDescent="0.25">
      <c r="B1356" s="4">
        <f t="shared" si="37"/>
        <v>583.49999999998772</v>
      </c>
      <c r="C1356" s="199">
        <v>437.77091522825356</v>
      </c>
      <c r="D1356" s="7"/>
    </row>
    <row r="1357" spans="2:4" x14ac:dyDescent="0.25">
      <c r="B1357" s="4">
        <f t="shared" si="37"/>
        <v>583.50999999998771</v>
      </c>
      <c r="C1357" s="199">
        <v>437.93183611662931</v>
      </c>
      <c r="D1357" s="7"/>
    </row>
    <row r="1358" spans="2:4" x14ac:dyDescent="0.25">
      <c r="B1358" s="4">
        <f t="shared" si="37"/>
        <v>583.5199999999877</v>
      </c>
      <c r="C1358" s="199">
        <v>438.09296132198597</v>
      </c>
      <c r="D1358" s="7"/>
    </row>
    <row r="1359" spans="2:4" x14ac:dyDescent="0.25">
      <c r="B1359" s="4">
        <f t="shared" si="37"/>
        <v>583.52999999998769</v>
      </c>
      <c r="C1359" s="199">
        <v>438.25408652734643</v>
      </c>
      <c r="D1359" s="7"/>
    </row>
    <row r="1360" spans="2:4" x14ac:dyDescent="0.25">
      <c r="B1360" s="4">
        <f t="shared" si="37"/>
        <v>583.53999999998769</v>
      </c>
      <c r="C1360" s="199">
        <v>438.41521173270633</v>
      </c>
      <c r="D1360" s="7"/>
    </row>
    <row r="1361" spans="2:4" x14ac:dyDescent="0.25">
      <c r="B1361" s="4">
        <f t="shared" si="37"/>
        <v>583.54999999998768</v>
      </c>
      <c r="C1361" s="199">
        <v>438.57633693806724</v>
      </c>
      <c r="D1361" s="7"/>
    </row>
    <row r="1362" spans="2:4" x14ac:dyDescent="0.25">
      <c r="B1362" s="4">
        <f t="shared" si="37"/>
        <v>583.55999999998767</v>
      </c>
      <c r="C1362" s="199">
        <v>438.73746214342765</v>
      </c>
      <c r="D1362" s="7"/>
    </row>
    <row r="1363" spans="2:4" x14ac:dyDescent="0.25">
      <c r="B1363" s="4">
        <f t="shared" si="37"/>
        <v>583.56999999998766</v>
      </c>
      <c r="C1363" s="199">
        <v>438.89858734878766</v>
      </c>
      <c r="D1363" s="7"/>
    </row>
    <row r="1364" spans="2:4" x14ac:dyDescent="0.25">
      <c r="B1364" s="4">
        <f t="shared" si="37"/>
        <v>583.57999999998765</v>
      </c>
      <c r="C1364" s="199">
        <v>439.05971255414863</v>
      </c>
      <c r="D1364" s="7"/>
    </row>
    <row r="1365" spans="2:4" x14ac:dyDescent="0.25">
      <c r="B1365" s="4">
        <f t="shared" si="37"/>
        <v>583.58999999998764</v>
      </c>
      <c r="C1365" s="199">
        <v>439.22083775950858</v>
      </c>
      <c r="D1365" s="7"/>
    </row>
    <row r="1366" spans="2:4" x14ac:dyDescent="0.25">
      <c r="B1366" s="4">
        <f t="shared" si="37"/>
        <v>583.59999999998763</v>
      </c>
      <c r="C1366" s="199">
        <v>439.3819629648699</v>
      </c>
      <c r="D1366" s="7"/>
    </row>
    <row r="1367" spans="2:4" x14ac:dyDescent="0.25">
      <c r="B1367" s="4">
        <f t="shared" si="37"/>
        <v>583.60999999998762</v>
      </c>
      <c r="C1367" s="199">
        <v>439.54308817022985</v>
      </c>
      <c r="D1367" s="7"/>
    </row>
    <row r="1368" spans="2:4" x14ac:dyDescent="0.25">
      <c r="B1368" s="4">
        <f t="shared" si="37"/>
        <v>583.61999999998761</v>
      </c>
      <c r="C1368" s="199">
        <v>439.70441719094259</v>
      </c>
      <c r="D1368" s="7"/>
    </row>
    <row r="1369" spans="2:4" x14ac:dyDescent="0.25">
      <c r="B1369" s="4">
        <f t="shared" si="37"/>
        <v>583.6299999999876</v>
      </c>
      <c r="C1369" s="199">
        <v>439.86574621165477</v>
      </c>
      <c r="D1369" s="7"/>
    </row>
    <row r="1370" spans="2:4" x14ac:dyDescent="0.25">
      <c r="B1370" s="4">
        <f t="shared" si="37"/>
        <v>583.63999999998759</v>
      </c>
      <c r="C1370" s="199">
        <v>440.02707523236796</v>
      </c>
      <c r="D1370" s="7"/>
    </row>
    <row r="1371" spans="2:4" x14ac:dyDescent="0.25">
      <c r="B1371" s="4">
        <f t="shared" si="37"/>
        <v>583.64999999998759</v>
      </c>
      <c r="C1371" s="199">
        <v>440.18840425307991</v>
      </c>
      <c r="D1371" s="7"/>
    </row>
    <row r="1372" spans="2:4" x14ac:dyDescent="0.25">
      <c r="B1372" s="4">
        <f t="shared" si="37"/>
        <v>583.65999999998758</v>
      </c>
      <c r="C1372" s="199">
        <v>440.34973327379203</v>
      </c>
      <c r="D1372" s="7"/>
    </row>
    <row r="1373" spans="2:4" x14ac:dyDescent="0.25">
      <c r="B1373" s="4">
        <f t="shared" si="37"/>
        <v>583.66999999998757</v>
      </c>
      <c r="C1373" s="199">
        <v>440.51106229450528</v>
      </c>
      <c r="D1373" s="7"/>
    </row>
    <row r="1374" spans="2:4" x14ac:dyDescent="0.25">
      <c r="B1374" s="4">
        <f t="shared" si="37"/>
        <v>583.67999999998756</v>
      </c>
      <c r="C1374" s="199">
        <v>440.67239131521751</v>
      </c>
      <c r="D1374" s="7"/>
    </row>
    <row r="1375" spans="2:4" x14ac:dyDescent="0.25">
      <c r="B1375" s="4">
        <f t="shared" si="37"/>
        <v>583.68999999998755</v>
      </c>
      <c r="C1375" s="199">
        <v>440.83372033593076</v>
      </c>
      <c r="D1375" s="7"/>
    </row>
    <row r="1376" spans="2:4" x14ac:dyDescent="0.25">
      <c r="B1376" s="4">
        <f t="shared" si="37"/>
        <v>583.69999999998754</v>
      </c>
      <c r="C1376" s="199">
        <v>440.99504935664282</v>
      </c>
      <c r="D1376" s="7"/>
    </row>
    <row r="1377" spans="2:4" x14ac:dyDescent="0.25">
      <c r="B1377" s="4">
        <f t="shared" si="37"/>
        <v>583.70999999998753</v>
      </c>
      <c r="C1377" s="199">
        <v>441.15637837735477</v>
      </c>
      <c r="D1377" s="7"/>
    </row>
    <row r="1378" spans="2:4" x14ac:dyDescent="0.25">
      <c r="B1378" s="4">
        <f t="shared" si="37"/>
        <v>583.71999999998752</v>
      </c>
      <c r="C1378" s="199">
        <v>441.31791285448531</v>
      </c>
      <c r="D1378" s="7"/>
    </row>
    <row r="1379" spans="2:4" x14ac:dyDescent="0.25">
      <c r="B1379" s="4">
        <f t="shared" si="37"/>
        <v>583.72999999998751</v>
      </c>
      <c r="C1379" s="199">
        <v>441.47944733161904</v>
      </c>
      <c r="D1379" s="7"/>
    </row>
    <row r="1380" spans="2:4" x14ac:dyDescent="0.25">
      <c r="B1380" s="4">
        <f t="shared" si="37"/>
        <v>583.7399999999875</v>
      </c>
      <c r="C1380" s="199">
        <v>441.64098180875158</v>
      </c>
      <c r="D1380" s="7"/>
    </row>
    <row r="1381" spans="2:4" x14ac:dyDescent="0.25">
      <c r="B1381" s="4">
        <f t="shared" si="37"/>
        <v>583.74999999998749</v>
      </c>
      <c r="C1381" s="199">
        <v>441.80251628588388</v>
      </c>
      <c r="D1381" s="7"/>
    </row>
    <row r="1382" spans="2:4" x14ac:dyDescent="0.25">
      <c r="B1382" s="4">
        <f t="shared" si="37"/>
        <v>583.75999999998749</v>
      </c>
      <c r="C1382" s="199">
        <v>441.96405076301619</v>
      </c>
      <c r="D1382" s="7"/>
    </row>
    <row r="1383" spans="2:4" x14ac:dyDescent="0.25">
      <c r="B1383" s="4">
        <f t="shared" si="37"/>
        <v>583.76999999998748</v>
      </c>
      <c r="C1383" s="199">
        <v>442.12558524014963</v>
      </c>
      <c r="D1383" s="7"/>
    </row>
    <row r="1384" spans="2:4" x14ac:dyDescent="0.25">
      <c r="B1384" s="4">
        <f t="shared" si="37"/>
        <v>583.77999999998747</v>
      </c>
      <c r="C1384" s="199">
        <v>442.28711971728188</v>
      </c>
      <c r="D1384" s="7"/>
    </row>
    <row r="1385" spans="2:4" x14ac:dyDescent="0.25">
      <c r="B1385" s="4">
        <f t="shared" si="37"/>
        <v>583.78999999998746</v>
      </c>
      <c r="C1385" s="199">
        <v>442.44865419441453</v>
      </c>
      <c r="D1385" s="7"/>
    </row>
    <row r="1386" spans="2:4" x14ac:dyDescent="0.25">
      <c r="B1386" s="4">
        <f t="shared" si="37"/>
        <v>583.79999999998745</v>
      </c>
      <c r="C1386" s="199">
        <v>442.61018867154678</v>
      </c>
      <c r="D1386" s="7"/>
    </row>
    <row r="1387" spans="2:4" x14ac:dyDescent="0.25">
      <c r="B1387" s="4">
        <f t="shared" si="37"/>
        <v>583.80999999998744</v>
      </c>
      <c r="C1387" s="199">
        <v>442.77172314868022</v>
      </c>
      <c r="D1387" s="7"/>
    </row>
    <row r="1388" spans="2:4" x14ac:dyDescent="0.25">
      <c r="B1388" s="4">
        <f t="shared" si="37"/>
        <v>583.81999999998743</v>
      </c>
      <c r="C1388" s="199">
        <v>442.93346414836805</v>
      </c>
      <c r="D1388" s="7"/>
    </row>
    <row r="1389" spans="2:4" x14ac:dyDescent="0.25">
      <c r="B1389" s="4">
        <f t="shared" si="37"/>
        <v>583.82999999998742</v>
      </c>
      <c r="C1389" s="199">
        <v>443.09520514805695</v>
      </c>
      <c r="D1389" s="7"/>
    </row>
    <row r="1390" spans="2:4" x14ac:dyDescent="0.25">
      <c r="B1390" s="4">
        <f t="shared" si="37"/>
        <v>583.83999999998741</v>
      </c>
      <c r="C1390" s="199">
        <v>443.25694614774568</v>
      </c>
      <c r="D1390" s="7"/>
    </row>
    <row r="1391" spans="2:4" x14ac:dyDescent="0.25">
      <c r="B1391" s="4">
        <f t="shared" si="37"/>
        <v>583.8499999999874</v>
      </c>
      <c r="C1391" s="199">
        <v>443.41868714743413</v>
      </c>
      <c r="D1391" s="7"/>
    </row>
    <row r="1392" spans="2:4" x14ac:dyDescent="0.25">
      <c r="B1392" s="4">
        <f t="shared" si="37"/>
        <v>583.85999999998739</v>
      </c>
      <c r="C1392" s="199">
        <v>443.5804281471228</v>
      </c>
      <c r="D1392" s="7"/>
    </row>
    <row r="1393" spans="2:4" x14ac:dyDescent="0.25">
      <c r="B1393" s="4">
        <f t="shared" si="37"/>
        <v>583.86999999998739</v>
      </c>
      <c r="C1393" s="199">
        <v>443.74216914681261</v>
      </c>
      <c r="D1393" s="7"/>
    </row>
    <row r="1394" spans="2:4" x14ac:dyDescent="0.25">
      <c r="B1394" s="4">
        <f t="shared" si="37"/>
        <v>583.87999999998738</v>
      </c>
      <c r="C1394" s="199">
        <v>443.90391014650135</v>
      </c>
      <c r="D1394" s="7"/>
    </row>
    <row r="1395" spans="2:4" x14ac:dyDescent="0.25">
      <c r="B1395" s="4">
        <f t="shared" si="37"/>
        <v>583.88999999998737</v>
      </c>
      <c r="C1395" s="199">
        <v>444.06565114618996</v>
      </c>
      <c r="D1395" s="7"/>
    </row>
    <row r="1396" spans="2:4" x14ac:dyDescent="0.25">
      <c r="B1396" s="4">
        <f t="shared" si="37"/>
        <v>583.89999999998736</v>
      </c>
      <c r="C1396" s="199">
        <v>444.22739214587847</v>
      </c>
      <c r="D1396" s="7"/>
    </row>
    <row r="1397" spans="2:4" x14ac:dyDescent="0.25">
      <c r="B1397" s="4">
        <f t="shared" si="37"/>
        <v>583.90999999998735</v>
      </c>
      <c r="C1397" s="199">
        <v>444.38913314556714</v>
      </c>
      <c r="D1397" s="7"/>
    </row>
    <row r="1398" spans="2:4" x14ac:dyDescent="0.25">
      <c r="B1398" s="4">
        <f t="shared" si="37"/>
        <v>583.91999999998734</v>
      </c>
      <c r="C1398" s="199">
        <v>444.55108248242993</v>
      </c>
      <c r="D1398" s="7"/>
    </row>
    <row r="1399" spans="2:4" x14ac:dyDescent="0.25">
      <c r="B1399" s="4">
        <f t="shared" si="37"/>
        <v>583.92999999998733</v>
      </c>
      <c r="C1399" s="199">
        <v>444.7130318192942</v>
      </c>
      <c r="D1399" s="7"/>
    </row>
    <row r="1400" spans="2:4" x14ac:dyDescent="0.25">
      <c r="B1400" s="4">
        <f t="shared" si="37"/>
        <v>583.93999999998732</v>
      </c>
      <c r="C1400" s="199">
        <v>444.8749811561587</v>
      </c>
      <c r="D1400" s="7"/>
    </row>
    <row r="1401" spans="2:4" x14ac:dyDescent="0.25">
      <c r="B1401" s="4">
        <f t="shared" si="37"/>
        <v>583.94999999998731</v>
      </c>
      <c r="C1401" s="199">
        <v>445.03693049302382</v>
      </c>
      <c r="D1401" s="7"/>
    </row>
    <row r="1402" spans="2:4" x14ac:dyDescent="0.25">
      <c r="B1402" s="4">
        <f t="shared" si="37"/>
        <v>583.9599999999873</v>
      </c>
      <c r="C1402" s="199">
        <v>445.19887982988837</v>
      </c>
      <c r="D1402" s="7"/>
    </row>
    <row r="1403" spans="2:4" x14ac:dyDescent="0.25">
      <c r="B1403" s="4">
        <f t="shared" si="37"/>
        <v>583.96999999998729</v>
      </c>
      <c r="C1403" s="199">
        <v>445.36082916675258</v>
      </c>
      <c r="D1403" s="7"/>
    </row>
    <row r="1404" spans="2:4" x14ac:dyDescent="0.25">
      <c r="B1404" s="4">
        <f t="shared" si="37"/>
        <v>583.97999999998729</v>
      </c>
      <c r="C1404" s="199">
        <v>445.52277850361781</v>
      </c>
      <c r="D1404" s="7"/>
    </row>
    <row r="1405" spans="2:4" x14ac:dyDescent="0.25">
      <c r="B1405" s="4">
        <f t="shared" si="37"/>
        <v>583.98999999998728</v>
      </c>
      <c r="C1405" s="199">
        <v>445.68472784048225</v>
      </c>
      <c r="D1405" s="7"/>
    </row>
    <row r="1406" spans="2:4" x14ac:dyDescent="0.25">
      <c r="B1406" s="4">
        <f t="shared" si="37"/>
        <v>583.99999999998727</v>
      </c>
      <c r="C1406" s="199">
        <v>445.84667717734652</v>
      </c>
      <c r="D1406" s="7"/>
    </row>
    <row r="1407" spans="2:4" x14ac:dyDescent="0.25">
      <c r="B1407" s="4">
        <f t="shared" si="37"/>
        <v>584.00999999998726</v>
      </c>
      <c r="C1407" s="199">
        <v>446.00862651421193</v>
      </c>
      <c r="D1407" s="7"/>
    </row>
    <row r="1408" spans="2:4" x14ac:dyDescent="0.25">
      <c r="B1408" s="4">
        <f t="shared" si="37"/>
        <v>584.01999999998725</v>
      </c>
      <c r="C1408" s="199">
        <v>446.17078428738233</v>
      </c>
      <c r="D1408" s="7"/>
    </row>
    <row r="1409" spans="2:4" x14ac:dyDescent="0.25">
      <c r="B1409" s="4">
        <f t="shared" si="37"/>
        <v>584.02999999998724</v>
      </c>
      <c r="C1409" s="199">
        <v>446.3329420605528</v>
      </c>
      <c r="D1409" s="7"/>
    </row>
    <row r="1410" spans="2:4" x14ac:dyDescent="0.25">
      <c r="B1410" s="4">
        <f t="shared" si="37"/>
        <v>584.03999999998723</v>
      </c>
      <c r="C1410" s="199">
        <v>446.4950998337232</v>
      </c>
      <c r="D1410" s="7"/>
    </row>
    <row r="1411" spans="2:4" x14ac:dyDescent="0.25">
      <c r="B1411" s="4">
        <f t="shared" si="37"/>
        <v>584.04999999998722</v>
      </c>
      <c r="C1411" s="199">
        <v>446.65725760689412</v>
      </c>
      <c r="D1411" s="7"/>
    </row>
    <row r="1412" spans="2:4" x14ac:dyDescent="0.25">
      <c r="B1412" s="4">
        <f t="shared" si="37"/>
        <v>584.05999999998721</v>
      </c>
      <c r="C1412" s="199">
        <v>446.81941538006458</v>
      </c>
      <c r="D1412" s="7"/>
    </row>
    <row r="1413" spans="2:4" x14ac:dyDescent="0.25">
      <c r="B1413" s="4">
        <f t="shared" si="37"/>
        <v>584.0699999999872</v>
      </c>
      <c r="C1413" s="199">
        <v>446.98157315323499</v>
      </c>
      <c r="D1413" s="7"/>
    </row>
    <row r="1414" spans="2:4" x14ac:dyDescent="0.25">
      <c r="B1414" s="4">
        <f t="shared" si="37"/>
        <v>584.07999999998719</v>
      </c>
      <c r="C1414" s="199">
        <v>447.1437309264054</v>
      </c>
      <c r="D1414" s="7"/>
    </row>
    <row r="1415" spans="2:4" x14ac:dyDescent="0.25">
      <c r="B1415" s="4">
        <f t="shared" si="37"/>
        <v>584.08999999998719</v>
      </c>
      <c r="C1415" s="199">
        <v>447.30588869957626</v>
      </c>
      <c r="D1415" s="7"/>
    </row>
    <row r="1416" spans="2:4" x14ac:dyDescent="0.25">
      <c r="B1416" s="4">
        <f t="shared" ref="B1416:B1479" si="38">+B1415+0.01</f>
        <v>584.09999999998718</v>
      </c>
      <c r="C1416" s="199">
        <v>447.46804647274695</v>
      </c>
      <c r="D1416" s="7"/>
    </row>
    <row r="1417" spans="2:4" x14ac:dyDescent="0.25">
      <c r="B1417" s="4">
        <f t="shared" si="38"/>
        <v>584.10999999998717</v>
      </c>
      <c r="C1417" s="199">
        <v>447.63020424591741</v>
      </c>
      <c r="D1417" s="7"/>
    </row>
    <row r="1418" spans="2:4" x14ac:dyDescent="0.25">
      <c r="B1418" s="4">
        <f t="shared" si="38"/>
        <v>584.11999999998716</v>
      </c>
      <c r="C1418" s="199">
        <v>447.79256921897269</v>
      </c>
      <c r="D1418" s="7"/>
    </row>
    <row r="1419" spans="2:4" x14ac:dyDescent="0.25">
      <c r="B1419" s="4">
        <f t="shared" si="38"/>
        <v>584.12999999998715</v>
      </c>
      <c r="C1419" s="199">
        <v>447.95493419203302</v>
      </c>
      <c r="D1419" s="7"/>
    </row>
    <row r="1420" spans="2:4" x14ac:dyDescent="0.25">
      <c r="B1420" s="4">
        <f t="shared" si="38"/>
        <v>584.13999999998714</v>
      </c>
      <c r="C1420" s="199">
        <v>448.1172991650929</v>
      </c>
      <c r="D1420" s="7"/>
    </row>
    <row r="1421" spans="2:4" x14ac:dyDescent="0.25">
      <c r="B1421" s="4">
        <f t="shared" si="38"/>
        <v>584.14999999998713</v>
      </c>
      <c r="C1421" s="199">
        <v>448.2796641381529</v>
      </c>
      <c r="D1421" s="7"/>
    </row>
    <row r="1422" spans="2:4" x14ac:dyDescent="0.25">
      <c r="B1422" s="4">
        <f t="shared" si="38"/>
        <v>584.15999999998712</v>
      </c>
      <c r="C1422" s="199">
        <v>448.44202911121232</v>
      </c>
      <c r="D1422" s="7"/>
    </row>
    <row r="1423" spans="2:4" x14ac:dyDescent="0.25">
      <c r="B1423" s="4">
        <f t="shared" si="38"/>
        <v>584.16999999998711</v>
      </c>
      <c r="C1423" s="199">
        <v>448.60439408427311</v>
      </c>
      <c r="D1423" s="7"/>
    </row>
    <row r="1424" spans="2:4" x14ac:dyDescent="0.25">
      <c r="B1424" s="4">
        <f t="shared" si="38"/>
        <v>584.1799999999871</v>
      </c>
      <c r="C1424" s="199">
        <v>448.76675905733225</v>
      </c>
      <c r="D1424" s="7"/>
    </row>
    <row r="1425" spans="2:4" x14ac:dyDescent="0.25">
      <c r="B1425" s="4">
        <f t="shared" si="38"/>
        <v>584.18999999998709</v>
      </c>
      <c r="C1425" s="199">
        <v>448.92912403039156</v>
      </c>
      <c r="D1425" s="7"/>
    </row>
    <row r="1426" spans="2:4" x14ac:dyDescent="0.25">
      <c r="B1426" s="4">
        <f t="shared" si="38"/>
        <v>584.19999999998709</v>
      </c>
      <c r="C1426" s="199">
        <v>449.0914890034523</v>
      </c>
      <c r="D1426" s="7"/>
    </row>
    <row r="1427" spans="2:4" x14ac:dyDescent="0.25">
      <c r="B1427" s="4">
        <f t="shared" si="38"/>
        <v>584.20999999998708</v>
      </c>
      <c r="C1427" s="199">
        <v>449.25385397651149</v>
      </c>
      <c r="D1427" s="7"/>
    </row>
    <row r="1428" spans="2:4" x14ac:dyDescent="0.25">
      <c r="B1428" s="4">
        <f t="shared" si="38"/>
        <v>584.21999999998707</v>
      </c>
      <c r="C1428" s="199">
        <v>449.41642514688345</v>
      </c>
      <c r="D1428" s="7"/>
    </row>
    <row r="1429" spans="2:4" x14ac:dyDescent="0.25">
      <c r="B1429" s="4">
        <f t="shared" si="38"/>
        <v>584.22999999998706</v>
      </c>
      <c r="C1429" s="199">
        <v>449.57899631725462</v>
      </c>
      <c r="D1429" s="7"/>
    </row>
    <row r="1430" spans="2:4" x14ac:dyDescent="0.25">
      <c r="B1430" s="4">
        <f t="shared" si="38"/>
        <v>584.23999999998705</v>
      </c>
      <c r="C1430" s="199">
        <v>449.74156748762573</v>
      </c>
      <c r="D1430" s="7"/>
    </row>
    <row r="1431" spans="2:4" x14ac:dyDescent="0.25">
      <c r="B1431" s="4">
        <f t="shared" si="38"/>
        <v>584.24999999998704</v>
      </c>
      <c r="C1431" s="199">
        <v>449.90413865799627</v>
      </c>
      <c r="D1431" s="7"/>
    </row>
    <row r="1432" spans="2:4" x14ac:dyDescent="0.25">
      <c r="B1432" s="4">
        <f t="shared" si="38"/>
        <v>584.25999999998703</v>
      </c>
      <c r="C1432" s="199">
        <v>450.06670982836738</v>
      </c>
      <c r="D1432" s="7"/>
    </row>
    <row r="1433" spans="2:4" x14ac:dyDescent="0.25">
      <c r="B1433" s="4">
        <f t="shared" si="38"/>
        <v>584.26999999998702</v>
      </c>
      <c r="C1433" s="199">
        <v>450.22928099873764</v>
      </c>
      <c r="D1433" s="7"/>
    </row>
    <row r="1434" spans="2:4" x14ac:dyDescent="0.25">
      <c r="B1434" s="4">
        <f t="shared" si="38"/>
        <v>584.27999999998701</v>
      </c>
      <c r="C1434" s="199">
        <v>450.39185216910897</v>
      </c>
      <c r="D1434" s="7"/>
    </row>
    <row r="1435" spans="2:4" x14ac:dyDescent="0.25">
      <c r="B1435" s="4">
        <f t="shared" si="38"/>
        <v>584.289999999987</v>
      </c>
      <c r="C1435" s="199">
        <v>450.55442333948019</v>
      </c>
      <c r="D1435" s="7"/>
    </row>
    <row r="1436" spans="2:4" x14ac:dyDescent="0.25">
      <c r="B1436" s="4">
        <f t="shared" si="38"/>
        <v>584.29999999998699</v>
      </c>
      <c r="C1436" s="199">
        <v>450.71699450985039</v>
      </c>
      <c r="D1436" s="7"/>
    </row>
    <row r="1437" spans="2:4" x14ac:dyDescent="0.25">
      <c r="B1437" s="4">
        <f t="shared" si="38"/>
        <v>584.30999999998699</v>
      </c>
      <c r="C1437" s="199">
        <v>450.87956568022179</v>
      </c>
      <c r="D1437" s="7"/>
    </row>
    <row r="1438" spans="2:4" x14ac:dyDescent="0.25">
      <c r="B1438" s="4">
        <f t="shared" si="38"/>
        <v>584.31999999998698</v>
      </c>
      <c r="C1438" s="199">
        <v>451.0423434821945</v>
      </c>
      <c r="D1438" s="7"/>
    </row>
    <row r="1439" spans="2:4" x14ac:dyDescent="0.25">
      <c r="B1439" s="4">
        <f t="shared" si="38"/>
        <v>584.32999999998697</v>
      </c>
      <c r="C1439" s="199">
        <v>451.2051212841713</v>
      </c>
      <c r="D1439" s="7"/>
    </row>
    <row r="1440" spans="2:4" x14ac:dyDescent="0.25">
      <c r="B1440" s="4">
        <f t="shared" si="38"/>
        <v>584.33999999998696</v>
      </c>
      <c r="C1440" s="199">
        <v>451.36789908614873</v>
      </c>
      <c r="D1440" s="7"/>
    </row>
    <row r="1441" spans="2:4" x14ac:dyDescent="0.25">
      <c r="B1441" s="4">
        <f t="shared" si="38"/>
        <v>584.34999999998695</v>
      </c>
      <c r="C1441" s="199">
        <v>451.53067688812513</v>
      </c>
      <c r="D1441" s="7"/>
    </row>
    <row r="1442" spans="2:4" x14ac:dyDescent="0.25">
      <c r="B1442" s="4">
        <f t="shared" si="38"/>
        <v>584.35999999998694</v>
      </c>
      <c r="C1442" s="199">
        <v>451.69345469010256</v>
      </c>
      <c r="D1442" s="7"/>
    </row>
    <row r="1443" spans="2:4" x14ac:dyDescent="0.25">
      <c r="B1443" s="4">
        <f t="shared" si="38"/>
        <v>584.36999999998693</v>
      </c>
      <c r="C1443" s="199">
        <v>451.85623249207896</v>
      </c>
      <c r="D1443" s="7"/>
    </row>
    <row r="1444" spans="2:4" x14ac:dyDescent="0.25">
      <c r="B1444" s="4">
        <f t="shared" si="38"/>
        <v>584.37999999998692</v>
      </c>
      <c r="C1444" s="199">
        <v>452.01901029405633</v>
      </c>
      <c r="D1444" s="7"/>
    </row>
    <row r="1445" spans="2:4" x14ac:dyDescent="0.25">
      <c r="B1445" s="4">
        <f t="shared" si="38"/>
        <v>584.38999999998691</v>
      </c>
      <c r="C1445" s="199">
        <v>452.18178809603376</v>
      </c>
      <c r="D1445" s="7"/>
    </row>
    <row r="1446" spans="2:4" x14ac:dyDescent="0.25">
      <c r="B1446" s="4">
        <f t="shared" si="38"/>
        <v>584.3999999999869</v>
      </c>
      <c r="C1446" s="199">
        <v>452.34456589800971</v>
      </c>
      <c r="D1446" s="7"/>
    </row>
    <row r="1447" spans="2:4" x14ac:dyDescent="0.25">
      <c r="B1447" s="4">
        <f t="shared" si="38"/>
        <v>584.40999999998689</v>
      </c>
      <c r="C1447" s="199">
        <v>452.50734369998713</v>
      </c>
      <c r="D1447" s="7"/>
    </row>
    <row r="1448" spans="2:4" x14ac:dyDescent="0.25">
      <c r="B1448" s="4">
        <f t="shared" si="38"/>
        <v>584.41999999998689</v>
      </c>
      <c r="C1448" s="199">
        <v>452.67032796961706</v>
      </c>
      <c r="D1448" s="7"/>
    </row>
    <row r="1449" spans="2:4" x14ac:dyDescent="0.25">
      <c r="B1449" s="4">
        <f t="shared" si="38"/>
        <v>584.42999999998688</v>
      </c>
      <c r="C1449" s="199">
        <v>452.8333122392479</v>
      </c>
      <c r="D1449" s="7"/>
    </row>
    <row r="1450" spans="2:4" x14ac:dyDescent="0.25">
      <c r="B1450" s="4">
        <f t="shared" si="38"/>
        <v>584.43999999998687</v>
      </c>
      <c r="C1450" s="199">
        <v>452.99629650887874</v>
      </c>
      <c r="D1450" s="7"/>
    </row>
    <row r="1451" spans="2:4" x14ac:dyDescent="0.25">
      <c r="B1451" s="4">
        <f t="shared" si="38"/>
        <v>584.44999999998686</v>
      </c>
      <c r="C1451" s="199">
        <v>453.1592807785089</v>
      </c>
      <c r="D1451" s="7"/>
    </row>
    <row r="1452" spans="2:4" x14ac:dyDescent="0.25">
      <c r="B1452" s="4">
        <f t="shared" si="38"/>
        <v>584.45999999998685</v>
      </c>
      <c r="C1452" s="199">
        <v>453.32226504813974</v>
      </c>
      <c r="D1452" s="7"/>
    </row>
    <row r="1453" spans="2:4" x14ac:dyDescent="0.25">
      <c r="B1453" s="4">
        <f t="shared" si="38"/>
        <v>584.46999999998684</v>
      </c>
      <c r="C1453" s="199">
        <v>453.48524931777058</v>
      </c>
      <c r="D1453" s="7"/>
    </row>
    <row r="1454" spans="2:4" x14ac:dyDescent="0.25">
      <c r="B1454" s="4">
        <f t="shared" si="38"/>
        <v>584.47999999998683</v>
      </c>
      <c r="C1454" s="199">
        <v>453.64823358740051</v>
      </c>
      <c r="D1454" s="7"/>
    </row>
    <row r="1455" spans="2:4" x14ac:dyDescent="0.25">
      <c r="B1455" s="4">
        <f t="shared" si="38"/>
        <v>584.48999999998682</v>
      </c>
      <c r="C1455" s="199">
        <v>453.81121785703158</v>
      </c>
      <c r="D1455" s="7"/>
    </row>
    <row r="1456" spans="2:4" x14ac:dyDescent="0.25">
      <c r="B1456" s="4">
        <f t="shared" si="38"/>
        <v>584.49999999998681</v>
      </c>
      <c r="C1456" s="199">
        <v>453.97420212666242</v>
      </c>
      <c r="D1456" s="7"/>
    </row>
    <row r="1457" spans="2:4" x14ac:dyDescent="0.25">
      <c r="B1457" s="4">
        <f t="shared" si="38"/>
        <v>584.5099999999868</v>
      </c>
      <c r="C1457" s="199">
        <v>454.13718639629235</v>
      </c>
      <c r="D1457" s="7"/>
    </row>
    <row r="1458" spans="2:4" x14ac:dyDescent="0.25">
      <c r="B1458" s="4">
        <f t="shared" si="38"/>
        <v>584.51999999998679</v>
      </c>
      <c r="C1458" s="199">
        <v>454.30037758067169</v>
      </c>
      <c r="D1458" s="7"/>
    </row>
    <row r="1459" spans="2:4" x14ac:dyDescent="0.25">
      <c r="B1459" s="4">
        <f t="shared" si="38"/>
        <v>584.52999999998679</v>
      </c>
      <c r="C1459" s="199">
        <v>454.46356876505422</v>
      </c>
      <c r="D1459" s="7"/>
    </row>
    <row r="1460" spans="2:4" x14ac:dyDescent="0.25">
      <c r="B1460" s="4">
        <f t="shared" si="38"/>
        <v>584.53999999998678</v>
      </c>
      <c r="C1460" s="199">
        <v>454.6267599494364</v>
      </c>
      <c r="D1460" s="7"/>
    </row>
    <row r="1461" spans="2:4" x14ac:dyDescent="0.25">
      <c r="B1461" s="4">
        <f t="shared" si="38"/>
        <v>584.54999999998677</v>
      </c>
      <c r="C1461" s="199">
        <v>454.78995113381887</v>
      </c>
      <c r="D1461" s="7"/>
    </row>
    <row r="1462" spans="2:4" x14ac:dyDescent="0.25">
      <c r="B1462" s="4">
        <f t="shared" si="38"/>
        <v>584.55999999998676</v>
      </c>
      <c r="C1462" s="199">
        <v>454.95314231820129</v>
      </c>
      <c r="D1462" s="7"/>
    </row>
    <row r="1463" spans="2:4" x14ac:dyDescent="0.25">
      <c r="B1463" s="4">
        <f t="shared" si="38"/>
        <v>584.56999999998675</v>
      </c>
      <c r="C1463" s="199">
        <v>455.11633350258353</v>
      </c>
      <c r="D1463" s="7"/>
    </row>
    <row r="1464" spans="2:4" x14ac:dyDescent="0.25">
      <c r="B1464" s="4">
        <f t="shared" si="38"/>
        <v>584.57999999998674</v>
      </c>
      <c r="C1464" s="199">
        <v>455.27952468696651</v>
      </c>
      <c r="D1464" s="7"/>
    </row>
    <row r="1465" spans="2:4" x14ac:dyDescent="0.25">
      <c r="B1465" s="4">
        <f t="shared" si="38"/>
        <v>584.58999999998673</v>
      </c>
      <c r="C1465" s="199">
        <v>455.44271587134898</v>
      </c>
      <c r="D1465" s="7"/>
    </row>
    <row r="1466" spans="2:4" x14ac:dyDescent="0.25">
      <c r="B1466" s="4">
        <f t="shared" si="38"/>
        <v>584.59999999998672</v>
      </c>
      <c r="C1466" s="199">
        <v>455.60590705573117</v>
      </c>
      <c r="D1466" s="7"/>
    </row>
    <row r="1467" spans="2:4" x14ac:dyDescent="0.25">
      <c r="B1467" s="4">
        <f t="shared" si="38"/>
        <v>584.60999999998671</v>
      </c>
      <c r="C1467" s="199">
        <v>455.76909824011364</v>
      </c>
      <c r="D1467" s="7"/>
    </row>
    <row r="1468" spans="2:4" x14ac:dyDescent="0.25">
      <c r="B1468" s="4">
        <f t="shared" si="38"/>
        <v>584.6199999999867</v>
      </c>
      <c r="C1468" s="199">
        <v>455.93249891697377</v>
      </c>
      <c r="D1468" s="7"/>
    </row>
    <row r="1469" spans="2:4" x14ac:dyDescent="0.25">
      <c r="B1469" s="4">
        <f t="shared" si="38"/>
        <v>584.62999999998669</v>
      </c>
      <c r="C1469" s="199">
        <v>456.09589959383277</v>
      </c>
      <c r="D1469" s="7"/>
    </row>
    <row r="1470" spans="2:4" x14ac:dyDescent="0.25">
      <c r="B1470" s="4">
        <f t="shared" si="38"/>
        <v>584.63999999998668</v>
      </c>
      <c r="C1470" s="199">
        <v>456.25930027069262</v>
      </c>
      <c r="D1470" s="7"/>
    </row>
    <row r="1471" spans="2:4" x14ac:dyDescent="0.25">
      <c r="B1471" s="4">
        <f t="shared" si="38"/>
        <v>584.64999999998668</v>
      </c>
      <c r="C1471" s="199">
        <v>456.42270094755258</v>
      </c>
      <c r="D1471" s="7"/>
    </row>
    <row r="1472" spans="2:4" x14ac:dyDescent="0.25">
      <c r="B1472" s="4">
        <f t="shared" si="38"/>
        <v>584.65999999998667</v>
      </c>
      <c r="C1472" s="199">
        <v>456.58610162441278</v>
      </c>
      <c r="D1472" s="7"/>
    </row>
    <row r="1473" spans="2:4" x14ac:dyDescent="0.25">
      <c r="B1473" s="4">
        <f t="shared" si="38"/>
        <v>584.66999999998666</v>
      </c>
      <c r="C1473" s="199">
        <v>456.74950230127263</v>
      </c>
      <c r="D1473" s="7"/>
    </row>
    <row r="1474" spans="2:4" x14ac:dyDescent="0.25">
      <c r="B1474" s="4">
        <f t="shared" si="38"/>
        <v>584.67999999998665</v>
      </c>
      <c r="C1474" s="199">
        <v>456.91290297813163</v>
      </c>
      <c r="D1474" s="7"/>
    </row>
    <row r="1475" spans="2:4" x14ac:dyDescent="0.25">
      <c r="B1475" s="4">
        <f t="shared" si="38"/>
        <v>584.68999999998664</v>
      </c>
      <c r="C1475" s="199">
        <v>457.07630365499153</v>
      </c>
      <c r="D1475" s="7"/>
    </row>
    <row r="1476" spans="2:4" x14ac:dyDescent="0.25">
      <c r="B1476" s="4">
        <f t="shared" si="38"/>
        <v>584.69999999998663</v>
      </c>
      <c r="C1476" s="199">
        <v>457.23970433185144</v>
      </c>
      <c r="D1476" s="7"/>
    </row>
    <row r="1477" spans="2:4" x14ac:dyDescent="0.25">
      <c r="B1477" s="4">
        <f t="shared" si="38"/>
        <v>584.70999999998662</v>
      </c>
      <c r="C1477" s="199">
        <v>457.40310500871203</v>
      </c>
      <c r="D1477" s="7"/>
    </row>
    <row r="1478" spans="2:4" x14ac:dyDescent="0.25">
      <c r="B1478" s="4">
        <f t="shared" si="38"/>
        <v>584.71999999998661</v>
      </c>
      <c r="C1478" s="199">
        <v>457.56672211069468</v>
      </c>
      <c r="D1478" s="7"/>
    </row>
    <row r="1479" spans="2:4" x14ac:dyDescent="0.25">
      <c r="B1479" s="4">
        <f t="shared" si="38"/>
        <v>584.7299999999866</v>
      </c>
      <c r="C1479" s="199">
        <v>457.73033921268183</v>
      </c>
      <c r="D1479" s="7"/>
    </row>
    <row r="1480" spans="2:4" x14ac:dyDescent="0.25">
      <c r="B1480" s="4">
        <f t="shared" ref="B1480:B1543" si="39">+B1479+0.01</f>
        <v>584.73999999998659</v>
      </c>
      <c r="C1480" s="199">
        <v>457.89395631466914</v>
      </c>
      <c r="D1480" s="7"/>
    </row>
    <row r="1481" spans="2:4" x14ac:dyDescent="0.25">
      <c r="B1481" s="4">
        <f t="shared" si="39"/>
        <v>584.74999999998658</v>
      </c>
      <c r="C1481" s="199">
        <v>458.05757341665708</v>
      </c>
      <c r="D1481" s="7"/>
    </row>
    <row r="1482" spans="2:4" x14ac:dyDescent="0.25">
      <c r="B1482" s="4">
        <f t="shared" si="39"/>
        <v>584.75999999998658</v>
      </c>
      <c r="C1482" s="199">
        <v>458.2211905186432</v>
      </c>
      <c r="D1482" s="7"/>
    </row>
    <row r="1483" spans="2:4" x14ac:dyDescent="0.25">
      <c r="B1483" s="4">
        <f t="shared" si="39"/>
        <v>584.76999999998657</v>
      </c>
      <c r="C1483" s="199">
        <v>458.38480762063062</v>
      </c>
      <c r="D1483" s="7"/>
    </row>
    <row r="1484" spans="2:4" x14ac:dyDescent="0.25">
      <c r="B1484" s="4">
        <f t="shared" si="39"/>
        <v>584.77999999998656</v>
      </c>
      <c r="C1484" s="199">
        <v>458.54842472261765</v>
      </c>
      <c r="D1484" s="7"/>
    </row>
    <row r="1485" spans="2:4" x14ac:dyDescent="0.25">
      <c r="B1485" s="4">
        <f t="shared" si="39"/>
        <v>584.78999999998655</v>
      </c>
      <c r="C1485" s="199">
        <v>458.71204182460508</v>
      </c>
      <c r="D1485" s="7"/>
    </row>
    <row r="1486" spans="2:4" x14ac:dyDescent="0.25">
      <c r="B1486" s="4">
        <f t="shared" si="39"/>
        <v>584.79999999998654</v>
      </c>
      <c r="C1486" s="199">
        <v>458.87565892659228</v>
      </c>
      <c r="D1486" s="7"/>
    </row>
    <row r="1487" spans="2:4" x14ac:dyDescent="0.25">
      <c r="B1487" s="4">
        <f t="shared" si="39"/>
        <v>584.80999999998653</v>
      </c>
      <c r="C1487" s="199">
        <v>459.03927602857959</v>
      </c>
      <c r="D1487" s="7"/>
    </row>
    <row r="1488" spans="2:4" x14ac:dyDescent="0.25">
      <c r="B1488" s="4">
        <f t="shared" si="39"/>
        <v>584.81999999998652</v>
      </c>
      <c r="C1488" s="199">
        <v>459.20311474274996</v>
      </c>
      <c r="D1488" s="7"/>
    </row>
    <row r="1489" spans="2:4" x14ac:dyDescent="0.25">
      <c r="B1489" s="4">
        <f t="shared" si="39"/>
        <v>584.82999999998651</v>
      </c>
      <c r="C1489" s="199">
        <v>459.36695345692056</v>
      </c>
      <c r="D1489" s="7"/>
    </row>
    <row r="1490" spans="2:4" x14ac:dyDescent="0.25">
      <c r="B1490" s="4">
        <f t="shared" si="39"/>
        <v>584.8399999999865</v>
      </c>
      <c r="C1490" s="199">
        <v>459.53079217108979</v>
      </c>
      <c r="D1490" s="7"/>
    </row>
    <row r="1491" spans="2:4" x14ac:dyDescent="0.25">
      <c r="B1491" s="4">
        <f t="shared" si="39"/>
        <v>584.84999999998649</v>
      </c>
      <c r="C1491" s="199">
        <v>459.69463088525993</v>
      </c>
      <c r="D1491" s="7"/>
    </row>
    <row r="1492" spans="2:4" x14ac:dyDescent="0.25">
      <c r="B1492" s="4">
        <f t="shared" si="39"/>
        <v>584.85999999998648</v>
      </c>
      <c r="C1492" s="199">
        <v>459.85846959942921</v>
      </c>
      <c r="D1492" s="7"/>
    </row>
    <row r="1493" spans="2:4" x14ac:dyDescent="0.25">
      <c r="B1493" s="4">
        <f t="shared" si="39"/>
        <v>584.86999999998648</v>
      </c>
      <c r="C1493" s="199">
        <v>460.02230831359941</v>
      </c>
      <c r="D1493" s="7"/>
    </row>
    <row r="1494" spans="2:4" x14ac:dyDescent="0.25">
      <c r="B1494" s="4">
        <f t="shared" si="39"/>
        <v>584.87999999998647</v>
      </c>
      <c r="C1494" s="199">
        <v>460.18614702776858</v>
      </c>
      <c r="D1494" s="7"/>
    </row>
    <row r="1495" spans="2:4" x14ac:dyDescent="0.25">
      <c r="B1495" s="4">
        <f t="shared" si="39"/>
        <v>584.88999999998646</v>
      </c>
      <c r="C1495" s="199">
        <v>460.34998574193878</v>
      </c>
      <c r="D1495" s="7"/>
    </row>
    <row r="1496" spans="2:4" x14ac:dyDescent="0.25">
      <c r="B1496" s="4">
        <f t="shared" si="39"/>
        <v>584.89999999998645</v>
      </c>
      <c r="C1496" s="199">
        <v>460.51382445610898</v>
      </c>
      <c r="D1496" s="7"/>
    </row>
    <row r="1497" spans="2:4" x14ac:dyDescent="0.25">
      <c r="B1497" s="4">
        <f t="shared" si="39"/>
        <v>584.90999999998644</v>
      </c>
      <c r="C1497" s="199">
        <v>460.67766317027821</v>
      </c>
      <c r="D1497" s="7"/>
    </row>
    <row r="1498" spans="2:4" x14ac:dyDescent="0.25">
      <c r="B1498" s="4">
        <f t="shared" si="39"/>
        <v>584.91999999998643</v>
      </c>
      <c r="C1498" s="199">
        <v>460.84172154213093</v>
      </c>
      <c r="D1498" s="7"/>
    </row>
    <row r="1499" spans="2:4" x14ac:dyDescent="0.25">
      <c r="B1499" s="4">
        <f t="shared" si="39"/>
        <v>584.92999999998642</v>
      </c>
      <c r="C1499" s="199">
        <v>461.00577991398751</v>
      </c>
      <c r="D1499" s="7"/>
    </row>
    <row r="1500" spans="2:4" x14ac:dyDescent="0.25">
      <c r="B1500" s="4">
        <f t="shared" si="39"/>
        <v>584.93999999998641</v>
      </c>
      <c r="C1500" s="199">
        <v>461.16983828584483</v>
      </c>
      <c r="D1500" s="7"/>
    </row>
    <row r="1501" spans="2:4" x14ac:dyDescent="0.25">
      <c r="B1501" s="4">
        <f t="shared" si="39"/>
        <v>584.9499999999864</v>
      </c>
      <c r="C1501" s="199">
        <v>461.33389665770164</v>
      </c>
      <c r="D1501" s="7"/>
    </row>
    <row r="1502" spans="2:4" x14ac:dyDescent="0.25">
      <c r="B1502" s="4">
        <f t="shared" si="39"/>
        <v>584.95999999998639</v>
      </c>
      <c r="C1502" s="199">
        <v>461.49795502955942</v>
      </c>
      <c r="D1502" s="7"/>
    </row>
    <row r="1503" spans="2:4" x14ac:dyDescent="0.25">
      <c r="B1503" s="4">
        <f t="shared" si="39"/>
        <v>584.96999999998638</v>
      </c>
      <c r="C1503" s="199">
        <v>461.662013401416</v>
      </c>
      <c r="D1503" s="7"/>
    </row>
    <row r="1504" spans="2:4" x14ac:dyDescent="0.25">
      <c r="B1504" s="4">
        <f t="shared" si="39"/>
        <v>584.97999999998638</v>
      </c>
      <c r="C1504" s="199">
        <v>461.82607177327287</v>
      </c>
      <c r="D1504" s="7"/>
    </row>
    <row r="1505" spans="2:4" x14ac:dyDescent="0.25">
      <c r="B1505" s="4">
        <f t="shared" si="39"/>
        <v>584.98999999998637</v>
      </c>
      <c r="C1505" s="199">
        <v>461.99013014512963</v>
      </c>
      <c r="D1505" s="7"/>
    </row>
    <row r="1506" spans="2:4" x14ac:dyDescent="0.25">
      <c r="B1506" s="4">
        <f t="shared" si="39"/>
        <v>584.99999999998636</v>
      </c>
      <c r="C1506" s="199">
        <v>462.15418851698649</v>
      </c>
      <c r="D1506" s="7"/>
    </row>
    <row r="1507" spans="2:4" x14ac:dyDescent="0.25">
      <c r="B1507" s="4">
        <f t="shared" si="39"/>
        <v>585.00999999998635</v>
      </c>
      <c r="C1507" s="199">
        <v>462.31824688884308</v>
      </c>
      <c r="D1507" s="7"/>
    </row>
    <row r="1508" spans="2:4" x14ac:dyDescent="0.25">
      <c r="B1508" s="4">
        <f t="shared" si="39"/>
        <v>585.01999999998634</v>
      </c>
      <c r="C1508" s="199">
        <v>462.48252506646486</v>
      </c>
      <c r="D1508" s="7"/>
    </row>
    <row r="1509" spans="2:4" x14ac:dyDescent="0.25">
      <c r="B1509" s="4">
        <f t="shared" si="39"/>
        <v>585.02999999998633</v>
      </c>
      <c r="C1509" s="199">
        <v>462.64680324408567</v>
      </c>
      <c r="D1509" s="7"/>
    </row>
    <row r="1510" spans="2:4" x14ac:dyDescent="0.25">
      <c r="B1510" s="4">
        <f t="shared" si="39"/>
        <v>585.03999999998632</v>
      </c>
      <c r="C1510" s="199">
        <v>462.81108142170541</v>
      </c>
      <c r="D1510" s="7"/>
    </row>
    <row r="1511" spans="2:4" x14ac:dyDescent="0.25">
      <c r="B1511" s="4">
        <f t="shared" si="39"/>
        <v>585.04999999998631</v>
      </c>
      <c r="C1511" s="199">
        <v>462.97535959932605</v>
      </c>
      <c r="D1511" s="7"/>
    </row>
    <row r="1512" spans="2:4" x14ac:dyDescent="0.25">
      <c r="B1512" s="4">
        <f t="shared" si="39"/>
        <v>585.0599999999863</v>
      </c>
      <c r="C1512" s="199">
        <v>463.13963777694681</v>
      </c>
      <c r="D1512" s="7"/>
    </row>
    <row r="1513" spans="2:4" x14ac:dyDescent="0.25">
      <c r="B1513" s="4">
        <f t="shared" si="39"/>
        <v>585.06999999998629</v>
      </c>
      <c r="C1513" s="199">
        <v>463.30391595456751</v>
      </c>
      <c r="D1513" s="7"/>
    </row>
    <row r="1514" spans="2:4" x14ac:dyDescent="0.25">
      <c r="B1514" s="4">
        <f t="shared" si="39"/>
        <v>585.07999999998628</v>
      </c>
      <c r="C1514" s="199">
        <v>463.4681941321881</v>
      </c>
      <c r="D1514" s="7"/>
    </row>
    <row r="1515" spans="2:4" x14ac:dyDescent="0.25">
      <c r="B1515" s="4">
        <f t="shared" si="39"/>
        <v>585.08999999998628</v>
      </c>
      <c r="C1515" s="199">
        <v>463.63247230980897</v>
      </c>
      <c r="D1515" s="7"/>
    </row>
    <row r="1516" spans="2:4" x14ac:dyDescent="0.25">
      <c r="B1516" s="4">
        <f t="shared" si="39"/>
        <v>585.09999999998627</v>
      </c>
      <c r="C1516" s="199">
        <v>463.79675048742956</v>
      </c>
      <c r="D1516" s="7"/>
    </row>
    <row r="1517" spans="2:4" x14ac:dyDescent="0.25">
      <c r="B1517" s="4">
        <f t="shared" si="39"/>
        <v>585.10999999998626</v>
      </c>
      <c r="C1517" s="199">
        <v>463.96102866505015</v>
      </c>
      <c r="D1517" s="7"/>
    </row>
    <row r="1518" spans="2:4" x14ac:dyDescent="0.25">
      <c r="B1518" s="4">
        <f t="shared" si="39"/>
        <v>585.11999999998625</v>
      </c>
      <c r="C1518" s="199">
        <v>464.12552619649728</v>
      </c>
      <c r="D1518" s="7"/>
    </row>
    <row r="1519" spans="2:4" x14ac:dyDescent="0.25">
      <c r="B1519" s="4">
        <f t="shared" si="39"/>
        <v>585.12999999998624</v>
      </c>
      <c r="C1519" s="199">
        <v>464.29002372794787</v>
      </c>
      <c r="D1519" s="7"/>
    </row>
    <row r="1520" spans="2:4" x14ac:dyDescent="0.25">
      <c r="B1520" s="4">
        <f t="shared" si="39"/>
        <v>585.13999999998623</v>
      </c>
      <c r="C1520" s="199">
        <v>464.45452125939818</v>
      </c>
      <c r="D1520" s="7"/>
    </row>
    <row r="1521" spans="2:4" x14ac:dyDescent="0.25">
      <c r="B1521" s="4">
        <f t="shared" si="39"/>
        <v>585.14999999998622</v>
      </c>
      <c r="C1521" s="199">
        <v>464.61901879084735</v>
      </c>
      <c r="D1521" s="7"/>
    </row>
    <row r="1522" spans="2:4" x14ac:dyDescent="0.25">
      <c r="B1522" s="4">
        <f t="shared" si="39"/>
        <v>585.15999999998621</v>
      </c>
      <c r="C1522" s="199">
        <v>464.78351632229817</v>
      </c>
      <c r="D1522" s="7"/>
    </row>
    <row r="1523" spans="2:4" x14ac:dyDescent="0.25">
      <c r="B1523" s="4">
        <f t="shared" si="39"/>
        <v>585.1699999999862</v>
      </c>
      <c r="C1523" s="199">
        <v>464.94801385374825</v>
      </c>
      <c r="D1523" s="7"/>
    </row>
    <row r="1524" spans="2:4" x14ac:dyDescent="0.25">
      <c r="B1524" s="4">
        <f t="shared" si="39"/>
        <v>585.17999999998619</v>
      </c>
      <c r="C1524" s="199">
        <v>465.11251138519907</v>
      </c>
      <c r="D1524" s="7"/>
    </row>
    <row r="1525" spans="2:4" x14ac:dyDescent="0.25">
      <c r="B1525" s="4">
        <f t="shared" si="39"/>
        <v>585.18999999998618</v>
      </c>
      <c r="C1525" s="199">
        <v>465.27700891664824</v>
      </c>
      <c r="D1525" s="7"/>
    </row>
    <row r="1526" spans="2:4" x14ac:dyDescent="0.25">
      <c r="B1526" s="4">
        <f t="shared" si="39"/>
        <v>585.19999999998618</v>
      </c>
      <c r="C1526" s="199">
        <v>465.44150644809855</v>
      </c>
      <c r="D1526" s="7"/>
    </row>
    <row r="1527" spans="2:4" x14ac:dyDescent="0.25">
      <c r="B1527" s="4">
        <f t="shared" si="39"/>
        <v>585.20999999998617</v>
      </c>
      <c r="C1527" s="199">
        <v>465.60600397954914</v>
      </c>
      <c r="D1527" s="7"/>
    </row>
    <row r="1528" spans="2:4" x14ac:dyDescent="0.25">
      <c r="B1528" s="4">
        <f t="shared" si="39"/>
        <v>585.21999999998616</v>
      </c>
      <c r="C1528" s="199">
        <v>465.77072221978966</v>
      </c>
      <c r="D1528" s="7"/>
    </row>
    <row r="1529" spans="2:4" x14ac:dyDescent="0.25">
      <c r="B1529" s="4">
        <f t="shared" si="39"/>
        <v>585.22999999998615</v>
      </c>
      <c r="C1529" s="199">
        <v>465.93544046003092</v>
      </c>
      <c r="D1529" s="7"/>
    </row>
    <row r="1530" spans="2:4" x14ac:dyDescent="0.25">
      <c r="B1530" s="4">
        <f t="shared" si="39"/>
        <v>585.23999999998614</v>
      </c>
      <c r="C1530" s="199">
        <v>466.10015870027149</v>
      </c>
      <c r="D1530" s="7"/>
    </row>
    <row r="1531" spans="2:4" x14ac:dyDescent="0.25">
      <c r="B1531" s="4">
        <f t="shared" si="39"/>
        <v>585.24999999998613</v>
      </c>
      <c r="C1531" s="199">
        <v>466.26487694051207</v>
      </c>
      <c r="D1531" s="7"/>
    </row>
    <row r="1532" spans="2:4" x14ac:dyDescent="0.25">
      <c r="B1532" s="4">
        <f t="shared" si="39"/>
        <v>585.25999999998612</v>
      </c>
      <c r="C1532" s="199">
        <v>466.42959518075287</v>
      </c>
      <c r="D1532" s="7"/>
    </row>
    <row r="1533" spans="2:4" x14ac:dyDescent="0.25">
      <c r="B1533" s="4">
        <f t="shared" si="39"/>
        <v>585.26999999998611</v>
      </c>
      <c r="C1533" s="199">
        <v>466.59431342099339</v>
      </c>
      <c r="D1533" s="7"/>
    </row>
    <row r="1534" spans="2:4" x14ac:dyDescent="0.25">
      <c r="B1534" s="4">
        <f t="shared" si="39"/>
        <v>585.2799999999861</v>
      </c>
      <c r="C1534" s="199">
        <v>466.75903166123396</v>
      </c>
      <c r="D1534" s="7"/>
    </row>
    <row r="1535" spans="2:4" x14ac:dyDescent="0.25">
      <c r="B1535" s="4">
        <f t="shared" si="39"/>
        <v>585.28999999998609</v>
      </c>
      <c r="C1535" s="199">
        <v>466.92374990147522</v>
      </c>
      <c r="D1535" s="7"/>
    </row>
    <row r="1536" spans="2:4" x14ac:dyDescent="0.25">
      <c r="B1536" s="4">
        <f t="shared" si="39"/>
        <v>585.29999999998608</v>
      </c>
      <c r="C1536" s="199">
        <v>467.08846814171676</v>
      </c>
      <c r="D1536" s="7"/>
    </row>
    <row r="1537" spans="2:4" x14ac:dyDescent="0.25">
      <c r="B1537" s="4">
        <f t="shared" si="39"/>
        <v>585.30999999998608</v>
      </c>
      <c r="C1537" s="199">
        <v>467.25318638195733</v>
      </c>
      <c r="D1537" s="7"/>
    </row>
    <row r="1538" spans="2:4" x14ac:dyDescent="0.25">
      <c r="B1538" s="4">
        <f t="shared" si="39"/>
        <v>585.31999999998607</v>
      </c>
      <c r="C1538" s="199">
        <v>467.41813003485322</v>
      </c>
      <c r="D1538" s="7"/>
    </row>
    <row r="1539" spans="2:4" x14ac:dyDescent="0.25">
      <c r="B1539" s="4">
        <f t="shared" si="39"/>
        <v>585.32999999998606</v>
      </c>
      <c r="C1539" s="199">
        <v>467.58307368775394</v>
      </c>
      <c r="D1539" s="7"/>
    </row>
    <row r="1540" spans="2:4" x14ac:dyDescent="0.25">
      <c r="B1540" s="4">
        <f t="shared" si="39"/>
        <v>585.33999999998605</v>
      </c>
      <c r="C1540" s="199">
        <v>467.74801734065579</v>
      </c>
      <c r="D1540" s="7"/>
    </row>
    <row r="1541" spans="2:4" x14ac:dyDescent="0.25">
      <c r="B1541" s="4">
        <f t="shared" si="39"/>
        <v>585.34999999998604</v>
      </c>
      <c r="C1541" s="199">
        <v>467.91296099355657</v>
      </c>
      <c r="D1541" s="7"/>
    </row>
    <row r="1542" spans="2:4" x14ac:dyDescent="0.25">
      <c r="B1542" s="4">
        <f t="shared" si="39"/>
        <v>585.35999999998603</v>
      </c>
      <c r="C1542" s="199">
        <v>468.07790464645728</v>
      </c>
      <c r="D1542" s="7"/>
    </row>
    <row r="1543" spans="2:4" x14ac:dyDescent="0.25">
      <c r="B1543" s="4">
        <f t="shared" si="39"/>
        <v>585.36999999998602</v>
      </c>
      <c r="C1543" s="199">
        <v>468.24284829935874</v>
      </c>
      <c r="D1543" s="7"/>
    </row>
    <row r="1544" spans="2:4" x14ac:dyDescent="0.25">
      <c r="B1544" s="4">
        <f t="shared" ref="B1544:B1607" si="40">+B1543+0.01</f>
        <v>585.37999999998601</v>
      </c>
      <c r="C1544" s="199">
        <v>468.40779195225946</v>
      </c>
      <c r="D1544" s="7"/>
    </row>
    <row r="1545" spans="2:4" x14ac:dyDescent="0.25">
      <c r="B1545" s="4">
        <f t="shared" si="40"/>
        <v>585.389999999986</v>
      </c>
      <c r="C1545" s="199">
        <v>468.57273560516114</v>
      </c>
      <c r="D1545" s="7"/>
    </row>
    <row r="1546" spans="2:4" x14ac:dyDescent="0.25">
      <c r="B1546" s="4">
        <f t="shared" si="40"/>
        <v>585.39999999998599</v>
      </c>
      <c r="C1546" s="199">
        <v>468.7376792580618</v>
      </c>
      <c r="D1546" s="7"/>
    </row>
    <row r="1547" spans="2:4" x14ac:dyDescent="0.25">
      <c r="B1547" s="4">
        <f t="shared" si="40"/>
        <v>585.40999999998598</v>
      </c>
      <c r="C1547" s="199">
        <v>468.9026229109628</v>
      </c>
      <c r="D1547" s="7"/>
    </row>
    <row r="1548" spans="2:4" x14ac:dyDescent="0.25">
      <c r="B1548" s="4">
        <f t="shared" si="40"/>
        <v>585.41999999998598</v>
      </c>
      <c r="C1548" s="199">
        <v>469.06779508889542</v>
      </c>
      <c r="D1548" s="7"/>
    </row>
    <row r="1549" spans="2:4" x14ac:dyDescent="0.25">
      <c r="B1549" s="4">
        <f t="shared" si="40"/>
        <v>585.42999999998597</v>
      </c>
      <c r="C1549" s="199">
        <v>469.23296726682651</v>
      </c>
      <c r="D1549" s="7"/>
    </row>
    <row r="1550" spans="2:4" x14ac:dyDescent="0.25">
      <c r="B1550" s="4">
        <f t="shared" si="40"/>
        <v>585.43999999998596</v>
      </c>
      <c r="C1550" s="199">
        <v>469.39813944475776</v>
      </c>
      <c r="D1550" s="7"/>
    </row>
    <row r="1551" spans="2:4" x14ac:dyDescent="0.25">
      <c r="B1551" s="4">
        <f t="shared" si="40"/>
        <v>585.44999999998595</v>
      </c>
      <c r="C1551" s="199">
        <v>469.56331162269032</v>
      </c>
      <c r="D1551" s="7"/>
    </row>
    <row r="1552" spans="2:4" x14ac:dyDescent="0.25">
      <c r="B1552" s="4">
        <f t="shared" si="40"/>
        <v>585.45999999998594</v>
      </c>
      <c r="C1552" s="199">
        <v>469.72848380062135</v>
      </c>
      <c r="D1552" s="7"/>
    </row>
    <row r="1553" spans="2:4" x14ac:dyDescent="0.25">
      <c r="B1553" s="4">
        <f t="shared" si="40"/>
        <v>585.46999999998593</v>
      </c>
      <c r="C1553" s="199">
        <v>469.89365597855272</v>
      </c>
      <c r="D1553" s="7"/>
    </row>
    <row r="1554" spans="2:4" x14ac:dyDescent="0.25">
      <c r="B1554" s="4">
        <f t="shared" si="40"/>
        <v>585.47999999998592</v>
      </c>
      <c r="C1554" s="199">
        <v>470.05882815648425</v>
      </c>
      <c r="D1554" s="7"/>
    </row>
    <row r="1555" spans="2:4" x14ac:dyDescent="0.25">
      <c r="B1555" s="4">
        <f t="shared" si="40"/>
        <v>585.48999999998591</v>
      </c>
      <c r="C1555" s="199">
        <v>470.22400033441625</v>
      </c>
      <c r="D1555" s="7"/>
    </row>
    <row r="1556" spans="2:4" x14ac:dyDescent="0.25">
      <c r="B1556" s="4">
        <f t="shared" si="40"/>
        <v>585.4999999999859</v>
      </c>
      <c r="C1556" s="199">
        <v>470.38917251234756</v>
      </c>
      <c r="D1556" s="7"/>
    </row>
    <row r="1557" spans="2:4" x14ac:dyDescent="0.25">
      <c r="B1557" s="4">
        <f t="shared" si="40"/>
        <v>585.50999999998589</v>
      </c>
      <c r="C1557" s="199">
        <v>470.55434469027909</v>
      </c>
      <c r="D1557" s="7"/>
    </row>
    <row r="1558" spans="2:4" x14ac:dyDescent="0.25">
      <c r="B1558" s="4">
        <f t="shared" si="40"/>
        <v>585.51999999998588</v>
      </c>
      <c r="C1558" s="199">
        <v>470.71974858781226</v>
      </c>
      <c r="D1558" s="7"/>
    </row>
    <row r="1559" spans="2:4" x14ac:dyDescent="0.25">
      <c r="B1559" s="4">
        <f t="shared" si="40"/>
        <v>585.52999999998588</v>
      </c>
      <c r="C1559" s="199">
        <v>470.88515248535009</v>
      </c>
      <c r="D1559" s="7"/>
    </row>
    <row r="1560" spans="2:4" x14ac:dyDescent="0.25">
      <c r="B1560" s="4">
        <f t="shared" si="40"/>
        <v>585.53999999998587</v>
      </c>
      <c r="C1560" s="199">
        <v>471.05055638288741</v>
      </c>
      <c r="D1560" s="7"/>
    </row>
    <row r="1561" spans="2:4" x14ac:dyDescent="0.25">
      <c r="B1561" s="4">
        <f t="shared" si="40"/>
        <v>585.54999999998586</v>
      </c>
      <c r="C1561" s="199">
        <v>471.21596028042467</v>
      </c>
      <c r="D1561" s="7"/>
    </row>
    <row r="1562" spans="2:4" x14ac:dyDescent="0.25">
      <c r="B1562" s="4">
        <f t="shared" si="40"/>
        <v>585.55999999998585</v>
      </c>
      <c r="C1562" s="199">
        <v>471.38136417796272</v>
      </c>
      <c r="D1562" s="7"/>
    </row>
    <row r="1563" spans="2:4" x14ac:dyDescent="0.25">
      <c r="B1563" s="4">
        <f t="shared" si="40"/>
        <v>585.56999999998584</v>
      </c>
      <c r="C1563" s="199">
        <v>471.54676807550004</v>
      </c>
      <c r="D1563" s="7"/>
    </row>
    <row r="1564" spans="2:4" x14ac:dyDescent="0.25">
      <c r="B1564" s="4">
        <f t="shared" si="40"/>
        <v>585.57999999998583</v>
      </c>
      <c r="C1564" s="199">
        <v>471.71217197303736</v>
      </c>
      <c r="D1564" s="7"/>
    </row>
    <row r="1565" spans="2:4" x14ac:dyDescent="0.25">
      <c r="B1565" s="4">
        <f t="shared" si="40"/>
        <v>585.58999999998582</v>
      </c>
      <c r="C1565" s="199">
        <v>471.87757587057513</v>
      </c>
      <c r="D1565" s="7"/>
    </row>
    <row r="1566" spans="2:4" x14ac:dyDescent="0.25">
      <c r="B1566" s="4">
        <f t="shared" si="40"/>
        <v>585.59999999998581</v>
      </c>
      <c r="C1566" s="199">
        <v>472.04297976811154</v>
      </c>
      <c r="D1566" s="7"/>
    </row>
    <row r="1567" spans="2:4" x14ac:dyDescent="0.25">
      <c r="B1567" s="4">
        <f t="shared" si="40"/>
        <v>585.6099999999858</v>
      </c>
      <c r="C1567" s="199">
        <v>472.20838366564885</v>
      </c>
      <c r="D1567" s="7"/>
    </row>
    <row r="1568" spans="2:4" x14ac:dyDescent="0.25">
      <c r="B1568" s="4">
        <f t="shared" si="40"/>
        <v>585.61999999998579</v>
      </c>
      <c r="C1568" s="199">
        <v>472.37402209985771</v>
      </c>
      <c r="D1568" s="7"/>
    </row>
    <row r="1569" spans="2:4" x14ac:dyDescent="0.25">
      <c r="B1569" s="4">
        <f t="shared" si="40"/>
        <v>585.62999999998578</v>
      </c>
      <c r="C1569" s="199">
        <v>472.53966053406651</v>
      </c>
      <c r="D1569" s="7"/>
    </row>
    <row r="1570" spans="2:4" x14ac:dyDescent="0.25">
      <c r="B1570" s="4">
        <f t="shared" si="40"/>
        <v>585.63999999998578</v>
      </c>
      <c r="C1570" s="199">
        <v>472.70529896827429</v>
      </c>
      <c r="D1570" s="7"/>
    </row>
    <row r="1571" spans="2:4" x14ac:dyDescent="0.25">
      <c r="B1571" s="4">
        <f t="shared" si="40"/>
        <v>585.64999999998577</v>
      </c>
      <c r="C1571" s="199">
        <v>472.87093740248309</v>
      </c>
      <c r="D1571" s="7"/>
    </row>
    <row r="1572" spans="2:4" x14ac:dyDescent="0.25">
      <c r="B1572" s="4">
        <f t="shared" si="40"/>
        <v>585.65999999998576</v>
      </c>
      <c r="C1572" s="199">
        <v>473.03657583669241</v>
      </c>
      <c r="D1572" s="7"/>
    </row>
    <row r="1573" spans="2:4" x14ac:dyDescent="0.25">
      <c r="B1573" s="4">
        <f t="shared" si="40"/>
        <v>585.66999999998575</v>
      </c>
      <c r="C1573" s="199">
        <v>473.20221427090036</v>
      </c>
      <c r="D1573" s="7"/>
    </row>
    <row r="1574" spans="2:4" x14ac:dyDescent="0.25">
      <c r="B1574" s="4">
        <f t="shared" si="40"/>
        <v>585.67999999998574</v>
      </c>
      <c r="C1574" s="199">
        <v>473.36785270510899</v>
      </c>
      <c r="D1574" s="7"/>
    </row>
    <row r="1575" spans="2:4" x14ac:dyDescent="0.25">
      <c r="B1575" s="4">
        <f t="shared" si="40"/>
        <v>585.68999999998573</v>
      </c>
      <c r="C1575" s="199">
        <v>473.53349113931688</v>
      </c>
      <c r="D1575" s="7"/>
    </row>
    <row r="1576" spans="2:4" x14ac:dyDescent="0.25">
      <c r="B1576" s="4">
        <f t="shared" si="40"/>
        <v>585.69999999998572</v>
      </c>
      <c r="C1576" s="199">
        <v>473.69912957352625</v>
      </c>
      <c r="D1576" s="7"/>
    </row>
    <row r="1577" spans="2:4" x14ac:dyDescent="0.25">
      <c r="B1577" s="4">
        <f t="shared" si="40"/>
        <v>585.70999999998571</v>
      </c>
      <c r="C1577" s="199">
        <v>473.86476800773511</v>
      </c>
      <c r="D1577" s="7"/>
    </row>
    <row r="1578" spans="2:4" x14ac:dyDescent="0.25">
      <c r="B1578" s="4">
        <f t="shared" si="40"/>
        <v>585.7199999999857</v>
      </c>
      <c r="C1578" s="199">
        <v>474.03063978344807</v>
      </c>
      <c r="D1578" s="7"/>
    </row>
    <row r="1579" spans="2:4" x14ac:dyDescent="0.25">
      <c r="B1579" s="4">
        <f t="shared" si="40"/>
        <v>585.72999999998569</v>
      </c>
      <c r="C1579" s="199">
        <v>474.19651155916694</v>
      </c>
      <c r="D1579" s="7"/>
    </row>
    <row r="1580" spans="2:4" x14ac:dyDescent="0.25">
      <c r="B1580" s="4">
        <f t="shared" si="40"/>
        <v>585.73999999998568</v>
      </c>
      <c r="C1580" s="199">
        <v>474.36238333488478</v>
      </c>
      <c r="D1580" s="7"/>
    </row>
    <row r="1581" spans="2:4" x14ac:dyDescent="0.25">
      <c r="B1581" s="4">
        <f t="shared" si="40"/>
        <v>585.74999999998568</v>
      </c>
      <c r="C1581" s="199">
        <v>474.52825511060274</v>
      </c>
      <c r="D1581" s="7"/>
    </row>
    <row r="1582" spans="2:4" x14ac:dyDescent="0.25">
      <c r="B1582" s="4">
        <f t="shared" si="40"/>
        <v>585.75999999998567</v>
      </c>
      <c r="C1582" s="199">
        <v>474.69412688632121</v>
      </c>
      <c r="D1582" s="7"/>
    </row>
    <row r="1583" spans="2:4" x14ac:dyDescent="0.25">
      <c r="B1583" s="4">
        <f t="shared" si="40"/>
        <v>585.76999999998566</v>
      </c>
      <c r="C1583" s="199">
        <v>474.85999866203878</v>
      </c>
      <c r="D1583" s="7"/>
    </row>
    <row r="1584" spans="2:4" x14ac:dyDescent="0.25">
      <c r="B1584" s="4">
        <f t="shared" si="40"/>
        <v>585.77999999998565</v>
      </c>
      <c r="C1584" s="199">
        <v>475.02587043775685</v>
      </c>
      <c r="D1584" s="7"/>
    </row>
    <row r="1585" spans="2:4" x14ac:dyDescent="0.25">
      <c r="B1585" s="4">
        <f t="shared" si="40"/>
        <v>585.78999999998564</v>
      </c>
      <c r="C1585" s="199">
        <v>475.19174221347527</v>
      </c>
      <c r="D1585" s="7"/>
    </row>
    <row r="1586" spans="2:4" x14ac:dyDescent="0.25">
      <c r="B1586" s="4">
        <f t="shared" si="40"/>
        <v>585.79999999998563</v>
      </c>
      <c r="C1586" s="199">
        <v>475.35761398919328</v>
      </c>
      <c r="D1586" s="7"/>
    </row>
    <row r="1587" spans="2:4" x14ac:dyDescent="0.25">
      <c r="B1587" s="4">
        <f t="shared" si="40"/>
        <v>585.80999999998562</v>
      </c>
      <c r="C1587" s="199">
        <v>475.5234857649109</v>
      </c>
      <c r="D1587" s="7"/>
    </row>
    <row r="1588" spans="2:4" x14ac:dyDescent="0.25">
      <c r="B1588" s="4">
        <f t="shared" si="40"/>
        <v>585.81999999998561</v>
      </c>
      <c r="C1588" s="199">
        <v>475.68958725386807</v>
      </c>
      <c r="D1588" s="7"/>
    </row>
    <row r="1589" spans="2:4" x14ac:dyDescent="0.25">
      <c r="B1589" s="4">
        <f t="shared" si="40"/>
        <v>585.8299999999856</v>
      </c>
      <c r="C1589" s="199">
        <v>475.85568874282421</v>
      </c>
      <c r="D1589" s="7"/>
    </row>
    <row r="1590" spans="2:4" x14ac:dyDescent="0.25">
      <c r="B1590" s="4">
        <f t="shared" si="40"/>
        <v>585.83999999998559</v>
      </c>
      <c r="C1590" s="199">
        <v>476.02179023177979</v>
      </c>
      <c r="D1590" s="7"/>
    </row>
    <row r="1591" spans="2:4" x14ac:dyDescent="0.25">
      <c r="B1591" s="4">
        <f t="shared" si="40"/>
        <v>585.84999999998558</v>
      </c>
      <c r="C1591" s="199">
        <v>476.18789172073656</v>
      </c>
      <c r="D1591" s="7"/>
    </row>
    <row r="1592" spans="2:4" x14ac:dyDescent="0.25">
      <c r="B1592" s="4">
        <f t="shared" si="40"/>
        <v>585.85999999998558</v>
      </c>
      <c r="C1592" s="199">
        <v>476.35399320969265</v>
      </c>
      <c r="D1592" s="7"/>
    </row>
    <row r="1593" spans="2:4" x14ac:dyDescent="0.25">
      <c r="B1593" s="4">
        <f t="shared" si="40"/>
        <v>585.86999999998557</v>
      </c>
      <c r="C1593" s="199">
        <v>476.5200946986497</v>
      </c>
      <c r="D1593" s="7"/>
    </row>
    <row r="1594" spans="2:4" x14ac:dyDescent="0.25">
      <c r="B1594" s="4">
        <f t="shared" si="40"/>
        <v>585.87999999998556</v>
      </c>
      <c r="C1594" s="199">
        <v>476.6861961876055</v>
      </c>
      <c r="D1594" s="7"/>
    </row>
    <row r="1595" spans="2:4" x14ac:dyDescent="0.25">
      <c r="B1595" s="4">
        <f t="shared" si="40"/>
        <v>585.88999999998555</v>
      </c>
      <c r="C1595" s="199">
        <v>476.85229767656119</v>
      </c>
      <c r="D1595" s="7"/>
    </row>
    <row r="1596" spans="2:4" x14ac:dyDescent="0.25">
      <c r="B1596" s="4">
        <f t="shared" si="40"/>
        <v>585.89999999998554</v>
      </c>
      <c r="C1596" s="199">
        <v>477.01839916551819</v>
      </c>
      <c r="D1596" s="7"/>
    </row>
    <row r="1597" spans="2:4" x14ac:dyDescent="0.25">
      <c r="B1597" s="4">
        <f t="shared" si="40"/>
        <v>585.90999999998553</v>
      </c>
      <c r="C1597" s="199">
        <v>477.18450065447428</v>
      </c>
      <c r="D1597" s="7"/>
    </row>
    <row r="1598" spans="2:4" x14ac:dyDescent="0.25">
      <c r="B1598" s="4">
        <f t="shared" si="40"/>
        <v>585.91999999998552</v>
      </c>
      <c r="C1598" s="199">
        <v>477.35083174732148</v>
      </c>
      <c r="D1598" s="7"/>
    </row>
    <row r="1599" spans="2:4" x14ac:dyDescent="0.25">
      <c r="B1599" s="4">
        <f t="shared" si="40"/>
        <v>585.92999999998551</v>
      </c>
      <c r="C1599" s="199">
        <v>477.51716284017232</v>
      </c>
      <c r="D1599" s="7"/>
    </row>
    <row r="1600" spans="2:4" x14ac:dyDescent="0.25">
      <c r="B1600" s="4">
        <f t="shared" si="40"/>
        <v>585.9399999999855</v>
      </c>
      <c r="C1600" s="199">
        <v>477.68349393302344</v>
      </c>
      <c r="D1600" s="7"/>
    </row>
    <row r="1601" spans="2:4" x14ac:dyDescent="0.25">
      <c r="B1601" s="4">
        <f t="shared" si="40"/>
        <v>585.94999999998549</v>
      </c>
      <c r="C1601" s="199">
        <v>477.84982502587422</v>
      </c>
      <c r="D1601" s="7"/>
    </row>
    <row r="1602" spans="2:4" x14ac:dyDescent="0.25">
      <c r="B1602" s="4">
        <f t="shared" si="40"/>
        <v>585.95999999998548</v>
      </c>
      <c r="C1602" s="199">
        <v>478.01615611872558</v>
      </c>
      <c r="D1602" s="7"/>
    </row>
    <row r="1603" spans="2:4" x14ac:dyDescent="0.25">
      <c r="B1603" s="4">
        <f t="shared" si="40"/>
        <v>585.96999999998548</v>
      </c>
      <c r="C1603" s="199">
        <v>478.18248721157647</v>
      </c>
      <c r="D1603" s="7"/>
    </row>
    <row r="1604" spans="2:4" x14ac:dyDescent="0.25">
      <c r="B1604" s="4">
        <f t="shared" si="40"/>
        <v>585.97999999998547</v>
      </c>
      <c r="C1604" s="199">
        <v>478.3488183044276</v>
      </c>
      <c r="D1604" s="7"/>
    </row>
    <row r="1605" spans="2:4" x14ac:dyDescent="0.25">
      <c r="B1605" s="4">
        <f t="shared" si="40"/>
        <v>585.98999999998546</v>
      </c>
      <c r="C1605" s="199">
        <v>478.51514939727844</v>
      </c>
      <c r="D1605" s="7"/>
    </row>
    <row r="1606" spans="2:4" x14ac:dyDescent="0.25">
      <c r="B1606" s="4">
        <f t="shared" si="40"/>
        <v>585.99999999998545</v>
      </c>
      <c r="C1606" s="199">
        <v>478.68148049012979</v>
      </c>
      <c r="D1606" s="7"/>
    </row>
    <row r="1607" spans="2:4" x14ac:dyDescent="0.25">
      <c r="B1607" s="4">
        <f t="shared" si="40"/>
        <v>586.00999999998544</v>
      </c>
      <c r="C1607" s="199">
        <v>478.84781158298068</v>
      </c>
      <c r="D1607" s="7"/>
    </row>
    <row r="1608" spans="2:4" x14ac:dyDescent="0.25">
      <c r="B1608" s="4">
        <f t="shared" ref="B1608:B1671" si="41">+B1607+0.01</f>
        <v>586.01999999998543</v>
      </c>
      <c r="C1608" s="199">
        <v>479.01437322067278</v>
      </c>
      <c r="D1608" s="7"/>
    </row>
    <row r="1609" spans="2:4" x14ac:dyDescent="0.25">
      <c r="B1609" s="4">
        <f t="shared" si="41"/>
        <v>586.02999999998542</v>
      </c>
      <c r="C1609" s="199">
        <v>479.18093485836511</v>
      </c>
      <c r="D1609" s="7"/>
    </row>
    <row r="1610" spans="2:4" x14ac:dyDescent="0.25">
      <c r="B1610" s="4">
        <f t="shared" si="41"/>
        <v>586.03999999998541</v>
      </c>
      <c r="C1610" s="199">
        <v>479.34749649605766</v>
      </c>
      <c r="D1610" s="7"/>
    </row>
    <row r="1611" spans="2:4" x14ac:dyDescent="0.25">
      <c r="B1611" s="4">
        <f t="shared" si="41"/>
        <v>586.0499999999854</v>
      </c>
      <c r="C1611" s="199">
        <v>479.51405813374913</v>
      </c>
      <c r="D1611" s="7"/>
    </row>
    <row r="1612" spans="2:4" x14ac:dyDescent="0.25">
      <c r="B1612" s="4">
        <f t="shared" si="41"/>
        <v>586.05999999998539</v>
      </c>
      <c r="C1612" s="199">
        <v>479.68061977144214</v>
      </c>
      <c r="D1612" s="7"/>
    </row>
    <row r="1613" spans="2:4" x14ac:dyDescent="0.25">
      <c r="B1613" s="4">
        <f t="shared" si="41"/>
        <v>586.06999999998538</v>
      </c>
      <c r="C1613" s="199">
        <v>479.84718140913361</v>
      </c>
      <c r="D1613" s="7"/>
    </row>
    <row r="1614" spans="2:4" x14ac:dyDescent="0.25">
      <c r="B1614" s="4">
        <f t="shared" si="41"/>
        <v>586.07999999998538</v>
      </c>
      <c r="C1614" s="199">
        <v>480.01374304682611</v>
      </c>
      <c r="D1614" s="7"/>
    </row>
    <row r="1615" spans="2:4" x14ac:dyDescent="0.25">
      <c r="B1615" s="4">
        <f t="shared" si="41"/>
        <v>586.08999999998537</v>
      </c>
      <c r="C1615" s="199">
        <v>480.18030468451866</v>
      </c>
      <c r="D1615" s="7"/>
    </row>
    <row r="1616" spans="2:4" x14ac:dyDescent="0.25">
      <c r="B1616" s="4">
        <f t="shared" si="41"/>
        <v>586.09999999998536</v>
      </c>
      <c r="C1616" s="199">
        <v>480.34686632221059</v>
      </c>
      <c r="D1616" s="7"/>
    </row>
    <row r="1617" spans="2:4" x14ac:dyDescent="0.25">
      <c r="B1617" s="4">
        <f t="shared" si="41"/>
        <v>586.10999999998535</v>
      </c>
      <c r="C1617" s="199">
        <v>480.51342795990314</v>
      </c>
      <c r="D1617" s="7"/>
    </row>
    <row r="1618" spans="2:4" x14ac:dyDescent="0.25">
      <c r="B1618" s="4">
        <f t="shared" si="41"/>
        <v>586.11999999998534</v>
      </c>
      <c r="C1618" s="199">
        <v>480.68022383797069</v>
      </c>
      <c r="D1618" s="7"/>
    </row>
    <row r="1619" spans="2:4" x14ac:dyDescent="0.25">
      <c r="B1619" s="4">
        <f t="shared" si="41"/>
        <v>586.12999999998533</v>
      </c>
      <c r="C1619" s="199">
        <v>480.84701971604193</v>
      </c>
      <c r="D1619" s="7"/>
    </row>
    <row r="1620" spans="2:4" x14ac:dyDescent="0.25">
      <c r="B1620" s="4">
        <f t="shared" si="41"/>
        <v>586.13999999998532</v>
      </c>
      <c r="C1620" s="199">
        <v>481.01381559411345</v>
      </c>
      <c r="D1620" s="7"/>
    </row>
    <row r="1621" spans="2:4" x14ac:dyDescent="0.25">
      <c r="B1621" s="4">
        <f t="shared" si="41"/>
        <v>586.14999999998531</v>
      </c>
      <c r="C1621" s="199">
        <v>481.18061147218395</v>
      </c>
      <c r="D1621" s="7"/>
    </row>
    <row r="1622" spans="2:4" x14ac:dyDescent="0.25">
      <c r="B1622" s="4">
        <f t="shared" si="41"/>
        <v>586.1599999999853</v>
      </c>
      <c r="C1622" s="199">
        <v>481.34740735025474</v>
      </c>
      <c r="D1622" s="7"/>
    </row>
    <row r="1623" spans="2:4" x14ac:dyDescent="0.25">
      <c r="B1623" s="4">
        <f t="shared" si="41"/>
        <v>586.16999999998529</v>
      </c>
      <c r="C1623" s="199">
        <v>481.51420322832615</v>
      </c>
      <c r="D1623" s="7"/>
    </row>
    <row r="1624" spans="2:4" x14ac:dyDescent="0.25">
      <c r="B1624" s="4">
        <f t="shared" si="41"/>
        <v>586.17999999998528</v>
      </c>
      <c r="C1624" s="199">
        <v>481.68099910639762</v>
      </c>
      <c r="D1624" s="7"/>
    </row>
    <row r="1625" spans="2:4" x14ac:dyDescent="0.25">
      <c r="B1625" s="4">
        <f t="shared" si="41"/>
        <v>586.18999999998528</v>
      </c>
      <c r="C1625" s="199">
        <v>481.84779498446892</v>
      </c>
      <c r="D1625" s="7"/>
    </row>
    <row r="1626" spans="2:4" x14ac:dyDescent="0.25">
      <c r="B1626" s="4">
        <f t="shared" si="41"/>
        <v>586.19999999998527</v>
      </c>
      <c r="C1626" s="199">
        <v>482.01459086254033</v>
      </c>
      <c r="D1626" s="7"/>
    </row>
    <row r="1627" spans="2:4" x14ac:dyDescent="0.25">
      <c r="B1627" s="4">
        <f t="shared" si="41"/>
        <v>586.20999999998526</v>
      </c>
      <c r="C1627" s="199">
        <v>482.18138674061089</v>
      </c>
      <c r="D1627" s="7"/>
    </row>
    <row r="1628" spans="2:4" x14ac:dyDescent="0.25">
      <c r="B1628" s="4">
        <f t="shared" si="41"/>
        <v>586.21999999998525</v>
      </c>
      <c r="C1628" s="199">
        <v>482.34841925940555</v>
      </c>
      <c r="D1628" s="7"/>
    </row>
    <row r="1629" spans="2:4" x14ac:dyDescent="0.25">
      <c r="B1629" s="4">
        <f t="shared" si="41"/>
        <v>586.22999999998524</v>
      </c>
      <c r="C1629" s="199">
        <v>482.51545177820157</v>
      </c>
      <c r="D1629" s="7"/>
    </row>
    <row r="1630" spans="2:4" x14ac:dyDescent="0.25">
      <c r="B1630" s="4">
        <f t="shared" si="41"/>
        <v>586.23999999998523</v>
      </c>
      <c r="C1630" s="199">
        <v>482.68248429699759</v>
      </c>
      <c r="D1630" s="7"/>
    </row>
    <row r="1631" spans="2:4" x14ac:dyDescent="0.25">
      <c r="B1631" s="4">
        <f t="shared" si="41"/>
        <v>586.24999999998522</v>
      </c>
      <c r="C1631" s="199">
        <v>482.84951681579389</v>
      </c>
      <c r="D1631" s="7"/>
    </row>
    <row r="1632" spans="2:4" x14ac:dyDescent="0.25">
      <c r="B1632" s="4">
        <f t="shared" si="41"/>
        <v>586.25999999998521</v>
      </c>
      <c r="C1632" s="199">
        <v>483.01654933458985</v>
      </c>
      <c r="D1632" s="7"/>
    </row>
    <row r="1633" spans="2:4" x14ac:dyDescent="0.25">
      <c r="B1633" s="4">
        <f t="shared" si="41"/>
        <v>586.2699999999852</v>
      </c>
      <c r="C1633" s="199">
        <v>483.18358185338593</v>
      </c>
      <c r="D1633" s="7"/>
    </row>
    <row r="1634" spans="2:4" x14ac:dyDescent="0.25">
      <c r="B1634" s="4">
        <f t="shared" si="41"/>
        <v>586.27999999998519</v>
      </c>
      <c r="C1634" s="199">
        <v>483.35061437218178</v>
      </c>
      <c r="D1634" s="7"/>
    </row>
    <row r="1635" spans="2:4" x14ac:dyDescent="0.25">
      <c r="B1635" s="4">
        <f t="shared" si="41"/>
        <v>586.28999999998518</v>
      </c>
      <c r="C1635" s="199">
        <v>483.51764689097774</v>
      </c>
      <c r="D1635" s="7"/>
    </row>
    <row r="1636" spans="2:4" x14ac:dyDescent="0.25">
      <c r="B1636" s="4">
        <f t="shared" si="41"/>
        <v>586.29999999998518</v>
      </c>
      <c r="C1636" s="199">
        <v>483.68467940977382</v>
      </c>
      <c r="D1636" s="7"/>
    </row>
    <row r="1637" spans="2:4" x14ac:dyDescent="0.25">
      <c r="B1637" s="4">
        <f t="shared" si="41"/>
        <v>586.30999999998517</v>
      </c>
      <c r="C1637" s="199">
        <v>483.85171192856961</v>
      </c>
      <c r="D1637" s="7"/>
    </row>
    <row r="1638" spans="2:4" x14ac:dyDescent="0.25">
      <c r="B1638" s="4">
        <f t="shared" si="41"/>
        <v>586.31999999998516</v>
      </c>
      <c r="C1638" s="199">
        <v>484.01898245724334</v>
      </c>
      <c r="D1638" s="7"/>
    </row>
    <row r="1639" spans="2:4" x14ac:dyDescent="0.25">
      <c r="B1639" s="4">
        <f t="shared" si="41"/>
        <v>586.32999999998515</v>
      </c>
      <c r="C1639" s="199">
        <v>484.18625298592099</v>
      </c>
      <c r="D1639" s="7"/>
    </row>
    <row r="1640" spans="2:4" x14ac:dyDescent="0.25">
      <c r="B1640" s="4">
        <f t="shared" si="41"/>
        <v>586.33999999998514</v>
      </c>
      <c r="C1640" s="199">
        <v>484.35352351459801</v>
      </c>
      <c r="D1640" s="7"/>
    </row>
    <row r="1641" spans="2:4" x14ac:dyDescent="0.25">
      <c r="B1641" s="4">
        <f t="shared" si="41"/>
        <v>586.34999999998513</v>
      </c>
      <c r="C1641" s="199">
        <v>484.52079404327577</v>
      </c>
      <c r="D1641" s="7"/>
    </row>
    <row r="1642" spans="2:4" x14ac:dyDescent="0.25">
      <c r="B1642" s="4">
        <f t="shared" si="41"/>
        <v>586.35999999998512</v>
      </c>
      <c r="C1642" s="199">
        <v>484.68806457195251</v>
      </c>
      <c r="D1642" s="7"/>
    </row>
    <row r="1643" spans="2:4" x14ac:dyDescent="0.25">
      <c r="B1643" s="4">
        <f t="shared" si="41"/>
        <v>586.36999999998511</v>
      </c>
      <c r="C1643" s="199">
        <v>484.8553351006305</v>
      </c>
      <c r="D1643" s="7"/>
    </row>
    <row r="1644" spans="2:4" x14ac:dyDescent="0.25">
      <c r="B1644" s="4">
        <f t="shared" si="41"/>
        <v>586.3799999999851</v>
      </c>
      <c r="C1644" s="199">
        <v>485.0226056293082</v>
      </c>
      <c r="D1644" s="7"/>
    </row>
    <row r="1645" spans="2:4" x14ac:dyDescent="0.25">
      <c r="B1645" s="4">
        <f t="shared" si="41"/>
        <v>586.38999999998509</v>
      </c>
      <c r="C1645" s="199">
        <v>485.18987615798517</v>
      </c>
      <c r="D1645" s="7"/>
    </row>
    <row r="1646" spans="2:4" x14ac:dyDescent="0.25">
      <c r="B1646" s="4">
        <f t="shared" si="41"/>
        <v>586.39999999998508</v>
      </c>
      <c r="C1646" s="199">
        <v>485.35714668666247</v>
      </c>
      <c r="D1646" s="7"/>
    </row>
    <row r="1647" spans="2:4" x14ac:dyDescent="0.25">
      <c r="B1647" s="4">
        <f t="shared" si="41"/>
        <v>586.40999999998508</v>
      </c>
      <c r="C1647" s="199">
        <v>485.52441721533921</v>
      </c>
      <c r="D1647" s="7"/>
    </row>
    <row r="1648" spans="2:4" x14ac:dyDescent="0.25">
      <c r="B1648" s="4">
        <f t="shared" si="41"/>
        <v>586.41999999998507</v>
      </c>
      <c r="C1648" s="199">
        <v>485.69192410245398</v>
      </c>
      <c r="D1648" s="7"/>
    </row>
    <row r="1649" spans="2:4" x14ac:dyDescent="0.25">
      <c r="B1649" s="4">
        <f t="shared" si="41"/>
        <v>586.42999999998506</v>
      </c>
      <c r="C1649" s="199">
        <v>485.85943098956767</v>
      </c>
      <c r="D1649" s="7"/>
    </row>
    <row r="1650" spans="2:4" x14ac:dyDescent="0.25">
      <c r="B1650" s="4">
        <f t="shared" si="41"/>
        <v>586.43999999998505</v>
      </c>
      <c r="C1650" s="199">
        <v>486.02693787668204</v>
      </c>
      <c r="D1650" s="7"/>
    </row>
    <row r="1651" spans="2:4" x14ac:dyDescent="0.25">
      <c r="B1651" s="4">
        <f t="shared" si="41"/>
        <v>586.44999999998504</v>
      </c>
      <c r="C1651" s="199">
        <v>486.19444476379664</v>
      </c>
      <c r="D1651" s="7"/>
    </row>
    <row r="1652" spans="2:4" x14ac:dyDescent="0.25">
      <c r="B1652" s="4">
        <f t="shared" si="41"/>
        <v>586.45999999998503</v>
      </c>
      <c r="C1652" s="199">
        <v>486.36195165091027</v>
      </c>
      <c r="D1652" s="7"/>
    </row>
    <row r="1653" spans="2:4" x14ac:dyDescent="0.25">
      <c r="B1653" s="4">
        <f t="shared" si="41"/>
        <v>586.46999999998502</v>
      </c>
      <c r="C1653" s="199">
        <v>486.52945853802487</v>
      </c>
      <c r="D1653" s="7"/>
    </row>
    <row r="1654" spans="2:4" x14ac:dyDescent="0.25">
      <c r="B1654" s="4">
        <f t="shared" si="41"/>
        <v>586.47999999998501</v>
      </c>
      <c r="C1654" s="199">
        <v>486.69696542513861</v>
      </c>
      <c r="D1654" s="7"/>
    </row>
    <row r="1655" spans="2:4" x14ac:dyDescent="0.25">
      <c r="B1655" s="4">
        <f t="shared" si="41"/>
        <v>586.489999999985</v>
      </c>
      <c r="C1655" s="199">
        <v>486.86447231225321</v>
      </c>
      <c r="D1655" s="7"/>
    </row>
    <row r="1656" spans="2:4" x14ac:dyDescent="0.25">
      <c r="B1656" s="4">
        <f t="shared" si="41"/>
        <v>586.49999999998499</v>
      </c>
      <c r="C1656" s="199">
        <v>487.03197919936684</v>
      </c>
      <c r="D1656" s="7"/>
    </row>
    <row r="1657" spans="2:4" x14ac:dyDescent="0.25">
      <c r="B1657" s="4">
        <f t="shared" si="41"/>
        <v>586.50999999998498</v>
      </c>
      <c r="C1657" s="199">
        <v>487.19948608648122</v>
      </c>
      <c r="D1657" s="7"/>
    </row>
    <row r="1658" spans="2:4" x14ac:dyDescent="0.25">
      <c r="B1658" s="4">
        <f t="shared" si="41"/>
        <v>586.51999999998498</v>
      </c>
      <c r="C1658" s="199">
        <v>487.36722785616598</v>
      </c>
      <c r="D1658" s="7"/>
    </row>
    <row r="1659" spans="2:4" x14ac:dyDescent="0.25">
      <c r="B1659" s="4">
        <f t="shared" si="41"/>
        <v>586.52999999998497</v>
      </c>
      <c r="C1659" s="199">
        <v>487.53496962585433</v>
      </c>
      <c r="D1659" s="7"/>
    </row>
    <row r="1660" spans="2:4" x14ac:dyDescent="0.25">
      <c r="B1660" s="4">
        <f t="shared" si="41"/>
        <v>586.53999999998496</v>
      </c>
      <c r="C1660" s="199">
        <v>487.70271139554313</v>
      </c>
      <c r="D1660" s="7"/>
    </row>
    <row r="1661" spans="2:4" x14ac:dyDescent="0.25">
      <c r="B1661" s="4">
        <f t="shared" si="41"/>
        <v>586.54999999998495</v>
      </c>
      <c r="C1661" s="199">
        <v>487.87045316523245</v>
      </c>
      <c r="D1661" s="7"/>
    </row>
    <row r="1662" spans="2:4" x14ac:dyDescent="0.25">
      <c r="B1662" s="4">
        <f t="shared" si="41"/>
        <v>586.55999999998494</v>
      </c>
      <c r="C1662" s="199">
        <v>488.03819493492148</v>
      </c>
      <c r="D1662" s="7"/>
    </row>
    <row r="1663" spans="2:4" x14ac:dyDescent="0.25">
      <c r="B1663" s="4">
        <f t="shared" si="41"/>
        <v>586.56999999998493</v>
      </c>
      <c r="C1663" s="199">
        <v>488.20593670460926</v>
      </c>
      <c r="D1663" s="7"/>
    </row>
    <row r="1664" spans="2:4" x14ac:dyDescent="0.25">
      <c r="B1664" s="4">
        <f t="shared" si="41"/>
        <v>586.57999999998492</v>
      </c>
      <c r="C1664" s="199">
        <v>488.37367847429857</v>
      </c>
      <c r="D1664" s="7"/>
    </row>
    <row r="1665" spans="2:4" x14ac:dyDescent="0.25">
      <c r="B1665" s="4">
        <f t="shared" si="41"/>
        <v>586.58999999998491</v>
      </c>
      <c r="C1665" s="199">
        <v>488.54142024398783</v>
      </c>
      <c r="D1665" s="7"/>
    </row>
    <row r="1666" spans="2:4" x14ac:dyDescent="0.25">
      <c r="B1666" s="4">
        <f t="shared" si="41"/>
        <v>586.5999999999849</v>
      </c>
      <c r="C1666" s="199">
        <v>488.70916201367567</v>
      </c>
      <c r="D1666" s="7"/>
    </row>
    <row r="1667" spans="2:4" x14ac:dyDescent="0.25">
      <c r="B1667" s="4">
        <f t="shared" si="41"/>
        <v>586.60999999998489</v>
      </c>
      <c r="C1667" s="199">
        <v>488.8769037833647</v>
      </c>
      <c r="D1667" s="7"/>
    </row>
    <row r="1668" spans="2:4" x14ac:dyDescent="0.25">
      <c r="B1668" s="4">
        <f t="shared" si="41"/>
        <v>586.61999999998488</v>
      </c>
      <c r="C1668" s="199">
        <v>489.04488075866516</v>
      </c>
      <c r="D1668" s="7"/>
    </row>
    <row r="1669" spans="2:4" x14ac:dyDescent="0.25">
      <c r="B1669" s="4">
        <f t="shared" si="41"/>
        <v>586.62999999998488</v>
      </c>
      <c r="C1669" s="199">
        <v>489.21285773396454</v>
      </c>
      <c r="D1669" s="7"/>
    </row>
    <row r="1670" spans="2:4" x14ac:dyDescent="0.25">
      <c r="B1670" s="4">
        <f t="shared" si="41"/>
        <v>586.63999999998487</v>
      </c>
      <c r="C1670" s="199">
        <v>489.38083470926432</v>
      </c>
      <c r="D1670" s="7"/>
    </row>
    <row r="1671" spans="2:4" x14ac:dyDescent="0.25">
      <c r="B1671" s="4">
        <f t="shared" si="41"/>
        <v>586.64999999998486</v>
      </c>
      <c r="C1671" s="199">
        <v>489.54881168456438</v>
      </c>
      <c r="D1671" s="7"/>
    </row>
    <row r="1672" spans="2:4" x14ac:dyDescent="0.25">
      <c r="B1672" s="4">
        <f t="shared" ref="B1672:B1735" si="42">+B1671+0.01</f>
        <v>586.65999999998485</v>
      </c>
      <c r="C1672" s="199">
        <v>489.71678865986422</v>
      </c>
      <c r="D1672" s="7"/>
    </row>
    <row r="1673" spans="2:4" x14ac:dyDescent="0.25">
      <c r="B1673" s="4">
        <f t="shared" si="42"/>
        <v>586.66999999998484</v>
      </c>
      <c r="C1673" s="199">
        <v>489.88476563516406</v>
      </c>
      <c r="D1673" s="7"/>
    </row>
    <row r="1674" spans="2:4" x14ac:dyDescent="0.25">
      <c r="B1674" s="4">
        <f t="shared" si="42"/>
        <v>586.67999999998483</v>
      </c>
      <c r="C1674" s="199">
        <v>490.05274261046367</v>
      </c>
      <c r="D1674" s="7"/>
    </row>
    <row r="1675" spans="2:4" x14ac:dyDescent="0.25">
      <c r="B1675" s="4">
        <f t="shared" si="42"/>
        <v>586.68999999998482</v>
      </c>
      <c r="C1675" s="199">
        <v>490.22071958576254</v>
      </c>
      <c r="D1675" s="7"/>
    </row>
    <row r="1676" spans="2:4" x14ac:dyDescent="0.25">
      <c r="B1676" s="4">
        <f t="shared" si="42"/>
        <v>586.69999999998481</v>
      </c>
      <c r="C1676" s="199">
        <v>490.38869656106232</v>
      </c>
      <c r="D1676" s="7"/>
    </row>
    <row r="1677" spans="2:4" x14ac:dyDescent="0.25">
      <c r="B1677" s="4">
        <f t="shared" si="42"/>
        <v>586.7099999999848</v>
      </c>
      <c r="C1677" s="199">
        <v>490.55667353636244</v>
      </c>
      <c r="D1677" s="7"/>
    </row>
    <row r="1678" spans="2:4" x14ac:dyDescent="0.25">
      <c r="B1678" s="4">
        <f t="shared" si="42"/>
        <v>586.71999999998479</v>
      </c>
      <c r="C1678" s="199">
        <v>490.72488592718503</v>
      </c>
      <c r="D1678" s="7"/>
    </row>
    <row r="1679" spans="2:4" x14ac:dyDescent="0.25">
      <c r="B1679" s="4">
        <f t="shared" si="42"/>
        <v>586.72999999998478</v>
      </c>
      <c r="C1679" s="199">
        <v>490.89309831801154</v>
      </c>
      <c r="D1679" s="7"/>
    </row>
    <row r="1680" spans="2:4" x14ac:dyDescent="0.25">
      <c r="B1680" s="4">
        <f t="shared" si="42"/>
        <v>586.73999999998478</v>
      </c>
      <c r="C1680" s="199">
        <v>491.06131070883737</v>
      </c>
      <c r="D1680" s="7"/>
    </row>
    <row r="1681" spans="2:4" x14ac:dyDescent="0.25">
      <c r="B1681" s="4">
        <f t="shared" si="42"/>
        <v>586.74999999998477</v>
      </c>
      <c r="C1681" s="199">
        <v>491.22952309966348</v>
      </c>
      <c r="D1681" s="7"/>
    </row>
    <row r="1682" spans="2:4" x14ac:dyDescent="0.25">
      <c r="B1682" s="4">
        <f t="shared" si="42"/>
        <v>586.75999999998476</v>
      </c>
      <c r="C1682" s="199">
        <v>491.39773549049022</v>
      </c>
      <c r="D1682" s="7"/>
    </row>
    <row r="1683" spans="2:4" x14ac:dyDescent="0.25">
      <c r="B1683" s="4">
        <f t="shared" si="42"/>
        <v>586.76999999998475</v>
      </c>
      <c r="C1683" s="199">
        <v>491.56594788131576</v>
      </c>
      <c r="D1683" s="7"/>
    </row>
    <row r="1684" spans="2:4" x14ac:dyDescent="0.25">
      <c r="B1684" s="4">
        <f t="shared" si="42"/>
        <v>586.77999999998474</v>
      </c>
      <c r="C1684" s="199">
        <v>491.73416027214307</v>
      </c>
      <c r="D1684" s="7"/>
    </row>
    <row r="1685" spans="2:4" x14ac:dyDescent="0.25">
      <c r="B1685" s="4">
        <f t="shared" si="42"/>
        <v>586.78999999998473</v>
      </c>
      <c r="C1685" s="199">
        <v>491.90237266296867</v>
      </c>
      <c r="D1685" s="7"/>
    </row>
    <row r="1686" spans="2:4" x14ac:dyDescent="0.25">
      <c r="B1686" s="4">
        <f t="shared" si="42"/>
        <v>586.79999999998472</v>
      </c>
      <c r="C1686" s="199">
        <v>492.07058505379541</v>
      </c>
      <c r="D1686" s="7"/>
    </row>
    <row r="1687" spans="2:4" x14ac:dyDescent="0.25">
      <c r="B1687" s="4">
        <f t="shared" si="42"/>
        <v>586.80999999998471</v>
      </c>
      <c r="C1687" s="199">
        <v>492.23879744462153</v>
      </c>
      <c r="D1687" s="7"/>
    </row>
    <row r="1688" spans="2:4" x14ac:dyDescent="0.25">
      <c r="B1688" s="4">
        <f t="shared" si="42"/>
        <v>586.8199999999847</v>
      </c>
      <c r="C1688" s="199">
        <v>492.40724459690512</v>
      </c>
      <c r="D1688" s="7"/>
    </row>
    <row r="1689" spans="2:4" x14ac:dyDescent="0.25">
      <c r="B1689" s="4">
        <f t="shared" si="42"/>
        <v>586.82999999998469</v>
      </c>
      <c r="C1689" s="199">
        <v>492.57569174918791</v>
      </c>
      <c r="D1689" s="7"/>
    </row>
    <row r="1690" spans="2:4" x14ac:dyDescent="0.25">
      <c r="B1690" s="4">
        <f t="shared" si="42"/>
        <v>586.83999999998468</v>
      </c>
      <c r="C1690" s="199">
        <v>492.74413890147162</v>
      </c>
      <c r="D1690" s="7"/>
    </row>
    <row r="1691" spans="2:4" x14ac:dyDescent="0.25">
      <c r="B1691" s="4">
        <f t="shared" si="42"/>
        <v>586.84999999998468</v>
      </c>
      <c r="C1691" s="199">
        <v>492.91258605375469</v>
      </c>
      <c r="D1691" s="7"/>
    </row>
    <row r="1692" spans="2:4" x14ac:dyDescent="0.25">
      <c r="B1692" s="4">
        <f t="shared" si="42"/>
        <v>586.85999999998467</v>
      </c>
      <c r="C1692" s="199">
        <v>493.08103320603834</v>
      </c>
      <c r="D1692" s="7"/>
    </row>
    <row r="1693" spans="2:4" x14ac:dyDescent="0.25">
      <c r="B1693" s="4">
        <f t="shared" si="42"/>
        <v>586.86999999998466</v>
      </c>
      <c r="C1693" s="199">
        <v>493.24948035832108</v>
      </c>
      <c r="D1693" s="7"/>
    </row>
    <row r="1694" spans="2:4" x14ac:dyDescent="0.25">
      <c r="B1694" s="4">
        <f t="shared" si="42"/>
        <v>586.87999999998465</v>
      </c>
      <c r="C1694" s="199">
        <v>493.41792751060456</v>
      </c>
      <c r="D1694" s="7"/>
    </row>
    <row r="1695" spans="2:4" x14ac:dyDescent="0.25">
      <c r="B1695" s="4">
        <f t="shared" si="42"/>
        <v>586.88999999998464</v>
      </c>
      <c r="C1695" s="199">
        <v>493.58637466288735</v>
      </c>
      <c r="D1695" s="7"/>
    </row>
    <row r="1696" spans="2:4" x14ac:dyDescent="0.25">
      <c r="B1696" s="4">
        <f t="shared" si="42"/>
        <v>586.89999999998463</v>
      </c>
      <c r="C1696" s="199">
        <v>493.7548218151702</v>
      </c>
      <c r="D1696" s="7"/>
    </row>
    <row r="1697" spans="2:4" x14ac:dyDescent="0.25">
      <c r="B1697" s="4">
        <f t="shared" si="42"/>
        <v>586.90999999998462</v>
      </c>
      <c r="C1697" s="199">
        <v>493.92326896745408</v>
      </c>
      <c r="D1697" s="7"/>
    </row>
    <row r="1698" spans="2:4" x14ac:dyDescent="0.25">
      <c r="B1698" s="4">
        <f t="shared" si="42"/>
        <v>586.91999999998461</v>
      </c>
      <c r="C1698" s="199">
        <v>494.09194699124549</v>
      </c>
      <c r="D1698" s="7"/>
    </row>
    <row r="1699" spans="2:4" x14ac:dyDescent="0.25">
      <c r="B1699" s="4">
        <f t="shared" si="42"/>
        <v>586.9299999999846</v>
      </c>
      <c r="C1699" s="199">
        <v>494.26062501504174</v>
      </c>
      <c r="D1699" s="7"/>
    </row>
    <row r="1700" spans="2:4" x14ac:dyDescent="0.25">
      <c r="B1700" s="4">
        <f t="shared" si="42"/>
        <v>586.93999999998459</v>
      </c>
      <c r="C1700" s="199">
        <v>494.42930303883696</v>
      </c>
      <c r="D1700" s="7"/>
    </row>
    <row r="1701" spans="2:4" x14ac:dyDescent="0.25">
      <c r="B1701" s="4">
        <f t="shared" si="42"/>
        <v>586.94999999998458</v>
      </c>
      <c r="C1701" s="199">
        <v>494.59798106263372</v>
      </c>
      <c r="D1701" s="7"/>
    </row>
    <row r="1702" spans="2:4" x14ac:dyDescent="0.25">
      <c r="B1702" s="4">
        <f t="shared" si="42"/>
        <v>586.95999999998457</v>
      </c>
      <c r="C1702" s="199">
        <v>494.76665908642906</v>
      </c>
      <c r="D1702" s="7"/>
    </row>
    <row r="1703" spans="2:4" x14ac:dyDescent="0.25">
      <c r="B1703" s="4">
        <f t="shared" si="42"/>
        <v>586.96999999998457</v>
      </c>
      <c r="C1703" s="199">
        <v>494.9353371102253</v>
      </c>
      <c r="D1703" s="7"/>
    </row>
    <row r="1704" spans="2:4" x14ac:dyDescent="0.25">
      <c r="B1704" s="4">
        <f t="shared" si="42"/>
        <v>586.97999999998456</v>
      </c>
      <c r="C1704" s="199">
        <v>495.10401513402104</v>
      </c>
      <c r="D1704" s="7"/>
    </row>
    <row r="1705" spans="2:4" x14ac:dyDescent="0.25">
      <c r="B1705" s="4">
        <f t="shared" si="42"/>
        <v>586.98999999998455</v>
      </c>
      <c r="C1705" s="199">
        <v>495.27269315781734</v>
      </c>
      <c r="D1705" s="7"/>
    </row>
    <row r="1706" spans="2:4" x14ac:dyDescent="0.25">
      <c r="B1706" s="4">
        <f t="shared" si="42"/>
        <v>586.99999999998454</v>
      </c>
      <c r="C1706" s="199">
        <v>495.44137118161262</v>
      </c>
      <c r="D1706" s="7"/>
    </row>
    <row r="1707" spans="2:4" x14ac:dyDescent="0.25">
      <c r="B1707" s="4">
        <f t="shared" si="42"/>
        <v>587.00999999998453</v>
      </c>
      <c r="C1707" s="199">
        <v>495.61004920540933</v>
      </c>
      <c r="D1707" s="7"/>
    </row>
    <row r="1708" spans="2:4" x14ac:dyDescent="0.25">
      <c r="B1708" s="4">
        <f t="shared" si="42"/>
        <v>587.01999999998452</v>
      </c>
      <c r="C1708" s="199">
        <v>495.77895628224371</v>
      </c>
      <c r="D1708" s="7"/>
    </row>
    <row r="1709" spans="2:4" x14ac:dyDescent="0.25">
      <c r="B1709" s="4">
        <f t="shared" si="42"/>
        <v>587.02999999998451</v>
      </c>
      <c r="C1709" s="199">
        <v>495.94786335907838</v>
      </c>
      <c r="D1709" s="7"/>
    </row>
    <row r="1710" spans="2:4" x14ac:dyDescent="0.25">
      <c r="B1710" s="4">
        <f t="shared" si="42"/>
        <v>587.0399999999845</v>
      </c>
      <c r="C1710" s="199">
        <v>496.11677043591254</v>
      </c>
      <c r="D1710" s="7"/>
    </row>
    <row r="1711" spans="2:4" x14ac:dyDescent="0.25">
      <c r="B1711" s="4">
        <f t="shared" si="42"/>
        <v>587.04999999998449</v>
      </c>
      <c r="C1711" s="199">
        <v>496.28567751274721</v>
      </c>
      <c r="D1711" s="7"/>
    </row>
    <row r="1712" spans="2:4" x14ac:dyDescent="0.25">
      <c r="B1712" s="4">
        <f t="shared" si="42"/>
        <v>587.05999999998448</v>
      </c>
      <c r="C1712" s="199">
        <v>496.45458458958183</v>
      </c>
      <c r="D1712" s="7"/>
    </row>
    <row r="1713" spans="2:4" x14ac:dyDescent="0.25">
      <c r="B1713" s="4">
        <f t="shared" si="42"/>
        <v>587.06999999998447</v>
      </c>
      <c r="C1713" s="199">
        <v>496.62349166641621</v>
      </c>
      <c r="D1713" s="7"/>
    </row>
    <row r="1714" spans="2:4" x14ac:dyDescent="0.25">
      <c r="B1714" s="4">
        <f t="shared" si="42"/>
        <v>587.07999999998447</v>
      </c>
      <c r="C1714" s="199">
        <v>496.79239874325043</v>
      </c>
      <c r="D1714" s="7"/>
    </row>
    <row r="1715" spans="2:4" x14ac:dyDescent="0.25">
      <c r="B1715" s="4">
        <f t="shared" si="42"/>
        <v>587.08999999998446</v>
      </c>
      <c r="C1715" s="199">
        <v>496.9613058200851</v>
      </c>
      <c r="D1715" s="7"/>
    </row>
    <row r="1716" spans="2:4" x14ac:dyDescent="0.25">
      <c r="B1716" s="4">
        <f t="shared" si="42"/>
        <v>587.09999999998445</v>
      </c>
      <c r="C1716" s="199">
        <v>497.13021289691977</v>
      </c>
      <c r="D1716" s="7"/>
    </row>
    <row r="1717" spans="2:4" x14ac:dyDescent="0.25">
      <c r="B1717" s="4">
        <f t="shared" si="42"/>
        <v>587.10999999998444</v>
      </c>
      <c r="C1717" s="199">
        <v>497.29911997375439</v>
      </c>
      <c r="D1717" s="7"/>
    </row>
    <row r="1718" spans="2:4" x14ac:dyDescent="0.25">
      <c r="B1718" s="4">
        <f t="shared" si="42"/>
        <v>587.11999999998443</v>
      </c>
      <c r="C1718" s="199">
        <v>497.46825338997405</v>
      </c>
      <c r="D1718" s="7"/>
    </row>
    <row r="1719" spans="2:4" x14ac:dyDescent="0.25">
      <c r="B1719" s="4">
        <f t="shared" si="42"/>
        <v>587.12999999998442</v>
      </c>
      <c r="C1719" s="199">
        <v>497.63738680619758</v>
      </c>
      <c r="D1719" s="7"/>
    </row>
    <row r="1720" spans="2:4" x14ac:dyDescent="0.25">
      <c r="B1720" s="4">
        <f t="shared" si="42"/>
        <v>587.13999999998441</v>
      </c>
      <c r="C1720" s="199">
        <v>497.80652022242163</v>
      </c>
      <c r="D1720" s="7"/>
    </row>
    <row r="1721" spans="2:4" x14ac:dyDescent="0.25">
      <c r="B1721" s="4">
        <f t="shared" si="42"/>
        <v>587.1499999999844</v>
      </c>
      <c r="C1721" s="199">
        <v>497.97565363864544</v>
      </c>
      <c r="D1721" s="7"/>
    </row>
    <row r="1722" spans="2:4" x14ac:dyDescent="0.25">
      <c r="B1722" s="4">
        <f t="shared" si="42"/>
        <v>587.15999999998439</v>
      </c>
      <c r="C1722" s="199">
        <v>498.14478705486846</v>
      </c>
      <c r="D1722" s="7"/>
    </row>
    <row r="1723" spans="2:4" x14ac:dyDescent="0.25">
      <c r="B1723" s="4">
        <f t="shared" si="42"/>
        <v>587.16999999998438</v>
      </c>
      <c r="C1723" s="199">
        <v>498.3139204710925</v>
      </c>
      <c r="D1723" s="7"/>
    </row>
    <row r="1724" spans="2:4" x14ac:dyDescent="0.25">
      <c r="B1724" s="4">
        <f t="shared" si="42"/>
        <v>587.17999999998437</v>
      </c>
      <c r="C1724" s="199">
        <v>498.48305388731603</v>
      </c>
      <c r="D1724" s="7"/>
    </row>
    <row r="1725" spans="2:4" x14ac:dyDescent="0.25">
      <c r="B1725" s="4">
        <f t="shared" si="42"/>
        <v>587.18999999998437</v>
      </c>
      <c r="C1725" s="199">
        <v>498.65218730353945</v>
      </c>
      <c r="D1725" s="7"/>
    </row>
    <row r="1726" spans="2:4" x14ac:dyDescent="0.25">
      <c r="B1726" s="4">
        <f t="shared" si="42"/>
        <v>587.19999999998436</v>
      </c>
      <c r="C1726" s="199">
        <v>498.82132071976389</v>
      </c>
      <c r="D1726" s="7"/>
    </row>
    <row r="1727" spans="2:4" x14ac:dyDescent="0.25">
      <c r="B1727" s="4">
        <f t="shared" si="42"/>
        <v>587.20999999998435</v>
      </c>
      <c r="C1727" s="199">
        <v>498.99045413598697</v>
      </c>
      <c r="D1727" s="7"/>
    </row>
    <row r="1728" spans="2:4" x14ac:dyDescent="0.25">
      <c r="B1728" s="4">
        <f t="shared" si="42"/>
        <v>587.21999999998434</v>
      </c>
      <c r="C1728" s="199">
        <v>499.15981109201084</v>
      </c>
      <c r="D1728" s="7"/>
    </row>
    <row r="1729" spans="2:4" x14ac:dyDescent="0.25">
      <c r="B1729" s="4">
        <f t="shared" si="42"/>
        <v>587.22999999998433</v>
      </c>
      <c r="C1729" s="199">
        <v>499.32916804803585</v>
      </c>
      <c r="D1729" s="7"/>
    </row>
    <row r="1730" spans="2:4" x14ac:dyDescent="0.25">
      <c r="B1730" s="4">
        <f t="shared" si="42"/>
        <v>587.23999999998432</v>
      </c>
      <c r="C1730" s="199">
        <v>499.49852500406018</v>
      </c>
      <c r="D1730" s="7"/>
    </row>
    <row r="1731" spans="2:4" x14ac:dyDescent="0.25">
      <c r="B1731" s="4">
        <f t="shared" si="42"/>
        <v>587.24999999998431</v>
      </c>
      <c r="C1731" s="199">
        <v>499.6678819600852</v>
      </c>
      <c r="D1731" s="7"/>
    </row>
    <row r="1732" spans="2:4" x14ac:dyDescent="0.25">
      <c r="B1732" s="4">
        <f t="shared" si="42"/>
        <v>587.2599999999843</v>
      </c>
      <c r="C1732" s="199">
        <v>499.83723891610998</v>
      </c>
      <c r="D1732" s="7"/>
    </row>
    <row r="1733" spans="2:4" x14ac:dyDescent="0.25">
      <c r="B1733" s="4">
        <f t="shared" si="42"/>
        <v>587.26999999998429</v>
      </c>
      <c r="C1733" s="199">
        <v>500.00659587213431</v>
      </c>
      <c r="D1733" s="7"/>
    </row>
    <row r="1734" spans="2:4" x14ac:dyDescent="0.25">
      <c r="B1734" s="4">
        <f t="shared" si="42"/>
        <v>587.27999999998428</v>
      </c>
      <c r="C1734" s="199">
        <v>500.17595282815921</v>
      </c>
      <c r="D1734" s="7"/>
    </row>
    <row r="1735" spans="2:4" x14ac:dyDescent="0.25">
      <c r="B1735" s="4">
        <f t="shared" si="42"/>
        <v>587.28999999998427</v>
      </c>
      <c r="C1735" s="199">
        <v>500.34530978418354</v>
      </c>
      <c r="D1735" s="7"/>
    </row>
    <row r="1736" spans="2:4" x14ac:dyDescent="0.25">
      <c r="B1736" s="4">
        <f t="shared" ref="B1736:B1799" si="43">+B1735+0.01</f>
        <v>587.29999999998427</v>
      </c>
      <c r="C1736" s="199">
        <v>500.5146667402081</v>
      </c>
      <c r="D1736" s="7"/>
    </row>
    <row r="1737" spans="2:4" x14ac:dyDescent="0.25">
      <c r="B1737" s="4">
        <f t="shared" si="43"/>
        <v>587.30999999998426</v>
      </c>
      <c r="C1737" s="199">
        <v>500.68402369623334</v>
      </c>
      <c r="D1737" s="7"/>
    </row>
    <row r="1738" spans="2:4" x14ac:dyDescent="0.25">
      <c r="B1738" s="4">
        <f t="shared" si="43"/>
        <v>587.31999999998425</v>
      </c>
      <c r="C1738" s="199">
        <v>500.85360393952817</v>
      </c>
      <c r="D1738" s="7"/>
    </row>
    <row r="1739" spans="2:4" x14ac:dyDescent="0.25">
      <c r="B1739" s="4">
        <f t="shared" si="43"/>
        <v>587.32999999998424</v>
      </c>
      <c r="C1739" s="199">
        <v>501.0231841828263</v>
      </c>
      <c r="D1739" s="7"/>
    </row>
    <row r="1740" spans="2:4" x14ac:dyDescent="0.25">
      <c r="B1740" s="4">
        <f t="shared" si="43"/>
        <v>587.33999999998423</v>
      </c>
      <c r="C1740" s="199">
        <v>501.192764426125</v>
      </c>
      <c r="D1740" s="7"/>
    </row>
    <row r="1741" spans="2:4" x14ac:dyDescent="0.25">
      <c r="B1741" s="4">
        <f t="shared" si="43"/>
        <v>587.34999999998422</v>
      </c>
      <c r="C1741" s="199">
        <v>501.36234466942301</v>
      </c>
      <c r="D1741" s="7"/>
    </row>
    <row r="1742" spans="2:4" x14ac:dyDescent="0.25">
      <c r="B1742" s="4">
        <f t="shared" si="43"/>
        <v>587.35999999998421</v>
      </c>
      <c r="C1742" s="199">
        <v>501.53192491272102</v>
      </c>
      <c r="D1742" s="7"/>
    </row>
    <row r="1743" spans="2:4" x14ac:dyDescent="0.25">
      <c r="B1743" s="4">
        <f t="shared" si="43"/>
        <v>587.3699999999842</v>
      </c>
      <c r="C1743" s="199">
        <v>501.70150515602074</v>
      </c>
      <c r="D1743" s="7"/>
    </row>
    <row r="1744" spans="2:4" x14ac:dyDescent="0.25">
      <c r="B1744" s="4">
        <f t="shared" si="43"/>
        <v>587.37999999998419</v>
      </c>
      <c r="C1744" s="199">
        <v>501.87108539931876</v>
      </c>
      <c r="D1744" s="7"/>
    </row>
    <row r="1745" spans="2:4" x14ac:dyDescent="0.25">
      <c r="B1745" s="4">
        <f t="shared" si="43"/>
        <v>587.38999999998418</v>
      </c>
      <c r="C1745" s="199">
        <v>502.040665642617</v>
      </c>
      <c r="D1745" s="7"/>
    </row>
    <row r="1746" spans="2:4" x14ac:dyDescent="0.25">
      <c r="B1746" s="4">
        <f t="shared" si="43"/>
        <v>587.39999999998417</v>
      </c>
      <c r="C1746" s="199">
        <v>502.21024588591558</v>
      </c>
      <c r="D1746" s="7"/>
    </row>
    <row r="1747" spans="2:4" x14ac:dyDescent="0.25">
      <c r="B1747" s="4">
        <f t="shared" si="43"/>
        <v>587.40999999998417</v>
      </c>
      <c r="C1747" s="199">
        <v>502.37982612921382</v>
      </c>
      <c r="D1747" s="7"/>
    </row>
    <row r="1748" spans="2:4" x14ac:dyDescent="0.25">
      <c r="B1748" s="4">
        <f t="shared" si="43"/>
        <v>587.41999999998416</v>
      </c>
      <c r="C1748" s="199">
        <v>502.54962748391142</v>
      </c>
      <c r="D1748" s="7"/>
    </row>
    <row r="1749" spans="2:4" x14ac:dyDescent="0.25">
      <c r="B1749" s="4">
        <f t="shared" si="43"/>
        <v>587.42999999998415</v>
      </c>
      <c r="C1749" s="199">
        <v>502.71942883860891</v>
      </c>
      <c r="D1749" s="7"/>
    </row>
    <row r="1750" spans="2:4" x14ac:dyDescent="0.25">
      <c r="B1750" s="4">
        <f t="shared" si="43"/>
        <v>587.43999999998414</v>
      </c>
      <c r="C1750" s="199">
        <v>502.8892301933073</v>
      </c>
      <c r="D1750" s="7"/>
    </row>
    <row r="1751" spans="2:4" x14ac:dyDescent="0.25">
      <c r="B1751" s="4">
        <f t="shared" si="43"/>
        <v>587.44999999998413</v>
      </c>
      <c r="C1751" s="199">
        <v>503.05903154800558</v>
      </c>
      <c r="D1751" s="7"/>
    </row>
    <row r="1752" spans="2:4" x14ac:dyDescent="0.25">
      <c r="B1752" s="4">
        <f t="shared" si="43"/>
        <v>587.45999999998412</v>
      </c>
      <c r="C1752" s="199">
        <v>503.22883290270306</v>
      </c>
      <c r="D1752" s="7"/>
    </row>
    <row r="1753" spans="2:4" x14ac:dyDescent="0.25">
      <c r="B1753" s="4">
        <f t="shared" si="43"/>
        <v>587.46999999998411</v>
      </c>
      <c r="C1753" s="199">
        <v>503.39863425740145</v>
      </c>
      <c r="D1753" s="7"/>
    </row>
    <row r="1754" spans="2:4" x14ac:dyDescent="0.25">
      <c r="B1754" s="4">
        <f t="shared" si="43"/>
        <v>587.4799999999841</v>
      </c>
      <c r="C1754" s="199">
        <v>503.56843561209894</v>
      </c>
      <c r="D1754" s="7"/>
    </row>
    <row r="1755" spans="2:4" x14ac:dyDescent="0.25">
      <c r="B1755" s="4">
        <f t="shared" si="43"/>
        <v>587.48999999998409</v>
      </c>
      <c r="C1755" s="199">
        <v>503.73823696679767</v>
      </c>
      <c r="D1755" s="7"/>
    </row>
    <row r="1756" spans="2:4" x14ac:dyDescent="0.25">
      <c r="B1756" s="4">
        <f t="shared" si="43"/>
        <v>587.49999999998408</v>
      </c>
      <c r="C1756" s="199">
        <v>503.90803832149516</v>
      </c>
      <c r="D1756" s="7"/>
    </row>
    <row r="1757" spans="2:4" x14ac:dyDescent="0.25">
      <c r="B1757" s="4">
        <f t="shared" si="43"/>
        <v>587.50999999998407</v>
      </c>
      <c r="C1757" s="199">
        <v>504.07783967619309</v>
      </c>
      <c r="D1757" s="7"/>
    </row>
    <row r="1758" spans="2:4" x14ac:dyDescent="0.25">
      <c r="B1758" s="4">
        <f t="shared" si="43"/>
        <v>587.51999999998407</v>
      </c>
      <c r="C1758" s="199">
        <v>504.24785721449052</v>
      </c>
      <c r="D1758" s="7"/>
    </row>
    <row r="1759" spans="2:4" x14ac:dyDescent="0.25">
      <c r="B1759" s="4">
        <f t="shared" si="43"/>
        <v>587.52999999998406</v>
      </c>
      <c r="C1759" s="199">
        <v>504.41787475279148</v>
      </c>
      <c r="D1759" s="7"/>
    </row>
    <row r="1760" spans="2:4" x14ac:dyDescent="0.25">
      <c r="B1760" s="4">
        <f t="shared" si="43"/>
        <v>587.53999999998405</v>
      </c>
      <c r="C1760" s="199">
        <v>504.58789229109163</v>
      </c>
      <c r="D1760" s="7"/>
    </row>
    <row r="1761" spans="2:4" x14ac:dyDescent="0.25">
      <c r="B1761" s="4">
        <f t="shared" si="43"/>
        <v>587.54999999998404</v>
      </c>
      <c r="C1761" s="199">
        <v>504.75790982939236</v>
      </c>
      <c r="D1761" s="7"/>
    </row>
    <row r="1762" spans="2:4" x14ac:dyDescent="0.25">
      <c r="B1762" s="4">
        <f t="shared" si="43"/>
        <v>587.55999999998403</v>
      </c>
      <c r="C1762" s="199">
        <v>504.92792736769286</v>
      </c>
      <c r="D1762" s="7"/>
    </row>
    <row r="1763" spans="2:4" x14ac:dyDescent="0.25">
      <c r="B1763" s="4">
        <f t="shared" si="43"/>
        <v>587.56999999998402</v>
      </c>
      <c r="C1763" s="199">
        <v>505.09794490599256</v>
      </c>
      <c r="D1763" s="7"/>
    </row>
    <row r="1764" spans="2:4" x14ac:dyDescent="0.25">
      <c r="B1764" s="4">
        <f t="shared" si="43"/>
        <v>587.57999999998401</v>
      </c>
      <c r="C1764" s="199">
        <v>505.26796244429397</v>
      </c>
      <c r="D1764" s="7"/>
    </row>
    <row r="1765" spans="2:4" x14ac:dyDescent="0.25">
      <c r="B1765" s="4">
        <f t="shared" si="43"/>
        <v>587.589999999984</v>
      </c>
      <c r="C1765" s="199">
        <v>505.43797998259367</v>
      </c>
      <c r="D1765" s="7"/>
    </row>
    <row r="1766" spans="2:4" x14ac:dyDescent="0.25">
      <c r="B1766" s="4">
        <f t="shared" si="43"/>
        <v>587.59999999998399</v>
      </c>
      <c r="C1766" s="199">
        <v>505.60799752089486</v>
      </c>
      <c r="D1766" s="7"/>
    </row>
    <row r="1767" spans="2:4" x14ac:dyDescent="0.25">
      <c r="B1767" s="4">
        <f t="shared" si="43"/>
        <v>587.60999999998398</v>
      </c>
      <c r="C1767" s="199">
        <v>505.77801505919479</v>
      </c>
      <c r="D1767" s="7"/>
    </row>
    <row r="1768" spans="2:4" x14ac:dyDescent="0.25">
      <c r="B1768" s="4">
        <f t="shared" si="43"/>
        <v>587.61999999998397</v>
      </c>
      <c r="C1768" s="199">
        <v>505.9482462912672</v>
      </c>
      <c r="D1768" s="7"/>
    </row>
    <row r="1769" spans="2:4" x14ac:dyDescent="0.25">
      <c r="B1769" s="4">
        <f t="shared" si="43"/>
        <v>587.62999999998397</v>
      </c>
      <c r="C1769" s="199">
        <v>506.1184775233404</v>
      </c>
      <c r="D1769" s="7"/>
    </row>
    <row r="1770" spans="2:4" x14ac:dyDescent="0.25">
      <c r="B1770" s="4">
        <f t="shared" si="43"/>
        <v>587.63999999998396</v>
      </c>
      <c r="C1770" s="199">
        <v>506.28870875541338</v>
      </c>
      <c r="D1770" s="7"/>
    </row>
    <row r="1771" spans="2:4" x14ac:dyDescent="0.25">
      <c r="B1771" s="4">
        <f t="shared" si="43"/>
        <v>587.64999999998395</v>
      </c>
      <c r="C1771" s="199">
        <v>506.45893998748716</v>
      </c>
      <c r="D1771" s="7"/>
    </row>
    <row r="1772" spans="2:4" x14ac:dyDescent="0.25">
      <c r="B1772" s="4">
        <f t="shared" si="43"/>
        <v>587.65999999998394</v>
      </c>
      <c r="C1772" s="199">
        <v>506.62917121956013</v>
      </c>
      <c r="D1772" s="7"/>
    </row>
    <row r="1773" spans="2:4" x14ac:dyDescent="0.25">
      <c r="B1773" s="4">
        <f t="shared" si="43"/>
        <v>587.66999999998393</v>
      </c>
      <c r="C1773" s="199">
        <v>506.7994024516338</v>
      </c>
      <c r="D1773" s="7"/>
    </row>
    <row r="1774" spans="2:4" x14ac:dyDescent="0.25">
      <c r="B1774" s="4">
        <f t="shared" si="43"/>
        <v>587.67999999998392</v>
      </c>
      <c r="C1774" s="199">
        <v>506.96963368370587</v>
      </c>
      <c r="D1774" s="7"/>
    </row>
    <row r="1775" spans="2:4" x14ac:dyDescent="0.25">
      <c r="B1775" s="4">
        <f t="shared" si="43"/>
        <v>587.68999999998391</v>
      </c>
      <c r="C1775" s="199">
        <v>507.13986491577884</v>
      </c>
      <c r="D1775" s="7"/>
    </row>
    <row r="1776" spans="2:4" x14ac:dyDescent="0.25">
      <c r="B1776" s="4">
        <f t="shared" si="43"/>
        <v>587.6999999999839</v>
      </c>
      <c r="C1776" s="199">
        <v>507.31009614785251</v>
      </c>
      <c r="D1776" s="7"/>
    </row>
    <row r="1777" spans="2:4" x14ac:dyDescent="0.25">
      <c r="B1777" s="4">
        <f t="shared" si="43"/>
        <v>587.70999999998389</v>
      </c>
      <c r="C1777" s="199">
        <v>507.48032737992548</v>
      </c>
      <c r="D1777" s="7"/>
    </row>
    <row r="1778" spans="2:4" x14ac:dyDescent="0.25">
      <c r="B1778" s="4">
        <f t="shared" si="43"/>
        <v>587.71999999998388</v>
      </c>
      <c r="C1778" s="199">
        <v>507.65077104432271</v>
      </c>
      <c r="D1778" s="7"/>
    </row>
    <row r="1779" spans="2:4" x14ac:dyDescent="0.25">
      <c r="B1779" s="4">
        <f t="shared" si="43"/>
        <v>587.72999999998387</v>
      </c>
      <c r="C1779" s="199">
        <v>507.82121470872289</v>
      </c>
      <c r="D1779" s="7"/>
    </row>
    <row r="1780" spans="2:4" x14ac:dyDescent="0.25">
      <c r="B1780" s="4">
        <f t="shared" si="43"/>
        <v>587.73999999998387</v>
      </c>
      <c r="C1780" s="199">
        <v>507.99165837312307</v>
      </c>
      <c r="D1780" s="7"/>
    </row>
    <row r="1781" spans="2:4" x14ac:dyDescent="0.25">
      <c r="B1781" s="4">
        <f t="shared" si="43"/>
        <v>587.74999999998386</v>
      </c>
      <c r="C1781" s="199">
        <v>508.16210203752314</v>
      </c>
      <c r="D1781" s="7"/>
    </row>
    <row r="1782" spans="2:4" x14ac:dyDescent="0.25">
      <c r="B1782" s="4">
        <f t="shared" si="43"/>
        <v>587.75999999998385</v>
      </c>
      <c r="C1782" s="199">
        <v>508.33254570192435</v>
      </c>
      <c r="D1782" s="7"/>
    </row>
    <row r="1783" spans="2:4" x14ac:dyDescent="0.25">
      <c r="B1783" s="4">
        <f t="shared" si="43"/>
        <v>587.76999999998384</v>
      </c>
      <c r="C1783" s="199">
        <v>508.50298936632464</v>
      </c>
      <c r="D1783" s="7"/>
    </row>
    <row r="1784" spans="2:4" x14ac:dyDescent="0.25">
      <c r="B1784" s="4">
        <f t="shared" si="43"/>
        <v>587.77999999998383</v>
      </c>
      <c r="C1784" s="199">
        <v>508.67343303072482</v>
      </c>
      <c r="D1784" s="7"/>
    </row>
    <row r="1785" spans="2:4" x14ac:dyDescent="0.25">
      <c r="B1785" s="4">
        <f t="shared" si="43"/>
        <v>587.78999999998382</v>
      </c>
      <c r="C1785" s="199">
        <v>508.84387669512591</v>
      </c>
      <c r="D1785" s="7"/>
    </row>
    <row r="1786" spans="2:4" x14ac:dyDescent="0.25">
      <c r="B1786" s="4">
        <f t="shared" si="43"/>
        <v>587.79999999998381</v>
      </c>
      <c r="C1786" s="199">
        <v>509.01432035952598</v>
      </c>
      <c r="D1786" s="7"/>
    </row>
    <row r="1787" spans="2:4" x14ac:dyDescent="0.25">
      <c r="B1787" s="4">
        <f t="shared" si="43"/>
        <v>587.8099999999838</v>
      </c>
      <c r="C1787" s="199">
        <v>509.18476402392628</v>
      </c>
      <c r="D1787" s="7"/>
    </row>
    <row r="1788" spans="2:4" x14ac:dyDescent="0.25">
      <c r="B1788" s="4">
        <f t="shared" si="43"/>
        <v>587.81999999998379</v>
      </c>
      <c r="C1788" s="199">
        <v>509.35542246310865</v>
      </c>
      <c r="D1788" s="7"/>
    </row>
    <row r="1789" spans="2:4" x14ac:dyDescent="0.25">
      <c r="B1789" s="4">
        <f t="shared" si="43"/>
        <v>587.82999999998378</v>
      </c>
      <c r="C1789" s="199">
        <v>509.52608090228978</v>
      </c>
      <c r="D1789" s="7"/>
    </row>
    <row r="1790" spans="2:4" x14ac:dyDescent="0.25">
      <c r="B1790" s="4">
        <f t="shared" si="43"/>
        <v>587.83999999998377</v>
      </c>
      <c r="C1790" s="199">
        <v>509.69673934146965</v>
      </c>
      <c r="D1790" s="7"/>
    </row>
    <row r="1791" spans="2:4" x14ac:dyDescent="0.25">
      <c r="B1791" s="4">
        <f t="shared" si="43"/>
        <v>587.84999999998377</v>
      </c>
      <c r="C1791" s="199">
        <v>509.86739778065032</v>
      </c>
      <c r="D1791" s="7"/>
    </row>
    <row r="1792" spans="2:4" x14ac:dyDescent="0.25">
      <c r="B1792" s="4">
        <f t="shared" si="43"/>
        <v>587.85999999998376</v>
      </c>
      <c r="C1792" s="199">
        <v>510.03805621983156</v>
      </c>
      <c r="D1792" s="7"/>
    </row>
    <row r="1793" spans="2:4" x14ac:dyDescent="0.25">
      <c r="B1793" s="4">
        <f t="shared" si="43"/>
        <v>587.86999999998375</v>
      </c>
      <c r="C1793" s="199">
        <v>510.20871465901223</v>
      </c>
      <c r="D1793" s="7"/>
    </row>
    <row r="1794" spans="2:4" x14ac:dyDescent="0.25">
      <c r="B1794" s="4">
        <f t="shared" si="43"/>
        <v>587.87999999998374</v>
      </c>
      <c r="C1794" s="199">
        <v>510.37937309819335</v>
      </c>
      <c r="D1794" s="7"/>
    </row>
    <row r="1795" spans="2:4" x14ac:dyDescent="0.25">
      <c r="B1795" s="4">
        <f t="shared" si="43"/>
        <v>587.88999999998373</v>
      </c>
      <c r="C1795" s="199">
        <v>510.55003153737346</v>
      </c>
      <c r="D1795" s="7"/>
    </row>
    <row r="1796" spans="2:4" x14ac:dyDescent="0.25">
      <c r="B1796" s="4">
        <f t="shared" si="43"/>
        <v>587.89999999998372</v>
      </c>
      <c r="C1796" s="199">
        <v>510.7206899765547</v>
      </c>
      <c r="D1796" s="7"/>
    </row>
    <row r="1797" spans="2:4" x14ac:dyDescent="0.25">
      <c r="B1797" s="4">
        <f t="shared" si="43"/>
        <v>587.90999999998371</v>
      </c>
      <c r="C1797" s="199">
        <v>510.89134841573525</v>
      </c>
      <c r="D1797" s="7"/>
    </row>
    <row r="1798" spans="2:4" x14ac:dyDescent="0.25">
      <c r="B1798" s="4">
        <f t="shared" si="43"/>
        <v>587.9199999999837</v>
      </c>
      <c r="C1798" s="199">
        <v>511.06222486070158</v>
      </c>
      <c r="D1798" s="7"/>
    </row>
    <row r="1799" spans="2:4" x14ac:dyDescent="0.25">
      <c r="B1799" s="4">
        <f t="shared" si="43"/>
        <v>587.92999999998369</v>
      </c>
      <c r="C1799" s="199">
        <v>511.23310130567097</v>
      </c>
      <c r="D1799" s="7"/>
    </row>
    <row r="1800" spans="2:4" x14ac:dyDescent="0.25">
      <c r="B1800" s="4">
        <f t="shared" ref="B1800:B1863" si="44">+B1799+0.01</f>
        <v>587.93999999998368</v>
      </c>
      <c r="C1800" s="199">
        <v>511.40397775064048</v>
      </c>
      <c r="D1800" s="7"/>
    </row>
    <row r="1801" spans="2:4" x14ac:dyDescent="0.25">
      <c r="B1801" s="4">
        <f t="shared" si="44"/>
        <v>587.94999999998367</v>
      </c>
      <c r="C1801" s="199">
        <v>511.57485419561033</v>
      </c>
      <c r="D1801" s="7"/>
    </row>
    <row r="1802" spans="2:4" x14ac:dyDescent="0.25">
      <c r="B1802" s="4">
        <f t="shared" si="44"/>
        <v>587.95999999998367</v>
      </c>
      <c r="C1802" s="199">
        <v>511.74573064057995</v>
      </c>
      <c r="D1802" s="7"/>
    </row>
    <row r="1803" spans="2:4" x14ac:dyDescent="0.25">
      <c r="B1803" s="4">
        <f t="shared" si="44"/>
        <v>587.96999999998366</v>
      </c>
      <c r="C1803" s="199">
        <v>511.91660708554912</v>
      </c>
      <c r="D1803" s="7"/>
    </row>
    <row r="1804" spans="2:4" x14ac:dyDescent="0.25">
      <c r="B1804" s="4">
        <f t="shared" si="44"/>
        <v>587.97999999998365</v>
      </c>
      <c r="C1804" s="199">
        <v>512.08748353051885</v>
      </c>
      <c r="D1804" s="7"/>
    </row>
    <row r="1805" spans="2:4" x14ac:dyDescent="0.25">
      <c r="B1805" s="4">
        <f t="shared" si="44"/>
        <v>587.98999999998364</v>
      </c>
      <c r="C1805" s="199">
        <v>512.25835997548859</v>
      </c>
      <c r="D1805" s="7"/>
    </row>
    <row r="1806" spans="2:4" x14ac:dyDescent="0.25">
      <c r="B1806" s="4">
        <f t="shared" si="44"/>
        <v>587.99999999998363</v>
      </c>
      <c r="C1806" s="199">
        <v>512.42923642045832</v>
      </c>
      <c r="D1806" s="7"/>
    </row>
    <row r="1807" spans="2:4" x14ac:dyDescent="0.25">
      <c r="B1807" s="4">
        <f t="shared" si="44"/>
        <v>588.00999999998362</v>
      </c>
      <c r="C1807" s="199">
        <v>512.6001128654276</v>
      </c>
      <c r="D1807" s="7"/>
    </row>
    <row r="1808" spans="2:4" x14ac:dyDescent="0.25">
      <c r="B1808" s="4">
        <f t="shared" si="44"/>
        <v>588.01999999998361</v>
      </c>
      <c r="C1808" s="199">
        <v>512.77121028733291</v>
      </c>
      <c r="D1808" s="7"/>
    </row>
    <row r="1809" spans="2:4" x14ac:dyDescent="0.25">
      <c r="B1809" s="4">
        <f t="shared" si="44"/>
        <v>588.0299999999836</v>
      </c>
      <c r="C1809" s="199">
        <v>512.94230770923775</v>
      </c>
      <c r="D1809" s="7"/>
    </row>
    <row r="1810" spans="2:4" x14ac:dyDescent="0.25">
      <c r="B1810" s="4">
        <f t="shared" si="44"/>
        <v>588.03999999998359</v>
      </c>
      <c r="C1810" s="199">
        <v>513.11340513114396</v>
      </c>
      <c r="D1810" s="7"/>
    </row>
    <row r="1811" spans="2:4" x14ac:dyDescent="0.25">
      <c r="B1811" s="4">
        <f t="shared" si="44"/>
        <v>588.04999999998358</v>
      </c>
      <c r="C1811" s="199">
        <v>513.28450255304892</v>
      </c>
      <c r="D1811" s="7"/>
    </row>
    <row r="1812" spans="2:4" x14ac:dyDescent="0.25">
      <c r="B1812" s="4">
        <f t="shared" si="44"/>
        <v>588.05999999998357</v>
      </c>
      <c r="C1812" s="199">
        <v>513.45559997495388</v>
      </c>
      <c r="D1812" s="7"/>
    </row>
    <row r="1813" spans="2:4" x14ac:dyDescent="0.25">
      <c r="B1813" s="4">
        <f t="shared" si="44"/>
        <v>588.06999999998357</v>
      </c>
      <c r="C1813" s="199">
        <v>513.62669739685964</v>
      </c>
      <c r="D1813" s="7"/>
    </row>
    <row r="1814" spans="2:4" x14ac:dyDescent="0.25">
      <c r="B1814" s="4">
        <f t="shared" si="44"/>
        <v>588.07999999998356</v>
      </c>
      <c r="C1814" s="199">
        <v>513.7977948187646</v>
      </c>
      <c r="D1814" s="7"/>
    </row>
    <row r="1815" spans="2:4" x14ac:dyDescent="0.25">
      <c r="B1815" s="4">
        <f t="shared" si="44"/>
        <v>588.08999999998355</v>
      </c>
      <c r="C1815" s="199">
        <v>513.9688922406707</v>
      </c>
      <c r="D1815" s="7"/>
    </row>
    <row r="1816" spans="2:4" x14ac:dyDescent="0.25">
      <c r="B1816" s="4">
        <f t="shared" si="44"/>
        <v>588.09999999998354</v>
      </c>
      <c r="C1816" s="199">
        <v>514.13998966257554</v>
      </c>
      <c r="D1816" s="7"/>
    </row>
    <row r="1817" spans="2:4" x14ac:dyDescent="0.25">
      <c r="B1817" s="4">
        <f t="shared" si="44"/>
        <v>588.10999999998353</v>
      </c>
      <c r="C1817" s="199">
        <v>514.31108708448062</v>
      </c>
      <c r="D1817" s="7"/>
    </row>
    <row r="1818" spans="2:4" x14ac:dyDescent="0.25">
      <c r="B1818" s="4">
        <f t="shared" si="44"/>
        <v>588.11999999998352</v>
      </c>
      <c r="C1818" s="199">
        <v>514.48240554973916</v>
      </c>
      <c r="D1818" s="7"/>
    </row>
    <row r="1819" spans="2:4" x14ac:dyDescent="0.25">
      <c r="B1819" s="4">
        <f t="shared" si="44"/>
        <v>588.12999999998351</v>
      </c>
      <c r="C1819" s="199">
        <v>514.65372401500042</v>
      </c>
      <c r="D1819" s="7"/>
    </row>
    <row r="1820" spans="2:4" x14ac:dyDescent="0.25">
      <c r="B1820" s="4">
        <f t="shared" si="44"/>
        <v>588.1399999999835</v>
      </c>
      <c r="C1820" s="199">
        <v>514.82504248026191</v>
      </c>
      <c r="D1820" s="7"/>
    </row>
    <row r="1821" spans="2:4" x14ac:dyDescent="0.25">
      <c r="B1821" s="4">
        <f t="shared" si="44"/>
        <v>588.14999999998349</v>
      </c>
      <c r="C1821" s="199">
        <v>514.99636094552341</v>
      </c>
      <c r="D1821" s="7"/>
    </row>
    <row r="1822" spans="2:4" x14ac:dyDescent="0.25">
      <c r="B1822" s="4">
        <f t="shared" si="44"/>
        <v>588.15999999998348</v>
      </c>
      <c r="C1822" s="199">
        <v>515.16767941078558</v>
      </c>
      <c r="D1822" s="7"/>
    </row>
    <row r="1823" spans="2:4" x14ac:dyDescent="0.25">
      <c r="B1823" s="4">
        <f t="shared" si="44"/>
        <v>588.16999999998347</v>
      </c>
      <c r="C1823" s="199">
        <v>515.3389978760473</v>
      </c>
      <c r="D1823" s="7"/>
    </row>
    <row r="1824" spans="2:4" x14ac:dyDescent="0.25">
      <c r="B1824" s="4">
        <f t="shared" si="44"/>
        <v>588.17999999998347</v>
      </c>
      <c r="C1824" s="199">
        <v>515.51031634130879</v>
      </c>
      <c r="D1824" s="7"/>
    </row>
    <row r="1825" spans="2:4" x14ac:dyDescent="0.25">
      <c r="B1825" s="4">
        <f t="shared" si="44"/>
        <v>588.18999999998346</v>
      </c>
      <c r="C1825" s="199">
        <v>515.68163480657006</v>
      </c>
      <c r="D1825" s="7"/>
    </row>
    <row r="1826" spans="2:4" x14ac:dyDescent="0.25">
      <c r="B1826" s="4">
        <f t="shared" si="44"/>
        <v>588.19999999998345</v>
      </c>
      <c r="C1826" s="199">
        <v>515.85295327183167</v>
      </c>
      <c r="D1826" s="7"/>
    </row>
    <row r="1827" spans="2:4" x14ac:dyDescent="0.25">
      <c r="B1827" s="4">
        <f t="shared" si="44"/>
        <v>588.20999999998344</v>
      </c>
      <c r="C1827" s="199">
        <v>516.02427173709316</v>
      </c>
      <c r="D1827" s="7"/>
    </row>
    <row r="1828" spans="2:4" x14ac:dyDescent="0.25">
      <c r="B1828" s="4">
        <f t="shared" si="44"/>
        <v>588.21999999998343</v>
      </c>
      <c r="C1828" s="199">
        <v>516.19581093908153</v>
      </c>
      <c r="D1828" s="7"/>
    </row>
    <row r="1829" spans="2:4" x14ac:dyDescent="0.25">
      <c r="B1829" s="4">
        <f t="shared" si="44"/>
        <v>588.22999999998342</v>
      </c>
      <c r="C1829" s="199">
        <v>516.36735014106887</v>
      </c>
      <c r="D1829" s="7"/>
    </row>
    <row r="1830" spans="2:4" x14ac:dyDescent="0.25">
      <c r="B1830" s="4">
        <f t="shared" si="44"/>
        <v>588.23999999998341</v>
      </c>
      <c r="C1830" s="199">
        <v>516.5388893430561</v>
      </c>
      <c r="D1830" s="7"/>
    </row>
    <row r="1831" spans="2:4" x14ac:dyDescent="0.25">
      <c r="B1831" s="4">
        <f t="shared" si="44"/>
        <v>588.2499999999834</v>
      </c>
      <c r="C1831" s="199">
        <v>516.71042854504378</v>
      </c>
      <c r="D1831" s="7"/>
    </row>
    <row r="1832" spans="2:4" x14ac:dyDescent="0.25">
      <c r="B1832" s="4">
        <f t="shared" si="44"/>
        <v>588.25999999998339</v>
      </c>
      <c r="C1832" s="199">
        <v>516.88196774703147</v>
      </c>
      <c r="D1832" s="7"/>
    </row>
    <row r="1833" spans="2:4" x14ac:dyDescent="0.25">
      <c r="B1833" s="4">
        <f t="shared" si="44"/>
        <v>588.26999999998338</v>
      </c>
      <c r="C1833" s="199">
        <v>517.05350694901983</v>
      </c>
      <c r="D1833" s="7"/>
    </row>
    <row r="1834" spans="2:4" x14ac:dyDescent="0.25">
      <c r="B1834" s="4">
        <f t="shared" si="44"/>
        <v>588.27999999998337</v>
      </c>
      <c r="C1834" s="199">
        <v>517.22504615100752</v>
      </c>
      <c r="D1834" s="7"/>
    </row>
    <row r="1835" spans="2:4" x14ac:dyDescent="0.25">
      <c r="B1835" s="4">
        <f t="shared" si="44"/>
        <v>588.28999999998337</v>
      </c>
      <c r="C1835" s="199">
        <v>517.39658535299509</v>
      </c>
      <c r="D1835" s="7"/>
    </row>
    <row r="1836" spans="2:4" x14ac:dyDescent="0.25">
      <c r="B1836" s="4">
        <f t="shared" si="44"/>
        <v>588.29999999998336</v>
      </c>
      <c r="C1836" s="199">
        <v>517.56812455498277</v>
      </c>
      <c r="D1836" s="7"/>
    </row>
    <row r="1837" spans="2:4" x14ac:dyDescent="0.25">
      <c r="B1837" s="4">
        <f t="shared" si="44"/>
        <v>588.30999999998335</v>
      </c>
      <c r="C1837" s="199">
        <v>517.73966375697023</v>
      </c>
      <c r="D1837" s="7"/>
    </row>
    <row r="1838" spans="2:4" x14ac:dyDescent="0.25">
      <c r="B1838" s="4">
        <f t="shared" si="44"/>
        <v>588.31999999998334</v>
      </c>
      <c r="C1838" s="199">
        <v>517.91142377653375</v>
      </c>
      <c r="D1838" s="7"/>
    </row>
    <row r="1839" spans="2:4" x14ac:dyDescent="0.25">
      <c r="B1839" s="4">
        <f t="shared" si="44"/>
        <v>588.32999999998333</v>
      </c>
      <c r="C1839" s="199">
        <v>518.08318379610012</v>
      </c>
      <c r="D1839" s="7"/>
    </row>
    <row r="1840" spans="2:4" x14ac:dyDescent="0.25">
      <c r="B1840" s="4">
        <f t="shared" si="44"/>
        <v>588.33999999998332</v>
      </c>
      <c r="C1840" s="199">
        <v>518.25494381566773</v>
      </c>
      <c r="D1840" s="7"/>
    </row>
    <row r="1841" spans="2:4" x14ac:dyDescent="0.25">
      <c r="B1841" s="4">
        <f t="shared" si="44"/>
        <v>588.34999999998331</v>
      </c>
      <c r="C1841" s="199">
        <v>518.42670383523478</v>
      </c>
      <c r="D1841" s="7"/>
    </row>
    <row r="1842" spans="2:4" x14ac:dyDescent="0.25">
      <c r="B1842" s="4">
        <f t="shared" si="44"/>
        <v>588.3599999999833</v>
      </c>
      <c r="C1842" s="199">
        <v>518.59846385480091</v>
      </c>
      <c r="D1842" s="7"/>
    </row>
    <row r="1843" spans="2:4" x14ac:dyDescent="0.25">
      <c r="B1843" s="4">
        <f t="shared" si="44"/>
        <v>588.36999999998329</v>
      </c>
      <c r="C1843" s="199">
        <v>518.77022387436853</v>
      </c>
      <c r="D1843" s="7"/>
    </row>
    <row r="1844" spans="2:4" x14ac:dyDescent="0.25">
      <c r="B1844" s="4">
        <f t="shared" si="44"/>
        <v>588.37999999998328</v>
      </c>
      <c r="C1844" s="199">
        <v>518.94198389393546</v>
      </c>
      <c r="D1844" s="7"/>
    </row>
    <row r="1845" spans="2:4" x14ac:dyDescent="0.25">
      <c r="B1845" s="4">
        <f t="shared" si="44"/>
        <v>588.38999999998327</v>
      </c>
      <c r="C1845" s="199">
        <v>519.11374391350262</v>
      </c>
      <c r="D1845" s="7"/>
    </row>
    <row r="1846" spans="2:4" x14ac:dyDescent="0.25">
      <c r="B1846" s="4">
        <f t="shared" si="44"/>
        <v>588.39999999998327</v>
      </c>
      <c r="C1846" s="199">
        <v>519.28550393306955</v>
      </c>
      <c r="D1846" s="7"/>
    </row>
    <row r="1847" spans="2:4" x14ac:dyDescent="0.25">
      <c r="B1847" s="4">
        <f t="shared" si="44"/>
        <v>588.40999999998326</v>
      </c>
      <c r="C1847" s="199">
        <v>519.45726395263569</v>
      </c>
      <c r="D1847" s="7"/>
    </row>
    <row r="1848" spans="2:4" x14ac:dyDescent="0.25">
      <c r="B1848" s="4">
        <f t="shared" si="44"/>
        <v>588.41999999998325</v>
      </c>
      <c r="C1848" s="199">
        <v>519.62924414664008</v>
      </c>
      <c r="D1848" s="7"/>
    </row>
    <row r="1849" spans="2:4" x14ac:dyDescent="0.25">
      <c r="B1849" s="4">
        <f t="shared" si="44"/>
        <v>588.42999999998324</v>
      </c>
      <c r="C1849" s="199">
        <v>519.80122434064424</v>
      </c>
      <c r="D1849" s="7"/>
    </row>
    <row r="1850" spans="2:4" x14ac:dyDescent="0.25">
      <c r="B1850" s="4">
        <f t="shared" si="44"/>
        <v>588.43999999998323</v>
      </c>
      <c r="C1850" s="199">
        <v>519.97320453464795</v>
      </c>
      <c r="D1850" s="7"/>
    </row>
    <row r="1851" spans="2:4" x14ac:dyDescent="0.25">
      <c r="B1851" s="4">
        <f t="shared" si="44"/>
        <v>588.44999999998322</v>
      </c>
      <c r="C1851" s="199">
        <v>520.14518472865279</v>
      </c>
      <c r="D1851" s="7"/>
    </row>
    <row r="1852" spans="2:4" x14ac:dyDescent="0.25">
      <c r="B1852" s="4">
        <f t="shared" si="44"/>
        <v>588.45999999998321</v>
      </c>
      <c r="C1852" s="199">
        <v>520.31716492265662</v>
      </c>
      <c r="D1852" s="7"/>
    </row>
    <row r="1853" spans="2:4" x14ac:dyDescent="0.25">
      <c r="B1853" s="4">
        <f t="shared" si="44"/>
        <v>588.4699999999832</v>
      </c>
      <c r="C1853" s="199">
        <v>520.48914511666169</v>
      </c>
      <c r="D1853" s="7"/>
    </row>
    <row r="1854" spans="2:4" x14ac:dyDescent="0.25">
      <c r="B1854" s="4">
        <f t="shared" si="44"/>
        <v>588.47999999998319</v>
      </c>
      <c r="C1854" s="199">
        <v>520.66112531066574</v>
      </c>
      <c r="D1854" s="7"/>
    </row>
    <row r="1855" spans="2:4" x14ac:dyDescent="0.25">
      <c r="B1855" s="4">
        <f t="shared" si="44"/>
        <v>588.48999999998318</v>
      </c>
      <c r="C1855" s="199">
        <v>520.83310550466933</v>
      </c>
      <c r="D1855" s="7"/>
    </row>
    <row r="1856" spans="2:4" x14ac:dyDescent="0.25">
      <c r="B1856" s="4">
        <f t="shared" si="44"/>
        <v>588.49999999998317</v>
      </c>
      <c r="C1856" s="199">
        <v>521.00508569867441</v>
      </c>
      <c r="D1856" s="7"/>
    </row>
    <row r="1857" spans="2:4" x14ac:dyDescent="0.25">
      <c r="B1857" s="4">
        <f t="shared" si="44"/>
        <v>588.50999999998317</v>
      </c>
      <c r="C1857" s="199">
        <v>521.177065892678</v>
      </c>
      <c r="D1857" s="7"/>
    </row>
    <row r="1858" spans="2:4" x14ac:dyDescent="0.25">
      <c r="B1858" s="4">
        <f t="shared" si="44"/>
        <v>588.51999999998316</v>
      </c>
      <c r="C1858" s="199">
        <v>521.34926209229127</v>
      </c>
      <c r="D1858" s="7"/>
    </row>
    <row r="1859" spans="2:4" x14ac:dyDescent="0.25">
      <c r="B1859" s="4">
        <f t="shared" si="44"/>
        <v>588.52999999998315</v>
      </c>
      <c r="C1859" s="199">
        <v>521.52145829190852</v>
      </c>
      <c r="D1859" s="7"/>
    </row>
    <row r="1860" spans="2:4" x14ac:dyDescent="0.25">
      <c r="B1860" s="4">
        <f t="shared" si="44"/>
        <v>588.53999999998314</v>
      </c>
      <c r="C1860" s="199">
        <v>521.69365449152599</v>
      </c>
      <c r="D1860" s="7"/>
    </row>
    <row r="1861" spans="2:4" x14ac:dyDescent="0.25">
      <c r="B1861" s="4">
        <f t="shared" si="44"/>
        <v>588.54999999998313</v>
      </c>
      <c r="C1861" s="199">
        <v>521.86585069114312</v>
      </c>
      <c r="D1861" s="7"/>
    </row>
    <row r="1862" spans="2:4" x14ac:dyDescent="0.25">
      <c r="B1862" s="4">
        <f t="shared" si="44"/>
        <v>588.55999999998312</v>
      </c>
      <c r="C1862" s="199">
        <v>522.03804689075969</v>
      </c>
      <c r="D1862" s="7"/>
    </row>
    <row r="1863" spans="2:4" x14ac:dyDescent="0.25">
      <c r="B1863" s="4">
        <f t="shared" si="44"/>
        <v>588.56999999998311</v>
      </c>
      <c r="C1863" s="199">
        <v>522.21024309037682</v>
      </c>
      <c r="D1863" s="7"/>
    </row>
    <row r="1864" spans="2:4" x14ac:dyDescent="0.25">
      <c r="B1864" s="4">
        <f t="shared" ref="B1864:B1927" si="45">+B1863+0.01</f>
        <v>588.5799999999831</v>
      </c>
      <c r="C1864" s="199">
        <v>522.38243928999395</v>
      </c>
      <c r="D1864" s="7"/>
    </row>
    <row r="1865" spans="2:4" x14ac:dyDescent="0.25">
      <c r="B1865" s="4">
        <f t="shared" si="45"/>
        <v>588.58999999998309</v>
      </c>
      <c r="C1865" s="199">
        <v>522.55463548961063</v>
      </c>
      <c r="D1865" s="7"/>
    </row>
    <row r="1866" spans="2:4" x14ac:dyDescent="0.25">
      <c r="B1866" s="4">
        <f t="shared" si="45"/>
        <v>588.59999999998308</v>
      </c>
      <c r="C1866" s="199">
        <v>522.72683168922867</v>
      </c>
      <c r="D1866" s="7"/>
    </row>
    <row r="1867" spans="2:4" x14ac:dyDescent="0.25">
      <c r="B1867" s="4">
        <f t="shared" si="45"/>
        <v>588.60999999998307</v>
      </c>
      <c r="C1867" s="199">
        <v>522.89902788884535</v>
      </c>
      <c r="D1867" s="7"/>
    </row>
    <row r="1868" spans="2:4" x14ac:dyDescent="0.25">
      <c r="B1868" s="4">
        <f t="shared" si="45"/>
        <v>588.61999999998307</v>
      </c>
      <c r="C1868" s="199">
        <v>523.07143699426945</v>
      </c>
      <c r="D1868" s="7"/>
    </row>
    <row r="1869" spans="2:4" x14ac:dyDescent="0.25">
      <c r="B1869" s="4">
        <f t="shared" si="45"/>
        <v>588.62999999998306</v>
      </c>
      <c r="C1869" s="199">
        <v>523.24384609969377</v>
      </c>
      <c r="D1869" s="7"/>
    </row>
    <row r="1870" spans="2:4" x14ac:dyDescent="0.25">
      <c r="B1870" s="4">
        <f t="shared" si="45"/>
        <v>588.63999999998305</v>
      </c>
      <c r="C1870" s="199">
        <v>523.41625520511764</v>
      </c>
      <c r="D1870" s="7"/>
    </row>
    <row r="1871" spans="2:4" x14ac:dyDescent="0.25">
      <c r="B1871" s="4">
        <f t="shared" si="45"/>
        <v>588.64999999998304</v>
      </c>
      <c r="C1871" s="199">
        <v>523.58866431054207</v>
      </c>
      <c r="D1871" s="7"/>
    </row>
    <row r="1872" spans="2:4" x14ac:dyDescent="0.25">
      <c r="B1872" s="4">
        <f t="shared" si="45"/>
        <v>588.65999999998303</v>
      </c>
      <c r="C1872" s="199">
        <v>523.76107341596639</v>
      </c>
      <c r="D1872" s="7"/>
    </row>
    <row r="1873" spans="2:4" x14ac:dyDescent="0.25">
      <c r="B1873" s="4">
        <f t="shared" si="45"/>
        <v>588.66999999998302</v>
      </c>
      <c r="C1873" s="199">
        <v>523.93348252139072</v>
      </c>
      <c r="D1873" s="7"/>
    </row>
    <row r="1874" spans="2:4" x14ac:dyDescent="0.25">
      <c r="B1874" s="4">
        <f t="shared" si="45"/>
        <v>588.67999999998301</v>
      </c>
      <c r="C1874" s="199">
        <v>524.10589162681435</v>
      </c>
      <c r="D1874" s="7"/>
    </row>
    <row r="1875" spans="2:4" x14ac:dyDescent="0.25">
      <c r="B1875" s="4">
        <f t="shared" si="45"/>
        <v>588.689999999983</v>
      </c>
      <c r="C1875" s="199">
        <v>524.27830073223879</v>
      </c>
      <c r="D1875" s="7"/>
    </row>
    <row r="1876" spans="2:4" x14ac:dyDescent="0.25">
      <c r="B1876" s="4">
        <f t="shared" si="45"/>
        <v>588.69999999998299</v>
      </c>
      <c r="C1876" s="199">
        <v>524.450709837663</v>
      </c>
      <c r="D1876" s="7"/>
    </row>
    <row r="1877" spans="2:4" x14ac:dyDescent="0.25">
      <c r="B1877" s="4">
        <f t="shared" si="45"/>
        <v>588.70999999998298</v>
      </c>
      <c r="C1877" s="199">
        <v>524.62311894308732</v>
      </c>
      <c r="D1877" s="7"/>
    </row>
    <row r="1878" spans="2:4" x14ac:dyDescent="0.25">
      <c r="B1878" s="4">
        <f t="shared" si="45"/>
        <v>588.71999999998297</v>
      </c>
      <c r="C1878" s="199">
        <v>524.7957384568881</v>
      </c>
      <c r="D1878" s="7"/>
    </row>
    <row r="1879" spans="2:4" x14ac:dyDescent="0.25">
      <c r="B1879" s="4">
        <f t="shared" si="45"/>
        <v>588.72999999998297</v>
      </c>
      <c r="C1879" s="199">
        <v>524.96835797069286</v>
      </c>
      <c r="D1879" s="7"/>
    </row>
    <row r="1880" spans="2:4" x14ac:dyDescent="0.25">
      <c r="B1880" s="4">
        <f t="shared" si="45"/>
        <v>588.73999999998296</v>
      </c>
      <c r="C1880" s="199">
        <v>525.14097748449853</v>
      </c>
      <c r="D1880" s="7"/>
    </row>
    <row r="1881" spans="2:4" x14ac:dyDescent="0.25">
      <c r="B1881" s="4">
        <f t="shared" si="45"/>
        <v>588.74999999998295</v>
      </c>
      <c r="C1881" s="199">
        <v>525.31359699830375</v>
      </c>
      <c r="D1881" s="7"/>
    </row>
    <row r="1882" spans="2:4" x14ac:dyDescent="0.25">
      <c r="B1882" s="4">
        <f t="shared" si="45"/>
        <v>588.75999999998294</v>
      </c>
      <c r="C1882" s="199">
        <v>525.48621651210772</v>
      </c>
      <c r="D1882" s="7"/>
    </row>
    <row r="1883" spans="2:4" x14ac:dyDescent="0.25">
      <c r="B1883" s="4">
        <f t="shared" si="45"/>
        <v>588.76999999998293</v>
      </c>
      <c r="C1883" s="199">
        <v>525.65883602591327</v>
      </c>
      <c r="D1883" s="7"/>
    </row>
    <row r="1884" spans="2:4" x14ac:dyDescent="0.25">
      <c r="B1884" s="4">
        <f t="shared" si="45"/>
        <v>588.77999999998292</v>
      </c>
      <c r="C1884" s="199">
        <v>525.83145553971849</v>
      </c>
      <c r="D1884" s="7"/>
    </row>
    <row r="1885" spans="2:4" x14ac:dyDescent="0.25">
      <c r="B1885" s="4">
        <f t="shared" si="45"/>
        <v>588.78999999998291</v>
      </c>
      <c r="C1885" s="199">
        <v>526.00407505352405</v>
      </c>
      <c r="D1885" s="7"/>
    </row>
    <row r="1886" spans="2:4" x14ac:dyDescent="0.25">
      <c r="B1886" s="4">
        <f t="shared" si="45"/>
        <v>588.7999999999829</v>
      </c>
      <c r="C1886" s="199">
        <v>526.17669456732892</v>
      </c>
      <c r="D1886" s="7"/>
    </row>
    <row r="1887" spans="2:4" x14ac:dyDescent="0.25">
      <c r="B1887" s="4">
        <f t="shared" si="45"/>
        <v>588.80999999998289</v>
      </c>
      <c r="C1887" s="199">
        <v>526.34931408113425</v>
      </c>
      <c r="D1887" s="7"/>
    </row>
    <row r="1888" spans="2:4" x14ac:dyDescent="0.25">
      <c r="B1888" s="4">
        <f t="shared" si="45"/>
        <v>588.81999999998288</v>
      </c>
      <c r="C1888" s="199">
        <v>526.52214297823241</v>
      </c>
      <c r="D1888" s="7"/>
    </row>
    <row r="1889" spans="2:4" x14ac:dyDescent="0.25">
      <c r="B1889" s="4">
        <f t="shared" si="45"/>
        <v>588.82999999998287</v>
      </c>
      <c r="C1889" s="199">
        <v>526.69497187532909</v>
      </c>
      <c r="D1889" s="7"/>
    </row>
    <row r="1890" spans="2:4" x14ac:dyDescent="0.25">
      <c r="B1890" s="4">
        <f t="shared" si="45"/>
        <v>588.83999999998287</v>
      </c>
      <c r="C1890" s="199">
        <v>526.86780077242634</v>
      </c>
      <c r="D1890" s="7"/>
    </row>
    <row r="1891" spans="2:4" x14ac:dyDescent="0.25">
      <c r="B1891" s="4">
        <f t="shared" si="45"/>
        <v>588.84999999998286</v>
      </c>
      <c r="C1891" s="199">
        <v>527.04062966952336</v>
      </c>
      <c r="D1891" s="7"/>
    </row>
    <row r="1892" spans="2:4" x14ac:dyDescent="0.25">
      <c r="B1892" s="4">
        <f t="shared" si="45"/>
        <v>588.85999999998285</v>
      </c>
      <c r="C1892" s="199">
        <v>527.21345856662083</v>
      </c>
      <c r="D1892" s="7"/>
    </row>
    <row r="1893" spans="2:4" x14ac:dyDescent="0.25">
      <c r="B1893" s="4">
        <f t="shared" si="45"/>
        <v>588.86999999998284</v>
      </c>
      <c r="C1893" s="199">
        <v>527.38628746371728</v>
      </c>
      <c r="D1893" s="7"/>
    </row>
    <row r="1894" spans="2:4" x14ac:dyDescent="0.25">
      <c r="B1894" s="4">
        <f t="shared" si="45"/>
        <v>588.87999999998283</v>
      </c>
      <c r="C1894" s="199">
        <v>527.55911636081441</v>
      </c>
      <c r="D1894" s="7"/>
    </row>
    <row r="1895" spans="2:4" x14ac:dyDescent="0.25">
      <c r="B1895" s="4">
        <f t="shared" si="45"/>
        <v>588.88999999998282</v>
      </c>
      <c r="C1895" s="199">
        <v>527.73194525791212</v>
      </c>
      <c r="D1895" s="7"/>
    </row>
    <row r="1896" spans="2:4" x14ac:dyDescent="0.25">
      <c r="B1896" s="4">
        <f t="shared" si="45"/>
        <v>588.89999999998281</v>
      </c>
      <c r="C1896" s="199">
        <v>527.90477415500834</v>
      </c>
      <c r="D1896" s="7"/>
    </row>
    <row r="1897" spans="2:4" x14ac:dyDescent="0.25">
      <c r="B1897" s="4">
        <f t="shared" si="45"/>
        <v>588.9099999999828</v>
      </c>
      <c r="C1897" s="199">
        <v>528.07760305210536</v>
      </c>
      <c r="D1897" s="7"/>
    </row>
    <row r="1898" spans="2:4" x14ac:dyDescent="0.25">
      <c r="B1898" s="4">
        <f t="shared" si="45"/>
        <v>588.91999999998279</v>
      </c>
      <c r="C1898" s="199">
        <v>528.25064170496535</v>
      </c>
      <c r="D1898" s="7"/>
    </row>
    <row r="1899" spans="2:4" x14ac:dyDescent="0.25">
      <c r="B1899" s="4">
        <f t="shared" si="45"/>
        <v>588.92999999998278</v>
      </c>
      <c r="C1899" s="199">
        <v>528.42368035782943</v>
      </c>
      <c r="D1899" s="7"/>
    </row>
    <row r="1900" spans="2:4" x14ac:dyDescent="0.25">
      <c r="B1900" s="4">
        <f t="shared" si="45"/>
        <v>588.93999999998277</v>
      </c>
      <c r="C1900" s="199">
        <v>528.59671901069328</v>
      </c>
      <c r="D1900" s="7"/>
    </row>
    <row r="1901" spans="2:4" x14ac:dyDescent="0.25">
      <c r="B1901" s="4">
        <f t="shared" si="45"/>
        <v>588.94999999998277</v>
      </c>
      <c r="C1901" s="199">
        <v>528.76975766355656</v>
      </c>
      <c r="D1901" s="7"/>
    </row>
    <row r="1902" spans="2:4" x14ac:dyDescent="0.25">
      <c r="B1902" s="4">
        <f t="shared" si="45"/>
        <v>588.95999999998276</v>
      </c>
      <c r="C1902" s="199">
        <v>528.94279631642053</v>
      </c>
      <c r="D1902" s="7"/>
    </row>
    <row r="1903" spans="2:4" x14ac:dyDescent="0.25">
      <c r="B1903" s="4">
        <f t="shared" si="45"/>
        <v>588.96999999998275</v>
      </c>
      <c r="C1903" s="199">
        <v>529.11583496928449</v>
      </c>
      <c r="D1903" s="7"/>
    </row>
    <row r="1904" spans="2:4" x14ac:dyDescent="0.25">
      <c r="B1904" s="4">
        <f t="shared" si="45"/>
        <v>588.97999999998274</v>
      </c>
      <c r="C1904" s="199">
        <v>529.28887362214789</v>
      </c>
      <c r="D1904" s="7"/>
    </row>
    <row r="1905" spans="2:4" x14ac:dyDescent="0.25">
      <c r="B1905" s="4">
        <f t="shared" si="45"/>
        <v>588.98999999998273</v>
      </c>
      <c r="C1905" s="199">
        <v>529.46191227501174</v>
      </c>
      <c r="D1905" s="7"/>
    </row>
    <row r="1906" spans="2:4" x14ac:dyDescent="0.25">
      <c r="B1906" s="4">
        <f t="shared" si="45"/>
        <v>588.99999999998272</v>
      </c>
      <c r="C1906" s="199">
        <v>529.63495092787514</v>
      </c>
      <c r="D1906" s="7"/>
    </row>
    <row r="1907" spans="2:4" x14ac:dyDescent="0.25">
      <c r="B1907" s="4">
        <f t="shared" si="45"/>
        <v>589.00999999998271</v>
      </c>
      <c r="C1907" s="199">
        <v>529.80798958073899</v>
      </c>
      <c r="D1907" s="7"/>
    </row>
    <row r="1908" spans="2:4" x14ac:dyDescent="0.25">
      <c r="B1908" s="4">
        <f t="shared" si="45"/>
        <v>589.0199999999827</v>
      </c>
      <c r="C1908" s="199">
        <v>529.98123684950724</v>
      </c>
      <c r="D1908" s="7"/>
    </row>
    <row r="1909" spans="2:4" x14ac:dyDescent="0.25">
      <c r="B1909" s="4">
        <f t="shared" si="45"/>
        <v>589.02999999998269</v>
      </c>
      <c r="C1909" s="199">
        <v>530.15448411827515</v>
      </c>
      <c r="D1909" s="7"/>
    </row>
    <row r="1910" spans="2:4" x14ac:dyDescent="0.25">
      <c r="B1910" s="4">
        <f t="shared" si="45"/>
        <v>589.03999999998268</v>
      </c>
      <c r="C1910" s="199">
        <v>530.32773138704295</v>
      </c>
      <c r="D1910" s="7"/>
    </row>
    <row r="1911" spans="2:4" x14ac:dyDescent="0.25">
      <c r="B1911" s="4">
        <f t="shared" si="45"/>
        <v>589.04999999998267</v>
      </c>
      <c r="C1911" s="199">
        <v>530.50097865581074</v>
      </c>
      <c r="D1911" s="7"/>
    </row>
    <row r="1912" spans="2:4" x14ac:dyDescent="0.25">
      <c r="B1912" s="4">
        <f t="shared" si="45"/>
        <v>589.05999999998267</v>
      </c>
      <c r="C1912" s="199">
        <v>530.67422592457945</v>
      </c>
      <c r="D1912" s="7"/>
    </row>
    <row r="1913" spans="2:4" x14ac:dyDescent="0.25">
      <c r="B1913" s="4">
        <f t="shared" si="45"/>
        <v>589.06999999998266</v>
      </c>
      <c r="C1913" s="199">
        <v>530.84747319334781</v>
      </c>
      <c r="D1913" s="7"/>
    </row>
    <row r="1914" spans="2:4" x14ac:dyDescent="0.25">
      <c r="B1914" s="4">
        <f t="shared" si="45"/>
        <v>589.07999999998265</v>
      </c>
      <c r="C1914" s="199">
        <v>531.02072046211572</v>
      </c>
      <c r="D1914" s="7"/>
    </row>
    <row r="1915" spans="2:4" x14ac:dyDescent="0.25">
      <c r="B1915" s="4">
        <f t="shared" si="45"/>
        <v>589.08999999998264</v>
      </c>
      <c r="C1915" s="199">
        <v>531.19396773088386</v>
      </c>
      <c r="D1915" s="7"/>
    </row>
    <row r="1916" spans="2:4" x14ac:dyDescent="0.25">
      <c r="B1916" s="4">
        <f t="shared" si="45"/>
        <v>589.09999999998263</v>
      </c>
      <c r="C1916" s="199">
        <v>531.36721499965165</v>
      </c>
      <c r="D1916" s="7"/>
    </row>
    <row r="1917" spans="2:4" x14ac:dyDescent="0.25">
      <c r="B1917" s="4">
        <f t="shared" si="45"/>
        <v>589.10999999998262</v>
      </c>
      <c r="C1917" s="199">
        <v>531.54046226841945</v>
      </c>
      <c r="D1917" s="7"/>
    </row>
    <row r="1918" spans="2:4" x14ac:dyDescent="0.25">
      <c r="B1918" s="4">
        <f t="shared" si="45"/>
        <v>589.11999999998261</v>
      </c>
      <c r="C1918" s="199">
        <v>531.71391606754946</v>
      </c>
      <c r="D1918" s="7"/>
    </row>
    <row r="1919" spans="2:4" x14ac:dyDescent="0.25">
      <c r="B1919" s="4">
        <f t="shared" si="45"/>
        <v>589.1299999999826</v>
      </c>
      <c r="C1919" s="199">
        <v>531.88736986668221</v>
      </c>
      <c r="D1919" s="7"/>
    </row>
    <row r="1920" spans="2:4" x14ac:dyDescent="0.25">
      <c r="B1920" s="4">
        <f t="shared" si="45"/>
        <v>589.13999999998259</v>
      </c>
      <c r="C1920" s="199">
        <v>532.06082366581552</v>
      </c>
      <c r="D1920" s="7"/>
    </row>
    <row r="1921" spans="2:4" x14ac:dyDescent="0.25">
      <c r="B1921" s="4">
        <f t="shared" si="45"/>
        <v>589.14999999998258</v>
      </c>
      <c r="C1921" s="199">
        <v>532.23427746494872</v>
      </c>
      <c r="D1921" s="7"/>
    </row>
    <row r="1922" spans="2:4" x14ac:dyDescent="0.25">
      <c r="B1922" s="4">
        <f t="shared" si="45"/>
        <v>589.15999999998257</v>
      </c>
      <c r="C1922" s="199">
        <v>532.40773126408203</v>
      </c>
      <c r="D1922" s="7"/>
    </row>
    <row r="1923" spans="2:4" x14ac:dyDescent="0.25">
      <c r="B1923" s="4">
        <f t="shared" si="45"/>
        <v>589.16999999998256</v>
      </c>
      <c r="C1923" s="199">
        <v>532.58118506321546</v>
      </c>
      <c r="D1923" s="7"/>
    </row>
    <row r="1924" spans="2:4" x14ac:dyDescent="0.25">
      <c r="B1924" s="4">
        <f t="shared" si="45"/>
        <v>589.17999999998256</v>
      </c>
      <c r="C1924" s="199">
        <v>532.75463886234854</v>
      </c>
      <c r="D1924" s="7"/>
    </row>
    <row r="1925" spans="2:4" x14ac:dyDescent="0.25">
      <c r="B1925" s="4">
        <f t="shared" si="45"/>
        <v>589.18999999998255</v>
      </c>
      <c r="C1925" s="199">
        <v>532.92809266148083</v>
      </c>
      <c r="D1925" s="7"/>
    </row>
    <row r="1926" spans="2:4" x14ac:dyDescent="0.25">
      <c r="B1926" s="4">
        <f t="shared" si="45"/>
        <v>589.19999999998254</v>
      </c>
      <c r="C1926" s="199">
        <v>533.10154646061403</v>
      </c>
      <c r="D1926" s="7"/>
    </row>
    <row r="1927" spans="2:4" x14ac:dyDescent="0.25">
      <c r="B1927" s="4">
        <f t="shared" si="45"/>
        <v>589.20999999998253</v>
      </c>
      <c r="C1927" s="199">
        <v>533.27500025974734</v>
      </c>
      <c r="D1927" s="7"/>
    </row>
    <row r="1928" spans="2:4" x14ac:dyDescent="0.25">
      <c r="B1928" s="4">
        <f t="shared" ref="B1928:B1991" si="46">+B1927+0.01</f>
        <v>589.21999999998252</v>
      </c>
      <c r="C1928" s="199">
        <v>533.44866012774617</v>
      </c>
      <c r="D1928" s="7"/>
    </row>
    <row r="1929" spans="2:4" x14ac:dyDescent="0.25">
      <c r="B1929" s="4">
        <f t="shared" si="46"/>
        <v>589.22999999998251</v>
      </c>
      <c r="C1929" s="199">
        <v>533.6223199957451</v>
      </c>
      <c r="D1929" s="7"/>
    </row>
    <row r="1930" spans="2:4" x14ac:dyDescent="0.25">
      <c r="B1930" s="4">
        <f t="shared" si="46"/>
        <v>589.2399999999825</v>
      </c>
      <c r="C1930" s="199">
        <v>533.79597986374517</v>
      </c>
      <c r="D1930" s="7"/>
    </row>
    <row r="1931" spans="2:4" x14ac:dyDescent="0.25">
      <c r="B1931" s="4">
        <f t="shared" si="46"/>
        <v>589.24999999998249</v>
      </c>
      <c r="C1931" s="199">
        <v>533.96963973174422</v>
      </c>
      <c r="D1931" s="7"/>
    </row>
    <row r="1932" spans="2:4" x14ac:dyDescent="0.25">
      <c r="B1932" s="4">
        <f t="shared" si="46"/>
        <v>589.25999999998248</v>
      </c>
      <c r="C1932" s="199">
        <v>534.14329959974305</v>
      </c>
      <c r="D1932" s="7"/>
    </row>
    <row r="1933" spans="2:4" x14ac:dyDescent="0.25">
      <c r="B1933" s="4">
        <f t="shared" si="46"/>
        <v>589.26999999998247</v>
      </c>
      <c r="C1933" s="199">
        <v>534.31695946774323</v>
      </c>
      <c r="D1933" s="7"/>
    </row>
    <row r="1934" spans="2:4" x14ac:dyDescent="0.25">
      <c r="B1934" s="4">
        <f t="shared" si="46"/>
        <v>589.27999999998246</v>
      </c>
      <c r="C1934" s="199">
        <v>534.49061933574217</v>
      </c>
      <c r="D1934" s="7"/>
    </row>
    <row r="1935" spans="2:4" x14ac:dyDescent="0.25">
      <c r="B1935" s="4">
        <f t="shared" si="46"/>
        <v>589.28999999998246</v>
      </c>
      <c r="C1935" s="199">
        <v>534.6642792037419</v>
      </c>
      <c r="D1935" s="7"/>
    </row>
    <row r="1936" spans="2:4" x14ac:dyDescent="0.25">
      <c r="B1936" s="4">
        <f t="shared" si="46"/>
        <v>589.29999999998245</v>
      </c>
      <c r="C1936" s="199">
        <v>534.83793907174095</v>
      </c>
      <c r="D1936" s="7"/>
    </row>
    <row r="1937" spans="2:4" x14ac:dyDescent="0.25">
      <c r="B1937" s="4">
        <f t="shared" si="46"/>
        <v>589.30999999998244</v>
      </c>
      <c r="C1937" s="199">
        <v>535.01159893974057</v>
      </c>
      <c r="D1937" s="7"/>
    </row>
    <row r="1938" spans="2:4" x14ac:dyDescent="0.25">
      <c r="B1938" s="4">
        <f t="shared" si="46"/>
        <v>589.31999999998243</v>
      </c>
      <c r="C1938" s="199">
        <v>535.18546336315137</v>
      </c>
      <c r="D1938" s="7"/>
    </row>
    <row r="1939" spans="2:4" x14ac:dyDescent="0.25">
      <c r="B1939" s="4">
        <f t="shared" si="46"/>
        <v>589.32999999998242</v>
      </c>
      <c r="C1939" s="199">
        <v>535.35932778656468</v>
      </c>
      <c r="D1939" s="7"/>
    </row>
    <row r="1940" spans="2:4" x14ac:dyDescent="0.25">
      <c r="B1940" s="4">
        <f t="shared" si="46"/>
        <v>589.33999999998241</v>
      </c>
      <c r="C1940" s="199">
        <v>535.53319220997901</v>
      </c>
      <c r="D1940" s="7"/>
    </row>
    <row r="1941" spans="2:4" x14ac:dyDescent="0.25">
      <c r="B1941" s="4">
        <f t="shared" si="46"/>
        <v>589.3499999999824</v>
      </c>
      <c r="C1941" s="199">
        <v>535.70705663339254</v>
      </c>
      <c r="D1941" s="7"/>
    </row>
    <row r="1942" spans="2:4" x14ac:dyDescent="0.25">
      <c r="B1942" s="4">
        <f t="shared" si="46"/>
        <v>589.35999999998239</v>
      </c>
      <c r="C1942" s="199">
        <v>535.88092105680676</v>
      </c>
      <c r="D1942" s="7"/>
    </row>
    <row r="1943" spans="2:4" x14ac:dyDescent="0.25">
      <c r="B1943" s="4">
        <f t="shared" si="46"/>
        <v>589.36999999998238</v>
      </c>
      <c r="C1943" s="199">
        <v>536.05478548022029</v>
      </c>
      <c r="D1943" s="7"/>
    </row>
    <row r="1944" spans="2:4" x14ac:dyDescent="0.25">
      <c r="B1944" s="4">
        <f t="shared" si="46"/>
        <v>589.37999999998237</v>
      </c>
      <c r="C1944" s="199">
        <v>536.22864990363462</v>
      </c>
      <c r="D1944" s="7"/>
    </row>
    <row r="1945" spans="2:4" x14ac:dyDescent="0.25">
      <c r="B1945" s="4">
        <f t="shared" si="46"/>
        <v>589.38999999998236</v>
      </c>
      <c r="C1945" s="199">
        <v>536.40251432704918</v>
      </c>
      <c r="D1945" s="7"/>
    </row>
    <row r="1946" spans="2:4" x14ac:dyDescent="0.25">
      <c r="B1946" s="4">
        <f t="shared" si="46"/>
        <v>589.39999999998236</v>
      </c>
      <c r="C1946" s="199">
        <v>536.5763787504626</v>
      </c>
      <c r="D1946" s="7"/>
    </row>
    <row r="1947" spans="2:4" x14ac:dyDescent="0.25">
      <c r="B1947" s="4">
        <f t="shared" si="46"/>
        <v>589.40999999998235</v>
      </c>
      <c r="C1947" s="199">
        <v>536.7502431738767</v>
      </c>
      <c r="D1947" s="7"/>
    </row>
    <row r="1948" spans="2:4" x14ac:dyDescent="0.25">
      <c r="B1948" s="4">
        <f t="shared" si="46"/>
        <v>589.41999999998234</v>
      </c>
      <c r="C1948" s="199">
        <v>536.92431200155852</v>
      </c>
      <c r="D1948" s="7"/>
    </row>
    <row r="1949" spans="2:4" x14ac:dyDescent="0.25">
      <c r="B1949" s="4">
        <f t="shared" si="46"/>
        <v>589.42999999998233</v>
      </c>
      <c r="C1949" s="199">
        <v>537.0983808292408</v>
      </c>
      <c r="D1949" s="7"/>
    </row>
    <row r="1950" spans="2:4" x14ac:dyDescent="0.25">
      <c r="B1950" s="4">
        <f t="shared" si="46"/>
        <v>589.43999999998232</v>
      </c>
      <c r="C1950" s="199">
        <v>537.27244965692273</v>
      </c>
      <c r="D1950" s="7"/>
    </row>
    <row r="1951" spans="2:4" x14ac:dyDescent="0.25">
      <c r="B1951" s="4">
        <f t="shared" si="46"/>
        <v>589.44999999998231</v>
      </c>
      <c r="C1951" s="199">
        <v>537.4465184846041</v>
      </c>
      <c r="D1951" s="7"/>
    </row>
    <row r="1952" spans="2:4" x14ac:dyDescent="0.25">
      <c r="B1952" s="4">
        <f t="shared" si="46"/>
        <v>589.4599999999823</v>
      </c>
      <c r="C1952" s="199">
        <v>537.62058731228683</v>
      </c>
      <c r="D1952" s="7"/>
    </row>
    <row r="1953" spans="2:4" x14ac:dyDescent="0.25">
      <c r="B1953" s="4">
        <f t="shared" si="46"/>
        <v>589.46999999998229</v>
      </c>
      <c r="C1953" s="199">
        <v>537.79465613996865</v>
      </c>
      <c r="D1953" s="7"/>
    </row>
    <row r="1954" spans="2:4" x14ac:dyDescent="0.25">
      <c r="B1954" s="4">
        <f t="shared" si="46"/>
        <v>589.47999999998228</v>
      </c>
      <c r="C1954" s="199">
        <v>537.96872496765013</v>
      </c>
      <c r="D1954" s="7"/>
    </row>
    <row r="1955" spans="2:4" x14ac:dyDescent="0.25">
      <c r="B1955" s="4">
        <f t="shared" si="46"/>
        <v>589.48999999998227</v>
      </c>
      <c r="C1955" s="199">
        <v>538.14279379533184</v>
      </c>
      <c r="D1955" s="7"/>
    </row>
    <row r="1956" spans="2:4" x14ac:dyDescent="0.25">
      <c r="B1956" s="4">
        <f t="shared" si="46"/>
        <v>589.49999999998226</v>
      </c>
      <c r="C1956" s="199">
        <v>538.316862623014</v>
      </c>
      <c r="D1956" s="7"/>
    </row>
    <row r="1957" spans="2:4" x14ac:dyDescent="0.25">
      <c r="B1957" s="4">
        <f t="shared" si="46"/>
        <v>589.50999999998226</v>
      </c>
      <c r="C1957" s="199">
        <v>538.49093145069605</v>
      </c>
      <c r="D1957" s="7"/>
    </row>
    <row r="1958" spans="2:4" x14ac:dyDescent="0.25">
      <c r="B1958" s="4">
        <f t="shared" si="46"/>
        <v>589.51999999998225</v>
      </c>
      <c r="C1958" s="199">
        <v>538.66520673855791</v>
      </c>
      <c r="D1958" s="7"/>
    </row>
    <row r="1959" spans="2:4" x14ac:dyDescent="0.25">
      <c r="B1959" s="4">
        <f t="shared" si="46"/>
        <v>589.52999999998224</v>
      </c>
      <c r="C1959" s="199">
        <v>538.83948202642398</v>
      </c>
      <c r="D1959" s="7"/>
    </row>
    <row r="1960" spans="2:4" x14ac:dyDescent="0.25">
      <c r="B1960" s="4">
        <f t="shared" si="46"/>
        <v>589.53999999998223</v>
      </c>
      <c r="C1960" s="199">
        <v>539.01375731428936</v>
      </c>
      <c r="D1960" s="7"/>
    </row>
    <row r="1961" spans="2:4" x14ac:dyDescent="0.25">
      <c r="B1961" s="4">
        <f t="shared" si="46"/>
        <v>589.54999999998222</v>
      </c>
      <c r="C1961" s="199">
        <v>539.18803260215543</v>
      </c>
      <c r="D1961" s="7"/>
    </row>
    <row r="1962" spans="2:4" x14ac:dyDescent="0.25">
      <c r="B1962" s="4">
        <f t="shared" si="46"/>
        <v>589.55999999998221</v>
      </c>
      <c r="C1962" s="199">
        <v>539.36230789002173</v>
      </c>
      <c r="D1962" s="7"/>
    </row>
    <row r="1963" spans="2:4" x14ac:dyDescent="0.25">
      <c r="B1963" s="4">
        <f t="shared" si="46"/>
        <v>589.5699999999822</v>
      </c>
      <c r="C1963" s="199">
        <v>539.53658317788813</v>
      </c>
      <c r="D1963" s="7"/>
    </row>
    <row r="1964" spans="2:4" x14ac:dyDescent="0.25">
      <c r="B1964" s="4">
        <f t="shared" si="46"/>
        <v>589.57999999998219</v>
      </c>
      <c r="C1964" s="199">
        <v>539.71085846575443</v>
      </c>
      <c r="D1964" s="7"/>
    </row>
    <row r="1965" spans="2:4" x14ac:dyDescent="0.25">
      <c r="B1965" s="4">
        <f t="shared" si="46"/>
        <v>589.58999999998218</v>
      </c>
      <c r="C1965" s="199">
        <v>539.88513375362049</v>
      </c>
      <c r="D1965" s="7"/>
    </row>
    <row r="1966" spans="2:4" x14ac:dyDescent="0.25">
      <c r="B1966" s="4">
        <f t="shared" si="46"/>
        <v>589.59999999998217</v>
      </c>
      <c r="C1966" s="199">
        <v>540.05940904148588</v>
      </c>
      <c r="D1966" s="7"/>
    </row>
    <row r="1967" spans="2:4" x14ac:dyDescent="0.25">
      <c r="B1967" s="4">
        <f t="shared" si="46"/>
        <v>589.60999999998216</v>
      </c>
      <c r="C1967" s="199">
        <v>540.23368432935195</v>
      </c>
      <c r="D1967" s="7"/>
    </row>
    <row r="1968" spans="2:4" x14ac:dyDescent="0.25">
      <c r="B1968" s="4">
        <f t="shared" si="46"/>
        <v>589.61999999998216</v>
      </c>
      <c r="C1968" s="199">
        <v>540.40816311008552</v>
      </c>
      <c r="D1968" s="7"/>
    </row>
    <row r="1969" spans="2:4" x14ac:dyDescent="0.25">
      <c r="B1969" s="4">
        <f t="shared" si="46"/>
        <v>589.62999999998215</v>
      </c>
      <c r="C1969" s="199">
        <v>540.58264189081876</v>
      </c>
      <c r="D1969" s="7"/>
    </row>
    <row r="1970" spans="2:4" x14ac:dyDescent="0.25">
      <c r="B1970" s="4">
        <f t="shared" si="46"/>
        <v>589.63999999998214</v>
      </c>
      <c r="C1970" s="199">
        <v>540.75712067155212</v>
      </c>
      <c r="D1970" s="7"/>
    </row>
    <row r="1971" spans="2:4" x14ac:dyDescent="0.25">
      <c r="B1971" s="4">
        <f t="shared" si="46"/>
        <v>589.64999999998213</v>
      </c>
      <c r="C1971" s="199">
        <v>540.9315994522849</v>
      </c>
      <c r="D1971" s="7"/>
    </row>
    <row r="1972" spans="2:4" x14ac:dyDescent="0.25">
      <c r="B1972" s="4">
        <f t="shared" si="46"/>
        <v>589.65999999998212</v>
      </c>
      <c r="C1972" s="199">
        <v>541.10607823301734</v>
      </c>
      <c r="D1972" s="7"/>
    </row>
    <row r="1973" spans="2:4" x14ac:dyDescent="0.25">
      <c r="B1973" s="4">
        <f t="shared" si="46"/>
        <v>589.66999999998211</v>
      </c>
      <c r="C1973" s="199">
        <v>541.28055701375092</v>
      </c>
      <c r="D1973" s="7"/>
    </row>
    <row r="1974" spans="2:4" x14ac:dyDescent="0.25">
      <c r="B1974" s="4">
        <f t="shared" si="46"/>
        <v>589.6799999999821</v>
      </c>
      <c r="C1974" s="199">
        <v>541.45503579448348</v>
      </c>
      <c r="D1974" s="7"/>
    </row>
    <row r="1975" spans="2:4" x14ac:dyDescent="0.25">
      <c r="B1975" s="4">
        <f t="shared" si="46"/>
        <v>589.68999999998209</v>
      </c>
      <c r="C1975" s="199">
        <v>541.62951457521683</v>
      </c>
      <c r="D1975" s="7"/>
    </row>
    <row r="1976" spans="2:4" x14ac:dyDescent="0.25">
      <c r="B1976" s="4">
        <f t="shared" si="46"/>
        <v>589.69999999998208</v>
      </c>
      <c r="C1976" s="199">
        <v>541.80399335595007</v>
      </c>
      <c r="D1976" s="7"/>
    </row>
    <row r="1977" spans="2:4" x14ac:dyDescent="0.25">
      <c r="B1977" s="4">
        <f t="shared" si="46"/>
        <v>589.70999999998207</v>
      </c>
      <c r="C1977" s="199">
        <v>541.97847213668285</v>
      </c>
      <c r="D1977" s="7"/>
    </row>
    <row r="1978" spans="2:4" x14ac:dyDescent="0.25">
      <c r="B1978" s="4">
        <f t="shared" si="46"/>
        <v>589.71999999998206</v>
      </c>
      <c r="C1978" s="199">
        <v>542.15315372778332</v>
      </c>
      <c r="D1978" s="7"/>
    </row>
    <row r="1979" spans="2:4" x14ac:dyDescent="0.25">
      <c r="B1979" s="4">
        <f t="shared" si="46"/>
        <v>589.72999999998206</v>
      </c>
      <c r="C1979" s="199">
        <v>542.32783531888742</v>
      </c>
      <c r="D1979" s="7"/>
    </row>
    <row r="1980" spans="2:4" x14ac:dyDescent="0.25">
      <c r="B1980" s="4">
        <f t="shared" si="46"/>
        <v>589.73999999998205</v>
      </c>
      <c r="C1980" s="199">
        <v>542.50251690999175</v>
      </c>
      <c r="D1980" s="7"/>
    </row>
    <row r="1981" spans="2:4" x14ac:dyDescent="0.25">
      <c r="B1981" s="4">
        <f t="shared" si="46"/>
        <v>589.74999999998204</v>
      </c>
      <c r="C1981" s="199">
        <v>542.67719850109563</v>
      </c>
      <c r="D1981" s="7"/>
    </row>
    <row r="1982" spans="2:4" x14ac:dyDescent="0.25">
      <c r="B1982" s="4">
        <f t="shared" si="46"/>
        <v>589.75999999998203</v>
      </c>
      <c r="C1982" s="199">
        <v>542.85188009219962</v>
      </c>
      <c r="D1982" s="7"/>
    </row>
    <row r="1983" spans="2:4" x14ac:dyDescent="0.25">
      <c r="B1983" s="4">
        <f t="shared" si="46"/>
        <v>589.76999999998202</v>
      </c>
      <c r="C1983" s="199">
        <v>543.02656168330384</v>
      </c>
      <c r="D1983" s="7"/>
    </row>
    <row r="1984" spans="2:4" x14ac:dyDescent="0.25">
      <c r="B1984" s="4">
        <f t="shared" si="46"/>
        <v>589.77999999998201</v>
      </c>
      <c r="C1984" s="199">
        <v>543.20124327440794</v>
      </c>
      <c r="D1984" s="7"/>
    </row>
    <row r="1985" spans="2:4" x14ac:dyDescent="0.25">
      <c r="B1985" s="4">
        <f t="shared" si="46"/>
        <v>589.789999999982</v>
      </c>
      <c r="C1985" s="199">
        <v>543.37592486551205</v>
      </c>
      <c r="D1985" s="7"/>
    </row>
    <row r="1986" spans="2:4" x14ac:dyDescent="0.25">
      <c r="B1986" s="4">
        <f t="shared" si="46"/>
        <v>589.79999999998199</v>
      </c>
      <c r="C1986" s="199">
        <v>543.55060645661615</v>
      </c>
      <c r="D1986" s="7"/>
    </row>
    <row r="1987" spans="2:4" x14ac:dyDescent="0.25">
      <c r="B1987" s="4">
        <f t="shared" si="46"/>
        <v>589.80999999998198</v>
      </c>
      <c r="C1987" s="199">
        <v>543.72528804772082</v>
      </c>
      <c r="D1987" s="7"/>
    </row>
    <row r="1988" spans="2:4" x14ac:dyDescent="0.25">
      <c r="B1988" s="4">
        <f t="shared" si="46"/>
        <v>589.81999999998197</v>
      </c>
      <c r="C1988" s="199">
        <v>543.90017175840615</v>
      </c>
      <c r="D1988" s="7"/>
    </row>
    <row r="1989" spans="2:4" x14ac:dyDescent="0.25">
      <c r="B1989" s="4">
        <f t="shared" si="46"/>
        <v>589.82999999998196</v>
      </c>
      <c r="C1989" s="199">
        <v>544.07505546909044</v>
      </c>
      <c r="D1989" s="7"/>
    </row>
    <row r="1990" spans="2:4" x14ac:dyDescent="0.25">
      <c r="B1990" s="4">
        <f t="shared" si="46"/>
        <v>589.83999999998196</v>
      </c>
      <c r="C1990" s="199">
        <v>544.24993917977417</v>
      </c>
      <c r="D1990" s="7"/>
    </row>
    <row r="1991" spans="2:4" x14ac:dyDescent="0.25">
      <c r="B1991" s="4">
        <f t="shared" si="46"/>
        <v>589.84999999998195</v>
      </c>
      <c r="C1991" s="199">
        <v>544.42482289045802</v>
      </c>
      <c r="D1991" s="7"/>
    </row>
    <row r="1992" spans="2:4" x14ac:dyDescent="0.25">
      <c r="B1992" s="4">
        <f t="shared" ref="B1992:B2055" si="47">+B1991+0.01</f>
        <v>589.85999999998194</v>
      </c>
      <c r="C1992" s="199">
        <v>544.59970660114186</v>
      </c>
      <c r="D1992" s="7"/>
    </row>
    <row r="1993" spans="2:4" x14ac:dyDescent="0.25">
      <c r="B1993" s="4">
        <f t="shared" si="47"/>
        <v>589.86999999998193</v>
      </c>
      <c r="C1993" s="199">
        <v>544.77459031182616</v>
      </c>
      <c r="D1993" s="7"/>
    </row>
    <row r="1994" spans="2:4" x14ac:dyDescent="0.25">
      <c r="B1994" s="4">
        <f t="shared" si="47"/>
        <v>589.87999999998192</v>
      </c>
      <c r="C1994" s="199">
        <v>544.94947402250989</v>
      </c>
      <c r="D1994" s="7"/>
    </row>
    <row r="1995" spans="2:4" x14ac:dyDescent="0.25">
      <c r="B1995" s="4">
        <f t="shared" si="47"/>
        <v>589.88999999998191</v>
      </c>
      <c r="C1995" s="199">
        <v>545.12435773319407</v>
      </c>
      <c r="D1995" s="7"/>
    </row>
    <row r="1996" spans="2:4" x14ac:dyDescent="0.25">
      <c r="B1996" s="4">
        <f t="shared" si="47"/>
        <v>589.8999999999819</v>
      </c>
      <c r="C1996" s="199">
        <v>545.29924144387837</v>
      </c>
      <c r="D1996" s="7"/>
    </row>
    <row r="1997" spans="2:4" x14ac:dyDescent="0.25">
      <c r="B1997" s="4">
        <f t="shared" si="47"/>
        <v>589.90999999998189</v>
      </c>
      <c r="C1997" s="199">
        <v>545.47412515456222</v>
      </c>
      <c r="D1997" s="7"/>
    </row>
    <row r="1998" spans="2:4" x14ac:dyDescent="0.25">
      <c r="B1998" s="4">
        <f t="shared" si="47"/>
        <v>589.91999999998188</v>
      </c>
      <c r="C1998" s="199">
        <v>545.6492086280216</v>
      </c>
      <c r="D1998" s="7"/>
    </row>
    <row r="1999" spans="2:4" x14ac:dyDescent="0.25">
      <c r="B1999" s="4">
        <f t="shared" si="47"/>
        <v>589.92999999998187</v>
      </c>
      <c r="C1999" s="199">
        <v>545.82429210148484</v>
      </c>
      <c r="D1999" s="7"/>
    </row>
    <row r="2000" spans="2:4" x14ac:dyDescent="0.25">
      <c r="B2000" s="4">
        <f t="shared" si="47"/>
        <v>589.93999999998186</v>
      </c>
      <c r="C2000" s="199">
        <v>545.99937557494843</v>
      </c>
      <c r="D2000" s="7"/>
    </row>
    <row r="2001" spans="2:4" x14ac:dyDescent="0.25">
      <c r="B2001" s="4">
        <f t="shared" si="47"/>
        <v>589.94999999998186</v>
      </c>
      <c r="C2001" s="199">
        <v>546.17445904841213</v>
      </c>
      <c r="D2001" s="7"/>
    </row>
    <row r="2002" spans="2:4" x14ac:dyDescent="0.25">
      <c r="B2002" s="4">
        <f t="shared" si="47"/>
        <v>589.95999999998185</v>
      </c>
      <c r="C2002" s="199">
        <v>546.34954252187663</v>
      </c>
      <c r="D2002" s="7"/>
    </row>
    <row r="2003" spans="2:4" x14ac:dyDescent="0.25">
      <c r="B2003" s="4">
        <f t="shared" si="47"/>
        <v>589.96999999998184</v>
      </c>
      <c r="C2003" s="199">
        <v>546.52462599534033</v>
      </c>
      <c r="D2003" s="7"/>
    </row>
    <row r="2004" spans="2:4" x14ac:dyDescent="0.25">
      <c r="B2004" s="4">
        <f t="shared" si="47"/>
        <v>589.97999999998183</v>
      </c>
      <c r="C2004" s="199">
        <v>546.69970946880369</v>
      </c>
      <c r="D2004" s="7"/>
    </row>
    <row r="2005" spans="2:4" x14ac:dyDescent="0.25">
      <c r="B2005" s="4">
        <f t="shared" si="47"/>
        <v>589.98999999998182</v>
      </c>
      <c r="C2005" s="199">
        <v>546.87479294226773</v>
      </c>
      <c r="D2005" s="7"/>
    </row>
    <row r="2006" spans="2:4" x14ac:dyDescent="0.25">
      <c r="B2006" s="4">
        <f t="shared" si="47"/>
        <v>589.99999999998181</v>
      </c>
      <c r="C2006" s="199">
        <v>547.04987641573132</v>
      </c>
      <c r="D2006" s="7"/>
    </row>
    <row r="2007" spans="2:4" x14ac:dyDescent="0.25">
      <c r="B2007" s="4">
        <f t="shared" si="47"/>
        <v>590.0099999999818</v>
      </c>
      <c r="C2007" s="199">
        <v>547.22495988919434</v>
      </c>
      <c r="D2007" s="7"/>
    </row>
    <row r="2008" spans="2:4" x14ac:dyDescent="0.25">
      <c r="B2008" s="4">
        <f t="shared" si="47"/>
        <v>590.01999999998179</v>
      </c>
      <c r="C2008" s="199">
        <v>547.4002416571758</v>
      </c>
      <c r="D2008" s="7"/>
    </row>
    <row r="2009" spans="2:4" x14ac:dyDescent="0.25">
      <c r="B2009" s="4">
        <f t="shared" si="47"/>
        <v>590.02999999998178</v>
      </c>
      <c r="C2009" s="199">
        <v>547.5755234251568</v>
      </c>
      <c r="D2009" s="7"/>
    </row>
    <row r="2010" spans="2:4" x14ac:dyDescent="0.25">
      <c r="B2010" s="4">
        <f t="shared" si="47"/>
        <v>590.03999999998177</v>
      </c>
      <c r="C2010" s="199">
        <v>547.75080519313678</v>
      </c>
      <c r="D2010" s="7"/>
    </row>
    <row r="2011" spans="2:4" x14ac:dyDescent="0.25">
      <c r="B2011" s="4">
        <f t="shared" si="47"/>
        <v>590.04999999998176</v>
      </c>
      <c r="C2011" s="199">
        <v>547.92608696111643</v>
      </c>
      <c r="D2011" s="7"/>
    </row>
    <row r="2012" spans="2:4" x14ac:dyDescent="0.25">
      <c r="B2012" s="4">
        <f t="shared" si="47"/>
        <v>590.05999999998176</v>
      </c>
      <c r="C2012" s="199">
        <v>548.10136872909743</v>
      </c>
      <c r="D2012" s="7"/>
    </row>
    <row r="2013" spans="2:4" x14ac:dyDescent="0.25">
      <c r="B2013" s="4">
        <f t="shared" si="47"/>
        <v>590.06999999998175</v>
      </c>
      <c r="C2013" s="199">
        <v>548.27665049707741</v>
      </c>
      <c r="D2013" s="7"/>
    </row>
    <row r="2014" spans="2:4" x14ac:dyDescent="0.25">
      <c r="B2014" s="4">
        <f t="shared" si="47"/>
        <v>590.07999999998174</v>
      </c>
      <c r="C2014" s="199">
        <v>548.45193226505762</v>
      </c>
      <c r="D2014" s="7"/>
    </row>
    <row r="2015" spans="2:4" x14ac:dyDescent="0.25">
      <c r="B2015" s="4">
        <f t="shared" si="47"/>
        <v>590.08999999998173</v>
      </c>
      <c r="C2015" s="199">
        <v>548.62721403303863</v>
      </c>
      <c r="D2015" s="7"/>
    </row>
    <row r="2016" spans="2:4" x14ac:dyDescent="0.25">
      <c r="B2016" s="4">
        <f t="shared" si="47"/>
        <v>590.09999999998172</v>
      </c>
      <c r="C2016" s="199">
        <v>548.80249580101884</v>
      </c>
      <c r="D2016" s="7"/>
    </row>
    <row r="2017" spans="2:4" x14ac:dyDescent="0.25">
      <c r="B2017" s="4">
        <f t="shared" si="47"/>
        <v>590.10999999998171</v>
      </c>
      <c r="C2017" s="199">
        <v>548.97777756899882</v>
      </c>
      <c r="D2017" s="7"/>
    </row>
    <row r="2018" spans="2:4" x14ac:dyDescent="0.25">
      <c r="B2018" s="4">
        <f t="shared" si="47"/>
        <v>590.1199999999817</v>
      </c>
      <c r="C2018" s="199">
        <v>549.15325663608951</v>
      </c>
      <c r="D2018" s="7"/>
    </row>
    <row r="2019" spans="2:4" x14ac:dyDescent="0.25">
      <c r="B2019" s="4">
        <f t="shared" si="47"/>
        <v>590.12999999998169</v>
      </c>
      <c r="C2019" s="199">
        <v>549.32873570318566</v>
      </c>
      <c r="D2019" s="7"/>
    </row>
    <row r="2020" spans="2:4" x14ac:dyDescent="0.25">
      <c r="B2020" s="4">
        <f t="shared" si="47"/>
        <v>590.13999999998168</v>
      </c>
      <c r="C2020" s="199">
        <v>549.50421477028033</v>
      </c>
      <c r="D2020" s="7"/>
    </row>
    <row r="2021" spans="2:4" x14ac:dyDescent="0.25">
      <c r="B2021" s="4">
        <f t="shared" si="47"/>
        <v>590.14999999998167</v>
      </c>
      <c r="C2021" s="199">
        <v>549.67969383737648</v>
      </c>
      <c r="D2021" s="7"/>
    </row>
    <row r="2022" spans="2:4" x14ac:dyDescent="0.25">
      <c r="B2022" s="4">
        <f t="shared" si="47"/>
        <v>590.15999999998166</v>
      </c>
      <c r="C2022" s="199">
        <v>549.85517290447115</v>
      </c>
      <c r="D2022" s="7"/>
    </row>
    <row r="2023" spans="2:4" x14ac:dyDescent="0.25">
      <c r="B2023" s="4">
        <f t="shared" si="47"/>
        <v>590.16999999998166</v>
      </c>
      <c r="C2023" s="199">
        <v>550.03065197156718</v>
      </c>
      <c r="D2023" s="7"/>
    </row>
    <row r="2024" spans="2:4" x14ac:dyDescent="0.25">
      <c r="B2024" s="4">
        <f t="shared" si="47"/>
        <v>590.17999999998165</v>
      </c>
      <c r="C2024" s="199">
        <v>550.20613103866197</v>
      </c>
      <c r="D2024" s="7"/>
    </row>
    <row r="2025" spans="2:4" x14ac:dyDescent="0.25">
      <c r="B2025" s="4">
        <f t="shared" si="47"/>
        <v>590.18999999998164</v>
      </c>
      <c r="C2025" s="199">
        <v>550.38161010575811</v>
      </c>
      <c r="D2025" s="7"/>
    </row>
    <row r="2026" spans="2:4" x14ac:dyDescent="0.25">
      <c r="B2026" s="4">
        <f t="shared" si="47"/>
        <v>590.19999999998163</v>
      </c>
      <c r="C2026" s="199">
        <v>550.55708917285358</v>
      </c>
      <c r="D2026" s="7"/>
    </row>
    <row r="2027" spans="2:4" x14ac:dyDescent="0.25">
      <c r="B2027" s="4">
        <f t="shared" si="47"/>
        <v>590.20999999998162</v>
      </c>
      <c r="C2027" s="199">
        <v>550.73256823994882</v>
      </c>
      <c r="D2027" s="7"/>
    </row>
    <row r="2028" spans="2:4" x14ac:dyDescent="0.25">
      <c r="B2028" s="4">
        <f t="shared" si="47"/>
        <v>590.21999999998161</v>
      </c>
      <c r="C2028" s="199">
        <v>550.90824398753068</v>
      </c>
      <c r="D2028" s="7"/>
    </row>
    <row r="2029" spans="2:4" x14ac:dyDescent="0.25">
      <c r="B2029" s="4">
        <f t="shared" si="47"/>
        <v>590.2299999999816</v>
      </c>
      <c r="C2029" s="199">
        <v>551.08391973511186</v>
      </c>
      <c r="D2029" s="7"/>
    </row>
    <row r="2030" spans="2:4" x14ac:dyDescent="0.25">
      <c r="B2030" s="4">
        <f t="shared" si="47"/>
        <v>590.23999999998159</v>
      </c>
      <c r="C2030" s="199">
        <v>551.25959548269236</v>
      </c>
      <c r="D2030" s="7"/>
    </row>
    <row r="2031" spans="2:4" x14ac:dyDescent="0.25">
      <c r="B2031" s="4">
        <f t="shared" si="47"/>
        <v>590.24999999998158</v>
      </c>
      <c r="C2031" s="199">
        <v>551.43527123027206</v>
      </c>
      <c r="D2031" s="7"/>
    </row>
    <row r="2032" spans="2:4" x14ac:dyDescent="0.25">
      <c r="B2032" s="4">
        <f t="shared" si="47"/>
        <v>590.25999999998157</v>
      </c>
      <c r="C2032" s="199">
        <v>551.61094697785325</v>
      </c>
      <c r="D2032" s="7"/>
    </row>
    <row r="2033" spans="2:4" x14ac:dyDescent="0.25">
      <c r="B2033" s="4">
        <f t="shared" si="47"/>
        <v>590.26999999998156</v>
      </c>
      <c r="C2033" s="199">
        <v>551.78662272543295</v>
      </c>
      <c r="D2033" s="7"/>
    </row>
    <row r="2034" spans="2:4" x14ac:dyDescent="0.25">
      <c r="B2034" s="4">
        <f t="shared" si="47"/>
        <v>590.27999999998156</v>
      </c>
      <c r="C2034" s="199">
        <v>551.96229847301436</v>
      </c>
      <c r="D2034" s="7"/>
    </row>
    <row r="2035" spans="2:4" x14ac:dyDescent="0.25">
      <c r="B2035" s="4">
        <f t="shared" si="47"/>
        <v>590.28999999998155</v>
      </c>
      <c r="C2035" s="199">
        <v>552.13797422059395</v>
      </c>
      <c r="D2035" s="7"/>
    </row>
    <row r="2036" spans="2:4" x14ac:dyDescent="0.25">
      <c r="B2036" s="4">
        <f t="shared" si="47"/>
        <v>590.29999999998154</v>
      </c>
      <c r="C2036" s="199">
        <v>552.31364996817535</v>
      </c>
      <c r="D2036" s="7"/>
    </row>
    <row r="2037" spans="2:4" x14ac:dyDescent="0.25">
      <c r="B2037" s="4">
        <f t="shared" si="47"/>
        <v>590.30999999998153</v>
      </c>
      <c r="C2037" s="199">
        <v>552.48932571575563</v>
      </c>
      <c r="D2037" s="7"/>
    </row>
    <row r="2038" spans="2:4" x14ac:dyDescent="0.25">
      <c r="B2038" s="4">
        <f t="shared" si="47"/>
        <v>590.31999999998152</v>
      </c>
      <c r="C2038" s="199">
        <v>552.6651978060886</v>
      </c>
      <c r="D2038" s="7"/>
    </row>
    <row r="2039" spans="2:4" x14ac:dyDescent="0.25">
      <c r="B2039" s="4">
        <f t="shared" si="47"/>
        <v>590.32999999998151</v>
      </c>
      <c r="C2039" s="199">
        <v>552.84106989642544</v>
      </c>
      <c r="D2039" s="7"/>
    </row>
    <row r="2040" spans="2:4" x14ac:dyDescent="0.25">
      <c r="B2040" s="4">
        <f t="shared" si="47"/>
        <v>590.3399999999815</v>
      </c>
      <c r="C2040" s="199">
        <v>553.01694198676284</v>
      </c>
      <c r="D2040" s="7"/>
    </row>
    <row r="2041" spans="2:4" x14ac:dyDescent="0.25">
      <c r="B2041" s="4">
        <f t="shared" si="47"/>
        <v>590.34999999998149</v>
      </c>
      <c r="C2041" s="199">
        <v>553.19281407709957</v>
      </c>
      <c r="D2041" s="7"/>
    </row>
    <row r="2042" spans="2:4" x14ac:dyDescent="0.25">
      <c r="B2042" s="4">
        <f t="shared" si="47"/>
        <v>590.35999999998148</v>
      </c>
      <c r="C2042" s="199">
        <v>553.368686167438</v>
      </c>
      <c r="D2042" s="7"/>
    </row>
    <row r="2043" spans="2:4" x14ac:dyDescent="0.25">
      <c r="B2043" s="4">
        <f t="shared" si="47"/>
        <v>590.36999999998147</v>
      </c>
      <c r="C2043" s="199">
        <v>553.54455825777495</v>
      </c>
      <c r="D2043" s="7"/>
    </row>
    <row r="2044" spans="2:4" x14ac:dyDescent="0.25">
      <c r="B2044" s="4">
        <f t="shared" si="47"/>
        <v>590.37999999998146</v>
      </c>
      <c r="C2044" s="199">
        <v>553.72043034811225</v>
      </c>
      <c r="D2044" s="7"/>
    </row>
    <row r="2045" spans="2:4" x14ac:dyDescent="0.25">
      <c r="B2045" s="4">
        <f t="shared" si="47"/>
        <v>590.38999999998146</v>
      </c>
      <c r="C2045" s="199">
        <v>553.89630243844965</v>
      </c>
      <c r="D2045" s="7"/>
    </row>
    <row r="2046" spans="2:4" x14ac:dyDescent="0.25">
      <c r="B2046" s="4">
        <f t="shared" si="47"/>
        <v>590.39999999998145</v>
      </c>
      <c r="C2046" s="199">
        <v>554.07217452878763</v>
      </c>
      <c r="D2046" s="7"/>
    </row>
    <row r="2047" spans="2:4" x14ac:dyDescent="0.25">
      <c r="B2047" s="4">
        <f t="shared" si="47"/>
        <v>590.40999999998144</v>
      </c>
      <c r="C2047" s="199">
        <v>554.24804661912492</v>
      </c>
      <c r="D2047" s="7"/>
    </row>
    <row r="2048" spans="2:4" x14ac:dyDescent="0.25">
      <c r="B2048" s="4">
        <f t="shared" si="47"/>
        <v>590.41999999998143</v>
      </c>
      <c r="C2048" s="199">
        <v>554.42411616393611</v>
      </c>
      <c r="D2048" s="7"/>
    </row>
    <row r="2049" spans="2:4" x14ac:dyDescent="0.25">
      <c r="B2049" s="4">
        <f t="shared" si="47"/>
        <v>590.42999999998142</v>
      </c>
      <c r="C2049" s="199">
        <v>554.60018570874718</v>
      </c>
      <c r="D2049" s="7"/>
    </row>
    <row r="2050" spans="2:4" x14ac:dyDescent="0.25">
      <c r="B2050" s="4">
        <f t="shared" si="47"/>
        <v>590.43999999998141</v>
      </c>
      <c r="C2050" s="199">
        <v>554.77625525355768</v>
      </c>
      <c r="D2050" s="7"/>
    </row>
    <row r="2051" spans="2:4" x14ac:dyDescent="0.25">
      <c r="B2051" s="4">
        <f t="shared" si="47"/>
        <v>590.4499999999814</v>
      </c>
      <c r="C2051" s="199">
        <v>554.95232479836977</v>
      </c>
      <c r="D2051" s="7"/>
    </row>
    <row r="2052" spans="2:4" x14ac:dyDescent="0.25">
      <c r="B2052" s="4">
        <f t="shared" si="47"/>
        <v>590.45999999998139</v>
      </c>
      <c r="C2052" s="199">
        <v>555.12839434318084</v>
      </c>
      <c r="D2052" s="7"/>
    </row>
    <row r="2053" spans="2:4" x14ac:dyDescent="0.25">
      <c r="B2053" s="4">
        <f t="shared" si="47"/>
        <v>590.46999999998138</v>
      </c>
      <c r="C2053" s="199">
        <v>555.30446388799169</v>
      </c>
      <c r="D2053" s="7"/>
    </row>
    <row r="2054" spans="2:4" x14ac:dyDescent="0.25">
      <c r="B2054" s="4">
        <f t="shared" si="47"/>
        <v>590.47999999998137</v>
      </c>
      <c r="C2054" s="199">
        <v>555.48053343280276</v>
      </c>
      <c r="D2054" s="7"/>
    </row>
    <row r="2055" spans="2:4" x14ac:dyDescent="0.25">
      <c r="B2055" s="4">
        <f t="shared" si="47"/>
        <v>590.48999999998136</v>
      </c>
      <c r="C2055" s="199">
        <v>555.65660297761383</v>
      </c>
      <c r="D2055" s="7"/>
    </row>
    <row r="2056" spans="2:4" x14ac:dyDescent="0.25">
      <c r="B2056" s="4">
        <f t="shared" ref="B2056:B2119" si="48">+B2055+0.01</f>
        <v>590.49999999998136</v>
      </c>
      <c r="C2056" s="199">
        <v>555.83267252242445</v>
      </c>
      <c r="D2056" s="7"/>
    </row>
    <row r="2057" spans="2:4" x14ac:dyDescent="0.25">
      <c r="B2057" s="4">
        <f t="shared" si="48"/>
        <v>590.50999999998135</v>
      </c>
      <c r="C2057" s="199">
        <v>556.00874206723574</v>
      </c>
      <c r="D2057" s="7"/>
    </row>
    <row r="2058" spans="2:4" x14ac:dyDescent="0.25">
      <c r="B2058" s="4">
        <f t="shared" si="48"/>
        <v>590.51999999998134</v>
      </c>
      <c r="C2058" s="199">
        <v>556.18500726104401</v>
      </c>
      <c r="D2058" s="7"/>
    </row>
    <row r="2059" spans="2:4" x14ac:dyDescent="0.25">
      <c r="B2059" s="4">
        <f t="shared" si="48"/>
        <v>590.52999999998133</v>
      </c>
      <c r="C2059" s="199">
        <v>556.36127245485636</v>
      </c>
      <c r="D2059" s="7"/>
    </row>
    <row r="2060" spans="2:4" x14ac:dyDescent="0.25">
      <c r="B2060" s="4">
        <f t="shared" si="48"/>
        <v>590.53999999998132</v>
      </c>
      <c r="C2060" s="199">
        <v>556.53753764866872</v>
      </c>
      <c r="D2060" s="7"/>
    </row>
    <row r="2061" spans="2:4" x14ac:dyDescent="0.25">
      <c r="B2061" s="4">
        <f t="shared" si="48"/>
        <v>590.54999999998131</v>
      </c>
      <c r="C2061" s="199">
        <v>556.71380284248016</v>
      </c>
      <c r="D2061" s="7"/>
    </row>
    <row r="2062" spans="2:4" x14ac:dyDescent="0.25">
      <c r="B2062" s="4">
        <f t="shared" si="48"/>
        <v>590.5599999999813</v>
      </c>
      <c r="C2062" s="199">
        <v>556.8900680362924</v>
      </c>
      <c r="D2062" s="7"/>
    </row>
    <row r="2063" spans="2:4" x14ac:dyDescent="0.25">
      <c r="B2063" s="4">
        <f t="shared" si="48"/>
        <v>590.56999999998129</v>
      </c>
      <c r="C2063" s="199">
        <v>557.06633323010499</v>
      </c>
      <c r="D2063" s="7"/>
    </row>
    <row r="2064" spans="2:4" x14ac:dyDescent="0.25">
      <c r="B2064" s="4">
        <f t="shared" si="48"/>
        <v>590.57999999998128</v>
      </c>
      <c r="C2064" s="199">
        <v>557.24259842391734</v>
      </c>
      <c r="D2064" s="7"/>
    </row>
    <row r="2065" spans="2:4" x14ac:dyDescent="0.25">
      <c r="B2065" s="4">
        <f t="shared" si="48"/>
        <v>590.58999999998127</v>
      </c>
      <c r="C2065" s="199">
        <v>557.41886361772868</v>
      </c>
      <c r="D2065" s="7"/>
    </row>
    <row r="2066" spans="2:4" x14ac:dyDescent="0.25">
      <c r="B2066" s="4">
        <f t="shared" si="48"/>
        <v>590.59999999998126</v>
      </c>
      <c r="C2066" s="199">
        <v>557.59512881154126</v>
      </c>
      <c r="D2066" s="7"/>
    </row>
    <row r="2067" spans="2:4" x14ac:dyDescent="0.25">
      <c r="B2067" s="4">
        <f t="shared" si="48"/>
        <v>590.60999999998126</v>
      </c>
      <c r="C2067" s="199">
        <v>557.7713940053535</v>
      </c>
      <c r="D2067" s="7"/>
    </row>
    <row r="2068" spans="2:4" x14ac:dyDescent="0.25">
      <c r="B2068" s="4">
        <f t="shared" si="48"/>
        <v>590.61999999998125</v>
      </c>
      <c r="C2068" s="199">
        <v>557.94785616104366</v>
      </c>
      <c r="D2068" s="7"/>
    </row>
    <row r="2069" spans="2:4" x14ac:dyDescent="0.25">
      <c r="B2069" s="4">
        <f t="shared" si="48"/>
        <v>590.62999999998124</v>
      </c>
      <c r="C2069" s="199">
        <v>558.12431831673496</v>
      </c>
      <c r="D2069" s="7"/>
    </row>
    <row r="2070" spans="2:4" x14ac:dyDescent="0.25">
      <c r="B2070" s="4">
        <f t="shared" si="48"/>
        <v>590.63999999998123</v>
      </c>
      <c r="C2070" s="199">
        <v>558.30078047242569</v>
      </c>
      <c r="D2070" s="7"/>
    </row>
    <row r="2071" spans="2:4" x14ac:dyDescent="0.25">
      <c r="B2071" s="4">
        <f t="shared" si="48"/>
        <v>590.64999999998122</v>
      </c>
      <c r="C2071" s="199">
        <v>558.47724262811562</v>
      </c>
      <c r="D2071" s="7"/>
    </row>
    <row r="2072" spans="2:4" x14ac:dyDescent="0.25">
      <c r="B2072" s="4">
        <f t="shared" si="48"/>
        <v>590.65999999998121</v>
      </c>
      <c r="C2072" s="199">
        <v>558.65370478380623</v>
      </c>
      <c r="D2072" s="7"/>
    </row>
    <row r="2073" spans="2:4" x14ac:dyDescent="0.25">
      <c r="B2073" s="4">
        <f t="shared" si="48"/>
        <v>590.6699999999812</v>
      </c>
      <c r="C2073" s="199">
        <v>558.83016693949651</v>
      </c>
      <c r="D2073" s="7"/>
    </row>
    <row r="2074" spans="2:4" x14ac:dyDescent="0.25">
      <c r="B2074" s="4">
        <f t="shared" si="48"/>
        <v>590.67999999998119</v>
      </c>
      <c r="C2074" s="199">
        <v>559.00662909518724</v>
      </c>
      <c r="D2074" s="7"/>
    </row>
    <row r="2075" spans="2:4" x14ac:dyDescent="0.25">
      <c r="B2075" s="4">
        <f t="shared" si="48"/>
        <v>590.68999999998118</v>
      </c>
      <c r="C2075" s="199">
        <v>559.18309125087808</v>
      </c>
      <c r="D2075" s="7"/>
    </row>
    <row r="2076" spans="2:4" x14ac:dyDescent="0.25">
      <c r="B2076" s="4">
        <f t="shared" si="48"/>
        <v>590.69999999998117</v>
      </c>
      <c r="C2076" s="199">
        <v>559.35955340656869</v>
      </c>
      <c r="D2076" s="7"/>
    </row>
    <row r="2077" spans="2:4" x14ac:dyDescent="0.25">
      <c r="B2077" s="4">
        <f t="shared" si="48"/>
        <v>590.70999999998116</v>
      </c>
      <c r="C2077" s="199">
        <v>559.53601556225908</v>
      </c>
      <c r="D2077" s="7"/>
    </row>
    <row r="2078" spans="2:4" x14ac:dyDescent="0.25">
      <c r="B2078" s="4">
        <f t="shared" si="48"/>
        <v>590.71999999998116</v>
      </c>
      <c r="C2078" s="199">
        <v>559.71267505866888</v>
      </c>
      <c r="D2078" s="7"/>
    </row>
    <row r="2079" spans="2:4" x14ac:dyDescent="0.25">
      <c r="B2079" s="4">
        <f t="shared" si="48"/>
        <v>590.72999999998115</v>
      </c>
      <c r="C2079" s="199">
        <v>559.88933455508243</v>
      </c>
      <c r="D2079" s="7"/>
    </row>
    <row r="2080" spans="2:4" x14ac:dyDescent="0.25">
      <c r="B2080" s="4">
        <f t="shared" si="48"/>
        <v>590.73999999998114</v>
      </c>
      <c r="C2080" s="199">
        <v>560.06599405149575</v>
      </c>
      <c r="D2080" s="7"/>
    </row>
    <row r="2081" spans="2:4" x14ac:dyDescent="0.25">
      <c r="B2081" s="4">
        <f t="shared" si="48"/>
        <v>590.74999999998113</v>
      </c>
      <c r="C2081" s="199">
        <v>560.24265354790964</v>
      </c>
      <c r="D2081" s="7"/>
    </row>
    <row r="2082" spans="2:4" x14ac:dyDescent="0.25">
      <c r="B2082" s="4">
        <f t="shared" si="48"/>
        <v>590.75999999998112</v>
      </c>
      <c r="C2082" s="199">
        <v>560.41931304432285</v>
      </c>
      <c r="D2082" s="7"/>
    </row>
    <row r="2083" spans="2:4" x14ac:dyDescent="0.25">
      <c r="B2083" s="4">
        <f t="shared" si="48"/>
        <v>590.76999999998111</v>
      </c>
      <c r="C2083" s="199">
        <v>560.59597254073617</v>
      </c>
      <c r="D2083" s="7"/>
    </row>
    <row r="2084" spans="2:4" x14ac:dyDescent="0.25">
      <c r="B2084" s="4">
        <f t="shared" si="48"/>
        <v>590.7799999999811</v>
      </c>
      <c r="C2084" s="199">
        <v>560.77263203715097</v>
      </c>
      <c r="D2084" s="7"/>
    </row>
    <row r="2085" spans="2:4" x14ac:dyDescent="0.25">
      <c r="B2085" s="4">
        <f t="shared" si="48"/>
        <v>590.78999999998109</v>
      </c>
      <c r="C2085" s="199">
        <v>560.94929153356429</v>
      </c>
      <c r="D2085" s="7"/>
    </row>
    <row r="2086" spans="2:4" x14ac:dyDescent="0.25">
      <c r="B2086" s="4">
        <f t="shared" si="48"/>
        <v>590.79999999998108</v>
      </c>
      <c r="C2086" s="199">
        <v>561.1259510299775</v>
      </c>
      <c r="D2086" s="7"/>
    </row>
    <row r="2087" spans="2:4" x14ac:dyDescent="0.25">
      <c r="B2087" s="4">
        <f t="shared" si="48"/>
        <v>590.80999999998107</v>
      </c>
      <c r="C2087" s="199">
        <v>561.30261052639139</v>
      </c>
      <c r="D2087" s="7"/>
    </row>
    <row r="2088" spans="2:4" x14ac:dyDescent="0.25">
      <c r="B2088" s="4">
        <f t="shared" si="48"/>
        <v>590.81999999998106</v>
      </c>
      <c r="C2088" s="199">
        <v>561.4794668205368</v>
      </c>
      <c r="D2088" s="7"/>
    </row>
    <row r="2089" spans="2:4" x14ac:dyDescent="0.25">
      <c r="B2089" s="4">
        <f t="shared" si="48"/>
        <v>590.82999999998106</v>
      </c>
      <c r="C2089" s="199">
        <v>561.65632311468005</v>
      </c>
      <c r="D2089" s="7"/>
    </row>
    <row r="2090" spans="2:4" x14ac:dyDescent="0.25">
      <c r="B2090" s="4">
        <f t="shared" si="48"/>
        <v>590.83999999998105</v>
      </c>
      <c r="C2090" s="199">
        <v>561.83317940882318</v>
      </c>
      <c r="D2090" s="7"/>
    </row>
    <row r="2091" spans="2:4" x14ac:dyDescent="0.25">
      <c r="B2091" s="4">
        <f t="shared" si="48"/>
        <v>590.84999999998104</v>
      </c>
      <c r="C2091" s="199">
        <v>562.01003570296712</v>
      </c>
      <c r="D2091" s="7"/>
    </row>
    <row r="2092" spans="2:4" x14ac:dyDescent="0.25">
      <c r="B2092" s="4">
        <f t="shared" si="48"/>
        <v>590.85999999998103</v>
      </c>
      <c r="C2092" s="199">
        <v>562.18689199711037</v>
      </c>
      <c r="D2092" s="7"/>
    </row>
    <row r="2093" spans="2:4" x14ac:dyDescent="0.25">
      <c r="B2093" s="4">
        <f t="shared" si="48"/>
        <v>590.86999999998102</v>
      </c>
      <c r="C2093" s="199">
        <v>562.36374829125373</v>
      </c>
      <c r="D2093" s="7"/>
    </row>
    <row r="2094" spans="2:4" x14ac:dyDescent="0.25">
      <c r="B2094" s="4">
        <f t="shared" si="48"/>
        <v>590.87999999998101</v>
      </c>
      <c r="C2094" s="199">
        <v>562.54060458539811</v>
      </c>
      <c r="D2094" s="7"/>
    </row>
    <row r="2095" spans="2:4" x14ac:dyDescent="0.25">
      <c r="B2095" s="4">
        <f t="shared" si="48"/>
        <v>590.889999999981</v>
      </c>
      <c r="C2095" s="199">
        <v>562.71746087954136</v>
      </c>
      <c r="D2095" s="7"/>
    </row>
    <row r="2096" spans="2:4" x14ac:dyDescent="0.25">
      <c r="B2096" s="4">
        <f t="shared" si="48"/>
        <v>590.89999999998099</v>
      </c>
      <c r="C2096" s="199">
        <v>562.89431717368473</v>
      </c>
      <c r="D2096" s="7"/>
    </row>
    <row r="2097" spans="2:4" x14ac:dyDescent="0.25">
      <c r="B2097" s="4">
        <f t="shared" si="48"/>
        <v>590.90999999998098</v>
      </c>
      <c r="C2097" s="199">
        <v>563.07117346782888</v>
      </c>
      <c r="D2097" s="7"/>
    </row>
    <row r="2098" spans="2:4" x14ac:dyDescent="0.25">
      <c r="B2098" s="4">
        <f t="shared" si="48"/>
        <v>590.91999999998097</v>
      </c>
      <c r="C2098" s="199">
        <v>563.24822643786399</v>
      </c>
      <c r="D2098" s="7"/>
    </row>
    <row r="2099" spans="2:4" x14ac:dyDescent="0.25">
      <c r="B2099" s="4">
        <f t="shared" si="48"/>
        <v>590.92999999998096</v>
      </c>
      <c r="C2099" s="199">
        <v>563.42527940790467</v>
      </c>
      <c r="D2099" s="7"/>
    </row>
    <row r="2100" spans="2:4" x14ac:dyDescent="0.25">
      <c r="B2100" s="4">
        <f t="shared" si="48"/>
        <v>590.93999999998096</v>
      </c>
      <c r="C2100" s="199">
        <v>563.60233237794546</v>
      </c>
      <c r="D2100" s="7"/>
    </row>
    <row r="2101" spans="2:4" x14ac:dyDescent="0.25">
      <c r="B2101" s="4">
        <f t="shared" si="48"/>
        <v>590.94999999998095</v>
      </c>
      <c r="C2101" s="199">
        <v>563.77938534798477</v>
      </c>
      <c r="D2101" s="7"/>
    </row>
    <row r="2102" spans="2:4" x14ac:dyDescent="0.25">
      <c r="B2102" s="4">
        <f t="shared" si="48"/>
        <v>590.95999999998094</v>
      </c>
      <c r="C2102" s="199">
        <v>563.95643831802545</v>
      </c>
      <c r="D2102" s="7"/>
    </row>
    <row r="2103" spans="2:4" x14ac:dyDescent="0.25">
      <c r="B2103" s="4">
        <f t="shared" si="48"/>
        <v>590.96999999998093</v>
      </c>
      <c r="C2103" s="199">
        <v>564.13349128806612</v>
      </c>
      <c r="D2103" s="7"/>
    </row>
    <row r="2104" spans="2:4" x14ac:dyDescent="0.25">
      <c r="B2104" s="4">
        <f t="shared" si="48"/>
        <v>590.97999999998092</v>
      </c>
      <c r="C2104" s="199">
        <v>564.31054425810589</v>
      </c>
      <c r="D2104" s="7"/>
    </row>
    <row r="2105" spans="2:4" x14ac:dyDescent="0.25">
      <c r="B2105" s="4">
        <f t="shared" si="48"/>
        <v>590.98999999998091</v>
      </c>
      <c r="C2105" s="199">
        <v>564.48759722814611</v>
      </c>
      <c r="D2105" s="7"/>
    </row>
    <row r="2106" spans="2:4" x14ac:dyDescent="0.25">
      <c r="B2106" s="4">
        <f t="shared" si="48"/>
        <v>590.9999999999809</v>
      </c>
      <c r="C2106" s="199">
        <v>564.66465019818691</v>
      </c>
      <c r="D2106" s="7"/>
    </row>
    <row r="2107" spans="2:4" x14ac:dyDescent="0.25">
      <c r="B2107" s="4">
        <f t="shared" si="48"/>
        <v>591.00999999998089</v>
      </c>
      <c r="C2107" s="199">
        <v>564.84170316822758</v>
      </c>
      <c r="D2107" s="7"/>
    </row>
    <row r="2108" spans="2:4" x14ac:dyDescent="0.25">
      <c r="B2108" s="4">
        <f t="shared" si="48"/>
        <v>591.01999999998088</v>
      </c>
      <c r="C2108" s="199">
        <v>565.01895237822066</v>
      </c>
      <c r="D2108" s="7"/>
    </row>
    <row r="2109" spans="2:4" x14ac:dyDescent="0.25">
      <c r="B2109" s="4">
        <f t="shared" si="48"/>
        <v>591.02999999998087</v>
      </c>
      <c r="C2109" s="199">
        <v>565.19620158821408</v>
      </c>
      <c r="D2109" s="7"/>
    </row>
    <row r="2110" spans="2:4" x14ac:dyDescent="0.25">
      <c r="B2110" s="4">
        <f t="shared" si="48"/>
        <v>591.03999999998086</v>
      </c>
      <c r="C2110" s="199">
        <v>565.37345079820705</v>
      </c>
      <c r="D2110" s="7"/>
    </row>
    <row r="2111" spans="2:4" x14ac:dyDescent="0.25">
      <c r="B2111" s="4">
        <f t="shared" si="48"/>
        <v>591.04999999998086</v>
      </c>
      <c r="C2111" s="199">
        <v>565.55070000820035</v>
      </c>
      <c r="D2111" s="7"/>
    </row>
    <row r="2112" spans="2:4" x14ac:dyDescent="0.25">
      <c r="B2112" s="4">
        <f t="shared" si="48"/>
        <v>591.05999999998085</v>
      </c>
      <c r="C2112" s="199">
        <v>565.727949218194</v>
      </c>
      <c r="D2112" s="7"/>
    </row>
    <row r="2113" spans="2:4" x14ac:dyDescent="0.25">
      <c r="B2113" s="4">
        <f t="shared" si="48"/>
        <v>591.06999999998084</v>
      </c>
      <c r="C2113" s="199">
        <v>565.9051984281873</v>
      </c>
      <c r="D2113" s="7"/>
    </row>
    <row r="2114" spans="2:4" x14ac:dyDescent="0.25">
      <c r="B2114" s="4">
        <f t="shared" si="48"/>
        <v>591.07999999998083</v>
      </c>
      <c r="C2114" s="199">
        <v>566.0824476381805</v>
      </c>
      <c r="D2114" s="7"/>
    </row>
    <row r="2115" spans="2:4" x14ac:dyDescent="0.25">
      <c r="B2115" s="4">
        <f t="shared" si="48"/>
        <v>591.08999999998082</v>
      </c>
      <c r="C2115" s="199">
        <v>566.25969684817369</v>
      </c>
      <c r="D2115" s="7"/>
    </row>
    <row r="2116" spans="2:4" x14ac:dyDescent="0.25">
      <c r="B2116" s="4">
        <f t="shared" si="48"/>
        <v>591.09999999998081</v>
      </c>
      <c r="C2116" s="199">
        <v>566.43694605816711</v>
      </c>
      <c r="D2116" s="7"/>
    </row>
    <row r="2117" spans="2:4" x14ac:dyDescent="0.25">
      <c r="B2117" s="4">
        <f t="shared" si="48"/>
        <v>591.1099999999808</v>
      </c>
      <c r="C2117" s="199">
        <v>566.6141952681603</v>
      </c>
      <c r="D2117" s="7"/>
    </row>
    <row r="2118" spans="2:4" x14ac:dyDescent="0.25">
      <c r="B2118" s="4">
        <f t="shared" si="48"/>
        <v>591.11999999998079</v>
      </c>
      <c r="C2118" s="199">
        <v>566.79164049500775</v>
      </c>
      <c r="D2118" s="7"/>
    </row>
    <row r="2119" spans="2:4" x14ac:dyDescent="0.25">
      <c r="B2119" s="4">
        <f t="shared" si="48"/>
        <v>591.12999999998078</v>
      </c>
      <c r="C2119" s="199">
        <v>566.96908572185941</v>
      </c>
      <c r="D2119" s="7"/>
    </row>
    <row r="2120" spans="2:4" x14ac:dyDescent="0.25">
      <c r="B2120" s="4">
        <f t="shared" ref="B2120:B2183" si="49">+B2119+0.01</f>
        <v>591.13999999998077</v>
      </c>
      <c r="C2120" s="199">
        <v>567.14653094871016</v>
      </c>
      <c r="D2120" s="7"/>
    </row>
    <row r="2121" spans="2:4" x14ac:dyDescent="0.25">
      <c r="B2121" s="4">
        <f t="shared" si="49"/>
        <v>591.14999999998076</v>
      </c>
      <c r="C2121" s="199">
        <v>567.32397617556057</v>
      </c>
      <c r="D2121" s="7"/>
    </row>
    <row r="2122" spans="2:4" x14ac:dyDescent="0.25">
      <c r="B2122" s="4">
        <f t="shared" si="49"/>
        <v>591.15999999998076</v>
      </c>
      <c r="C2122" s="199">
        <v>567.50142140241178</v>
      </c>
      <c r="D2122" s="7"/>
    </row>
    <row r="2123" spans="2:4" x14ac:dyDescent="0.25">
      <c r="B2123" s="4">
        <f t="shared" si="49"/>
        <v>591.16999999998075</v>
      </c>
      <c r="C2123" s="199">
        <v>567.67886662926242</v>
      </c>
      <c r="D2123" s="7"/>
    </row>
    <row r="2124" spans="2:4" x14ac:dyDescent="0.25">
      <c r="B2124" s="4">
        <f t="shared" si="49"/>
        <v>591.17999999998074</v>
      </c>
      <c r="C2124" s="199">
        <v>567.85631185611328</v>
      </c>
      <c r="D2124" s="7"/>
    </row>
    <row r="2125" spans="2:4" x14ac:dyDescent="0.25">
      <c r="B2125" s="4">
        <f t="shared" si="49"/>
        <v>591.18999999998073</v>
      </c>
      <c r="C2125" s="199">
        <v>568.03375708296369</v>
      </c>
      <c r="D2125" s="7"/>
    </row>
    <row r="2126" spans="2:4" x14ac:dyDescent="0.25">
      <c r="B2126" s="4">
        <f t="shared" si="49"/>
        <v>591.19999999998072</v>
      </c>
      <c r="C2126" s="199">
        <v>568.21120230981455</v>
      </c>
      <c r="D2126" s="7"/>
    </row>
    <row r="2127" spans="2:4" x14ac:dyDescent="0.25">
      <c r="B2127" s="4">
        <f t="shared" si="49"/>
        <v>591.20999999998071</v>
      </c>
      <c r="C2127" s="199">
        <v>568.38864753666519</v>
      </c>
      <c r="D2127" s="7"/>
    </row>
    <row r="2128" spans="2:4" x14ac:dyDescent="0.25">
      <c r="B2128" s="4">
        <f t="shared" si="49"/>
        <v>591.2199999999807</v>
      </c>
      <c r="C2128" s="199">
        <v>568.56628859460363</v>
      </c>
      <c r="D2128" s="7"/>
    </row>
    <row r="2129" spans="2:4" x14ac:dyDescent="0.25">
      <c r="B2129" s="4">
        <f t="shared" si="49"/>
        <v>591.22999999998069</v>
      </c>
      <c r="C2129" s="199">
        <v>568.74392965254344</v>
      </c>
      <c r="D2129" s="7"/>
    </row>
    <row r="2130" spans="2:4" x14ac:dyDescent="0.25">
      <c r="B2130" s="4">
        <f t="shared" si="49"/>
        <v>591.23999999998068</v>
      </c>
      <c r="C2130" s="199">
        <v>568.92157071048155</v>
      </c>
      <c r="D2130" s="7"/>
    </row>
    <row r="2131" spans="2:4" x14ac:dyDescent="0.25">
      <c r="B2131" s="4">
        <f t="shared" si="49"/>
        <v>591.24999999998067</v>
      </c>
      <c r="C2131" s="199">
        <v>569.09921176842045</v>
      </c>
      <c r="D2131" s="7"/>
    </row>
    <row r="2132" spans="2:4" x14ac:dyDescent="0.25">
      <c r="B2132" s="4">
        <f t="shared" si="49"/>
        <v>591.25999999998066</v>
      </c>
      <c r="C2132" s="199">
        <v>569.27685282635889</v>
      </c>
      <c r="D2132" s="7"/>
    </row>
    <row r="2133" spans="2:4" x14ac:dyDescent="0.25">
      <c r="B2133" s="4">
        <f t="shared" si="49"/>
        <v>591.26999999998066</v>
      </c>
      <c r="C2133" s="199">
        <v>569.45449388429813</v>
      </c>
      <c r="D2133" s="7"/>
    </row>
    <row r="2134" spans="2:4" x14ac:dyDescent="0.25">
      <c r="B2134" s="4">
        <f t="shared" si="49"/>
        <v>591.27999999998065</v>
      </c>
      <c r="C2134" s="199">
        <v>569.6321349422376</v>
      </c>
      <c r="D2134" s="7"/>
    </row>
    <row r="2135" spans="2:4" x14ac:dyDescent="0.25">
      <c r="B2135" s="4">
        <f t="shared" si="49"/>
        <v>591.28999999998064</v>
      </c>
      <c r="C2135" s="199">
        <v>569.80977600017559</v>
      </c>
      <c r="D2135" s="7"/>
    </row>
    <row r="2136" spans="2:4" x14ac:dyDescent="0.25">
      <c r="B2136" s="4">
        <f t="shared" si="49"/>
        <v>591.29999999998063</v>
      </c>
      <c r="C2136" s="199">
        <v>569.9874170581154</v>
      </c>
      <c r="D2136" s="7"/>
    </row>
    <row r="2137" spans="2:4" x14ac:dyDescent="0.25">
      <c r="B2137" s="4">
        <f t="shared" si="49"/>
        <v>591.30999999998062</v>
      </c>
      <c r="C2137" s="199">
        <v>570.1650581160535</v>
      </c>
      <c r="D2137" s="7"/>
    </row>
    <row r="2138" spans="2:4" x14ac:dyDescent="0.25">
      <c r="B2138" s="4">
        <f t="shared" si="49"/>
        <v>591.31999999998061</v>
      </c>
      <c r="C2138" s="199">
        <v>570.34289537147879</v>
      </c>
      <c r="D2138" s="7"/>
    </row>
    <row r="2139" spans="2:4" x14ac:dyDescent="0.25">
      <c r="B2139" s="4">
        <f t="shared" si="49"/>
        <v>591.3299999999806</v>
      </c>
      <c r="C2139" s="199">
        <v>570.52073262690806</v>
      </c>
      <c r="D2139" s="7"/>
    </row>
    <row r="2140" spans="2:4" x14ac:dyDescent="0.25">
      <c r="B2140" s="4">
        <f t="shared" si="49"/>
        <v>591.33999999998059</v>
      </c>
      <c r="C2140" s="199">
        <v>570.6985698823363</v>
      </c>
      <c r="D2140" s="7"/>
    </row>
    <row r="2141" spans="2:4" x14ac:dyDescent="0.25">
      <c r="B2141" s="4">
        <f t="shared" si="49"/>
        <v>591.34999999998058</v>
      </c>
      <c r="C2141" s="199">
        <v>570.87640713776477</v>
      </c>
      <c r="D2141" s="7"/>
    </row>
    <row r="2142" spans="2:4" x14ac:dyDescent="0.25">
      <c r="B2142" s="4">
        <f t="shared" si="49"/>
        <v>591.35999999998057</v>
      </c>
      <c r="C2142" s="199">
        <v>571.05424439319302</v>
      </c>
      <c r="D2142" s="7"/>
    </row>
    <row r="2143" spans="2:4" x14ac:dyDescent="0.25">
      <c r="B2143" s="4">
        <f t="shared" si="49"/>
        <v>591.36999999998056</v>
      </c>
      <c r="C2143" s="199">
        <v>571.23208164862092</v>
      </c>
      <c r="D2143" s="7"/>
    </row>
    <row r="2144" spans="2:4" x14ac:dyDescent="0.25">
      <c r="B2144" s="4">
        <f t="shared" si="49"/>
        <v>591.37999999998056</v>
      </c>
      <c r="C2144" s="199">
        <v>571.40991890404916</v>
      </c>
      <c r="D2144" s="7"/>
    </row>
    <row r="2145" spans="2:4" x14ac:dyDescent="0.25">
      <c r="B2145" s="4">
        <f t="shared" si="49"/>
        <v>591.38999999998055</v>
      </c>
      <c r="C2145" s="199">
        <v>571.58775615947877</v>
      </c>
      <c r="D2145" s="7"/>
    </row>
    <row r="2146" spans="2:4" x14ac:dyDescent="0.25">
      <c r="B2146" s="4">
        <f t="shared" si="49"/>
        <v>591.39999999998054</v>
      </c>
      <c r="C2146" s="199">
        <v>571.76559341490713</v>
      </c>
      <c r="D2146" s="7"/>
    </row>
    <row r="2147" spans="2:4" x14ac:dyDescent="0.25">
      <c r="B2147" s="4">
        <f t="shared" si="49"/>
        <v>591.40999999998053</v>
      </c>
      <c r="C2147" s="199">
        <v>571.94343067033492</v>
      </c>
      <c r="D2147" s="7"/>
    </row>
    <row r="2148" spans="2:4" x14ac:dyDescent="0.25">
      <c r="B2148" s="4">
        <f t="shared" si="49"/>
        <v>591.41999999998052</v>
      </c>
      <c r="C2148" s="199">
        <v>572.12146451773367</v>
      </c>
      <c r="D2148" s="7"/>
    </row>
    <row r="2149" spans="2:4" x14ac:dyDescent="0.25">
      <c r="B2149" s="4">
        <f t="shared" si="49"/>
        <v>591.42999999998051</v>
      </c>
      <c r="C2149" s="199">
        <v>572.29949836513163</v>
      </c>
      <c r="D2149" s="7"/>
    </row>
    <row r="2150" spans="2:4" x14ac:dyDescent="0.25">
      <c r="B2150" s="4">
        <f t="shared" si="49"/>
        <v>591.4399999999805</v>
      </c>
      <c r="C2150" s="199">
        <v>572.47753221253038</v>
      </c>
      <c r="D2150" s="7"/>
    </row>
    <row r="2151" spans="2:4" x14ac:dyDescent="0.25">
      <c r="B2151" s="4">
        <f t="shared" si="49"/>
        <v>591.44999999998049</v>
      </c>
      <c r="C2151" s="199">
        <v>572.6555660599289</v>
      </c>
      <c r="D2151" s="7"/>
    </row>
    <row r="2152" spans="2:4" x14ac:dyDescent="0.25">
      <c r="B2152" s="4">
        <f t="shared" si="49"/>
        <v>591.45999999998048</v>
      </c>
      <c r="C2152" s="199">
        <v>572.8335999073272</v>
      </c>
      <c r="D2152" s="7"/>
    </row>
    <row r="2153" spans="2:4" x14ac:dyDescent="0.25">
      <c r="B2153" s="4">
        <f t="shared" si="49"/>
        <v>591.46999999998047</v>
      </c>
      <c r="C2153" s="199">
        <v>573.01163375472481</v>
      </c>
      <c r="D2153" s="7"/>
    </row>
    <row r="2154" spans="2:4" x14ac:dyDescent="0.25">
      <c r="B2154" s="4">
        <f t="shared" si="49"/>
        <v>591.47999999998046</v>
      </c>
      <c r="C2154" s="199">
        <v>573.1896676021239</v>
      </c>
      <c r="D2154" s="7"/>
    </row>
    <row r="2155" spans="2:4" x14ac:dyDescent="0.25">
      <c r="B2155" s="4">
        <f t="shared" si="49"/>
        <v>591.48999999998045</v>
      </c>
      <c r="C2155" s="199">
        <v>573.36770144952243</v>
      </c>
      <c r="D2155" s="7"/>
    </row>
    <row r="2156" spans="2:4" x14ac:dyDescent="0.25">
      <c r="B2156" s="4">
        <f t="shared" si="49"/>
        <v>591.49999999998045</v>
      </c>
      <c r="C2156" s="199">
        <v>573.54573529692072</v>
      </c>
      <c r="D2156" s="7"/>
    </row>
    <row r="2157" spans="2:4" x14ac:dyDescent="0.25">
      <c r="B2157" s="4">
        <f t="shared" si="49"/>
        <v>591.50999999998044</v>
      </c>
      <c r="C2157" s="199">
        <v>573.72376914431845</v>
      </c>
      <c r="D2157" s="7"/>
    </row>
    <row r="2158" spans="2:4" x14ac:dyDescent="0.25">
      <c r="B2158" s="4">
        <f t="shared" si="49"/>
        <v>591.51999999998043</v>
      </c>
      <c r="C2158" s="199">
        <v>573.9019998340234</v>
      </c>
      <c r="D2158" s="7"/>
    </row>
    <row r="2159" spans="2:4" x14ac:dyDescent="0.25">
      <c r="B2159" s="4">
        <f t="shared" si="49"/>
        <v>591.52999999998042</v>
      </c>
      <c r="C2159" s="199">
        <v>574.08023052373358</v>
      </c>
      <c r="D2159" s="7"/>
    </row>
    <row r="2160" spans="2:4" x14ac:dyDescent="0.25">
      <c r="B2160" s="4">
        <f t="shared" si="49"/>
        <v>591.53999999998041</v>
      </c>
      <c r="C2160" s="199">
        <v>574.25846121344284</v>
      </c>
      <c r="D2160" s="7"/>
    </row>
    <row r="2161" spans="2:4" x14ac:dyDescent="0.25">
      <c r="B2161" s="4">
        <f t="shared" si="49"/>
        <v>591.5499999999804</v>
      </c>
      <c r="C2161" s="199">
        <v>574.43669190315245</v>
      </c>
      <c r="D2161" s="7"/>
    </row>
    <row r="2162" spans="2:4" x14ac:dyDescent="0.25">
      <c r="B2162" s="4">
        <f t="shared" si="49"/>
        <v>591.55999999998039</v>
      </c>
      <c r="C2162" s="199">
        <v>574.6149225928616</v>
      </c>
      <c r="D2162" s="7"/>
    </row>
    <row r="2163" spans="2:4" x14ac:dyDescent="0.25">
      <c r="B2163" s="4">
        <f t="shared" si="49"/>
        <v>591.56999999998038</v>
      </c>
      <c r="C2163" s="199">
        <v>574.79315328257189</v>
      </c>
      <c r="D2163" s="7"/>
    </row>
    <row r="2164" spans="2:4" x14ac:dyDescent="0.25">
      <c r="B2164" s="4">
        <f t="shared" si="49"/>
        <v>591.57999999998037</v>
      </c>
      <c r="C2164" s="199">
        <v>574.97138397228116</v>
      </c>
      <c r="D2164" s="7"/>
    </row>
    <row r="2165" spans="2:4" x14ac:dyDescent="0.25">
      <c r="B2165" s="4">
        <f t="shared" si="49"/>
        <v>591.58999999998036</v>
      </c>
      <c r="C2165" s="199">
        <v>575.1496146619902</v>
      </c>
      <c r="D2165" s="7"/>
    </row>
    <row r="2166" spans="2:4" x14ac:dyDescent="0.25">
      <c r="B2166" s="4">
        <f t="shared" si="49"/>
        <v>591.59999999998035</v>
      </c>
      <c r="C2166" s="199">
        <v>575.32784535169924</v>
      </c>
      <c r="D2166" s="7"/>
    </row>
    <row r="2167" spans="2:4" x14ac:dyDescent="0.25">
      <c r="B2167" s="4">
        <f t="shared" si="49"/>
        <v>591.60999999998035</v>
      </c>
      <c r="C2167" s="199">
        <v>575.50607604140976</v>
      </c>
      <c r="D2167" s="7"/>
    </row>
    <row r="2168" spans="2:4" x14ac:dyDescent="0.25">
      <c r="B2168" s="4">
        <f t="shared" si="49"/>
        <v>591.61999999998034</v>
      </c>
      <c r="C2168" s="199">
        <v>575.68450485888218</v>
      </c>
      <c r="D2168" s="7"/>
    </row>
    <row r="2169" spans="2:4" x14ac:dyDescent="0.25">
      <c r="B2169" s="4">
        <f t="shared" si="49"/>
        <v>591.62999999998033</v>
      </c>
      <c r="C2169" s="199">
        <v>575.86293367635517</v>
      </c>
      <c r="D2169" s="7"/>
    </row>
    <row r="2170" spans="2:4" x14ac:dyDescent="0.25">
      <c r="B2170" s="4">
        <f t="shared" si="49"/>
        <v>591.63999999998032</v>
      </c>
      <c r="C2170" s="199">
        <v>576.0413624938285</v>
      </c>
      <c r="D2170" s="7"/>
    </row>
    <row r="2171" spans="2:4" x14ac:dyDescent="0.25">
      <c r="B2171" s="4">
        <f t="shared" si="49"/>
        <v>591.64999999998031</v>
      </c>
      <c r="C2171" s="199">
        <v>576.21979131130126</v>
      </c>
      <c r="D2171" s="7"/>
    </row>
    <row r="2172" spans="2:4" x14ac:dyDescent="0.25">
      <c r="B2172" s="4">
        <f t="shared" si="49"/>
        <v>591.6599999999803</v>
      </c>
      <c r="C2172" s="199">
        <v>576.39822012877323</v>
      </c>
      <c r="D2172" s="7"/>
    </row>
    <row r="2173" spans="2:4" x14ac:dyDescent="0.25">
      <c r="B2173" s="4">
        <f t="shared" si="49"/>
        <v>591.66999999998029</v>
      </c>
      <c r="C2173" s="199">
        <v>576.57664894624622</v>
      </c>
      <c r="D2173" s="7"/>
    </row>
    <row r="2174" spans="2:4" x14ac:dyDescent="0.25">
      <c r="B2174" s="4">
        <f t="shared" si="49"/>
        <v>591.67999999998028</v>
      </c>
      <c r="C2174" s="199">
        <v>576.75507776371921</v>
      </c>
      <c r="D2174" s="7"/>
    </row>
    <row r="2175" spans="2:4" x14ac:dyDescent="0.25">
      <c r="B2175" s="4">
        <f t="shared" si="49"/>
        <v>591.68999999998027</v>
      </c>
      <c r="C2175" s="199">
        <v>576.93350658119266</v>
      </c>
      <c r="D2175" s="7"/>
    </row>
    <row r="2176" spans="2:4" x14ac:dyDescent="0.25">
      <c r="B2176" s="4">
        <f t="shared" si="49"/>
        <v>591.69999999998026</v>
      </c>
      <c r="C2176" s="199">
        <v>577.11193539866565</v>
      </c>
      <c r="D2176" s="7"/>
    </row>
    <row r="2177" spans="2:4" x14ac:dyDescent="0.25">
      <c r="B2177" s="4">
        <f t="shared" si="49"/>
        <v>591.70999999998025</v>
      </c>
      <c r="C2177" s="199">
        <v>577.29036421613728</v>
      </c>
      <c r="D2177" s="7"/>
    </row>
    <row r="2178" spans="2:4" x14ac:dyDescent="0.25">
      <c r="B2178" s="4">
        <f t="shared" si="49"/>
        <v>591.71999999998025</v>
      </c>
      <c r="C2178" s="199">
        <v>577.46899146101691</v>
      </c>
      <c r="D2178" s="7"/>
    </row>
    <row r="2179" spans="2:4" x14ac:dyDescent="0.25">
      <c r="B2179" s="4">
        <f t="shared" si="49"/>
        <v>591.72999999998024</v>
      </c>
      <c r="C2179" s="199">
        <v>577.64761870589848</v>
      </c>
      <c r="D2179" s="7"/>
    </row>
    <row r="2180" spans="2:4" x14ac:dyDescent="0.25">
      <c r="B2180" s="4">
        <f t="shared" si="49"/>
        <v>591.73999999998023</v>
      </c>
      <c r="C2180" s="199">
        <v>577.82624595078107</v>
      </c>
      <c r="D2180" s="7"/>
    </row>
    <row r="2181" spans="2:4" x14ac:dyDescent="0.25">
      <c r="B2181" s="4">
        <f t="shared" si="49"/>
        <v>591.74999999998022</v>
      </c>
      <c r="C2181" s="199">
        <v>578.004873195664</v>
      </c>
      <c r="D2181" s="7"/>
    </row>
    <row r="2182" spans="2:4" x14ac:dyDescent="0.25">
      <c r="B2182" s="4">
        <f t="shared" si="49"/>
        <v>591.75999999998021</v>
      </c>
      <c r="C2182" s="199">
        <v>578.18350044054671</v>
      </c>
      <c r="D2182" s="7"/>
    </row>
    <row r="2183" spans="2:4" x14ac:dyDescent="0.25">
      <c r="B2183" s="4">
        <f t="shared" si="49"/>
        <v>591.7699999999802</v>
      </c>
      <c r="C2183" s="199">
        <v>578.36212768542885</v>
      </c>
      <c r="D2183" s="7"/>
    </row>
    <row r="2184" spans="2:4" x14ac:dyDescent="0.25">
      <c r="B2184" s="4">
        <f t="shared" ref="B2184:B2247" si="50">+B2183+0.01</f>
        <v>591.77999999998019</v>
      </c>
      <c r="C2184" s="199">
        <v>578.54075493031121</v>
      </c>
      <c r="D2184" s="7"/>
    </row>
    <row r="2185" spans="2:4" x14ac:dyDescent="0.25">
      <c r="B2185" s="4">
        <f t="shared" si="50"/>
        <v>591.78999999998018</v>
      </c>
      <c r="C2185" s="199">
        <v>578.71938217519391</v>
      </c>
      <c r="D2185" s="7"/>
    </row>
    <row r="2186" spans="2:4" x14ac:dyDescent="0.25">
      <c r="B2186" s="4">
        <f t="shared" si="50"/>
        <v>591.79999999998017</v>
      </c>
      <c r="C2186" s="199">
        <v>578.89800942007685</v>
      </c>
      <c r="D2186" s="7"/>
    </row>
    <row r="2187" spans="2:4" x14ac:dyDescent="0.25">
      <c r="B2187" s="4">
        <f t="shared" si="50"/>
        <v>591.80999999998016</v>
      </c>
      <c r="C2187" s="199">
        <v>579.07663666495944</v>
      </c>
      <c r="D2187" s="7"/>
    </row>
    <row r="2188" spans="2:4" x14ac:dyDescent="0.25">
      <c r="B2188" s="4">
        <f t="shared" si="50"/>
        <v>591.81999999998015</v>
      </c>
      <c r="C2188" s="199">
        <v>579.25546189689965</v>
      </c>
      <c r="D2188" s="7"/>
    </row>
    <row r="2189" spans="2:4" x14ac:dyDescent="0.25">
      <c r="B2189" s="4">
        <f t="shared" si="50"/>
        <v>591.82999999998015</v>
      </c>
      <c r="C2189" s="199">
        <v>579.43428712884054</v>
      </c>
      <c r="D2189" s="7"/>
    </row>
    <row r="2190" spans="2:4" x14ac:dyDescent="0.25">
      <c r="B2190" s="4">
        <f t="shared" si="50"/>
        <v>591.83999999998014</v>
      </c>
      <c r="C2190" s="199">
        <v>579.6131123607812</v>
      </c>
      <c r="D2190" s="7"/>
    </row>
    <row r="2191" spans="2:4" x14ac:dyDescent="0.25">
      <c r="B2191" s="4">
        <f t="shared" si="50"/>
        <v>591.84999999998013</v>
      </c>
      <c r="C2191" s="199">
        <v>579.79193759272232</v>
      </c>
      <c r="D2191" s="7"/>
    </row>
    <row r="2192" spans="2:4" x14ac:dyDescent="0.25">
      <c r="B2192" s="4">
        <f t="shared" si="50"/>
        <v>591.85999999998012</v>
      </c>
      <c r="C2192" s="199">
        <v>579.97076282466287</v>
      </c>
      <c r="D2192" s="7"/>
    </row>
    <row r="2193" spans="2:4" x14ac:dyDescent="0.25">
      <c r="B2193" s="4">
        <f t="shared" si="50"/>
        <v>591.86999999998011</v>
      </c>
      <c r="C2193" s="199">
        <v>580.14958805660399</v>
      </c>
      <c r="D2193" s="7"/>
    </row>
    <row r="2194" spans="2:4" x14ac:dyDescent="0.25">
      <c r="B2194" s="4">
        <f t="shared" si="50"/>
        <v>591.8799999999801</v>
      </c>
      <c r="C2194" s="199">
        <v>580.32841328854465</v>
      </c>
      <c r="D2194" s="7"/>
    </row>
    <row r="2195" spans="2:4" x14ac:dyDescent="0.25">
      <c r="B2195" s="4">
        <f t="shared" si="50"/>
        <v>591.88999999998009</v>
      </c>
      <c r="C2195" s="199">
        <v>580.50723852048532</v>
      </c>
      <c r="D2195" s="7"/>
    </row>
    <row r="2196" spans="2:4" x14ac:dyDescent="0.25">
      <c r="B2196" s="4">
        <f t="shared" si="50"/>
        <v>591.89999999998008</v>
      </c>
      <c r="C2196" s="199">
        <v>580.68606375242621</v>
      </c>
      <c r="D2196" s="7"/>
    </row>
    <row r="2197" spans="2:4" x14ac:dyDescent="0.25">
      <c r="B2197" s="4">
        <f t="shared" si="50"/>
        <v>591.90999999998007</v>
      </c>
      <c r="C2197" s="199">
        <v>580.86488898436687</v>
      </c>
      <c r="D2197" s="7"/>
    </row>
    <row r="2198" spans="2:4" x14ac:dyDescent="0.25">
      <c r="B2198" s="4">
        <f t="shared" si="50"/>
        <v>591.91999999998006</v>
      </c>
      <c r="C2198" s="199">
        <v>581.04391418516127</v>
      </c>
      <c r="D2198" s="7"/>
    </row>
    <row r="2199" spans="2:4" x14ac:dyDescent="0.25">
      <c r="B2199" s="4">
        <f t="shared" si="50"/>
        <v>591.92999999998005</v>
      </c>
      <c r="C2199" s="199">
        <v>581.22293938595919</v>
      </c>
      <c r="D2199" s="7"/>
    </row>
    <row r="2200" spans="2:4" x14ac:dyDescent="0.25">
      <c r="B2200" s="4">
        <f t="shared" si="50"/>
        <v>591.93999999998005</v>
      </c>
      <c r="C2200" s="199">
        <v>581.40196458675734</v>
      </c>
      <c r="D2200" s="7"/>
    </row>
    <row r="2201" spans="2:4" x14ac:dyDescent="0.25">
      <c r="B2201" s="4">
        <f t="shared" si="50"/>
        <v>591.94999999998004</v>
      </c>
      <c r="C2201" s="199">
        <v>581.58098978755515</v>
      </c>
      <c r="D2201" s="7"/>
    </row>
    <row r="2202" spans="2:4" x14ac:dyDescent="0.25">
      <c r="B2202" s="4">
        <f t="shared" si="50"/>
        <v>591.95999999998003</v>
      </c>
      <c r="C2202" s="199">
        <v>581.76001498835308</v>
      </c>
      <c r="D2202" s="7"/>
    </row>
    <row r="2203" spans="2:4" x14ac:dyDescent="0.25">
      <c r="B2203" s="4">
        <f t="shared" si="50"/>
        <v>591.96999999998002</v>
      </c>
      <c r="C2203" s="199">
        <v>581.93904018915134</v>
      </c>
      <c r="D2203" s="7"/>
    </row>
    <row r="2204" spans="2:4" x14ac:dyDescent="0.25">
      <c r="B2204" s="4">
        <f t="shared" si="50"/>
        <v>591.97999999998001</v>
      </c>
      <c r="C2204" s="199">
        <v>582.11806538994938</v>
      </c>
      <c r="D2204" s="7"/>
    </row>
    <row r="2205" spans="2:4" x14ac:dyDescent="0.25">
      <c r="B2205" s="4">
        <f t="shared" si="50"/>
        <v>591.98999999998</v>
      </c>
      <c r="C2205" s="199">
        <v>582.29709059074798</v>
      </c>
      <c r="D2205" s="7"/>
    </row>
    <row r="2206" spans="2:4" x14ac:dyDescent="0.25">
      <c r="B2206" s="4">
        <f t="shared" si="50"/>
        <v>591.99999999997999</v>
      </c>
      <c r="C2206" s="199">
        <v>582.47611579154523</v>
      </c>
      <c r="D2206" s="7"/>
    </row>
    <row r="2207" spans="2:4" x14ac:dyDescent="0.25">
      <c r="B2207" s="4">
        <f t="shared" si="50"/>
        <v>592.00999999997998</v>
      </c>
      <c r="C2207" s="199">
        <v>582.65514099234326</v>
      </c>
      <c r="D2207" s="7"/>
    </row>
    <row r="2208" spans="2:4" x14ac:dyDescent="0.25">
      <c r="B2208" s="4">
        <f t="shared" si="50"/>
        <v>592.01999999997997</v>
      </c>
      <c r="C2208" s="199">
        <v>582.83436700009145</v>
      </c>
      <c r="D2208" s="7"/>
    </row>
    <row r="2209" spans="2:4" x14ac:dyDescent="0.25">
      <c r="B2209" s="4">
        <f t="shared" si="50"/>
        <v>592.02999999997996</v>
      </c>
      <c r="C2209" s="199">
        <v>583.01359300783804</v>
      </c>
      <c r="D2209" s="7"/>
    </row>
    <row r="2210" spans="2:4" x14ac:dyDescent="0.25">
      <c r="B2210" s="4">
        <f t="shared" si="50"/>
        <v>592.03999999997995</v>
      </c>
      <c r="C2210" s="199">
        <v>583.19281901558622</v>
      </c>
      <c r="D2210" s="7"/>
    </row>
    <row r="2211" spans="2:4" x14ac:dyDescent="0.25">
      <c r="B2211" s="4">
        <f t="shared" si="50"/>
        <v>592.04999999997995</v>
      </c>
      <c r="C2211" s="199">
        <v>583.37204502333361</v>
      </c>
      <c r="D2211" s="7"/>
    </row>
    <row r="2212" spans="2:4" x14ac:dyDescent="0.25">
      <c r="B2212" s="4">
        <f t="shared" si="50"/>
        <v>592.05999999997994</v>
      </c>
      <c r="C2212" s="199">
        <v>583.55127103108009</v>
      </c>
      <c r="D2212" s="7"/>
    </row>
    <row r="2213" spans="2:4" x14ac:dyDescent="0.25">
      <c r="B2213" s="4">
        <f t="shared" si="50"/>
        <v>592.06999999997993</v>
      </c>
      <c r="C2213" s="199">
        <v>583.73049703882805</v>
      </c>
      <c r="D2213" s="7"/>
    </row>
    <row r="2214" spans="2:4" x14ac:dyDescent="0.25">
      <c r="B2214" s="4">
        <f t="shared" si="50"/>
        <v>592.07999999997992</v>
      </c>
      <c r="C2214" s="199">
        <v>583.90972304657464</v>
      </c>
      <c r="D2214" s="7"/>
    </row>
    <row r="2215" spans="2:4" x14ac:dyDescent="0.25">
      <c r="B2215" s="4">
        <f t="shared" si="50"/>
        <v>592.08999999997991</v>
      </c>
      <c r="C2215" s="199">
        <v>584.08894905432203</v>
      </c>
      <c r="D2215" s="7"/>
    </row>
    <row r="2216" spans="2:4" x14ac:dyDescent="0.25">
      <c r="B2216" s="4">
        <f t="shared" si="50"/>
        <v>592.0999999999799</v>
      </c>
      <c r="C2216" s="199">
        <v>584.2681750620693</v>
      </c>
      <c r="D2216" s="7"/>
    </row>
    <row r="2217" spans="2:4" x14ac:dyDescent="0.25">
      <c r="B2217" s="4">
        <f t="shared" si="50"/>
        <v>592.10999999997989</v>
      </c>
      <c r="C2217" s="199">
        <v>584.44740106981669</v>
      </c>
      <c r="D2217" s="7"/>
    </row>
    <row r="2218" spans="2:4" x14ac:dyDescent="0.25">
      <c r="B2218" s="4">
        <f t="shared" si="50"/>
        <v>592.11999999997988</v>
      </c>
      <c r="C2218" s="199">
        <v>584.62682842010247</v>
      </c>
      <c r="D2218" s="7"/>
    </row>
    <row r="2219" spans="2:4" x14ac:dyDescent="0.25">
      <c r="B2219" s="4">
        <f t="shared" si="50"/>
        <v>592.12999999997987</v>
      </c>
      <c r="C2219" s="199">
        <v>584.80625577039427</v>
      </c>
      <c r="D2219" s="7"/>
    </row>
    <row r="2220" spans="2:4" x14ac:dyDescent="0.25">
      <c r="B2220" s="4">
        <f t="shared" si="50"/>
        <v>592.13999999997986</v>
      </c>
      <c r="C2220" s="199">
        <v>584.98568312068539</v>
      </c>
      <c r="D2220" s="7"/>
    </row>
    <row r="2221" spans="2:4" x14ac:dyDescent="0.25">
      <c r="B2221" s="4">
        <f t="shared" si="50"/>
        <v>592.14999999997985</v>
      </c>
      <c r="C2221" s="199">
        <v>585.16511047097583</v>
      </c>
      <c r="D2221" s="7"/>
    </row>
    <row r="2222" spans="2:4" x14ac:dyDescent="0.25">
      <c r="B2222" s="4">
        <f t="shared" si="50"/>
        <v>592.15999999997985</v>
      </c>
      <c r="C2222" s="199">
        <v>585.34453782126718</v>
      </c>
      <c r="D2222" s="7"/>
    </row>
    <row r="2223" spans="2:4" x14ac:dyDescent="0.25">
      <c r="B2223" s="4">
        <f t="shared" si="50"/>
        <v>592.16999999997984</v>
      </c>
      <c r="C2223" s="199">
        <v>585.52396517155762</v>
      </c>
      <c r="D2223" s="7"/>
    </row>
    <row r="2224" spans="2:4" x14ac:dyDescent="0.25">
      <c r="B2224" s="4">
        <f t="shared" si="50"/>
        <v>592.17999999997983</v>
      </c>
      <c r="C2224" s="199">
        <v>585.70339252184942</v>
      </c>
      <c r="D2224" s="7"/>
    </row>
    <row r="2225" spans="2:4" x14ac:dyDescent="0.25">
      <c r="B2225" s="4">
        <f t="shared" si="50"/>
        <v>592.18999999997982</v>
      </c>
      <c r="C2225" s="199">
        <v>585.88281987214043</v>
      </c>
      <c r="D2225" s="7"/>
    </row>
    <row r="2226" spans="2:4" x14ac:dyDescent="0.25">
      <c r="B2226" s="4">
        <f t="shared" si="50"/>
        <v>592.19999999997981</v>
      </c>
      <c r="C2226" s="199">
        <v>586.06224722243098</v>
      </c>
      <c r="D2226" s="7"/>
    </row>
    <row r="2227" spans="2:4" x14ac:dyDescent="0.25">
      <c r="B2227" s="4">
        <f t="shared" si="50"/>
        <v>592.2099999999798</v>
      </c>
      <c r="C2227" s="199">
        <v>586.2416745727221</v>
      </c>
      <c r="D2227" s="7"/>
    </row>
    <row r="2228" spans="2:4" x14ac:dyDescent="0.25">
      <c r="B2228" s="4">
        <f t="shared" si="50"/>
        <v>592.21999999997979</v>
      </c>
      <c r="C2228" s="199">
        <v>586.42130372681447</v>
      </c>
      <c r="D2228" s="7"/>
    </row>
    <row r="2229" spans="2:4" x14ac:dyDescent="0.25">
      <c r="B2229" s="4">
        <f t="shared" si="50"/>
        <v>592.22999999997978</v>
      </c>
      <c r="C2229" s="199">
        <v>586.60093288090661</v>
      </c>
      <c r="D2229" s="7"/>
    </row>
    <row r="2230" spans="2:4" x14ac:dyDescent="0.25">
      <c r="B2230" s="4">
        <f t="shared" si="50"/>
        <v>592.23999999997977</v>
      </c>
      <c r="C2230" s="199">
        <v>586.78056203499875</v>
      </c>
      <c r="D2230" s="7"/>
    </row>
    <row r="2231" spans="2:4" x14ac:dyDescent="0.25">
      <c r="B2231" s="4">
        <f t="shared" si="50"/>
        <v>592.24999999997976</v>
      </c>
      <c r="C2231" s="199">
        <v>586.96019118909089</v>
      </c>
      <c r="D2231" s="7"/>
    </row>
    <row r="2232" spans="2:4" x14ac:dyDescent="0.25">
      <c r="B2232" s="4">
        <f t="shared" si="50"/>
        <v>592.25999999997975</v>
      </c>
      <c r="C2232" s="199">
        <v>587.13982034318303</v>
      </c>
      <c r="D2232" s="7"/>
    </row>
    <row r="2233" spans="2:4" x14ac:dyDescent="0.25">
      <c r="B2233" s="4">
        <f t="shared" si="50"/>
        <v>592.26999999997975</v>
      </c>
      <c r="C2233" s="199">
        <v>587.31944949727529</v>
      </c>
      <c r="D2233" s="7"/>
    </row>
    <row r="2234" spans="2:4" x14ac:dyDescent="0.25">
      <c r="B2234" s="4">
        <f t="shared" si="50"/>
        <v>592.27999999997974</v>
      </c>
      <c r="C2234" s="199">
        <v>587.4990786513672</v>
      </c>
      <c r="D2234" s="7"/>
    </row>
    <row r="2235" spans="2:4" x14ac:dyDescent="0.25">
      <c r="B2235" s="4">
        <f t="shared" si="50"/>
        <v>592.28999999997973</v>
      </c>
      <c r="C2235" s="199">
        <v>587.67870780546048</v>
      </c>
      <c r="D2235" s="7"/>
    </row>
    <row r="2236" spans="2:4" x14ac:dyDescent="0.25">
      <c r="B2236" s="4">
        <f t="shared" si="50"/>
        <v>592.29999999997972</v>
      </c>
      <c r="C2236" s="199">
        <v>587.85833695955239</v>
      </c>
      <c r="D2236" s="7"/>
    </row>
    <row r="2237" spans="2:4" x14ac:dyDescent="0.25">
      <c r="B2237" s="4">
        <f t="shared" si="50"/>
        <v>592.30999999997971</v>
      </c>
      <c r="C2237" s="199">
        <v>588.03796611364453</v>
      </c>
      <c r="D2237" s="7"/>
    </row>
    <row r="2238" spans="2:4" x14ac:dyDescent="0.25">
      <c r="B2238" s="4">
        <f t="shared" si="50"/>
        <v>592.3199999999797</v>
      </c>
      <c r="C2238" s="199">
        <v>588.21779645672063</v>
      </c>
      <c r="D2238" s="7"/>
    </row>
    <row r="2239" spans="2:4" x14ac:dyDescent="0.25">
      <c r="B2239" s="4">
        <f t="shared" si="50"/>
        <v>592.32999999997969</v>
      </c>
      <c r="C2239" s="199">
        <v>588.39762679980151</v>
      </c>
      <c r="D2239" s="7"/>
    </row>
    <row r="2240" spans="2:4" x14ac:dyDescent="0.25">
      <c r="B2240" s="4">
        <f t="shared" si="50"/>
        <v>592.33999999997968</v>
      </c>
      <c r="C2240" s="199">
        <v>588.5774571428808</v>
      </c>
      <c r="D2240" s="7"/>
    </row>
    <row r="2241" spans="2:4" x14ac:dyDescent="0.25">
      <c r="B2241" s="4">
        <f t="shared" si="50"/>
        <v>592.34999999997967</v>
      </c>
      <c r="C2241" s="199">
        <v>588.75728748596168</v>
      </c>
      <c r="D2241" s="7"/>
    </row>
    <row r="2242" spans="2:4" x14ac:dyDescent="0.25">
      <c r="B2242" s="4">
        <f t="shared" si="50"/>
        <v>592.35999999997966</v>
      </c>
      <c r="C2242" s="199">
        <v>588.93711782904222</v>
      </c>
      <c r="D2242" s="7"/>
    </row>
    <row r="2243" spans="2:4" x14ac:dyDescent="0.25">
      <c r="B2243" s="4">
        <f t="shared" si="50"/>
        <v>592.36999999997965</v>
      </c>
      <c r="C2243" s="199">
        <v>589.11694817212197</v>
      </c>
      <c r="D2243" s="7"/>
    </row>
    <row r="2244" spans="2:4" x14ac:dyDescent="0.25">
      <c r="B2244" s="4">
        <f t="shared" si="50"/>
        <v>592.37999999997965</v>
      </c>
      <c r="C2244" s="199">
        <v>589.29677851520239</v>
      </c>
      <c r="D2244" s="7"/>
    </row>
    <row r="2245" spans="2:4" x14ac:dyDescent="0.25">
      <c r="B2245" s="4">
        <f t="shared" si="50"/>
        <v>592.38999999997964</v>
      </c>
      <c r="C2245" s="199">
        <v>589.47660885828213</v>
      </c>
      <c r="D2245" s="7"/>
    </row>
    <row r="2246" spans="2:4" x14ac:dyDescent="0.25">
      <c r="B2246" s="4">
        <f t="shared" si="50"/>
        <v>592.39999999997963</v>
      </c>
      <c r="C2246" s="199">
        <v>589.65643920136245</v>
      </c>
      <c r="D2246" s="7"/>
    </row>
    <row r="2247" spans="2:4" x14ac:dyDescent="0.25">
      <c r="B2247" s="4">
        <f t="shared" si="50"/>
        <v>592.40999999997962</v>
      </c>
      <c r="C2247" s="199">
        <v>589.83626954444321</v>
      </c>
      <c r="D2247" s="7"/>
    </row>
    <row r="2248" spans="2:4" x14ac:dyDescent="0.25">
      <c r="B2248" s="4">
        <f t="shared" ref="B2248:B2311" si="51">+B2247+0.01</f>
        <v>592.41999999997961</v>
      </c>
      <c r="C2248" s="199">
        <v>590.01629924203507</v>
      </c>
      <c r="D2248" s="7"/>
    </row>
    <row r="2249" spans="2:4" x14ac:dyDescent="0.25">
      <c r="B2249" s="4">
        <f t="shared" si="51"/>
        <v>592.4299999999796</v>
      </c>
      <c r="C2249" s="199">
        <v>590.19632893962807</v>
      </c>
      <c r="D2249" s="7"/>
    </row>
    <row r="2250" spans="2:4" x14ac:dyDescent="0.25">
      <c r="B2250" s="4">
        <f t="shared" si="51"/>
        <v>592.43999999997959</v>
      </c>
      <c r="C2250" s="199">
        <v>590.37635863722073</v>
      </c>
      <c r="D2250" s="7"/>
    </row>
    <row r="2251" spans="2:4" x14ac:dyDescent="0.25">
      <c r="B2251" s="4">
        <f t="shared" si="51"/>
        <v>592.44999999997958</v>
      </c>
      <c r="C2251" s="199">
        <v>590.55638833481373</v>
      </c>
      <c r="D2251" s="7"/>
    </row>
    <row r="2252" spans="2:4" x14ac:dyDescent="0.25">
      <c r="B2252" s="4">
        <f t="shared" si="51"/>
        <v>592.45999999997957</v>
      </c>
      <c r="C2252" s="199">
        <v>590.73641803240707</v>
      </c>
      <c r="D2252" s="7"/>
    </row>
    <row r="2253" spans="2:4" x14ac:dyDescent="0.25">
      <c r="B2253" s="4">
        <f t="shared" si="51"/>
        <v>592.46999999997956</v>
      </c>
      <c r="C2253" s="199">
        <v>590.91644773000007</v>
      </c>
      <c r="D2253" s="7"/>
    </row>
    <row r="2254" spans="2:4" x14ac:dyDescent="0.25">
      <c r="B2254" s="4">
        <f t="shared" si="51"/>
        <v>592.47999999997955</v>
      </c>
      <c r="C2254" s="199">
        <v>591.09647742759262</v>
      </c>
      <c r="D2254" s="7"/>
    </row>
    <row r="2255" spans="2:4" x14ac:dyDescent="0.25">
      <c r="B2255" s="4">
        <f t="shared" si="51"/>
        <v>592.48999999997955</v>
      </c>
      <c r="C2255" s="199">
        <v>591.27650712518539</v>
      </c>
      <c r="D2255" s="7"/>
    </row>
    <row r="2256" spans="2:4" x14ac:dyDescent="0.25">
      <c r="B2256" s="4">
        <f t="shared" si="51"/>
        <v>592.49999999997954</v>
      </c>
      <c r="C2256" s="199">
        <v>591.45653682277805</v>
      </c>
      <c r="D2256" s="7"/>
    </row>
    <row r="2257" spans="2:4" x14ac:dyDescent="0.25">
      <c r="B2257" s="4">
        <f t="shared" si="51"/>
        <v>592.50999999997953</v>
      </c>
      <c r="C2257" s="199">
        <v>591.63656652037071</v>
      </c>
      <c r="D2257" s="7"/>
    </row>
    <row r="2258" spans="2:4" x14ac:dyDescent="0.25">
      <c r="B2258" s="4">
        <f t="shared" si="51"/>
        <v>592.51999999997952</v>
      </c>
      <c r="C2258" s="199">
        <v>591.81679696884123</v>
      </c>
      <c r="D2258" s="7"/>
    </row>
    <row r="2259" spans="2:4" x14ac:dyDescent="0.25">
      <c r="B2259" s="4">
        <f t="shared" si="51"/>
        <v>592.52999999997951</v>
      </c>
      <c r="C2259" s="199">
        <v>591.99702741731471</v>
      </c>
      <c r="D2259" s="7"/>
    </row>
    <row r="2260" spans="2:4" x14ac:dyDescent="0.25">
      <c r="B2260" s="4">
        <f t="shared" si="51"/>
        <v>592.5399999999795</v>
      </c>
      <c r="C2260" s="199">
        <v>592.17725786578728</v>
      </c>
      <c r="D2260" s="7"/>
    </row>
    <row r="2261" spans="2:4" x14ac:dyDescent="0.25">
      <c r="B2261" s="4">
        <f t="shared" si="51"/>
        <v>592.54999999997949</v>
      </c>
      <c r="C2261" s="199">
        <v>592.35748831426054</v>
      </c>
      <c r="D2261" s="7"/>
    </row>
    <row r="2262" spans="2:4" x14ac:dyDescent="0.25">
      <c r="B2262" s="4">
        <f t="shared" si="51"/>
        <v>592.55999999997948</v>
      </c>
      <c r="C2262" s="199">
        <v>592.53771876273402</v>
      </c>
      <c r="D2262" s="7"/>
    </row>
    <row r="2263" spans="2:4" x14ac:dyDescent="0.25">
      <c r="B2263" s="4">
        <f t="shared" si="51"/>
        <v>592.56999999997947</v>
      </c>
      <c r="C2263" s="199">
        <v>592.71794921120704</v>
      </c>
      <c r="D2263" s="7"/>
    </row>
    <row r="2264" spans="2:4" x14ac:dyDescent="0.25">
      <c r="B2264" s="4">
        <f t="shared" si="51"/>
        <v>592.57999999997946</v>
      </c>
      <c r="C2264" s="199">
        <v>592.8981796596795</v>
      </c>
      <c r="D2264" s="7"/>
    </row>
    <row r="2265" spans="2:4" x14ac:dyDescent="0.25">
      <c r="B2265" s="4">
        <f t="shared" si="51"/>
        <v>592.58999999997945</v>
      </c>
      <c r="C2265" s="199">
        <v>593.07841010815355</v>
      </c>
      <c r="D2265" s="7"/>
    </row>
    <row r="2266" spans="2:4" x14ac:dyDescent="0.25">
      <c r="B2266" s="4">
        <f t="shared" si="51"/>
        <v>592.59999999997945</v>
      </c>
      <c r="C2266" s="199">
        <v>593.25864055662612</v>
      </c>
      <c r="D2266" s="7"/>
    </row>
    <row r="2267" spans="2:4" x14ac:dyDescent="0.25">
      <c r="B2267" s="4">
        <f t="shared" si="51"/>
        <v>592.60999999997944</v>
      </c>
      <c r="C2267" s="199">
        <v>593.43887100509903</v>
      </c>
      <c r="D2267" s="7"/>
    </row>
    <row r="2268" spans="2:4" x14ac:dyDescent="0.25">
      <c r="B2268" s="4">
        <f t="shared" si="51"/>
        <v>592.61999999997943</v>
      </c>
      <c r="C2268" s="199">
        <v>593.61930239684625</v>
      </c>
      <c r="D2268" s="7"/>
    </row>
    <row r="2269" spans="2:4" x14ac:dyDescent="0.25">
      <c r="B2269" s="4">
        <f t="shared" si="51"/>
        <v>592.62999999997942</v>
      </c>
      <c r="C2269" s="199">
        <v>593.79973378859393</v>
      </c>
      <c r="D2269" s="7"/>
    </row>
    <row r="2270" spans="2:4" x14ac:dyDescent="0.25">
      <c r="B2270" s="4">
        <f t="shared" si="51"/>
        <v>592.63999999997941</v>
      </c>
      <c r="C2270" s="199">
        <v>593.98016518034126</v>
      </c>
      <c r="D2270" s="7"/>
    </row>
    <row r="2271" spans="2:4" x14ac:dyDescent="0.25">
      <c r="B2271" s="4">
        <f t="shared" si="51"/>
        <v>592.6499999999794</v>
      </c>
      <c r="C2271" s="199">
        <v>594.16059657208859</v>
      </c>
      <c r="D2271" s="7"/>
    </row>
    <row r="2272" spans="2:4" x14ac:dyDescent="0.25">
      <c r="B2272" s="4">
        <f t="shared" si="51"/>
        <v>592.65999999997939</v>
      </c>
      <c r="C2272" s="199">
        <v>594.34102796383524</v>
      </c>
      <c r="D2272" s="7"/>
    </row>
    <row r="2273" spans="2:4" x14ac:dyDescent="0.25">
      <c r="B2273" s="4">
        <f t="shared" si="51"/>
        <v>592.66999999997938</v>
      </c>
      <c r="C2273" s="199">
        <v>594.52145935558281</v>
      </c>
      <c r="D2273" s="7"/>
    </row>
    <row r="2274" spans="2:4" x14ac:dyDescent="0.25">
      <c r="B2274" s="4">
        <f t="shared" si="51"/>
        <v>592.67999999997937</v>
      </c>
      <c r="C2274" s="199">
        <v>594.70189074733014</v>
      </c>
      <c r="D2274" s="7"/>
    </row>
    <row r="2275" spans="2:4" x14ac:dyDescent="0.25">
      <c r="B2275" s="4">
        <f t="shared" si="51"/>
        <v>592.68999999997936</v>
      </c>
      <c r="C2275" s="199">
        <v>594.88232213907759</v>
      </c>
      <c r="D2275" s="7"/>
    </row>
    <row r="2276" spans="2:4" x14ac:dyDescent="0.25">
      <c r="B2276" s="4">
        <f t="shared" si="51"/>
        <v>592.69999999997935</v>
      </c>
      <c r="C2276" s="199">
        <v>595.06275353082492</v>
      </c>
      <c r="D2276" s="7"/>
    </row>
    <row r="2277" spans="2:4" x14ac:dyDescent="0.25">
      <c r="B2277" s="4">
        <f t="shared" si="51"/>
        <v>592.70999999997935</v>
      </c>
      <c r="C2277" s="199">
        <v>595.24318492257146</v>
      </c>
      <c r="D2277" s="7"/>
    </row>
    <row r="2278" spans="2:4" x14ac:dyDescent="0.25">
      <c r="B2278" s="4">
        <f t="shared" si="51"/>
        <v>592.71999999997934</v>
      </c>
      <c r="C2278" s="199">
        <v>595.42381545274782</v>
      </c>
      <c r="D2278" s="7"/>
    </row>
    <row r="2279" spans="2:4" x14ac:dyDescent="0.25">
      <c r="B2279" s="4">
        <f t="shared" si="51"/>
        <v>592.72999999997933</v>
      </c>
      <c r="C2279" s="199">
        <v>595.60444598292861</v>
      </c>
      <c r="D2279" s="7"/>
    </row>
    <row r="2280" spans="2:4" x14ac:dyDescent="0.25">
      <c r="B2280" s="4">
        <f t="shared" si="51"/>
        <v>592.73999999997932</v>
      </c>
      <c r="C2280" s="199">
        <v>595.78507651310849</v>
      </c>
      <c r="D2280" s="7"/>
    </row>
    <row r="2281" spans="2:4" x14ac:dyDescent="0.25">
      <c r="B2281" s="4">
        <f t="shared" si="51"/>
        <v>592.74999999997931</v>
      </c>
      <c r="C2281" s="199">
        <v>595.96570704328803</v>
      </c>
      <c r="D2281" s="7"/>
    </row>
    <row r="2282" spans="2:4" x14ac:dyDescent="0.25">
      <c r="B2282" s="4">
        <f t="shared" si="51"/>
        <v>592.7599999999793</v>
      </c>
      <c r="C2282" s="199">
        <v>596.1463375734686</v>
      </c>
      <c r="D2282" s="7"/>
    </row>
    <row r="2283" spans="2:4" x14ac:dyDescent="0.25">
      <c r="B2283" s="4">
        <f t="shared" si="51"/>
        <v>592.76999999997929</v>
      </c>
      <c r="C2283" s="199">
        <v>596.32696810364814</v>
      </c>
      <c r="D2283" s="7"/>
    </row>
    <row r="2284" spans="2:4" x14ac:dyDescent="0.25">
      <c r="B2284" s="4">
        <f t="shared" si="51"/>
        <v>592.77999999997928</v>
      </c>
      <c r="C2284" s="199">
        <v>596.50759863382893</v>
      </c>
      <c r="D2284" s="7"/>
    </row>
    <row r="2285" spans="2:4" x14ac:dyDescent="0.25">
      <c r="B2285" s="4">
        <f t="shared" si="51"/>
        <v>592.78999999997927</v>
      </c>
      <c r="C2285" s="199">
        <v>596.6882291640087</v>
      </c>
      <c r="D2285" s="7"/>
    </row>
    <row r="2286" spans="2:4" x14ac:dyDescent="0.25">
      <c r="B2286" s="4">
        <f t="shared" si="51"/>
        <v>592.79999999997926</v>
      </c>
      <c r="C2286" s="199">
        <v>596.86885969418847</v>
      </c>
      <c r="D2286" s="7"/>
    </row>
    <row r="2287" spans="2:4" x14ac:dyDescent="0.25">
      <c r="B2287" s="4">
        <f t="shared" si="51"/>
        <v>592.80999999997925</v>
      </c>
      <c r="C2287" s="199">
        <v>597.04949022436881</v>
      </c>
      <c r="D2287" s="7"/>
    </row>
    <row r="2288" spans="2:4" x14ac:dyDescent="0.25">
      <c r="B2288" s="4">
        <f t="shared" si="51"/>
        <v>592.81999999997925</v>
      </c>
      <c r="C2288" s="199">
        <v>597.23031879302209</v>
      </c>
      <c r="D2288" s="7"/>
    </row>
    <row r="2289" spans="2:4" x14ac:dyDescent="0.25">
      <c r="B2289" s="4">
        <f t="shared" si="51"/>
        <v>592.82999999997924</v>
      </c>
      <c r="C2289" s="199">
        <v>597.41114736167367</v>
      </c>
      <c r="D2289" s="7"/>
    </row>
    <row r="2290" spans="2:4" x14ac:dyDescent="0.25">
      <c r="B2290" s="4">
        <f t="shared" si="51"/>
        <v>592.83999999997923</v>
      </c>
      <c r="C2290" s="199">
        <v>597.59197593032593</v>
      </c>
      <c r="D2290" s="7"/>
    </row>
    <row r="2291" spans="2:4" x14ac:dyDescent="0.25">
      <c r="B2291" s="4">
        <f t="shared" si="51"/>
        <v>592.84999999997922</v>
      </c>
      <c r="C2291" s="199">
        <v>597.77280449897853</v>
      </c>
      <c r="D2291" s="7"/>
    </row>
    <row r="2292" spans="2:4" x14ac:dyDescent="0.25">
      <c r="B2292" s="4">
        <f t="shared" si="51"/>
        <v>592.85999999997921</v>
      </c>
      <c r="C2292" s="199">
        <v>597.95363306763079</v>
      </c>
      <c r="D2292" s="7"/>
    </row>
    <row r="2293" spans="2:4" x14ac:dyDescent="0.25">
      <c r="B2293" s="4">
        <f t="shared" si="51"/>
        <v>592.8699999999792</v>
      </c>
      <c r="C2293" s="199">
        <v>598.13446163628396</v>
      </c>
      <c r="D2293" s="7"/>
    </row>
    <row r="2294" spans="2:4" x14ac:dyDescent="0.25">
      <c r="B2294" s="4">
        <f t="shared" si="51"/>
        <v>592.87999999997919</v>
      </c>
      <c r="C2294" s="199">
        <v>598.31529020493542</v>
      </c>
      <c r="D2294" s="7"/>
    </row>
    <row r="2295" spans="2:4" x14ac:dyDescent="0.25">
      <c r="B2295" s="4">
        <f t="shared" si="51"/>
        <v>592.88999999997918</v>
      </c>
      <c r="C2295" s="199">
        <v>598.49611877358791</v>
      </c>
      <c r="D2295" s="7"/>
    </row>
    <row r="2296" spans="2:4" x14ac:dyDescent="0.25">
      <c r="B2296" s="4">
        <f t="shared" si="51"/>
        <v>592.89999999997917</v>
      </c>
      <c r="C2296" s="199">
        <v>598.6769473422404</v>
      </c>
      <c r="D2296" s="7"/>
    </row>
    <row r="2297" spans="2:4" x14ac:dyDescent="0.25">
      <c r="B2297" s="4">
        <f t="shared" si="51"/>
        <v>592.90999999997916</v>
      </c>
      <c r="C2297" s="199">
        <v>598.85777591089277</v>
      </c>
      <c r="D2297" s="7"/>
    </row>
    <row r="2298" spans="2:4" x14ac:dyDescent="0.25">
      <c r="B2298" s="4">
        <f t="shared" si="51"/>
        <v>592.91999999997915</v>
      </c>
      <c r="C2298" s="199">
        <v>599.03880518938195</v>
      </c>
      <c r="D2298" s="7"/>
    </row>
    <row r="2299" spans="2:4" x14ac:dyDescent="0.25">
      <c r="B2299" s="4">
        <f t="shared" si="51"/>
        <v>592.92999999997915</v>
      </c>
      <c r="C2299" s="199">
        <v>599.21983446787624</v>
      </c>
      <c r="D2299" s="7"/>
    </row>
    <row r="2300" spans="2:4" x14ac:dyDescent="0.25">
      <c r="B2300" s="4">
        <f t="shared" si="51"/>
        <v>592.93999999997914</v>
      </c>
      <c r="C2300" s="199">
        <v>599.40086374637053</v>
      </c>
      <c r="D2300" s="7"/>
    </row>
    <row r="2301" spans="2:4" x14ac:dyDescent="0.25">
      <c r="B2301" s="4">
        <f t="shared" si="51"/>
        <v>592.94999999997913</v>
      </c>
      <c r="C2301" s="199">
        <v>599.58189302486517</v>
      </c>
      <c r="D2301" s="7"/>
    </row>
    <row r="2302" spans="2:4" x14ac:dyDescent="0.25">
      <c r="B2302" s="4">
        <f t="shared" si="51"/>
        <v>592.95999999997912</v>
      </c>
      <c r="C2302" s="199">
        <v>599.76292230335946</v>
      </c>
      <c r="D2302" s="7"/>
    </row>
    <row r="2303" spans="2:4" x14ac:dyDescent="0.25">
      <c r="B2303" s="4">
        <f t="shared" si="51"/>
        <v>592.96999999997911</v>
      </c>
      <c r="C2303" s="199">
        <v>599.94395158185296</v>
      </c>
      <c r="D2303" s="7"/>
    </row>
    <row r="2304" spans="2:4" x14ac:dyDescent="0.25">
      <c r="B2304" s="4">
        <f t="shared" si="51"/>
        <v>592.9799999999791</v>
      </c>
      <c r="C2304" s="199">
        <v>600.12498086034748</v>
      </c>
      <c r="D2304" s="7"/>
    </row>
    <row r="2305" spans="2:4" x14ac:dyDescent="0.25">
      <c r="B2305" s="4">
        <f t="shared" si="51"/>
        <v>592.98999999997909</v>
      </c>
      <c r="C2305" s="199">
        <v>600.30601013884177</v>
      </c>
      <c r="D2305" s="7"/>
    </row>
    <row r="2306" spans="2:4" x14ac:dyDescent="0.25">
      <c r="B2306" s="4">
        <f t="shared" si="51"/>
        <v>592.99999999997908</v>
      </c>
      <c r="C2306" s="199">
        <v>600.48703941733618</v>
      </c>
      <c r="D2306" s="7"/>
    </row>
    <row r="2307" spans="2:4" x14ac:dyDescent="0.25">
      <c r="B2307" s="4">
        <f t="shared" si="51"/>
        <v>593.00999999997907</v>
      </c>
      <c r="C2307" s="199">
        <v>600.66806869583104</v>
      </c>
      <c r="D2307" s="7"/>
    </row>
    <row r="2308" spans="2:4" x14ac:dyDescent="0.25">
      <c r="B2308" s="4">
        <f t="shared" si="51"/>
        <v>593.01999999997906</v>
      </c>
      <c r="C2308" s="199">
        <v>600.84929977944296</v>
      </c>
      <c r="D2308" s="7"/>
    </row>
    <row r="2309" spans="2:4" x14ac:dyDescent="0.25">
      <c r="B2309" s="4">
        <f t="shared" si="51"/>
        <v>593.02999999997905</v>
      </c>
      <c r="C2309" s="199">
        <v>601.03053086305533</v>
      </c>
      <c r="D2309" s="7"/>
    </row>
    <row r="2310" spans="2:4" x14ac:dyDescent="0.25">
      <c r="B2310" s="4">
        <f t="shared" si="51"/>
        <v>593.03999999997905</v>
      </c>
      <c r="C2310" s="199">
        <v>601.21176194666828</v>
      </c>
      <c r="D2310" s="7"/>
    </row>
    <row r="2311" spans="2:4" x14ac:dyDescent="0.25">
      <c r="B2311" s="4">
        <f t="shared" si="51"/>
        <v>593.04999999997904</v>
      </c>
      <c r="C2311" s="199">
        <v>601.39299303028076</v>
      </c>
      <c r="D2311" s="7"/>
    </row>
    <row r="2312" spans="2:4" x14ac:dyDescent="0.25">
      <c r="B2312" s="4">
        <f t="shared" ref="B2312:B2375" si="52">+B2311+0.01</f>
        <v>593.05999999997903</v>
      </c>
      <c r="C2312" s="199">
        <v>601.57422411389371</v>
      </c>
      <c r="D2312" s="7"/>
    </row>
    <row r="2313" spans="2:4" x14ac:dyDescent="0.25">
      <c r="B2313" s="4">
        <f t="shared" si="52"/>
        <v>593.06999999997902</v>
      </c>
      <c r="C2313" s="199">
        <v>601.75545519750619</v>
      </c>
      <c r="D2313" s="7"/>
    </row>
    <row r="2314" spans="2:4" x14ac:dyDescent="0.25">
      <c r="B2314" s="4">
        <f t="shared" si="52"/>
        <v>593.07999999997901</v>
      </c>
      <c r="C2314" s="199">
        <v>601.93668628111902</v>
      </c>
      <c r="D2314" s="7"/>
    </row>
    <row r="2315" spans="2:4" x14ac:dyDescent="0.25">
      <c r="B2315" s="4">
        <f t="shared" si="52"/>
        <v>593.089999999979</v>
      </c>
      <c r="C2315" s="199">
        <v>602.11791736473185</v>
      </c>
      <c r="D2315" s="7"/>
    </row>
    <row r="2316" spans="2:4" x14ac:dyDescent="0.25">
      <c r="B2316" s="4">
        <f t="shared" si="52"/>
        <v>593.09999999997899</v>
      </c>
      <c r="C2316" s="199">
        <v>602.29914844834445</v>
      </c>
      <c r="D2316" s="7"/>
    </row>
    <row r="2317" spans="2:4" x14ac:dyDescent="0.25">
      <c r="B2317" s="4">
        <f t="shared" si="52"/>
        <v>593.10999999997898</v>
      </c>
      <c r="C2317" s="199">
        <v>602.48037953195592</v>
      </c>
      <c r="D2317" s="7"/>
    </row>
    <row r="2318" spans="2:4" x14ac:dyDescent="0.25">
      <c r="B2318" s="4">
        <f t="shared" si="52"/>
        <v>593.11999999997897</v>
      </c>
      <c r="C2318" s="199">
        <v>602.66181376511099</v>
      </c>
      <c r="D2318" s="7"/>
    </row>
    <row r="2319" spans="2:4" x14ac:dyDescent="0.25">
      <c r="B2319" s="4">
        <f t="shared" si="52"/>
        <v>593.12999999997896</v>
      </c>
      <c r="C2319" s="199">
        <v>602.84324799827061</v>
      </c>
      <c r="D2319" s="7"/>
    </row>
    <row r="2320" spans="2:4" x14ac:dyDescent="0.25">
      <c r="B2320" s="4">
        <f t="shared" si="52"/>
        <v>593.13999999997895</v>
      </c>
      <c r="C2320" s="199">
        <v>603.0246822314291</v>
      </c>
      <c r="D2320" s="7"/>
    </row>
    <row r="2321" spans="2:4" x14ac:dyDescent="0.25">
      <c r="B2321" s="4">
        <f t="shared" si="52"/>
        <v>593.14999999997895</v>
      </c>
      <c r="C2321" s="199">
        <v>603.20611646458747</v>
      </c>
      <c r="D2321" s="7"/>
    </row>
    <row r="2322" spans="2:4" x14ac:dyDescent="0.25">
      <c r="B2322" s="4">
        <f t="shared" si="52"/>
        <v>593.15999999997894</v>
      </c>
      <c r="C2322" s="199">
        <v>603.38755069774697</v>
      </c>
      <c r="D2322" s="7"/>
    </row>
    <row r="2323" spans="2:4" x14ac:dyDescent="0.25">
      <c r="B2323" s="4">
        <f t="shared" si="52"/>
        <v>593.16999999997893</v>
      </c>
      <c r="C2323" s="199">
        <v>603.56898493090489</v>
      </c>
      <c r="D2323" s="7"/>
    </row>
    <row r="2324" spans="2:4" x14ac:dyDescent="0.25">
      <c r="B2324" s="4">
        <f t="shared" si="52"/>
        <v>593.17999999997892</v>
      </c>
      <c r="C2324" s="199">
        <v>603.75041916406462</v>
      </c>
      <c r="D2324" s="7"/>
    </row>
    <row r="2325" spans="2:4" x14ac:dyDescent="0.25">
      <c r="B2325" s="4">
        <f t="shared" si="52"/>
        <v>593.18999999997891</v>
      </c>
      <c r="C2325" s="199">
        <v>603.93185339722311</v>
      </c>
      <c r="D2325" s="7"/>
    </row>
    <row r="2326" spans="2:4" x14ac:dyDescent="0.25">
      <c r="B2326" s="4">
        <f t="shared" si="52"/>
        <v>593.1999999999789</v>
      </c>
      <c r="C2326" s="199">
        <v>604.11328763038239</v>
      </c>
      <c r="D2326" s="7"/>
    </row>
    <row r="2327" spans="2:4" x14ac:dyDescent="0.25">
      <c r="B2327" s="4">
        <f t="shared" si="52"/>
        <v>593.20999999997889</v>
      </c>
      <c r="C2327" s="199">
        <v>604.29472186354087</v>
      </c>
      <c r="D2327" s="7"/>
    </row>
    <row r="2328" spans="2:4" x14ac:dyDescent="0.25">
      <c r="B2328" s="4">
        <f t="shared" si="52"/>
        <v>593.21999999997888</v>
      </c>
      <c r="C2328" s="199">
        <v>604.47636027185956</v>
      </c>
      <c r="D2328" s="7"/>
    </row>
    <row r="2329" spans="2:4" x14ac:dyDescent="0.25">
      <c r="B2329" s="4">
        <f t="shared" si="52"/>
        <v>593.22999999997887</v>
      </c>
      <c r="C2329" s="199">
        <v>604.65799868017723</v>
      </c>
      <c r="D2329" s="7"/>
    </row>
    <row r="2330" spans="2:4" x14ac:dyDescent="0.25">
      <c r="B2330" s="4">
        <f t="shared" si="52"/>
        <v>593.23999999997886</v>
      </c>
      <c r="C2330" s="199">
        <v>604.83963708849524</v>
      </c>
      <c r="D2330" s="7"/>
    </row>
    <row r="2331" spans="2:4" x14ac:dyDescent="0.25">
      <c r="B2331" s="4">
        <f t="shared" si="52"/>
        <v>593.24999999997885</v>
      </c>
      <c r="C2331" s="199">
        <v>605.0212754968129</v>
      </c>
      <c r="D2331" s="7"/>
    </row>
    <row r="2332" spans="2:4" x14ac:dyDescent="0.25">
      <c r="B2332" s="4">
        <f t="shared" si="52"/>
        <v>593.25999999997885</v>
      </c>
      <c r="C2332" s="199">
        <v>605.20291390513057</v>
      </c>
      <c r="D2332" s="7"/>
    </row>
    <row r="2333" spans="2:4" x14ac:dyDescent="0.25">
      <c r="B2333" s="4">
        <f t="shared" si="52"/>
        <v>593.26999999997884</v>
      </c>
      <c r="C2333" s="199">
        <v>605.38455231344824</v>
      </c>
      <c r="D2333" s="7"/>
    </row>
    <row r="2334" spans="2:4" x14ac:dyDescent="0.25">
      <c r="B2334" s="4">
        <f t="shared" si="52"/>
        <v>593.27999999997883</v>
      </c>
      <c r="C2334" s="199">
        <v>605.566190721765</v>
      </c>
      <c r="D2334" s="7"/>
    </row>
    <row r="2335" spans="2:4" x14ac:dyDescent="0.25">
      <c r="B2335" s="4">
        <f t="shared" si="52"/>
        <v>593.28999999997882</v>
      </c>
      <c r="C2335" s="199">
        <v>605.74782913008301</v>
      </c>
      <c r="D2335" s="7"/>
    </row>
    <row r="2336" spans="2:4" x14ac:dyDescent="0.25">
      <c r="B2336" s="4">
        <f t="shared" si="52"/>
        <v>593.29999999997881</v>
      </c>
      <c r="C2336" s="199">
        <v>605.92946753840067</v>
      </c>
      <c r="D2336" s="7"/>
    </row>
    <row r="2337" spans="2:4" x14ac:dyDescent="0.25">
      <c r="B2337" s="4">
        <f t="shared" si="52"/>
        <v>593.3099999999788</v>
      </c>
      <c r="C2337" s="199">
        <v>606.11110594671845</v>
      </c>
      <c r="D2337" s="7"/>
    </row>
    <row r="2338" spans="2:4" x14ac:dyDescent="0.25">
      <c r="B2338" s="4">
        <f t="shared" si="52"/>
        <v>593.31999999997879</v>
      </c>
      <c r="C2338" s="199">
        <v>606.29295005810479</v>
      </c>
      <c r="D2338" s="7"/>
    </row>
    <row r="2339" spans="2:4" x14ac:dyDescent="0.25">
      <c r="B2339" s="4">
        <f t="shared" si="52"/>
        <v>593.32999999997878</v>
      </c>
      <c r="C2339" s="199">
        <v>606.47479416949545</v>
      </c>
      <c r="D2339" s="7"/>
    </row>
    <row r="2340" spans="2:4" x14ac:dyDescent="0.25">
      <c r="B2340" s="4">
        <f t="shared" si="52"/>
        <v>593.33999999997877</v>
      </c>
      <c r="C2340" s="199">
        <v>606.656638280886</v>
      </c>
      <c r="D2340" s="7"/>
    </row>
    <row r="2341" spans="2:4" x14ac:dyDescent="0.25">
      <c r="B2341" s="4">
        <f t="shared" si="52"/>
        <v>593.34999999997876</v>
      </c>
      <c r="C2341" s="199">
        <v>606.83848239227734</v>
      </c>
      <c r="D2341" s="7"/>
    </row>
    <row r="2342" spans="2:4" x14ac:dyDescent="0.25">
      <c r="B2342" s="4">
        <f t="shared" si="52"/>
        <v>593.35999999997875</v>
      </c>
      <c r="C2342" s="199">
        <v>607.02032650366812</v>
      </c>
      <c r="D2342" s="7"/>
    </row>
    <row r="2343" spans="2:4" x14ac:dyDescent="0.25">
      <c r="B2343" s="4">
        <f t="shared" si="52"/>
        <v>593.36999999997875</v>
      </c>
      <c r="C2343" s="199">
        <v>607.20217061505878</v>
      </c>
      <c r="D2343" s="7"/>
    </row>
    <row r="2344" spans="2:4" x14ac:dyDescent="0.25">
      <c r="B2344" s="4">
        <f t="shared" si="52"/>
        <v>593.37999999997874</v>
      </c>
      <c r="C2344" s="199">
        <v>607.38401472644921</v>
      </c>
      <c r="D2344" s="7"/>
    </row>
    <row r="2345" spans="2:4" x14ac:dyDescent="0.25">
      <c r="B2345" s="4">
        <f t="shared" si="52"/>
        <v>593.38999999997873</v>
      </c>
      <c r="C2345" s="199">
        <v>607.56585883783976</v>
      </c>
      <c r="D2345" s="7"/>
    </row>
    <row r="2346" spans="2:4" x14ac:dyDescent="0.25">
      <c r="B2346" s="4">
        <f t="shared" si="52"/>
        <v>593.39999999997872</v>
      </c>
      <c r="C2346" s="199">
        <v>607.74770294923042</v>
      </c>
      <c r="D2346" s="7"/>
    </row>
    <row r="2347" spans="2:4" x14ac:dyDescent="0.25">
      <c r="B2347" s="4">
        <f t="shared" si="52"/>
        <v>593.40999999997871</v>
      </c>
      <c r="C2347" s="199">
        <v>607.92954706062096</v>
      </c>
      <c r="D2347" s="7"/>
    </row>
    <row r="2348" spans="2:4" x14ac:dyDescent="0.25">
      <c r="B2348" s="4">
        <f t="shared" si="52"/>
        <v>593.4199999999787</v>
      </c>
      <c r="C2348" s="199">
        <v>608.11159828234361</v>
      </c>
      <c r="D2348" s="7"/>
    </row>
    <row r="2349" spans="2:4" x14ac:dyDescent="0.25">
      <c r="B2349" s="4">
        <f t="shared" si="52"/>
        <v>593.42999999997869</v>
      </c>
      <c r="C2349" s="199">
        <v>608.29364950406625</v>
      </c>
      <c r="D2349" s="7"/>
    </row>
    <row r="2350" spans="2:4" x14ac:dyDescent="0.25">
      <c r="B2350" s="4">
        <f t="shared" si="52"/>
        <v>593.43999999997868</v>
      </c>
      <c r="C2350" s="199">
        <v>608.47570072578867</v>
      </c>
      <c r="D2350" s="7"/>
    </row>
    <row r="2351" spans="2:4" x14ac:dyDescent="0.25">
      <c r="B2351" s="4">
        <f t="shared" si="52"/>
        <v>593.44999999997867</v>
      </c>
      <c r="C2351" s="199">
        <v>608.65775194751063</v>
      </c>
      <c r="D2351" s="7"/>
    </row>
    <row r="2352" spans="2:4" x14ac:dyDescent="0.25">
      <c r="B2352" s="4">
        <f t="shared" si="52"/>
        <v>593.45999999997866</v>
      </c>
      <c r="C2352" s="199">
        <v>608.83980316923339</v>
      </c>
      <c r="D2352" s="7"/>
    </row>
    <row r="2353" spans="2:4" x14ac:dyDescent="0.25">
      <c r="B2353" s="4">
        <f t="shared" si="52"/>
        <v>593.46999999997865</v>
      </c>
      <c r="C2353" s="199">
        <v>609.02185439095581</v>
      </c>
      <c r="D2353" s="7"/>
    </row>
    <row r="2354" spans="2:4" x14ac:dyDescent="0.25">
      <c r="B2354" s="4">
        <f t="shared" si="52"/>
        <v>593.47999999997865</v>
      </c>
      <c r="C2354" s="199">
        <v>609.20390561267834</v>
      </c>
      <c r="D2354" s="7"/>
    </row>
    <row r="2355" spans="2:4" x14ac:dyDescent="0.25">
      <c r="B2355" s="4">
        <f t="shared" si="52"/>
        <v>593.48999999997864</v>
      </c>
      <c r="C2355" s="199">
        <v>609.38595683439985</v>
      </c>
      <c r="D2355" s="7"/>
    </row>
    <row r="2356" spans="2:4" x14ac:dyDescent="0.25">
      <c r="B2356" s="4">
        <f t="shared" si="52"/>
        <v>593.49999999997863</v>
      </c>
      <c r="C2356" s="199">
        <v>609.56800805612261</v>
      </c>
      <c r="D2356" s="7"/>
    </row>
    <row r="2357" spans="2:4" x14ac:dyDescent="0.25">
      <c r="B2357" s="4">
        <f t="shared" si="52"/>
        <v>593.50999999997862</v>
      </c>
      <c r="C2357" s="199">
        <v>609.75005927784525</v>
      </c>
      <c r="D2357" s="7"/>
    </row>
    <row r="2358" spans="2:4" x14ac:dyDescent="0.25">
      <c r="B2358" s="4">
        <f t="shared" si="52"/>
        <v>593.51999999997861</v>
      </c>
      <c r="C2358" s="199">
        <v>609.9323191628315</v>
      </c>
      <c r="D2358" s="7"/>
    </row>
    <row r="2359" spans="2:4" x14ac:dyDescent="0.25">
      <c r="B2359" s="4">
        <f t="shared" si="52"/>
        <v>593.5299999999786</v>
      </c>
      <c r="C2359" s="199">
        <v>610.11457904782048</v>
      </c>
      <c r="D2359" s="7"/>
    </row>
    <row r="2360" spans="2:4" x14ac:dyDescent="0.25">
      <c r="B2360" s="4">
        <f t="shared" si="52"/>
        <v>593.53999999997859</v>
      </c>
      <c r="C2360" s="199">
        <v>610.2968389328106</v>
      </c>
      <c r="D2360" s="7"/>
    </row>
    <row r="2361" spans="2:4" x14ac:dyDescent="0.25">
      <c r="B2361" s="4">
        <f t="shared" si="52"/>
        <v>593.54999999997858</v>
      </c>
      <c r="C2361" s="199">
        <v>610.47909881780026</v>
      </c>
      <c r="D2361" s="7"/>
    </row>
    <row r="2362" spans="2:4" x14ac:dyDescent="0.25">
      <c r="B2362" s="4">
        <f t="shared" si="52"/>
        <v>593.55999999997857</v>
      </c>
      <c r="C2362" s="199">
        <v>610.66135870279027</v>
      </c>
      <c r="D2362" s="7"/>
    </row>
    <row r="2363" spans="2:4" x14ac:dyDescent="0.25">
      <c r="B2363" s="4">
        <f t="shared" si="52"/>
        <v>593.56999999997856</v>
      </c>
      <c r="C2363" s="199">
        <v>610.84361858778016</v>
      </c>
      <c r="D2363" s="7"/>
    </row>
    <row r="2364" spans="2:4" x14ac:dyDescent="0.25">
      <c r="B2364" s="4">
        <f t="shared" si="52"/>
        <v>593.57999999997855</v>
      </c>
      <c r="C2364" s="199">
        <v>611.02587847276914</v>
      </c>
      <c r="D2364" s="7"/>
    </row>
    <row r="2365" spans="2:4" x14ac:dyDescent="0.25">
      <c r="B2365" s="4">
        <f t="shared" si="52"/>
        <v>593.58999999997855</v>
      </c>
      <c r="C2365" s="199">
        <v>611.20813835775971</v>
      </c>
      <c r="D2365" s="7"/>
    </row>
    <row r="2366" spans="2:4" x14ac:dyDescent="0.25">
      <c r="B2366" s="4">
        <f t="shared" si="52"/>
        <v>593.59999999997854</v>
      </c>
      <c r="C2366" s="199">
        <v>611.39039824274869</v>
      </c>
      <c r="D2366" s="7"/>
    </row>
    <row r="2367" spans="2:4" x14ac:dyDescent="0.25">
      <c r="B2367" s="4">
        <f t="shared" si="52"/>
        <v>593.60999999997853</v>
      </c>
      <c r="C2367" s="199">
        <v>611.57265812773892</v>
      </c>
      <c r="D2367" s="7"/>
    </row>
    <row r="2368" spans="2:4" x14ac:dyDescent="0.25">
      <c r="B2368" s="4">
        <f t="shared" si="52"/>
        <v>593.61999999997852</v>
      </c>
      <c r="C2368" s="199">
        <v>611.75512564347309</v>
      </c>
      <c r="D2368" s="7"/>
    </row>
    <row r="2369" spans="2:4" x14ac:dyDescent="0.25">
      <c r="B2369" s="4">
        <f t="shared" si="52"/>
        <v>593.62999999997851</v>
      </c>
      <c r="C2369" s="199">
        <v>611.9375931592067</v>
      </c>
      <c r="D2369" s="7"/>
    </row>
    <row r="2370" spans="2:4" x14ac:dyDescent="0.25">
      <c r="B2370" s="4">
        <f t="shared" si="52"/>
        <v>593.6399999999785</v>
      </c>
      <c r="C2370" s="199">
        <v>612.12006067494087</v>
      </c>
      <c r="D2370" s="7"/>
    </row>
    <row r="2371" spans="2:4" x14ac:dyDescent="0.25">
      <c r="B2371" s="4">
        <f t="shared" si="52"/>
        <v>593.64999999997849</v>
      </c>
      <c r="C2371" s="199">
        <v>612.30252819067437</v>
      </c>
      <c r="D2371" s="7"/>
    </row>
    <row r="2372" spans="2:4" x14ac:dyDescent="0.25">
      <c r="B2372" s="4">
        <f t="shared" si="52"/>
        <v>593.65999999997848</v>
      </c>
      <c r="C2372" s="199">
        <v>612.48499570640899</v>
      </c>
      <c r="D2372" s="7"/>
    </row>
    <row r="2373" spans="2:4" x14ac:dyDescent="0.25">
      <c r="B2373" s="4">
        <f t="shared" si="52"/>
        <v>593.66999999997847</v>
      </c>
      <c r="C2373" s="199">
        <v>612.66746322214203</v>
      </c>
      <c r="D2373" s="7"/>
    </row>
    <row r="2374" spans="2:4" x14ac:dyDescent="0.25">
      <c r="B2374" s="4">
        <f t="shared" si="52"/>
        <v>593.67999999997846</v>
      </c>
      <c r="C2374" s="199">
        <v>612.84993073787655</v>
      </c>
      <c r="D2374" s="7"/>
    </row>
    <row r="2375" spans="2:4" x14ac:dyDescent="0.25">
      <c r="B2375" s="4">
        <f t="shared" si="52"/>
        <v>593.68999999997845</v>
      </c>
      <c r="C2375" s="199">
        <v>613.03239825360981</v>
      </c>
      <c r="D2375" s="7"/>
    </row>
    <row r="2376" spans="2:4" x14ac:dyDescent="0.25">
      <c r="B2376" s="4">
        <f t="shared" ref="B2376:B2439" si="53">+B2375+0.01</f>
        <v>593.69999999997844</v>
      </c>
      <c r="C2376" s="199">
        <v>613.21486576934421</v>
      </c>
      <c r="D2376" s="7"/>
    </row>
    <row r="2377" spans="2:4" x14ac:dyDescent="0.25">
      <c r="B2377" s="4">
        <f t="shared" si="53"/>
        <v>593.70999999997844</v>
      </c>
      <c r="C2377" s="199">
        <v>613.39733328507873</v>
      </c>
      <c r="D2377" s="7"/>
    </row>
    <row r="2378" spans="2:4" x14ac:dyDescent="0.25">
      <c r="B2378" s="4">
        <f t="shared" si="53"/>
        <v>593.71999999997843</v>
      </c>
      <c r="C2378" s="199">
        <v>613.58000949008238</v>
      </c>
      <c r="D2378" s="7"/>
    </row>
    <row r="2379" spans="2:4" x14ac:dyDescent="0.25">
      <c r="B2379" s="4">
        <f t="shared" si="53"/>
        <v>593.72999999997842</v>
      </c>
      <c r="C2379" s="199">
        <v>613.76268569509102</v>
      </c>
      <c r="D2379" s="7"/>
    </row>
    <row r="2380" spans="2:4" x14ac:dyDescent="0.25">
      <c r="B2380" s="4">
        <f t="shared" si="53"/>
        <v>593.73999999997841</v>
      </c>
      <c r="C2380" s="199">
        <v>613.9453619000991</v>
      </c>
      <c r="D2380" s="7"/>
    </row>
    <row r="2381" spans="2:4" x14ac:dyDescent="0.25">
      <c r="B2381" s="4">
        <f t="shared" si="53"/>
        <v>593.7499999999784</v>
      </c>
      <c r="C2381" s="199">
        <v>614.12803810510809</v>
      </c>
      <c r="D2381" s="7"/>
    </row>
    <row r="2382" spans="2:4" x14ac:dyDescent="0.25">
      <c r="B2382" s="4">
        <f t="shared" si="53"/>
        <v>593.75999999997839</v>
      </c>
      <c r="C2382" s="199">
        <v>614.31071431011617</v>
      </c>
      <c r="D2382" s="7"/>
    </row>
    <row r="2383" spans="2:4" x14ac:dyDescent="0.25">
      <c r="B2383" s="4">
        <f t="shared" si="53"/>
        <v>593.76999999997838</v>
      </c>
      <c r="C2383" s="199">
        <v>614.49339051512482</v>
      </c>
      <c r="D2383" s="7"/>
    </row>
    <row r="2384" spans="2:4" x14ac:dyDescent="0.25">
      <c r="B2384" s="4">
        <f t="shared" si="53"/>
        <v>593.77999999997837</v>
      </c>
      <c r="C2384" s="199">
        <v>614.67606672013312</v>
      </c>
      <c r="D2384" s="7"/>
    </row>
    <row r="2385" spans="2:4" x14ac:dyDescent="0.25">
      <c r="B2385" s="4">
        <f t="shared" si="53"/>
        <v>593.78999999997836</v>
      </c>
      <c r="C2385" s="199">
        <v>614.85874292514097</v>
      </c>
      <c r="D2385" s="7"/>
    </row>
    <row r="2386" spans="2:4" x14ac:dyDescent="0.25">
      <c r="B2386" s="4">
        <f t="shared" si="53"/>
        <v>593.79999999997835</v>
      </c>
      <c r="C2386" s="199">
        <v>615.04141913014928</v>
      </c>
      <c r="D2386" s="7"/>
    </row>
    <row r="2387" spans="2:4" x14ac:dyDescent="0.25">
      <c r="B2387" s="4">
        <f t="shared" si="53"/>
        <v>593.80999999997834</v>
      </c>
      <c r="C2387" s="199">
        <v>615.22409533515781</v>
      </c>
      <c r="D2387" s="7"/>
    </row>
    <row r="2388" spans="2:4" x14ac:dyDescent="0.25">
      <c r="B2388" s="4">
        <f t="shared" si="53"/>
        <v>593.81999999997834</v>
      </c>
      <c r="C2388" s="199">
        <v>615.40698058062719</v>
      </c>
      <c r="D2388" s="7"/>
    </row>
    <row r="2389" spans="2:4" x14ac:dyDescent="0.25">
      <c r="B2389" s="4">
        <f t="shared" si="53"/>
        <v>593.82999999997833</v>
      </c>
      <c r="C2389" s="199">
        <v>615.58986582609714</v>
      </c>
      <c r="D2389" s="7"/>
    </row>
    <row r="2390" spans="2:4" x14ac:dyDescent="0.25">
      <c r="B2390" s="4">
        <f t="shared" si="53"/>
        <v>593.83999999997832</v>
      </c>
      <c r="C2390" s="199">
        <v>615.7727510715672</v>
      </c>
      <c r="D2390" s="7"/>
    </row>
    <row r="2391" spans="2:4" x14ac:dyDescent="0.25">
      <c r="B2391" s="4">
        <f t="shared" si="53"/>
        <v>593.84999999997831</v>
      </c>
      <c r="C2391" s="199">
        <v>615.95563631703635</v>
      </c>
      <c r="D2391" s="7"/>
    </row>
    <row r="2392" spans="2:4" x14ac:dyDescent="0.25">
      <c r="B2392" s="4">
        <f t="shared" si="53"/>
        <v>593.8599999999783</v>
      </c>
      <c r="C2392" s="199">
        <v>616.1385215625063</v>
      </c>
      <c r="D2392" s="7"/>
    </row>
    <row r="2393" spans="2:4" x14ac:dyDescent="0.25">
      <c r="B2393" s="4">
        <f t="shared" si="53"/>
        <v>593.86999999997829</v>
      </c>
      <c r="C2393" s="199">
        <v>616.32140680797579</v>
      </c>
      <c r="D2393" s="7"/>
    </row>
    <row r="2394" spans="2:4" x14ac:dyDescent="0.25">
      <c r="B2394" s="4">
        <f t="shared" si="53"/>
        <v>593.87999999997828</v>
      </c>
      <c r="C2394" s="199">
        <v>616.50429205344574</v>
      </c>
      <c r="D2394" s="7"/>
    </row>
    <row r="2395" spans="2:4" x14ac:dyDescent="0.25">
      <c r="B2395" s="4">
        <f t="shared" si="53"/>
        <v>593.88999999997827</v>
      </c>
      <c r="C2395" s="199">
        <v>616.68717729891546</v>
      </c>
      <c r="D2395" s="7"/>
    </row>
    <row r="2396" spans="2:4" x14ac:dyDescent="0.25">
      <c r="B2396" s="4">
        <f t="shared" si="53"/>
        <v>593.89999999997826</v>
      </c>
      <c r="C2396" s="199">
        <v>616.87006254438495</v>
      </c>
      <c r="D2396" s="7"/>
    </row>
    <row r="2397" spans="2:4" x14ac:dyDescent="0.25">
      <c r="B2397" s="4">
        <f t="shared" si="53"/>
        <v>593.90999999997825</v>
      </c>
      <c r="C2397" s="199">
        <v>617.05294778985501</v>
      </c>
      <c r="D2397" s="7"/>
    </row>
    <row r="2398" spans="2:4" x14ac:dyDescent="0.25">
      <c r="B2398" s="4">
        <f t="shared" si="53"/>
        <v>593.91999999997824</v>
      </c>
      <c r="C2398" s="199">
        <v>617.23604246878858</v>
      </c>
      <c r="D2398" s="7"/>
    </row>
    <row r="2399" spans="2:4" x14ac:dyDescent="0.25">
      <c r="B2399" s="4">
        <f t="shared" si="53"/>
        <v>593.92999999997824</v>
      </c>
      <c r="C2399" s="199">
        <v>617.41913714772602</v>
      </c>
      <c r="D2399" s="7"/>
    </row>
    <row r="2400" spans="2:4" x14ac:dyDescent="0.25">
      <c r="B2400" s="4">
        <f t="shared" si="53"/>
        <v>593.93999999997823</v>
      </c>
      <c r="C2400" s="199">
        <v>617.60223182666277</v>
      </c>
      <c r="D2400" s="7"/>
    </row>
    <row r="2401" spans="2:4" x14ac:dyDescent="0.25">
      <c r="B2401" s="4">
        <f t="shared" si="53"/>
        <v>593.94999999997822</v>
      </c>
      <c r="C2401" s="199">
        <v>617.7853265056001</v>
      </c>
      <c r="D2401" s="7"/>
    </row>
    <row r="2402" spans="2:4" x14ac:dyDescent="0.25">
      <c r="B2402" s="4">
        <f t="shared" si="53"/>
        <v>593.95999999997821</v>
      </c>
      <c r="C2402" s="199">
        <v>617.96842118453685</v>
      </c>
      <c r="D2402" s="7"/>
    </row>
    <row r="2403" spans="2:4" x14ac:dyDescent="0.25">
      <c r="B2403" s="4">
        <f t="shared" si="53"/>
        <v>593.9699999999782</v>
      </c>
      <c r="C2403" s="199">
        <v>618.15151586347417</v>
      </c>
      <c r="D2403" s="7"/>
    </row>
    <row r="2404" spans="2:4" x14ac:dyDescent="0.25">
      <c r="B2404" s="4">
        <f t="shared" si="53"/>
        <v>593.97999999997819</v>
      </c>
      <c r="C2404" s="199">
        <v>618.33461054241127</v>
      </c>
      <c r="D2404" s="7"/>
    </row>
    <row r="2405" spans="2:4" x14ac:dyDescent="0.25">
      <c r="B2405" s="4">
        <f t="shared" si="53"/>
        <v>593.98999999997818</v>
      </c>
      <c r="C2405" s="199">
        <v>618.51770522134814</v>
      </c>
      <c r="D2405" s="7"/>
    </row>
    <row r="2406" spans="2:4" x14ac:dyDescent="0.25">
      <c r="B2406" s="4">
        <f t="shared" si="53"/>
        <v>593.99999999997817</v>
      </c>
      <c r="C2406" s="199">
        <v>618.70079990028535</v>
      </c>
      <c r="D2406" s="7"/>
    </row>
    <row r="2407" spans="2:4" x14ac:dyDescent="0.25">
      <c r="B2407" s="4">
        <f t="shared" si="53"/>
        <v>594.00999999997816</v>
      </c>
      <c r="C2407" s="199">
        <v>618.88389457922221</v>
      </c>
      <c r="D2407" s="7"/>
    </row>
    <row r="2408" spans="2:4" x14ac:dyDescent="0.25">
      <c r="B2408" s="4">
        <f t="shared" si="53"/>
        <v>594.01999999997815</v>
      </c>
      <c r="C2408" s="199">
        <v>619.06719874633438</v>
      </c>
      <c r="D2408" s="7"/>
    </row>
    <row r="2409" spans="2:4" x14ac:dyDescent="0.25">
      <c r="B2409" s="4">
        <f t="shared" si="53"/>
        <v>594.02999999997814</v>
      </c>
      <c r="C2409" s="199">
        <v>619.25050291344712</v>
      </c>
      <c r="D2409" s="7"/>
    </row>
    <row r="2410" spans="2:4" x14ac:dyDescent="0.25">
      <c r="B2410" s="4">
        <f t="shared" si="53"/>
        <v>594.03999999997814</v>
      </c>
      <c r="C2410" s="199">
        <v>619.43380708055986</v>
      </c>
      <c r="D2410" s="7"/>
    </row>
    <row r="2411" spans="2:4" x14ac:dyDescent="0.25">
      <c r="B2411" s="4">
        <f t="shared" si="53"/>
        <v>594.04999999997813</v>
      </c>
      <c r="C2411" s="199">
        <v>619.6171112476726</v>
      </c>
      <c r="D2411" s="7"/>
    </row>
    <row r="2412" spans="2:4" x14ac:dyDescent="0.25">
      <c r="B2412" s="4">
        <f t="shared" si="53"/>
        <v>594.05999999997812</v>
      </c>
      <c r="C2412" s="199">
        <v>619.8004154147842</v>
      </c>
      <c r="D2412" s="7"/>
    </row>
    <row r="2413" spans="2:4" x14ac:dyDescent="0.25">
      <c r="B2413" s="4">
        <f t="shared" si="53"/>
        <v>594.06999999997811</v>
      </c>
      <c r="C2413" s="199">
        <v>619.98371958189728</v>
      </c>
      <c r="D2413" s="7"/>
    </row>
    <row r="2414" spans="2:4" x14ac:dyDescent="0.25">
      <c r="B2414" s="4">
        <f t="shared" si="53"/>
        <v>594.0799999999781</v>
      </c>
      <c r="C2414" s="199">
        <v>620.16702374901035</v>
      </c>
      <c r="D2414" s="7"/>
    </row>
    <row r="2415" spans="2:4" x14ac:dyDescent="0.25">
      <c r="B2415" s="4">
        <f t="shared" si="53"/>
        <v>594.08999999997809</v>
      </c>
      <c r="C2415" s="199">
        <v>620.35032791612309</v>
      </c>
      <c r="D2415" s="7"/>
    </row>
    <row r="2416" spans="2:4" x14ac:dyDescent="0.25">
      <c r="B2416" s="4">
        <f t="shared" si="53"/>
        <v>594.09999999997808</v>
      </c>
      <c r="C2416" s="199">
        <v>620.53363208323594</v>
      </c>
      <c r="D2416" s="7"/>
    </row>
    <row r="2417" spans="2:4" x14ac:dyDescent="0.25">
      <c r="B2417" s="4">
        <f t="shared" si="53"/>
        <v>594.10999999997807</v>
      </c>
      <c r="C2417" s="199">
        <v>620.71693625034857</v>
      </c>
      <c r="D2417" s="7"/>
    </row>
    <row r="2418" spans="2:4" x14ac:dyDescent="0.25">
      <c r="B2418" s="4">
        <f t="shared" si="53"/>
        <v>594.11999999997806</v>
      </c>
      <c r="C2418" s="199">
        <v>620.90044958720853</v>
      </c>
      <c r="D2418" s="7"/>
    </row>
    <row r="2419" spans="2:4" x14ac:dyDescent="0.25">
      <c r="B2419" s="4">
        <f t="shared" si="53"/>
        <v>594.12999999997805</v>
      </c>
      <c r="C2419" s="199">
        <v>621.08396292407247</v>
      </c>
      <c r="D2419" s="7"/>
    </row>
    <row r="2420" spans="2:4" x14ac:dyDescent="0.25">
      <c r="B2420" s="4">
        <f t="shared" si="53"/>
        <v>594.13999999997804</v>
      </c>
      <c r="C2420" s="199">
        <v>621.26747626093504</v>
      </c>
      <c r="D2420" s="7"/>
    </row>
    <row r="2421" spans="2:4" x14ac:dyDescent="0.25">
      <c r="B2421" s="4">
        <f t="shared" si="53"/>
        <v>594.14999999997804</v>
      </c>
      <c r="C2421" s="199">
        <v>621.45098959779909</v>
      </c>
      <c r="D2421" s="7"/>
    </row>
    <row r="2422" spans="2:4" x14ac:dyDescent="0.25">
      <c r="B2422" s="4">
        <f t="shared" si="53"/>
        <v>594.15999999997803</v>
      </c>
      <c r="C2422" s="199">
        <v>621.63450293466258</v>
      </c>
      <c r="D2422" s="7"/>
    </row>
    <row r="2423" spans="2:4" x14ac:dyDescent="0.25">
      <c r="B2423" s="4">
        <f t="shared" si="53"/>
        <v>594.16999999997802</v>
      </c>
      <c r="C2423" s="199">
        <v>621.81801627152674</v>
      </c>
      <c r="D2423" s="7"/>
    </row>
    <row r="2424" spans="2:4" x14ac:dyDescent="0.25">
      <c r="B2424" s="4">
        <f t="shared" si="53"/>
        <v>594.17999999997801</v>
      </c>
      <c r="C2424" s="199">
        <v>622.00152960839</v>
      </c>
      <c r="D2424" s="7"/>
    </row>
    <row r="2425" spans="2:4" x14ac:dyDescent="0.25">
      <c r="B2425" s="4">
        <f t="shared" si="53"/>
        <v>594.189999999978</v>
      </c>
      <c r="C2425" s="199">
        <v>622.18504294525303</v>
      </c>
      <c r="D2425" s="7"/>
    </row>
    <row r="2426" spans="2:4" x14ac:dyDescent="0.25">
      <c r="B2426" s="4">
        <f t="shared" si="53"/>
        <v>594.19999999997799</v>
      </c>
      <c r="C2426" s="199">
        <v>622.36855628211651</v>
      </c>
      <c r="D2426" s="7"/>
    </row>
    <row r="2427" spans="2:4" x14ac:dyDescent="0.25">
      <c r="B2427" s="4">
        <f t="shared" si="53"/>
        <v>594.20999999997798</v>
      </c>
      <c r="C2427" s="199">
        <v>622.55206961898068</v>
      </c>
      <c r="D2427" s="7"/>
    </row>
    <row r="2428" spans="2:4" x14ac:dyDescent="0.25">
      <c r="B2428" s="4">
        <f t="shared" si="53"/>
        <v>594.21999999997797</v>
      </c>
      <c r="C2428" s="199">
        <v>622.735792305372</v>
      </c>
      <c r="D2428" s="7"/>
    </row>
    <row r="2429" spans="2:4" x14ac:dyDescent="0.25">
      <c r="B2429" s="4">
        <f t="shared" si="53"/>
        <v>594.22999999997796</v>
      </c>
      <c r="C2429" s="199">
        <v>622.91951499176389</v>
      </c>
      <c r="D2429" s="7"/>
    </row>
    <row r="2430" spans="2:4" x14ac:dyDescent="0.25">
      <c r="B2430" s="4">
        <f t="shared" si="53"/>
        <v>594.23999999997795</v>
      </c>
      <c r="C2430" s="199">
        <v>623.10323767815476</v>
      </c>
      <c r="D2430" s="7"/>
    </row>
    <row r="2431" spans="2:4" x14ac:dyDescent="0.25">
      <c r="B2431" s="4">
        <f t="shared" si="53"/>
        <v>594.24999999997794</v>
      </c>
      <c r="C2431" s="199">
        <v>623.28696036454687</v>
      </c>
      <c r="D2431" s="7"/>
    </row>
    <row r="2432" spans="2:4" x14ac:dyDescent="0.25">
      <c r="B2432" s="4">
        <f t="shared" si="53"/>
        <v>594.25999999997794</v>
      </c>
      <c r="C2432" s="199">
        <v>623.47068305093853</v>
      </c>
      <c r="D2432" s="7"/>
    </row>
    <row r="2433" spans="2:4" x14ac:dyDescent="0.25">
      <c r="B2433" s="4">
        <f t="shared" si="53"/>
        <v>594.26999999997793</v>
      </c>
      <c r="C2433" s="199">
        <v>623.65440573733076</v>
      </c>
      <c r="D2433" s="7"/>
    </row>
    <row r="2434" spans="2:4" x14ac:dyDescent="0.25">
      <c r="B2434" s="4">
        <f t="shared" si="53"/>
        <v>594.27999999997792</v>
      </c>
      <c r="C2434" s="199">
        <v>623.83812842372288</v>
      </c>
      <c r="D2434" s="7"/>
    </row>
    <row r="2435" spans="2:4" x14ac:dyDescent="0.25">
      <c r="B2435" s="4">
        <f t="shared" si="53"/>
        <v>594.28999999997791</v>
      </c>
      <c r="C2435" s="199">
        <v>624.02185111011454</v>
      </c>
      <c r="D2435" s="7"/>
    </row>
    <row r="2436" spans="2:4" x14ac:dyDescent="0.25">
      <c r="B2436" s="4">
        <f t="shared" si="53"/>
        <v>594.2999999999779</v>
      </c>
      <c r="C2436" s="199">
        <v>624.20557379650677</v>
      </c>
      <c r="D2436" s="7"/>
    </row>
    <row r="2437" spans="2:4" x14ac:dyDescent="0.25">
      <c r="B2437" s="4">
        <f t="shared" si="53"/>
        <v>594.30999999997789</v>
      </c>
      <c r="C2437" s="199">
        <v>624.38929648289763</v>
      </c>
      <c r="D2437" s="7"/>
    </row>
    <row r="2438" spans="2:4" x14ac:dyDescent="0.25">
      <c r="B2438" s="4">
        <f t="shared" si="53"/>
        <v>594.31999999997788</v>
      </c>
      <c r="C2438" s="199">
        <v>624.57322866820562</v>
      </c>
      <c r="D2438" s="7"/>
    </row>
    <row r="2439" spans="2:4" x14ac:dyDescent="0.25">
      <c r="B2439" s="4">
        <f t="shared" si="53"/>
        <v>594.32999999997787</v>
      </c>
      <c r="C2439" s="199">
        <v>624.7571608535153</v>
      </c>
      <c r="D2439" s="7"/>
    </row>
    <row r="2440" spans="2:4" x14ac:dyDescent="0.25">
      <c r="B2440" s="4">
        <f t="shared" ref="B2440:B2503" si="54">+B2439+0.01</f>
        <v>594.33999999997786</v>
      </c>
      <c r="C2440" s="199">
        <v>624.94109303882601</v>
      </c>
      <c r="D2440" s="7"/>
    </row>
    <row r="2441" spans="2:4" x14ac:dyDescent="0.25">
      <c r="B2441" s="4">
        <f t="shared" si="54"/>
        <v>594.34999999997785</v>
      </c>
      <c r="C2441" s="199">
        <v>625.12502522413604</v>
      </c>
      <c r="D2441" s="7"/>
    </row>
    <row r="2442" spans="2:4" x14ac:dyDescent="0.25">
      <c r="B2442" s="4">
        <f t="shared" si="54"/>
        <v>594.35999999997784</v>
      </c>
      <c r="C2442" s="199">
        <v>625.30895740944686</v>
      </c>
      <c r="D2442" s="7"/>
    </row>
    <row r="2443" spans="2:4" x14ac:dyDescent="0.25">
      <c r="B2443" s="4">
        <f t="shared" si="54"/>
        <v>594.36999999997784</v>
      </c>
      <c r="C2443" s="199">
        <v>625.492889594757</v>
      </c>
      <c r="D2443" s="7"/>
    </row>
    <row r="2444" spans="2:4" x14ac:dyDescent="0.25">
      <c r="B2444" s="4">
        <f t="shared" si="54"/>
        <v>594.37999999997783</v>
      </c>
      <c r="C2444" s="199">
        <v>625.67682178006692</v>
      </c>
      <c r="D2444" s="7"/>
    </row>
    <row r="2445" spans="2:4" x14ac:dyDescent="0.25">
      <c r="B2445" s="4">
        <f t="shared" si="54"/>
        <v>594.38999999997782</v>
      </c>
      <c r="C2445" s="199">
        <v>625.86075396537751</v>
      </c>
      <c r="D2445" s="7"/>
    </row>
    <row r="2446" spans="2:4" x14ac:dyDescent="0.25">
      <c r="B2446" s="4">
        <f t="shared" si="54"/>
        <v>594.39999999997781</v>
      </c>
      <c r="C2446" s="199">
        <v>626.04468615068765</v>
      </c>
      <c r="D2446" s="7"/>
    </row>
    <row r="2447" spans="2:4" x14ac:dyDescent="0.25">
      <c r="B2447" s="4">
        <f t="shared" si="54"/>
        <v>594.4099999999778</v>
      </c>
      <c r="C2447" s="199">
        <v>626.22861833599836</v>
      </c>
      <c r="D2447" s="7"/>
    </row>
    <row r="2448" spans="2:4" x14ac:dyDescent="0.25">
      <c r="B2448" s="4">
        <f t="shared" si="54"/>
        <v>594.41999999997779</v>
      </c>
      <c r="C2448" s="199">
        <v>626.41275945934672</v>
      </c>
      <c r="D2448" s="7"/>
    </row>
    <row r="2449" spans="2:4" x14ac:dyDescent="0.25">
      <c r="B2449" s="4">
        <f t="shared" si="54"/>
        <v>594.42999999997778</v>
      </c>
      <c r="C2449" s="199">
        <v>626.59690058269541</v>
      </c>
      <c r="D2449" s="7"/>
    </row>
    <row r="2450" spans="2:4" x14ac:dyDescent="0.25">
      <c r="B2450" s="4">
        <f t="shared" si="54"/>
        <v>594.43999999997777</v>
      </c>
      <c r="C2450" s="199">
        <v>626.7810417060449</v>
      </c>
      <c r="D2450" s="7"/>
    </row>
    <row r="2451" spans="2:4" x14ac:dyDescent="0.25">
      <c r="B2451" s="4">
        <f t="shared" si="54"/>
        <v>594.44999999997776</v>
      </c>
      <c r="C2451" s="199">
        <v>626.96518282939394</v>
      </c>
      <c r="D2451" s="7"/>
    </row>
    <row r="2452" spans="2:4" x14ac:dyDescent="0.25">
      <c r="B2452" s="4">
        <f t="shared" si="54"/>
        <v>594.45999999997775</v>
      </c>
      <c r="C2452" s="199">
        <v>627.14932395274252</v>
      </c>
      <c r="D2452" s="7"/>
    </row>
    <row r="2453" spans="2:4" x14ac:dyDescent="0.25">
      <c r="B2453" s="4">
        <f t="shared" si="54"/>
        <v>594.46999999997774</v>
      </c>
      <c r="C2453" s="199">
        <v>627.33346507609224</v>
      </c>
      <c r="D2453" s="7"/>
    </row>
    <row r="2454" spans="2:4" x14ac:dyDescent="0.25">
      <c r="B2454" s="4">
        <f t="shared" si="54"/>
        <v>594.47999999997774</v>
      </c>
      <c r="C2454" s="199">
        <v>627.51760619944048</v>
      </c>
      <c r="D2454" s="7"/>
    </row>
    <row r="2455" spans="2:4" x14ac:dyDescent="0.25">
      <c r="B2455" s="4">
        <f t="shared" si="54"/>
        <v>594.48999999997773</v>
      </c>
      <c r="C2455" s="199">
        <v>627.70174732278974</v>
      </c>
      <c r="D2455" s="7"/>
    </row>
    <row r="2456" spans="2:4" x14ac:dyDescent="0.25">
      <c r="B2456" s="4">
        <f t="shared" si="54"/>
        <v>594.49999999997772</v>
      </c>
      <c r="C2456" s="199">
        <v>627.88588844613946</v>
      </c>
      <c r="D2456" s="7"/>
    </row>
    <row r="2457" spans="2:4" x14ac:dyDescent="0.25">
      <c r="B2457" s="4">
        <f t="shared" si="54"/>
        <v>594.50999999997771</v>
      </c>
      <c r="C2457" s="199">
        <v>628.07002956948804</v>
      </c>
      <c r="D2457" s="7"/>
    </row>
    <row r="2458" spans="2:4" x14ac:dyDescent="0.25">
      <c r="B2458" s="4">
        <f t="shared" si="54"/>
        <v>594.5199999999777</v>
      </c>
      <c r="C2458" s="199">
        <v>628.25438036240575</v>
      </c>
      <c r="D2458" s="7"/>
    </row>
    <row r="2459" spans="2:4" x14ac:dyDescent="0.25">
      <c r="B2459" s="4">
        <f t="shared" si="54"/>
        <v>594.52999999997769</v>
      </c>
      <c r="C2459" s="199">
        <v>628.4387311553271</v>
      </c>
      <c r="D2459" s="7"/>
    </row>
    <row r="2460" spans="2:4" x14ac:dyDescent="0.25">
      <c r="B2460" s="4">
        <f t="shared" si="54"/>
        <v>594.53999999997768</v>
      </c>
      <c r="C2460" s="199">
        <v>628.62308194824891</v>
      </c>
      <c r="D2460" s="7"/>
    </row>
    <row r="2461" spans="2:4" x14ac:dyDescent="0.25">
      <c r="B2461" s="4">
        <f t="shared" si="54"/>
        <v>594.54999999997767</v>
      </c>
      <c r="C2461" s="199">
        <v>628.80743274117015</v>
      </c>
      <c r="D2461" s="7"/>
    </row>
    <row r="2462" spans="2:4" x14ac:dyDescent="0.25">
      <c r="B2462" s="4">
        <f t="shared" si="54"/>
        <v>594.55999999997766</v>
      </c>
      <c r="C2462" s="199">
        <v>628.99178353409218</v>
      </c>
      <c r="D2462" s="7"/>
    </row>
    <row r="2463" spans="2:4" x14ac:dyDescent="0.25">
      <c r="B2463" s="4">
        <f t="shared" si="54"/>
        <v>594.56999999997765</v>
      </c>
      <c r="C2463" s="199">
        <v>629.17613432701319</v>
      </c>
      <c r="D2463" s="7"/>
    </row>
    <row r="2464" spans="2:4" x14ac:dyDescent="0.25">
      <c r="B2464" s="4">
        <f t="shared" si="54"/>
        <v>594.57999999997764</v>
      </c>
      <c r="C2464" s="199">
        <v>629.36048511993431</v>
      </c>
      <c r="D2464" s="7"/>
    </row>
    <row r="2465" spans="2:4" x14ac:dyDescent="0.25">
      <c r="B2465" s="4">
        <f t="shared" si="54"/>
        <v>594.58999999997764</v>
      </c>
      <c r="C2465" s="199">
        <v>629.54483591285577</v>
      </c>
      <c r="D2465" s="7"/>
    </row>
    <row r="2466" spans="2:4" x14ac:dyDescent="0.25">
      <c r="B2466" s="4">
        <f t="shared" si="54"/>
        <v>594.59999999997763</v>
      </c>
      <c r="C2466" s="199">
        <v>629.72918670577667</v>
      </c>
      <c r="D2466" s="7"/>
    </row>
    <row r="2467" spans="2:4" x14ac:dyDescent="0.25">
      <c r="B2467" s="4">
        <f t="shared" si="54"/>
        <v>594.60999999997762</v>
      </c>
      <c r="C2467" s="199">
        <v>629.91353749869893</v>
      </c>
      <c r="D2467" s="7"/>
    </row>
    <row r="2468" spans="2:4" x14ac:dyDescent="0.25">
      <c r="B2468" s="4">
        <f t="shared" si="54"/>
        <v>594.61999999997761</v>
      </c>
      <c r="C2468" s="199">
        <v>630.09809953637</v>
      </c>
      <c r="D2468" s="7"/>
    </row>
    <row r="2469" spans="2:4" x14ac:dyDescent="0.25">
      <c r="B2469" s="4">
        <f t="shared" si="54"/>
        <v>594.6299999999776</v>
      </c>
      <c r="C2469" s="199">
        <v>630.28266157404198</v>
      </c>
      <c r="D2469" s="7"/>
    </row>
    <row r="2470" spans="2:4" x14ac:dyDescent="0.25">
      <c r="B2470" s="4">
        <f t="shared" si="54"/>
        <v>594.63999999997759</v>
      </c>
      <c r="C2470" s="199">
        <v>630.46722361171373</v>
      </c>
      <c r="D2470" s="7"/>
    </row>
    <row r="2471" spans="2:4" x14ac:dyDescent="0.25">
      <c r="B2471" s="4">
        <f t="shared" si="54"/>
        <v>594.64999999997758</v>
      </c>
      <c r="C2471" s="199">
        <v>630.65178564938606</v>
      </c>
      <c r="D2471" s="7"/>
    </row>
    <row r="2472" spans="2:4" x14ac:dyDescent="0.25">
      <c r="B2472" s="4">
        <f t="shared" si="54"/>
        <v>594.65999999997757</v>
      </c>
      <c r="C2472" s="199">
        <v>630.83634768705792</v>
      </c>
      <c r="D2472" s="7"/>
    </row>
    <row r="2473" spans="2:4" x14ac:dyDescent="0.25">
      <c r="B2473" s="4">
        <f t="shared" si="54"/>
        <v>594.66999999997756</v>
      </c>
      <c r="C2473" s="199">
        <v>631.02090972472877</v>
      </c>
      <c r="D2473" s="7"/>
    </row>
    <row r="2474" spans="2:4" x14ac:dyDescent="0.25">
      <c r="B2474" s="4">
        <f t="shared" si="54"/>
        <v>594.67999999997755</v>
      </c>
      <c r="C2474" s="199">
        <v>631.20547176240109</v>
      </c>
      <c r="D2474" s="7"/>
    </row>
    <row r="2475" spans="2:4" x14ac:dyDescent="0.25">
      <c r="B2475" s="4">
        <f t="shared" si="54"/>
        <v>594.68999999997754</v>
      </c>
      <c r="C2475" s="199">
        <v>631.39003380007296</v>
      </c>
      <c r="D2475" s="7"/>
    </row>
    <row r="2476" spans="2:4" x14ac:dyDescent="0.25">
      <c r="B2476" s="4">
        <f t="shared" si="54"/>
        <v>594.69999999997754</v>
      </c>
      <c r="C2476" s="199">
        <v>631.57459583774482</v>
      </c>
      <c r="D2476" s="7"/>
    </row>
    <row r="2477" spans="2:4" x14ac:dyDescent="0.25">
      <c r="B2477" s="4">
        <f t="shared" si="54"/>
        <v>594.70999999997753</v>
      </c>
      <c r="C2477" s="199">
        <v>631.75915787541703</v>
      </c>
      <c r="D2477" s="7"/>
    </row>
    <row r="2478" spans="2:4" x14ac:dyDescent="0.25">
      <c r="B2478" s="4">
        <f t="shared" si="54"/>
        <v>594.71999999997752</v>
      </c>
      <c r="C2478" s="199">
        <v>631.94393292876111</v>
      </c>
      <c r="D2478" s="7"/>
    </row>
    <row r="2479" spans="2:4" x14ac:dyDescent="0.25">
      <c r="B2479" s="4">
        <f t="shared" si="54"/>
        <v>594.72999999997751</v>
      </c>
      <c r="C2479" s="199">
        <v>632.12870798210952</v>
      </c>
      <c r="D2479" s="7"/>
    </row>
    <row r="2480" spans="2:4" x14ac:dyDescent="0.25">
      <c r="B2480" s="4">
        <f t="shared" si="54"/>
        <v>594.7399999999775</v>
      </c>
      <c r="C2480" s="199">
        <v>632.31348303545701</v>
      </c>
      <c r="D2480" s="7"/>
    </row>
    <row r="2481" spans="2:4" x14ac:dyDescent="0.25">
      <c r="B2481" s="4">
        <f t="shared" si="54"/>
        <v>594.74999999997749</v>
      </c>
      <c r="C2481" s="199">
        <v>632.49825808880485</v>
      </c>
      <c r="D2481" s="7"/>
    </row>
    <row r="2482" spans="2:4" x14ac:dyDescent="0.25">
      <c r="B2482" s="4">
        <f t="shared" si="54"/>
        <v>594.75999999997748</v>
      </c>
      <c r="C2482" s="199">
        <v>632.68303314215336</v>
      </c>
      <c r="D2482" s="7"/>
    </row>
    <row r="2483" spans="2:4" x14ac:dyDescent="0.25">
      <c r="B2483" s="4">
        <f t="shared" si="54"/>
        <v>594.76999999997747</v>
      </c>
      <c r="C2483" s="199">
        <v>632.86780819550177</v>
      </c>
      <c r="D2483" s="7"/>
    </row>
    <row r="2484" spans="2:4" x14ac:dyDescent="0.25">
      <c r="B2484" s="4">
        <f t="shared" si="54"/>
        <v>594.77999999997746</v>
      </c>
      <c r="C2484" s="199">
        <v>633.05258324884971</v>
      </c>
      <c r="D2484" s="7"/>
    </row>
    <row r="2485" spans="2:4" x14ac:dyDescent="0.25">
      <c r="B2485" s="4">
        <f t="shared" si="54"/>
        <v>594.78999999997745</v>
      </c>
      <c r="C2485" s="199">
        <v>633.23735830219812</v>
      </c>
      <c r="D2485" s="7"/>
    </row>
    <row r="2486" spans="2:4" x14ac:dyDescent="0.25">
      <c r="B2486" s="4">
        <f t="shared" si="54"/>
        <v>594.79999999997744</v>
      </c>
      <c r="C2486" s="199">
        <v>633.42213335554641</v>
      </c>
      <c r="D2486" s="7"/>
    </row>
    <row r="2487" spans="2:4" x14ac:dyDescent="0.25">
      <c r="B2487" s="4">
        <f t="shared" si="54"/>
        <v>594.80999999997744</v>
      </c>
      <c r="C2487" s="199">
        <v>633.60690840889345</v>
      </c>
      <c r="D2487" s="7"/>
    </row>
    <row r="2488" spans="2:4" x14ac:dyDescent="0.25">
      <c r="B2488" s="4">
        <f t="shared" si="54"/>
        <v>594.81999999997743</v>
      </c>
      <c r="C2488" s="199">
        <v>633.79189628910103</v>
      </c>
      <c r="D2488" s="7"/>
    </row>
    <row r="2489" spans="2:4" x14ac:dyDescent="0.25">
      <c r="B2489" s="4">
        <f t="shared" si="54"/>
        <v>594.82999999997742</v>
      </c>
      <c r="C2489" s="199">
        <v>633.97688416930828</v>
      </c>
      <c r="D2489" s="7"/>
    </row>
    <row r="2490" spans="2:4" x14ac:dyDescent="0.25">
      <c r="B2490" s="4">
        <f t="shared" si="54"/>
        <v>594.83999999997741</v>
      </c>
      <c r="C2490" s="199">
        <v>634.1618720495145</v>
      </c>
      <c r="D2490" s="7"/>
    </row>
    <row r="2491" spans="2:4" x14ac:dyDescent="0.25">
      <c r="B2491" s="4">
        <f t="shared" si="54"/>
        <v>594.8499999999774</v>
      </c>
      <c r="C2491" s="199">
        <v>634.3468599297222</v>
      </c>
      <c r="D2491" s="7"/>
    </row>
    <row r="2492" spans="2:4" x14ac:dyDescent="0.25">
      <c r="B2492" s="4">
        <f t="shared" si="54"/>
        <v>594.85999999997739</v>
      </c>
      <c r="C2492" s="199">
        <v>634.53184780992967</v>
      </c>
      <c r="D2492" s="7"/>
    </row>
    <row r="2493" spans="2:4" x14ac:dyDescent="0.25">
      <c r="B2493" s="4">
        <f t="shared" si="54"/>
        <v>594.86999999997738</v>
      </c>
      <c r="C2493" s="199">
        <v>634.7168356901368</v>
      </c>
      <c r="D2493" s="7"/>
    </row>
    <row r="2494" spans="2:4" x14ac:dyDescent="0.25">
      <c r="B2494" s="4">
        <f t="shared" si="54"/>
        <v>594.87999999997737</v>
      </c>
      <c r="C2494" s="199">
        <v>634.90182357034462</v>
      </c>
      <c r="D2494" s="7"/>
    </row>
    <row r="2495" spans="2:4" x14ac:dyDescent="0.25">
      <c r="B2495" s="4">
        <f t="shared" si="54"/>
        <v>594.88999999997736</v>
      </c>
      <c r="C2495" s="199">
        <v>635.08681145055186</v>
      </c>
      <c r="D2495" s="7"/>
    </row>
    <row r="2496" spans="2:4" x14ac:dyDescent="0.25">
      <c r="B2496" s="4">
        <f t="shared" si="54"/>
        <v>594.89999999997735</v>
      </c>
      <c r="C2496" s="199">
        <v>635.27179933075888</v>
      </c>
      <c r="D2496" s="7"/>
    </row>
    <row r="2497" spans="2:4" x14ac:dyDescent="0.25">
      <c r="B2497" s="4">
        <f t="shared" si="54"/>
        <v>594.90999999997734</v>
      </c>
      <c r="C2497" s="199">
        <v>635.4567872109667</v>
      </c>
      <c r="D2497" s="7"/>
    </row>
    <row r="2498" spans="2:4" x14ac:dyDescent="0.25">
      <c r="B2498" s="4">
        <f t="shared" si="54"/>
        <v>594.91999999997734</v>
      </c>
      <c r="C2498" s="199">
        <v>635.64198646425723</v>
      </c>
      <c r="D2498" s="7"/>
    </row>
    <row r="2499" spans="2:4" x14ac:dyDescent="0.25">
      <c r="B2499" s="4">
        <f t="shared" si="54"/>
        <v>594.92999999997733</v>
      </c>
      <c r="C2499" s="199">
        <v>635.82718571755163</v>
      </c>
      <c r="D2499" s="7"/>
    </row>
    <row r="2500" spans="2:4" x14ac:dyDescent="0.25">
      <c r="B2500" s="4">
        <f t="shared" si="54"/>
        <v>594.93999999997732</v>
      </c>
      <c r="C2500" s="199">
        <v>636.01238497084557</v>
      </c>
      <c r="D2500" s="7"/>
    </row>
    <row r="2501" spans="2:4" x14ac:dyDescent="0.25">
      <c r="B2501" s="4">
        <f t="shared" si="54"/>
        <v>594.94999999997731</v>
      </c>
      <c r="C2501" s="199">
        <v>636.19758422413963</v>
      </c>
      <c r="D2501" s="7"/>
    </row>
    <row r="2502" spans="2:4" x14ac:dyDescent="0.25">
      <c r="B2502" s="4">
        <f t="shared" si="54"/>
        <v>594.9599999999773</v>
      </c>
      <c r="C2502" s="199">
        <v>636.38278347743392</v>
      </c>
      <c r="D2502" s="7"/>
    </row>
    <row r="2503" spans="2:4" x14ac:dyDescent="0.25">
      <c r="B2503" s="4">
        <f t="shared" si="54"/>
        <v>594.96999999997729</v>
      </c>
      <c r="C2503" s="199">
        <v>636.56798273072877</v>
      </c>
      <c r="D2503" s="7"/>
    </row>
    <row r="2504" spans="2:4" x14ac:dyDescent="0.25">
      <c r="B2504" s="4">
        <f t="shared" ref="B2504:B2567" si="55">+B2503+0.01</f>
        <v>594.97999999997728</v>
      </c>
      <c r="C2504" s="199">
        <v>636.75318198402283</v>
      </c>
      <c r="D2504" s="7"/>
    </row>
    <row r="2505" spans="2:4" x14ac:dyDescent="0.25">
      <c r="B2505" s="4">
        <f t="shared" si="55"/>
        <v>594.98999999997727</v>
      </c>
      <c r="C2505" s="199">
        <v>636.93838123731723</v>
      </c>
      <c r="D2505" s="7"/>
    </row>
    <row r="2506" spans="2:4" x14ac:dyDescent="0.25">
      <c r="B2506" s="4">
        <f t="shared" si="55"/>
        <v>594.99999999997726</v>
      </c>
      <c r="C2506" s="199">
        <v>637.12358049061118</v>
      </c>
      <c r="D2506" s="7"/>
    </row>
    <row r="2507" spans="2:4" x14ac:dyDescent="0.25">
      <c r="B2507" s="4">
        <f t="shared" si="55"/>
        <v>595.00999999997725</v>
      </c>
      <c r="C2507" s="199">
        <v>637.30877974390523</v>
      </c>
      <c r="D2507" s="7"/>
    </row>
    <row r="2508" spans="2:4" x14ac:dyDescent="0.25">
      <c r="B2508" s="4">
        <f t="shared" si="55"/>
        <v>595.01999999997724</v>
      </c>
      <c r="C2508" s="199">
        <v>637.49418782698513</v>
      </c>
      <c r="D2508" s="7"/>
    </row>
    <row r="2509" spans="2:4" x14ac:dyDescent="0.25">
      <c r="B2509" s="4">
        <f t="shared" si="55"/>
        <v>595.02999999997724</v>
      </c>
      <c r="C2509" s="199">
        <v>637.67959591006638</v>
      </c>
      <c r="D2509" s="7"/>
    </row>
    <row r="2510" spans="2:4" x14ac:dyDescent="0.25">
      <c r="B2510" s="4">
        <f t="shared" si="55"/>
        <v>595.03999999997723</v>
      </c>
      <c r="C2510" s="199">
        <v>637.86500399314616</v>
      </c>
      <c r="D2510" s="7"/>
    </row>
    <row r="2511" spans="2:4" x14ac:dyDescent="0.25">
      <c r="B2511" s="4">
        <f t="shared" si="55"/>
        <v>595.04999999997722</v>
      </c>
      <c r="C2511" s="199">
        <v>638.05041207622662</v>
      </c>
      <c r="D2511" s="7"/>
    </row>
    <row r="2512" spans="2:4" x14ac:dyDescent="0.25">
      <c r="B2512" s="4">
        <f t="shared" si="55"/>
        <v>595.05999999997721</v>
      </c>
      <c r="C2512" s="199">
        <v>638.23582015930799</v>
      </c>
      <c r="D2512" s="7"/>
    </row>
    <row r="2513" spans="2:4" x14ac:dyDescent="0.25">
      <c r="B2513" s="4">
        <f t="shared" si="55"/>
        <v>595.0699999999772</v>
      </c>
      <c r="C2513" s="199">
        <v>638.42122824238766</v>
      </c>
      <c r="D2513" s="7"/>
    </row>
    <row r="2514" spans="2:4" x14ac:dyDescent="0.25">
      <c r="B2514" s="4">
        <f t="shared" si="55"/>
        <v>595.07999999997719</v>
      </c>
      <c r="C2514" s="199">
        <v>638.60663632546834</v>
      </c>
      <c r="D2514" s="7"/>
    </row>
    <row r="2515" spans="2:4" x14ac:dyDescent="0.25">
      <c r="B2515" s="4">
        <f t="shared" si="55"/>
        <v>595.08999999997718</v>
      </c>
      <c r="C2515" s="199">
        <v>638.79204440854835</v>
      </c>
      <c r="D2515" s="7"/>
    </row>
    <row r="2516" spans="2:4" x14ac:dyDescent="0.25">
      <c r="B2516" s="4">
        <f t="shared" si="55"/>
        <v>595.09999999997717</v>
      </c>
      <c r="C2516" s="199">
        <v>638.97745249162926</v>
      </c>
      <c r="D2516" s="7"/>
    </row>
    <row r="2517" spans="2:4" x14ac:dyDescent="0.25">
      <c r="B2517" s="4">
        <f t="shared" si="55"/>
        <v>595.10999999997716</v>
      </c>
      <c r="C2517" s="199">
        <v>639.16286057471029</v>
      </c>
      <c r="D2517" s="7"/>
    </row>
    <row r="2518" spans="2:4" x14ac:dyDescent="0.25">
      <c r="B2518" s="4">
        <f t="shared" si="55"/>
        <v>595.11999999997715</v>
      </c>
      <c r="C2518" s="199">
        <v>639.34847600780483</v>
      </c>
      <c r="D2518" s="7"/>
    </row>
    <row r="2519" spans="2:4" x14ac:dyDescent="0.25">
      <c r="B2519" s="4">
        <f t="shared" si="55"/>
        <v>595.12999999997714</v>
      </c>
      <c r="C2519" s="199">
        <v>639.53409144090404</v>
      </c>
      <c r="D2519" s="7"/>
    </row>
    <row r="2520" spans="2:4" x14ac:dyDescent="0.25">
      <c r="B2520" s="4">
        <f t="shared" si="55"/>
        <v>595.13999999997714</v>
      </c>
      <c r="C2520" s="199">
        <v>639.71970687400312</v>
      </c>
      <c r="D2520" s="7"/>
    </row>
    <row r="2521" spans="2:4" x14ac:dyDescent="0.25">
      <c r="B2521" s="4">
        <f t="shared" si="55"/>
        <v>595.14999999997713</v>
      </c>
      <c r="C2521" s="199">
        <v>639.90532230710255</v>
      </c>
      <c r="D2521" s="7"/>
    </row>
    <row r="2522" spans="2:4" x14ac:dyDescent="0.25">
      <c r="B2522" s="4">
        <f t="shared" si="55"/>
        <v>595.15999999997712</v>
      </c>
      <c r="C2522" s="199">
        <v>640.09093774020153</v>
      </c>
      <c r="D2522" s="7"/>
    </row>
    <row r="2523" spans="2:4" x14ac:dyDescent="0.25">
      <c r="B2523" s="4">
        <f t="shared" si="55"/>
        <v>595.16999999997711</v>
      </c>
      <c r="C2523" s="199">
        <v>640.27655317330084</v>
      </c>
      <c r="D2523" s="7"/>
    </row>
    <row r="2524" spans="2:4" x14ac:dyDescent="0.25">
      <c r="B2524" s="4">
        <f t="shared" si="55"/>
        <v>595.1799999999771</v>
      </c>
      <c r="C2524" s="199">
        <v>640.46216860639993</v>
      </c>
      <c r="D2524" s="7"/>
    </row>
    <row r="2525" spans="2:4" x14ac:dyDescent="0.25">
      <c r="B2525" s="4">
        <f t="shared" si="55"/>
        <v>595.18999999997709</v>
      </c>
      <c r="C2525" s="199">
        <v>640.64778403949924</v>
      </c>
      <c r="D2525" s="7"/>
    </row>
    <row r="2526" spans="2:4" x14ac:dyDescent="0.25">
      <c r="B2526" s="4">
        <f t="shared" si="55"/>
        <v>595.19999999997708</v>
      </c>
      <c r="C2526" s="199">
        <v>640.83339947259924</v>
      </c>
      <c r="D2526" s="7"/>
    </row>
    <row r="2527" spans="2:4" x14ac:dyDescent="0.25">
      <c r="B2527" s="4">
        <f t="shared" si="55"/>
        <v>595.20999999997707</v>
      </c>
      <c r="C2527" s="199">
        <v>641.01901490569855</v>
      </c>
      <c r="D2527" s="7"/>
    </row>
    <row r="2528" spans="2:4" x14ac:dyDescent="0.25">
      <c r="B2528" s="4">
        <f t="shared" si="55"/>
        <v>595.21999999997706</v>
      </c>
      <c r="C2528" s="199">
        <v>641.20483541219392</v>
      </c>
      <c r="D2528" s="7"/>
    </row>
    <row r="2529" spans="2:4" x14ac:dyDescent="0.25">
      <c r="B2529" s="4">
        <f t="shared" si="55"/>
        <v>595.22999999997705</v>
      </c>
      <c r="C2529" s="199">
        <v>641.39065591868723</v>
      </c>
      <c r="D2529" s="7"/>
    </row>
    <row r="2530" spans="2:4" x14ac:dyDescent="0.25">
      <c r="B2530" s="4">
        <f t="shared" si="55"/>
        <v>595.23999999997704</v>
      </c>
      <c r="C2530" s="199">
        <v>641.57647642518202</v>
      </c>
      <c r="D2530" s="7"/>
    </row>
    <row r="2531" spans="2:4" x14ac:dyDescent="0.25">
      <c r="B2531" s="4">
        <f t="shared" si="55"/>
        <v>595.24999999997704</v>
      </c>
      <c r="C2531" s="199">
        <v>641.76229693167636</v>
      </c>
      <c r="D2531" s="7"/>
    </row>
    <row r="2532" spans="2:4" x14ac:dyDescent="0.25">
      <c r="B2532" s="4">
        <f t="shared" si="55"/>
        <v>595.25999999997703</v>
      </c>
      <c r="C2532" s="199">
        <v>641.94811743817081</v>
      </c>
      <c r="D2532" s="7"/>
    </row>
    <row r="2533" spans="2:4" x14ac:dyDescent="0.25">
      <c r="B2533" s="4">
        <f t="shared" si="55"/>
        <v>595.26999999997702</v>
      </c>
      <c r="C2533" s="199">
        <v>642.13393794466424</v>
      </c>
      <c r="D2533" s="7"/>
    </row>
    <row r="2534" spans="2:4" x14ac:dyDescent="0.25">
      <c r="B2534" s="4">
        <f t="shared" si="55"/>
        <v>595.27999999997701</v>
      </c>
      <c r="C2534" s="199">
        <v>642.31975845115858</v>
      </c>
      <c r="D2534" s="7"/>
    </row>
    <row r="2535" spans="2:4" x14ac:dyDescent="0.25">
      <c r="B2535" s="4">
        <f t="shared" si="55"/>
        <v>595.289999999977</v>
      </c>
      <c r="C2535" s="199">
        <v>642.50557895765303</v>
      </c>
      <c r="D2535" s="7"/>
    </row>
    <row r="2536" spans="2:4" x14ac:dyDescent="0.25">
      <c r="B2536" s="4">
        <f t="shared" si="55"/>
        <v>595.29999999997699</v>
      </c>
      <c r="C2536" s="199">
        <v>642.69139946414782</v>
      </c>
      <c r="D2536" s="7"/>
    </row>
    <row r="2537" spans="2:4" x14ac:dyDescent="0.25">
      <c r="B2537" s="4">
        <f t="shared" si="55"/>
        <v>595.30999999997698</v>
      </c>
      <c r="C2537" s="199">
        <v>642.87721997064125</v>
      </c>
      <c r="D2537" s="7"/>
    </row>
    <row r="2538" spans="2:4" x14ac:dyDescent="0.25">
      <c r="B2538" s="4">
        <f t="shared" si="55"/>
        <v>595.31999999997697</v>
      </c>
      <c r="C2538" s="199">
        <v>643.0632431967565</v>
      </c>
      <c r="D2538" s="7"/>
    </row>
    <row r="2539" spans="2:4" x14ac:dyDescent="0.25">
      <c r="B2539" s="4">
        <f t="shared" si="55"/>
        <v>595.32999999997696</v>
      </c>
      <c r="C2539" s="199">
        <v>643.24926642287494</v>
      </c>
      <c r="D2539" s="7"/>
    </row>
    <row r="2540" spans="2:4" x14ac:dyDescent="0.25">
      <c r="B2540" s="4">
        <f t="shared" si="55"/>
        <v>595.33999999997695</v>
      </c>
      <c r="C2540" s="199">
        <v>643.43528964899269</v>
      </c>
      <c r="D2540" s="7"/>
    </row>
    <row r="2541" spans="2:4" x14ac:dyDescent="0.25">
      <c r="B2541" s="4">
        <f t="shared" si="55"/>
        <v>595.34999999997694</v>
      </c>
      <c r="C2541" s="199">
        <v>643.62131287511136</v>
      </c>
      <c r="D2541" s="7"/>
    </row>
    <row r="2542" spans="2:4" x14ac:dyDescent="0.25">
      <c r="B2542" s="4">
        <f t="shared" si="55"/>
        <v>595.35999999997694</v>
      </c>
      <c r="C2542" s="199">
        <v>643.80733610123036</v>
      </c>
      <c r="D2542" s="7"/>
    </row>
    <row r="2543" spans="2:4" x14ac:dyDescent="0.25">
      <c r="B2543" s="4">
        <f t="shared" si="55"/>
        <v>595.36999999997693</v>
      </c>
      <c r="C2543" s="199">
        <v>643.99335932734891</v>
      </c>
      <c r="D2543" s="7"/>
    </row>
    <row r="2544" spans="2:4" x14ac:dyDescent="0.25">
      <c r="B2544" s="4">
        <f t="shared" si="55"/>
        <v>595.37999999997692</v>
      </c>
      <c r="C2544" s="199">
        <v>644.17938255346735</v>
      </c>
      <c r="D2544" s="7"/>
    </row>
    <row r="2545" spans="2:4" x14ac:dyDescent="0.25">
      <c r="B2545" s="4">
        <f t="shared" si="55"/>
        <v>595.38999999997691</v>
      </c>
      <c r="C2545" s="199">
        <v>644.3654057795859</v>
      </c>
      <c r="D2545" s="7"/>
    </row>
    <row r="2546" spans="2:4" x14ac:dyDescent="0.25">
      <c r="B2546" s="4">
        <f t="shared" si="55"/>
        <v>595.3999999999769</v>
      </c>
      <c r="C2546" s="199">
        <v>644.5514290057049</v>
      </c>
      <c r="D2546" s="7"/>
    </row>
    <row r="2547" spans="2:4" x14ac:dyDescent="0.25">
      <c r="B2547" s="4">
        <f t="shared" si="55"/>
        <v>595.40999999997689</v>
      </c>
      <c r="C2547" s="199">
        <v>644.73745223182345</v>
      </c>
      <c r="D2547" s="7"/>
    </row>
    <row r="2548" spans="2:4" x14ac:dyDescent="0.25">
      <c r="B2548" s="4">
        <f t="shared" si="55"/>
        <v>595.41999999997688</v>
      </c>
      <c r="C2548" s="199">
        <v>644.92367732029118</v>
      </c>
      <c r="D2548" s="7"/>
    </row>
    <row r="2549" spans="2:4" x14ac:dyDescent="0.25">
      <c r="B2549" s="4">
        <f t="shared" si="55"/>
        <v>595.42999999997687</v>
      </c>
      <c r="C2549" s="199">
        <v>645.10990240875969</v>
      </c>
      <c r="D2549" s="7"/>
    </row>
    <row r="2550" spans="2:4" x14ac:dyDescent="0.25">
      <c r="B2550" s="4">
        <f t="shared" si="55"/>
        <v>595.43999999997686</v>
      </c>
      <c r="C2550" s="199">
        <v>645.29612749722821</v>
      </c>
      <c r="D2550" s="7"/>
    </row>
    <row r="2551" spans="2:4" x14ac:dyDescent="0.25">
      <c r="B2551" s="4">
        <f t="shared" si="55"/>
        <v>595.44999999997685</v>
      </c>
      <c r="C2551" s="199">
        <v>645.48235258569753</v>
      </c>
      <c r="D2551" s="7"/>
    </row>
    <row r="2552" spans="2:4" x14ac:dyDescent="0.25">
      <c r="B2552" s="4">
        <f t="shared" si="55"/>
        <v>595.45999999997684</v>
      </c>
      <c r="C2552" s="199">
        <v>645.66857767416593</v>
      </c>
      <c r="D2552" s="7"/>
    </row>
    <row r="2553" spans="2:4" x14ac:dyDescent="0.25">
      <c r="B2553" s="4">
        <f t="shared" si="55"/>
        <v>595.46999999997684</v>
      </c>
      <c r="C2553" s="199">
        <v>645.85480276263468</v>
      </c>
      <c r="D2553" s="7"/>
    </row>
    <row r="2554" spans="2:4" x14ac:dyDescent="0.25">
      <c r="B2554" s="4">
        <f t="shared" si="55"/>
        <v>595.47999999997683</v>
      </c>
      <c r="C2554" s="199">
        <v>646.04102785110319</v>
      </c>
      <c r="D2554" s="7"/>
    </row>
    <row r="2555" spans="2:4" x14ac:dyDescent="0.25">
      <c r="B2555" s="4">
        <f t="shared" si="55"/>
        <v>595.48999999997682</v>
      </c>
      <c r="C2555" s="199">
        <v>646.2272529395716</v>
      </c>
      <c r="D2555" s="7"/>
    </row>
    <row r="2556" spans="2:4" x14ac:dyDescent="0.25">
      <c r="B2556" s="4">
        <f t="shared" si="55"/>
        <v>595.49999999997681</v>
      </c>
      <c r="C2556" s="199">
        <v>646.41347802804034</v>
      </c>
      <c r="D2556" s="7"/>
    </row>
    <row r="2557" spans="2:4" x14ac:dyDescent="0.25">
      <c r="B2557" s="4">
        <f t="shared" si="55"/>
        <v>595.5099999999768</v>
      </c>
      <c r="C2557" s="199">
        <v>646.59970311650932</v>
      </c>
      <c r="D2557" s="7"/>
    </row>
    <row r="2558" spans="2:4" x14ac:dyDescent="0.25">
      <c r="B2558" s="4">
        <f t="shared" si="55"/>
        <v>595.51999999997679</v>
      </c>
      <c r="C2558" s="199">
        <v>646.78613029371354</v>
      </c>
      <c r="D2558" s="7"/>
    </row>
    <row r="2559" spans="2:4" x14ac:dyDescent="0.25">
      <c r="B2559" s="4">
        <f t="shared" si="55"/>
        <v>595.52999999997678</v>
      </c>
      <c r="C2559" s="199">
        <v>646.97255747092038</v>
      </c>
      <c r="D2559" s="7"/>
    </row>
    <row r="2560" spans="2:4" x14ac:dyDescent="0.25">
      <c r="B2560" s="4">
        <f t="shared" si="55"/>
        <v>595.53999999997677</v>
      </c>
      <c r="C2560" s="199">
        <v>647.15898464812756</v>
      </c>
      <c r="D2560" s="7"/>
    </row>
    <row r="2561" spans="2:4" x14ac:dyDescent="0.25">
      <c r="B2561" s="4">
        <f t="shared" si="55"/>
        <v>595.54999999997676</v>
      </c>
      <c r="C2561" s="199">
        <v>647.34541182533576</v>
      </c>
      <c r="D2561" s="7"/>
    </row>
    <row r="2562" spans="2:4" x14ac:dyDescent="0.25">
      <c r="B2562" s="4">
        <f t="shared" si="55"/>
        <v>595.55999999997675</v>
      </c>
      <c r="C2562" s="199">
        <v>647.53183900254271</v>
      </c>
      <c r="D2562" s="7"/>
    </row>
    <row r="2563" spans="2:4" x14ac:dyDescent="0.25">
      <c r="B2563" s="4">
        <f t="shared" si="55"/>
        <v>595.56999999997674</v>
      </c>
      <c r="C2563" s="199">
        <v>647.71826617974989</v>
      </c>
      <c r="D2563" s="7"/>
    </row>
    <row r="2564" spans="2:4" x14ac:dyDescent="0.25">
      <c r="B2564" s="4">
        <f t="shared" si="55"/>
        <v>595.57999999997674</v>
      </c>
      <c r="C2564" s="199">
        <v>647.90469335695741</v>
      </c>
      <c r="D2564" s="7"/>
    </row>
    <row r="2565" spans="2:4" x14ac:dyDescent="0.25">
      <c r="B2565" s="4">
        <f t="shared" si="55"/>
        <v>595.58999999997673</v>
      </c>
      <c r="C2565" s="199">
        <v>648.09112053416482</v>
      </c>
      <c r="D2565" s="7"/>
    </row>
    <row r="2566" spans="2:4" x14ac:dyDescent="0.25">
      <c r="B2566" s="4">
        <f t="shared" si="55"/>
        <v>595.59999999997672</v>
      </c>
      <c r="C2566" s="199">
        <v>648.27754771137154</v>
      </c>
      <c r="D2566" s="7"/>
    </row>
    <row r="2567" spans="2:4" x14ac:dyDescent="0.25">
      <c r="B2567" s="4">
        <f t="shared" si="55"/>
        <v>595.60999999997671</v>
      </c>
      <c r="C2567" s="199">
        <v>648.46397488857986</v>
      </c>
      <c r="D2567" s="7"/>
    </row>
    <row r="2568" spans="2:4" x14ac:dyDescent="0.25">
      <c r="B2568" s="4">
        <f t="shared" ref="B2568:B2631" si="56">+B2567+0.01</f>
        <v>595.6199999999767</v>
      </c>
      <c r="C2568" s="199">
        <v>648.65060462038548</v>
      </c>
      <c r="D2568" s="7"/>
    </row>
    <row r="2569" spans="2:4" x14ac:dyDescent="0.25">
      <c r="B2569" s="4">
        <f t="shared" si="56"/>
        <v>595.62999999997669</v>
      </c>
      <c r="C2569" s="199">
        <v>648.83723435219042</v>
      </c>
      <c r="D2569" s="7"/>
    </row>
    <row r="2570" spans="2:4" x14ac:dyDescent="0.25">
      <c r="B2570" s="4">
        <f t="shared" si="56"/>
        <v>595.63999999997668</v>
      </c>
      <c r="C2570" s="199">
        <v>649.0238640839957</v>
      </c>
      <c r="D2570" s="7"/>
    </row>
    <row r="2571" spans="2:4" x14ac:dyDescent="0.25">
      <c r="B2571" s="4">
        <f t="shared" si="56"/>
        <v>595.64999999997667</v>
      </c>
      <c r="C2571" s="199">
        <v>649.21049381580099</v>
      </c>
      <c r="D2571" s="7"/>
    </row>
    <row r="2572" spans="2:4" x14ac:dyDescent="0.25">
      <c r="B2572" s="4">
        <f t="shared" si="56"/>
        <v>595.65999999997666</v>
      </c>
      <c r="C2572" s="199">
        <v>649.39712354760616</v>
      </c>
      <c r="D2572" s="7"/>
    </row>
    <row r="2573" spans="2:4" x14ac:dyDescent="0.25">
      <c r="B2573" s="4">
        <f t="shared" si="56"/>
        <v>595.66999999997665</v>
      </c>
      <c r="C2573" s="199">
        <v>649.58375327941133</v>
      </c>
      <c r="D2573" s="7"/>
    </row>
    <row r="2574" spans="2:4" x14ac:dyDescent="0.25">
      <c r="B2574" s="4">
        <f t="shared" si="56"/>
        <v>595.67999999997664</v>
      </c>
      <c r="C2574" s="199">
        <v>649.77038301121581</v>
      </c>
      <c r="D2574" s="7"/>
    </row>
    <row r="2575" spans="2:4" x14ac:dyDescent="0.25">
      <c r="B2575" s="4">
        <f t="shared" si="56"/>
        <v>595.68999999997664</v>
      </c>
      <c r="C2575" s="199">
        <v>649.95701274302155</v>
      </c>
      <c r="D2575" s="7"/>
    </row>
    <row r="2576" spans="2:4" x14ac:dyDescent="0.25">
      <c r="B2576" s="4">
        <f t="shared" si="56"/>
        <v>595.69999999997663</v>
      </c>
      <c r="C2576" s="199">
        <v>650.14364247482661</v>
      </c>
      <c r="D2576" s="7"/>
    </row>
    <row r="2577" spans="2:4" x14ac:dyDescent="0.25">
      <c r="B2577" s="4">
        <f t="shared" si="56"/>
        <v>595.70999999997662</v>
      </c>
      <c r="C2577" s="199">
        <v>650.330272206632</v>
      </c>
      <c r="D2577" s="7"/>
    </row>
    <row r="2578" spans="2:4" x14ac:dyDescent="0.25">
      <c r="B2578" s="4">
        <f t="shared" si="56"/>
        <v>595.71999999997661</v>
      </c>
      <c r="C2578" s="199">
        <v>650.51710349907466</v>
      </c>
      <c r="D2578" s="7"/>
    </row>
    <row r="2579" spans="2:4" x14ac:dyDescent="0.25">
      <c r="B2579" s="4">
        <f t="shared" si="56"/>
        <v>595.7299999999766</v>
      </c>
      <c r="C2579" s="199">
        <v>650.7039347915229</v>
      </c>
      <c r="D2579" s="7"/>
    </row>
    <row r="2580" spans="2:4" x14ac:dyDescent="0.25">
      <c r="B2580" s="4">
        <f t="shared" si="56"/>
        <v>595.73999999997659</v>
      </c>
      <c r="C2580" s="199">
        <v>650.89076608396988</v>
      </c>
      <c r="D2580" s="7"/>
    </row>
    <row r="2581" spans="2:4" x14ac:dyDescent="0.25">
      <c r="B2581" s="4">
        <f t="shared" si="56"/>
        <v>595.74999999997658</v>
      </c>
      <c r="C2581" s="199">
        <v>651.07759737641811</v>
      </c>
      <c r="D2581" s="7"/>
    </row>
    <row r="2582" spans="2:4" x14ac:dyDescent="0.25">
      <c r="B2582" s="4">
        <f t="shared" si="56"/>
        <v>595.75999999997657</v>
      </c>
      <c r="C2582" s="199">
        <v>651.26442866886532</v>
      </c>
      <c r="D2582" s="7"/>
    </row>
    <row r="2583" spans="2:4" x14ac:dyDescent="0.25">
      <c r="B2583" s="4">
        <f t="shared" si="56"/>
        <v>595.76999999997656</v>
      </c>
      <c r="C2583" s="199">
        <v>651.45125996131321</v>
      </c>
      <c r="D2583" s="7"/>
    </row>
    <row r="2584" spans="2:4" x14ac:dyDescent="0.25">
      <c r="B2584" s="4">
        <f t="shared" si="56"/>
        <v>595.77999999997655</v>
      </c>
      <c r="C2584" s="199">
        <v>651.63809125376144</v>
      </c>
      <c r="D2584" s="7"/>
    </row>
    <row r="2585" spans="2:4" x14ac:dyDescent="0.25">
      <c r="B2585" s="4">
        <f t="shared" si="56"/>
        <v>595.78999999997654</v>
      </c>
      <c r="C2585" s="199">
        <v>651.82492254620888</v>
      </c>
      <c r="D2585" s="7"/>
    </row>
    <row r="2586" spans="2:4" x14ac:dyDescent="0.25">
      <c r="B2586" s="4">
        <f t="shared" si="56"/>
        <v>595.79999999997654</v>
      </c>
      <c r="C2586" s="199">
        <v>652.011753838657</v>
      </c>
      <c r="D2586" s="7"/>
    </row>
    <row r="2587" spans="2:4" x14ac:dyDescent="0.25">
      <c r="B2587" s="4">
        <f t="shared" si="56"/>
        <v>595.80999999997653</v>
      </c>
      <c r="C2587" s="199">
        <v>652.19858513110387</v>
      </c>
      <c r="D2587" s="7"/>
    </row>
    <row r="2588" spans="2:4" x14ac:dyDescent="0.25">
      <c r="B2588" s="4">
        <f t="shared" si="56"/>
        <v>595.81999999997652</v>
      </c>
      <c r="C2588" s="199">
        <v>652.38561678689484</v>
      </c>
      <c r="D2588" s="7"/>
    </row>
    <row r="2589" spans="2:4" x14ac:dyDescent="0.25">
      <c r="B2589" s="4">
        <f t="shared" si="56"/>
        <v>595.82999999997651</v>
      </c>
      <c r="C2589" s="199">
        <v>652.57264844268627</v>
      </c>
      <c r="D2589" s="7"/>
    </row>
    <row r="2590" spans="2:4" x14ac:dyDescent="0.25">
      <c r="B2590" s="4">
        <f t="shared" si="56"/>
        <v>595.8399999999765</v>
      </c>
      <c r="C2590" s="199">
        <v>652.75968009847736</v>
      </c>
      <c r="D2590" s="7"/>
    </row>
    <row r="2591" spans="2:4" x14ac:dyDescent="0.25">
      <c r="B2591" s="4">
        <f t="shared" si="56"/>
        <v>595.84999999997649</v>
      </c>
      <c r="C2591" s="199">
        <v>652.9467117542689</v>
      </c>
      <c r="D2591" s="7"/>
    </row>
    <row r="2592" spans="2:4" x14ac:dyDescent="0.25">
      <c r="B2592" s="4">
        <f t="shared" si="56"/>
        <v>595.85999999997648</v>
      </c>
      <c r="C2592" s="199">
        <v>653.13374341006022</v>
      </c>
      <c r="D2592" s="7"/>
    </row>
    <row r="2593" spans="2:4" x14ac:dyDescent="0.25">
      <c r="B2593" s="4">
        <f t="shared" si="56"/>
        <v>595.86999999997647</v>
      </c>
      <c r="C2593" s="199">
        <v>653.3207750658504</v>
      </c>
      <c r="D2593" s="7"/>
    </row>
    <row r="2594" spans="2:4" x14ac:dyDescent="0.25">
      <c r="B2594" s="4">
        <f t="shared" si="56"/>
        <v>595.87999999997646</v>
      </c>
      <c r="C2594" s="199">
        <v>653.50780672164183</v>
      </c>
      <c r="D2594" s="7"/>
    </row>
    <row r="2595" spans="2:4" x14ac:dyDescent="0.25">
      <c r="B2595" s="4">
        <f t="shared" si="56"/>
        <v>595.88999999997645</v>
      </c>
      <c r="C2595" s="199">
        <v>653.69483837743371</v>
      </c>
      <c r="D2595" s="7"/>
    </row>
    <row r="2596" spans="2:4" x14ac:dyDescent="0.25">
      <c r="B2596" s="4">
        <f t="shared" si="56"/>
        <v>595.89999999997644</v>
      </c>
      <c r="C2596" s="199">
        <v>653.8818700332248</v>
      </c>
      <c r="D2596" s="7"/>
    </row>
    <row r="2597" spans="2:4" x14ac:dyDescent="0.25">
      <c r="B2597" s="4">
        <f t="shared" si="56"/>
        <v>595.90999999997643</v>
      </c>
      <c r="C2597" s="199">
        <v>654.06890168901623</v>
      </c>
      <c r="D2597" s="7"/>
    </row>
    <row r="2598" spans="2:4" x14ac:dyDescent="0.25">
      <c r="B2598" s="4">
        <f t="shared" si="56"/>
        <v>595.91999999997643</v>
      </c>
      <c r="C2598" s="199">
        <v>654.25613426913526</v>
      </c>
      <c r="D2598" s="7"/>
    </row>
    <row r="2599" spans="2:4" x14ac:dyDescent="0.25">
      <c r="B2599" s="4">
        <f t="shared" si="56"/>
        <v>595.92999999997642</v>
      </c>
      <c r="C2599" s="199">
        <v>654.44336684925941</v>
      </c>
      <c r="D2599" s="7"/>
    </row>
    <row r="2600" spans="2:4" x14ac:dyDescent="0.25">
      <c r="B2600" s="4">
        <f t="shared" si="56"/>
        <v>595.93999999997641</v>
      </c>
      <c r="C2600" s="199">
        <v>654.63059942938435</v>
      </c>
      <c r="D2600" s="7"/>
    </row>
    <row r="2601" spans="2:4" x14ac:dyDescent="0.25">
      <c r="B2601" s="4">
        <f t="shared" si="56"/>
        <v>595.9499999999764</v>
      </c>
      <c r="C2601" s="199">
        <v>654.8178320095077</v>
      </c>
      <c r="D2601" s="7"/>
    </row>
    <row r="2602" spans="2:4" x14ac:dyDescent="0.25">
      <c r="B2602" s="4">
        <f t="shared" si="56"/>
        <v>595.95999999997639</v>
      </c>
      <c r="C2602" s="199">
        <v>655.00506458963275</v>
      </c>
      <c r="D2602" s="7"/>
    </row>
    <row r="2603" spans="2:4" x14ac:dyDescent="0.25">
      <c r="B2603" s="4">
        <f t="shared" si="56"/>
        <v>595.96999999997638</v>
      </c>
      <c r="C2603" s="199">
        <v>655.1922971697561</v>
      </c>
      <c r="D2603" s="7"/>
    </row>
    <row r="2604" spans="2:4" x14ac:dyDescent="0.25">
      <c r="B2604" s="4">
        <f t="shared" si="56"/>
        <v>595.97999999997637</v>
      </c>
      <c r="C2604" s="199">
        <v>655.37952974988127</v>
      </c>
      <c r="D2604" s="7"/>
    </row>
    <row r="2605" spans="2:4" x14ac:dyDescent="0.25">
      <c r="B2605" s="4">
        <f t="shared" si="56"/>
        <v>595.98999999997636</v>
      </c>
      <c r="C2605" s="199">
        <v>655.56676233000508</v>
      </c>
      <c r="D2605" s="7"/>
    </row>
    <row r="2606" spans="2:4" x14ac:dyDescent="0.25">
      <c r="B2606" s="4">
        <f t="shared" si="56"/>
        <v>595.99999999997635</v>
      </c>
      <c r="C2606" s="199">
        <v>655.75399491012956</v>
      </c>
      <c r="D2606" s="7"/>
    </row>
    <row r="2607" spans="2:4" x14ac:dyDescent="0.25">
      <c r="B2607" s="4">
        <f t="shared" si="56"/>
        <v>596.00999999997634</v>
      </c>
      <c r="C2607" s="199">
        <v>655.9412274902536</v>
      </c>
      <c r="D2607" s="7"/>
    </row>
    <row r="2608" spans="2:4" x14ac:dyDescent="0.25">
      <c r="B2608" s="4">
        <f t="shared" si="56"/>
        <v>596.01999999997633</v>
      </c>
      <c r="C2608" s="199">
        <v>656.12866005438786</v>
      </c>
      <c r="D2608" s="7"/>
    </row>
    <row r="2609" spans="2:4" x14ac:dyDescent="0.25">
      <c r="B2609" s="4">
        <f t="shared" si="56"/>
        <v>596.02999999997633</v>
      </c>
      <c r="C2609" s="199">
        <v>656.31609261852259</v>
      </c>
      <c r="D2609" s="7"/>
    </row>
    <row r="2610" spans="2:4" x14ac:dyDescent="0.25">
      <c r="B2610" s="4">
        <f t="shared" si="56"/>
        <v>596.03999999997632</v>
      </c>
      <c r="C2610" s="199">
        <v>656.50352518265606</v>
      </c>
      <c r="D2610" s="7"/>
    </row>
    <row r="2611" spans="2:4" x14ac:dyDescent="0.25">
      <c r="B2611" s="4">
        <f t="shared" si="56"/>
        <v>596.04999999997631</v>
      </c>
      <c r="C2611" s="199">
        <v>656.69095774679056</v>
      </c>
      <c r="D2611" s="7"/>
    </row>
    <row r="2612" spans="2:4" x14ac:dyDescent="0.25">
      <c r="B2612" s="4">
        <f t="shared" si="56"/>
        <v>596.0599999999763</v>
      </c>
      <c r="C2612" s="199">
        <v>656.87839031092483</v>
      </c>
      <c r="D2612" s="7"/>
    </row>
    <row r="2613" spans="2:4" x14ac:dyDescent="0.25">
      <c r="B2613" s="4">
        <f t="shared" si="56"/>
        <v>596.06999999997629</v>
      </c>
      <c r="C2613" s="199">
        <v>657.06582287505864</v>
      </c>
      <c r="D2613" s="7"/>
    </row>
    <row r="2614" spans="2:4" x14ac:dyDescent="0.25">
      <c r="B2614" s="4">
        <f t="shared" si="56"/>
        <v>596.07999999997628</v>
      </c>
      <c r="C2614" s="199">
        <v>657.25325543919291</v>
      </c>
      <c r="D2614" s="7"/>
    </row>
    <row r="2615" spans="2:4" x14ac:dyDescent="0.25">
      <c r="B2615" s="4">
        <f t="shared" si="56"/>
        <v>596.08999999997627</v>
      </c>
      <c r="C2615" s="199">
        <v>657.44068800332764</v>
      </c>
      <c r="D2615" s="7"/>
    </row>
    <row r="2616" spans="2:4" x14ac:dyDescent="0.25">
      <c r="B2616" s="4">
        <f t="shared" si="56"/>
        <v>596.09999999997626</v>
      </c>
      <c r="C2616" s="199">
        <v>657.62812056746111</v>
      </c>
      <c r="D2616" s="7"/>
    </row>
    <row r="2617" spans="2:4" x14ac:dyDescent="0.25">
      <c r="B2617" s="4">
        <f t="shared" si="56"/>
        <v>596.10999999997625</v>
      </c>
      <c r="C2617" s="199">
        <v>657.81555313159583</v>
      </c>
      <c r="D2617" s="7"/>
    </row>
    <row r="2618" spans="2:4" x14ac:dyDescent="0.25">
      <c r="B2618" s="4">
        <f t="shared" si="56"/>
        <v>596.11999999997624</v>
      </c>
      <c r="C2618" s="199">
        <v>658.0031843784011</v>
      </c>
      <c r="D2618" s="7"/>
    </row>
    <row r="2619" spans="2:4" x14ac:dyDescent="0.25">
      <c r="B2619" s="4">
        <f t="shared" si="56"/>
        <v>596.12999999997623</v>
      </c>
      <c r="C2619" s="199">
        <v>658.19081562521114</v>
      </c>
      <c r="D2619" s="7"/>
    </row>
    <row r="2620" spans="2:4" x14ac:dyDescent="0.25">
      <c r="B2620" s="4">
        <f t="shared" si="56"/>
        <v>596.13999999997623</v>
      </c>
      <c r="C2620" s="199">
        <v>658.37844687202062</v>
      </c>
      <c r="D2620" s="7"/>
    </row>
    <row r="2621" spans="2:4" x14ac:dyDescent="0.25">
      <c r="B2621" s="4">
        <f t="shared" si="56"/>
        <v>596.14999999997622</v>
      </c>
      <c r="C2621" s="199">
        <v>658.566078118831</v>
      </c>
      <c r="D2621" s="7"/>
    </row>
    <row r="2622" spans="2:4" x14ac:dyDescent="0.25">
      <c r="B2622" s="4">
        <f t="shared" si="56"/>
        <v>596.15999999997621</v>
      </c>
      <c r="C2622" s="199">
        <v>658.75370936564002</v>
      </c>
      <c r="D2622" s="7"/>
    </row>
    <row r="2623" spans="2:4" x14ac:dyDescent="0.25">
      <c r="B2623" s="4">
        <f t="shared" si="56"/>
        <v>596.1699999999762</v>
      </c>
      <c r="C2623" s="199">
        <v>658.94134061244949</v>
      </c>
      <c r="D2623" s="7"/>
    </row>
    <row r="2624" spans="2:4" x14ac:dyDescent="0.25">
      <c r="B2624" s="4">
        <f t="shared" si="56"/>
        <v>596.17999999997619</v>
      </c>
      <c r="C2624" s="199">
        <v>659.1289718592601</v>
      </c>
      <c r="D2624" s="7"/>
    </row>
    <row r="2625" spans="2:4" x14ac:dyDescent="0.25">
      <c r="B2625" s="4">
        <f t="shared" si="56"/>
        <v>596.18999999997618</v>
      </c>
      <c r="C2625" s="199">
        <v>659.31660310606912</v>
      </c>
      <c r="D2625" s="7"/>
    </row>
    <row r="2626" spans="2:4" x14ac:dyDescent="0.25">
      <c r="B2626" s="4">
        <f t="shared" si="56"/>
        <v>596.19999999997617</v>
      </c>
      <c r="C2626" s="199">
        <v>659.50423435287962</v>
      </c>
      <c r="D2626" s="7"/>
    </row>
    <row r="2627" spans="2:4" x14ac:dyDescent="0.25">
      <c r="B2627" s="4">
        <f t="shared" si="56"/>
        <v>596.20999999997616</v>
      </c>
      <c r="C2627" s="199">
        <v>659.69186559968909</v>
      </c>
      <c r="D2627" s="7"/>
    </row>
    <row r="2628" spans="2:4" x14ac:dyDescent="0.25">
      <c r="B2628" s="4">
        <f t="shared" si="56"/>
        <v>596.21999999997615</v>
      </c>
      <c r="C2628" s="199">
        <v>659.87969555222651</v>
      </c>
      <c r="D2628" s="7"/>
    </row>
    <row r="2629" spans="2:4" x14ac:dyDescent="0.25">
      <c r="B2629" s="4">
        <f t="shared" si="56"/>
        <v>596.22999999997614</v>
      </c>
      <c r="C2629" s="199">
        <v>660.06752550476301</v>
      </c>
      <c r="D2629" s="7"/>
    </row>
    <row r="2630" spans="2:4" x14ac:dyDescent="0.25">
      <c r="B2630" s="4">
        <f t="shared" si="56"/>
        <v>596.23999999997613</v>
      </c>
      <c r="C2630" s="199">
        <v>660.25535545729974</v>
      </c>
      <c r="D2630" s="7"/>
    </row>
    <row r="2631" spans="2:4" x14ac:dyDescent="0.25">
      <c r="B2631" s="4">
        <f t="shared" si="56"/>
        <v>596.24999999997613</v>
      </c>
      <c r="C2631" s="199">
        <v>660.44318540983602</v>
      </c>
      <c r="D2631" s="7"/>
    </row>
    <row r="2632" spans="2:4" x14ac:dyDescent="0.25">
      <c r="B2632" s="4">
        <f t="shared" ref="B2632:B2695" si="57">+B2631+0.01</f>
        <v>596.25999999997612</v>
      </c>
      <c r="C2632" s="199">
        <v>660.63101536237252</v>
      </c>
      <c r="D2632" s="7"/>
    </row>
    <row r="2633" spans="2:4" x14ac:dyDescent="0.25">
      <c r="B2633" s="4">
        <f t="shared" si="57"/>
        <v>596.26999999997611</v>
      </c>
      <c r="C2633" s="199">
        <v>660.81884531490891</v>
      </c>
      <c r="D2633" s="7"/>
    </row>
    <row r="2634" spans="2:4" x14ac:dyDescent="0.25">
      <c r="B2634" s="4">
        <f t="shared" si="57"/>
        <v>596.2799999999761</v>
      </c>
      <c r="C2634" s="199">
        <v>661.00667526744553</v>
      </c>
      <c r="D2634" s="7"/>
    </row>
    <row r="2635" spans="2:4" x14ac:dyDescent="0.25">
      <c r="B2635" s="4">
        <f t="shared" si="57"/>
        <v>596.28999999997609</v>
      </c>
      <c r="C2635" s="199">
        <v>661.19450521998226</v>
      </c>
      <c r="D2635" s="7"/>
    </row>
    <row r="2636" spans="2:4" x14ac:dyDescent="0.25">
      <c r="B2636" s="4">
        <f t="shared" si="57"/>
        <v>596.29999999997608</v>
      </c>
      <c r="C2636" s="199">
        <v>661.38233517251854</v>
      </c>
      <c r="D2636" s="7"/>
    </row>
    <row r="2637" spans="2:4" x14ac:dyDescent="0.25">
      <c r="B2637" s="4">
        <f t="shared" si="57"/>
        <v>596.30999999997607</v>
      </c>
      <c r="C2637" s="199">
        <v>661.57016512505504</v>
      </c>
      <c r="D2637" s="7"/>
    </row>
    <row r="2638" spans="2:4" x14ac:dyDescent="0.25">
      <c r="B2638" s="4">
        <f t="shared" si="57"/>
        <v>596.31999999997606</v>
      </c>
      <c r="C2638" s="199">
        <v>661.75819145023115</v>
      </c>
      <c r="D2638" s="7"/>
    </row>
    <row r="2639" spans="2:4" x14ac:dyDescent="0.25">
      <c r="B2639" s="4">
        <f t="shared" si="57"/>
        <v>596.32999999997605</v>
      </c>
      <c r="C2639" s="199">
        <v>661.94621777541045</v>
      </c>
      <c r="D2639" s="7"/>
    </row>
    <row r="2640" spans="2:4" x14ac:dyDescent="0.25">
      <c r="B2640" s="4">
        <f t="shared" si="57"/>
        <v>596.33999999997604</v>
      </c>
      <c r="C2640" s="199">
        <v>662.13424410059019</v>
      </c>
      <c r="D2640" s="7"/>
    </row>
    <row r="2641" spans="2:4" x14ac:dyDescent="0.25">
      <c r="B2641" s="4">
        <f t="shared" si="57"/>
        <v>596.34999999997603</v>
      </c>
      <c r="C2641" s="199">
        <v>662.32227042577028</v>
      </c>
      <c r="D2641" s="7"/>
    </row>
    <row r="2642" spans="2:4" x14ac:dyDescent="0.25">
      <c r="B2642" s="4">
        <f t="shared" si="57"/>
        <v>596.35999999997603</v>
      </c>
      <c r="C2642" s="199">
        <v>662.51029675094969</v>
      </c>
      <c r="D2642" s="7"/>
    </row>
    <row r="2643" spans="2:4" x14ac:dyDescent="0.25">
      <c r="B2643" s="4">
        <f t="shared" si="57"/>
        <v>596.36999999997602</v>
      </c>
      <c r="C2643" s="199">
        <v>662.69832307613001</v>
      </c>
      <c r="D2643" s="7"/>
    </row>
    <row r="2644" spans="2:4" x14ac:dyDescent="0.25">
      <c r="B2644" s="4">
        <f t="shared" si="57"/>
        <v>596.37999999997601</v>
      </c>
      <c r="C2644" s="199">
        <v>662.88634940131021</v>
      </c>
      <c r="D2644" s="7"/>
    </row>
    <row r="2645" spans="2:4" x14ac:dyDescent="0.25">
      <c r="B2645" s="4">
        <f t="shared" si="57"/>
        <v>596.389999999976</v>
      </c>
      <c r="C2645" s="199">
        <v>663.07437572649019</v>
      </c>
      <c r="D2645" s="7"/>
    </row>
    <row r="2646" spans="2:4" x14ac:dyDescent="0.25">
      <c r="B2646" s="4">
        <f t="shared" si="57"/>
        <v>596.39999999997599</v>
      </c>
      <c r="C2646" s="199">
        <v>663.26240205166948</v>
      </c>
      <c r="D2646" s="7"/>
    </row>
    <row r="2647" spans="2:4" x14ac:dyDescent="0.25">
      <c r="B2647" s="4">
        <f t="shared" si="57"/>
        <v>596.40999999997598</v>
      </c>
      <c r="C2647" s="199">
        <v>663.4504283768498</v>
      </c>
      <c r="D2647" s="7"/>
    </row>
    <row r="2648" spans="2:4" x14ac:dyDescent="0.25">
      <c r="B2648" s="4">
        <f t="shared" si="57"/>
        <v>596.41999999997597</v>
      </c>
      <c r="C2648" s="199">
        <v>663.63864759704006</v>
      </c>
      <c r="D2648" s="7"/>
    </row>
    <row r="2649" spans="2:4" x14ac:dyDescent="0.25">
      <c r="B2649" s="4">
        <f t="shared" si="57"/>
        <v>596.42999999997596</v>
      </c>
      <c r="C2649" s="199">
        <v>663.82686681722919</v>
      </c>
      <c r="D2649" s="7"/>
    </row>
    <row r="2650" spans="2:4" x14ac:dyDescent="0.25">
      <c r="B2650" s="4">
        <f t="shared" si="57"/>
        <v>596.43999999997595</v>
      </c>
      <c r="C2650" s="199">
        <v>664.01508603741843</v>
      </c>
      <c r="D2650" s="7"/>
    </row>
    <row r="2651" spans="2:4" x14ac:dyDescent="0.25">
      <c r="B2651" s="4">
        <f t="shared" si="57"/>
        <v>596.44999999997594</v>
      </c>
      <c r="C2651" s="199">
        <v>664.20330525760778</v>
      </c>
      <c r="D2651" s="7"/>
    </row>
    <row r="2652" spans="2:4" x14ac:dyDescent="0.25">
      <c r="B2652" s="4">
        <f t="shared" si="57"/>
        <v>596.45999999997593</v>
      </c>
      <c r="C2652" s="199">
        <v>664.39152447779793</v>
      </c>
      <c r="D2652" s="7"/>
    </row>
    <row r="2653" spans="2:4" x14ac:dyDescent="0.25">
      <c r="B2653" s="4">
        <f t="shared" si="57"/>
        <v>596.46999999997593</v>
      </c>
      <c r="C2653" s="199">
        <v>664.57974369798728</v>
      </c>
      <c r="D2653" s="7"/>
    </row>
    <row r="2654" spans="2:4" x14ac:dyDescent="0.25">
      <c r="B2654" s="4">
        <f t="shared" si="57"/>
        <v>596.47999999997592</v>
      </c>
      <c r="C2654" s="199">
        <v>664.76796291817675</v>
      </c>
      <c r="D2654" s="7"/>
    </row>
    <row r="2655" spans="2:4" x14ac:dyDescent="0.25">
      <c r="B2655" s="4">
        <f t="shared" si="57"/>
        <v>596.48999999997591</v>
      </c>
      <c r="C2655" s="199">
        <v>664.95618213836599</v>
      </c>
      <c r="D2655" s="7"/>
    </row>
    <row r="2656" spans="2:4" x14ac:dyDescent="0.25">
      <c r="B2656" s="4">
        <f t="shared" si="57"/>
        <v>596.4999999999759</v>
      </c>
      <c r="C2656" s="199">
        <v>665.14440135855625</v>
      </c>
      <c r="D2656" s="7"/>
    </row>
    <row r="2657" spans="2:4" x14ac:dyDescent="0.25">
      <c r="B2657" s="4">
        <f t="shared" si="57"/>
        <v>596.50999999997589</v>
      </c>
      <c r="C2657" s="199">
        <v>665.33262057874595</v>
      </c>
      <c r="D2657" s="7"/>
    </row>
    <row r="2658" spans="2:4" x14ac:dyDescent="0.25">
      <c r="B2658" s="4">
        <f t="shared" si="57"/>
        <v>596.51999999997588</v>
      </c>
      <c r="C2658" s="199">
        <v>665.52102712695284</v>
      </c>
      <c r="D2658" s="7"/>
    </row>
    <row r="2659" spans="2:4" x14ac:dyDescent="0.25">
      <c r="B2659" s="4">
        <f t="shared" si="57"/>
        <v>596.52999999997587</v>
      </c>
      <c r="C2659" s="199">
        <v>665.70943367516497</v>
      </c>
      <c r="D2659" s="7"/>
    </row>
    <row r="2660" spans="2:4" x14ac:dyDescent="0.25">
      <c r="B2660" s="4">
        <f t="shared" si="57"/>
        <v>596.53999999997586</v>
      </c>
      <c r="C2660" s="199">
        <v>665.89784022337687</v>
      </c>
      <c r="D2660" s="7"/>
    </row>
    <row r="2661" spans="2:4" x14ac:dyDescent="0.25">
      <c r="B2661" s="4">
        <f t="shared" si="57"/>
        <v>596.54999999997585</v>
      </c>
      <c r="C2661" s="199">
        <v>666.08624677158866</v>
      </c>
      <c r="D2661" s="7"/>
    </row>
    <row r="2662" spans="2:4" x14ac:dyDescent="0.25">
      <c r="B2662" s="4">
        <f t="shared" si="57"/>
        <v>596.55999999997584</v>
      </c>
      <c r="C2662" s="199">
        <v>666.27465331979977</v>
      </c>
      <c r="D2662" s="7"/>
    </row>
    <row r="2663" spans="2:4" x14ac:dyDescent="0.25">
      <c r="B2663" s="4">
        <f t="shared" si="57"/>
        <v>596.56999999997583</v>
      </c>
      <c r="C2663" s="199">
        <v>666.46305986801178</v>
      </c>
      <c r="D2663" s="7"/>
    </row>
    <row r="2664" spans="2:4" x14ac:dyDescent="0.25">
      <c r="B2664" s="4">
        <f t="shared" si="57"/>
        <v>596.57999999997583</v>
      </c>
      <c r="C2664" s="199">
        <v>666.6514664162238</v>
      </c>
      <c r="D2664" s="7"/>
    </row>
    <row r="2665" spans="2:4" x14ac:dyDescent="0.25">
      <c r="B2665" s="4">
        <f t="shared" si="57"/>
        <v>596.58999999997582</v>
      </c>
      <c r="C2665" s="199">
        <v>666.8398729644357</v>
      </c>
      <c r="D2665" s="7"/>
    </row>
    <row r="2666" spans="2:4" x14ac:dyDescent="0.25">
      <c r="B2666" s="4">
        <f t="shared" si="57"/>
        <v>596.59999999997581</v>
      </c>
      <c r="C2666" s="199">
        <v>667.02827951264749</v>
      </c>
      <c r="D2666" s="7"/>
    </row>
    <row r="2667" spans="2:4" x14ac:dyDescent="0.25">
      <c r="B2667" s="4">
        <f t="shared" si="57"/>
        <v>596.6099999999758</v>
      </c>
      <c r="C2667" s="199">
        <v>667.2166860608595</v>
      </c>
      <c r="D2667" s="7"/>
    </row>
    <row r="2668" spans="2:4" x14ac:dyDescent="0.25">
      <c r="B2668" s="4">
        <f t="shared" si="57"/>
        <v>596.61999999997579</v>
      </c>
      <c r="C2668" s="199">
        <v>667.40529647376457</v>
      </c>
      <c r="D2668" s="7"/>
    </row>
    <row r="2669" spans="2:4" x14ac:dyDescent="0.25">
      <c r="B2669" s="4">
        <f t="shared" si="57"/>
        <v>596.62999999997578</v>
      </c>
      <c r="C2669" s="199">
        <v>667.59390688666906</v>
      </c>
      <c r="D2669" s="7"/>
    </row>
    <row r="2670" spans="2:4" x14ac:dyDescent="0.25">
      <c r="B2670" s="4">
        <f t="shared" si="57"/>
        <v>596.63999999997577</v>
      </c>
      <c r="C2670" s="199">
        <v>667.7825172995739</v>
      </c>
      <c r="D2670" s="7"/>
    </row>
    <row r="2671" spans="2:4" x14ac:dyDescent="0.25">
      <c r="B2671" s="4">
        <f t="shared" si="57"/>
        <v>596.64999999997576</v>
      </c>
      <c r="C2671" s="199">
        <v>667.97112771247862</v>
      </c>
      <c r="D2671" s="7"/>
    </row>
    <row r="2672" spans="2:4" x14ac:dyDescent="0.25">
      <c r="B2672" s="4">
        <f t="shared" si="57"/>
        <v>596.65999999997575</v>
      </c>
      <c r="C2672" s="199">
        <v>668.15973812538437</v>
      </c>
      <c r="D2672" s="7"/>
    </row>
    <row r="2673" spans="2:4" x14ac:dyDescent="0.25">
      <c r="B2673" s="4">
        <f t="shared" si="57"/>
        <v>596.66999999997574</v>
      </c>
      <c r="C2673" s="199">
        <v>668.34834853828909</v>
      </c>
      <c r="D2673" s="7"/>
    </row>
    <row r="2674" spans="2:4" x14ac:dyDescent="0.25">
      <c r="B2674" s="4">
        <f t="shared" si="57"/>
        <v>596.67999999997573</v>
      </c>
      <c r="C2674" s="199">
        <v>668.53695895119381</v>
      </c>
      <c r="D2674" s="7"/>
    </row>
    <row r="2675" spans="2:4" x14ac:dyDescent="0.25">
      <c r="B2675" s="4">
        <f t="shared" si="57"/>
        <v>596.68999999997573</v>
      </c>
      <c r="C2675" s="199">
        <v>668.72556936409842</v>
      </c>
      <c r="D2675" s="7"/>
    </row>
    <row r="2676" spans="2:4" x14ac:dyDescent="0.25">
      <c r="B2676" s="4">
        <f t="shared" si="57"/>
        <v>596.69999999997572</v>
      </c>
      <c r="C2676" s="199">
        <v>668.91417977700314</v>
      </c>
      <c r="D2676" s="7"/>
    </row>
    <row r="2677" spans="2:4" x14ac:dyDescent="0.25">
      <c r="B2677" s="4">
        <f t="shared" si="57"/>
        <v>596.70999999997571</v>
      </c>
      <c r="C2677" s="199">
        <v>669.10279018990877</v>
      </c>
      <c r="D2677" s="7"/>
    </row>
    <row r="2678" spans="2:4" x14ac:dyDescent="0.25">
      <c r="B2678" s="4">
        <f t="shared" si="57"/>
        <v>596.7199999999757</v>
      </c>
      <c r="C2678" s="199">
        <v>669.2916150328283</v>
      </c>
      <c r="D2678" s="7"/>
    </row>
    <row r="2679" spans="2:4" x14ac:dyDescent="0.25">
      <c r="B2679" s="4">
        <f t="shared" si="57"/>
        <v>596.72999999997569</v>
      </c>
      <c r="C2679" s="199">
        <v>669.48043987575329</v>
      </c>
      <c r="D2679" s="7"/>
    </row>
    <row r="2680" spans="2:4" x14ac:dyDescent="0.25">
      <c r="B2680" s="4">
        <f t="shared" si="57"/>
        <v>596.73999999997568</v>
      </c>
      <c r="C2680" s="199">
        <v>669.66926471867737</v>
      </c>
      <c r="D2680" s="7"/>
    </row>
    <row r="2681" spans="2:4" x14ac:dyDescent="0.25">
      <c r="B2681" s="4">
        <f t="shared" si="57"/>
        <v>596.74999999997567</v>
      </c>
      <c r="C2681" s="199">
        <v>669.85808956160145</v>
      </c>
      <c r="D2681" s="7"/>
    </row>
    <row r="2682" spans="2:4" x14ac:dyDescent="0.25">
      <c r="B2682" s="4">
        <f t="shared" si="57"/>
        <v>596.75999999997566</v>
      </c>
      <c r="C2682" s="199">
        <v>670.04691440452552</v>
      </c>
      <c r="D2682" s="7"/>
    </row>
    <row r="2683" spans="2:4" x14ac:dyDescent="0.25">
      <c r="B2683" s="4">
        <f t="shared" si="57"/>
        <v>596.76999999997565</v>
      </c>
      <c r="C2683" s="199">
        <v>670.2357392474496</v>
      </c>
      <c r="D2683" s="7"/>
    </row>
    <row r="2684" spans="2:4" x14ac:dyDescent="0.25">
      <c r="B2684" s="4">
        <f t="shared" si="57"/>
        <v>596.77999999997564</v>
      </c>
      <c r="C2684" s="199">
        <v>670.42456409037311</v>
      </c>
      <c r="D2684" s="7"/>
    </row>
    <row r="2685" spans="2:4" x14ac:dyDescent="0.25">
      <c r="B2685" s="4">
        <f t="shared" si="57"/>
        <v>596.78999999997563</v>
      </c>
      <c r="C2685" s="199">
        <v>670.61338893329787</v>
      </c>
      <c r="D2685" s="7"/>
    </row>
    <row r="2686" spans="2:4" x14ac:dyDescent="0.25">
      <c r="B2686" s="4">
        <f t="shared" si="57"/>
        <v>596.79999999997563</v>
      </c>
      <c r="C2686" s="199">
        <v>670.80221377622195</v>
      </c>
      <c r="D2686" s="7"/>
    </row>
    <row r="2687" spans="2:4" x14ac:dyDescent="0.25">
      <c r="B2687" s="4">
        <f t="shared" si="57"/>
        <v>596.80999999997562</v>
      </c>
      <c r="C2687" s="199">
        <v>670.99103861914602</v>
      </c>
      <c r="D2687" s="7"/>
    </row>
    <row r="2688" spans="2:4" x14ac:dyDescent="0.25">
      <c r="B2688" s="4">
        <f t="shared" si="57"/>
        <v>596.81999999997561</v>
      </c>
      <c r="C2688" s="199">
        <v>671.18006803296419</v>
      </c>
      <c r="D2688" s="7"/>
    </row>
    <row r="2689" spans="2:4" x14ac:dyDescent="0.25">
      <c r="B2689" s="4">
        <f t="shared" si="57"/>
        <v>596.8299999999756</v>
      </c>
      <c r="C2689" s="199">
        <v>671.36909744678337</v>
      </c>
      <c r="D2689" s="7"/>
    </row>
    <row r="2690" spans="2:4" x14ac:dyDescent="0.25">
      <c r="B2690" s="4">
        <f t="shared" si="57"/>
        <v>596.83999999997559</v>
      </c>
      <c r="C2690" s="199">
        <v>671.55812686060221</v>
      </c>
      <c r="D2690" s="7"/>
    </row>
    <row r="2691" spans="2:4" x14ac:dyDescent="0.25">
      <c r="B2691" s="4">
        <f t="shared" si="57"/>
        <v>596.84999999997558</v>
      </c>
      <c r="C2691" s="199">
        <v>671.74715627442026</v>
      </c>
      <c r="D2691" s="7"/>
    </row>
    <row r="2692" spans="2:4" x14ac:dyDescent="0.25">
      <c r="B2692" s="4">
        <f t="shared" si="57"/>
        <v>596.85999999997557</v>
      </c>
      <c r="C2692" s="199">
        <v>671.93618568823922</v>
      </c>
      <c r="D2692" s="7"/>
    </row>
    <row r="2693" spans="2:4" x14ac:dyDescent="0.25">
      <c r="B2693" s="4">
        <f t="shared" si="57"/>
        <v>596.86999999997556</v>
      </c>
      <c r="C2693" s="199">
        <v>672.12521510205795</v>
      </c>
      <c r="D2693" s="7"/>
    </row>
    <row r="2694" spans="2:4" x14ac:dyDescent="0.25">
      <c r="B2694" s="4">
        <f t="shared" si="57"/>
        <v>596.87999999997555</v>
      </c>
      <c r="C2694" s="199">
        <v>672.31424451587577</v>
      </c>
      <c r="D2694" s="7"/>
    </row>
    <row r="2695" spans="2:4" x14ac:dyDescent="0.25">
      <c r="B2695" s="4">
        <f t="shared" si="57"/>
        <v>596.88999999997554</v>
      </c>
      <c r="C2695" s="199">
        <v>672.50327392969496</v>
      </c>
      <c r="D2695" s="7"/>
    </row>
    <row r="2696" spans="2:4" x14ac:dyDescent="0.25">
      <c r="B2696" s="4">
        <f t="shared" ref="B2696:B2759" si="58">+B2695+0.01</f>
        <v>596.89999999997553</v>
      </c>
      <c r="C2696" s="199">
        <v>672.69230334351369</v>
      </c>
      <c r="D2696" s="7"/>
    </row>
    <row r="2697" spans="2:4" x14ac:dyDescent="0.25">
      <c r="B2697" s="4">
        <f t="shared" si="58"/>
        <v>596.90999999997553</v>
      </c>
      <c r="C2697" s="199">
        <v>672.88133275733151</v>
      </c>
      <c r="D2697" s="7"/>
    </row>
    <row r="2698" spans="2:4" x14ac:dyDescent="0.25">
      <c r="B2698" s="4">
        <f t="shared" si="58"/>
        <v>596.91999999997552</v>
      </c>
      <c r="C2698" s="199">
        <v>673.0705606637091</v>
      </c>
      <c r="D2698" s="7"/>
    </row>
    <row r="2699" spans="2:4" x14ac:dyDescent="0.25">
      <c r="B2699" s="4">
        <f t="shared" si="58"/>
        <v>596.92999999997551</v>
      </c>
      <c r="C2699" s="199">
        <v>673.25978857009011</v>
      </c>
      <c r="D2699" s="7"/>
    </row>
    <row r="2700" spans="2:4" x14ac:dyDescent="0.25">
      <c r="B2700" s="4">
        <f t="shared" si="58"/>
        <v>596.9399999999755</v>
      </c>
      <c r="C2700" s="199">
        <v>673.44901647647146</v>
      </c>
      <c r="D2700" s="7"/>
    </row>
    <row r="2701" spans="2:4" x14ac:dyDescent="0.25">
      <c r="B2701" s="4">
        <f t="shared" si="58"/>
        <v>596.94999999997549</v>
      </c>
      <c r="C2701" s="199">
        <v>673.63824438285326</v>
      </c>
      <c r="D2701" s="7"/>
    </row>
    <row r="2702" spans="2:4" x14ac:dyDescent="0.25">
      <c r="B2702" s="4">
        <f t="shared" si="58"/>
        <v>596.95999999997548</v>
      </c>
      <c r="C2702" s="199">
        <v>673.82747228923392</v>
      </c>
      <c r="D2702" s="7"/>
    </row>
    <row r="2703" spans="2:4" x14ac:dyDescent="0.25">
      <c r="B2703" s="4">
        <f t="shared" si="58"/>
        <v>596.96999999997547</v>
      </c>
      <c r="C2703" s="199">
        <v>674.01670019561527</v>
      </c>
      <c r="D2703" s="7"/>
    </row>
    <row r="2704" spans="2:4" x14ac:dyDescent="0.25">
      <c r="B2704" s="4">
        <f t="shared" si="58"/>
        <v>596.97999999997546</v>
      </c>
      <c r="C2704" s="199">
        <v>674.20592810199719</v>
      </c>
      <c r="D2704" s="7"/>
    </row>
    <row r="2705" spans="2:4" x14ac:dyDescent="0.25">
      <c r="B2705" s="4">
        <f t="shared" si="58"/>
        <v>596.98999999997545</v>
      </c>
      <c r="C2705" s="199">
        <v>674.39515600837785</v>
      </c>
      <c r="D2705" s="7"/>
    </row>
    <row r="2706" spans="2:4" x14ac:dyDescent="0.25">
      <c r="B2706" s="4">
        <f t="shared" si="58"/>
        <v>596.99999999997544</v>
      </c>
      <c r="C2706" s="199">
        <v>674.5843839147592</v>
      </c>
      <c r="D2706" s="7"/>
    </row>
    <row r="2707" spans="2:4" x14ac:dyDescent="0.25">
      <c r="B2707" s="4">
        <f t="shared" si="58"/>
        <v>597.00999999997543</v>
      </c>
      <c r="C2707" s="199">
        <v>674.773611821141</v>
      </c>
      <c r="D2707" s="7"/>
    </row>
    <row r="2708" spans="2:4" x14ac:dyDescent="0.25">
      <c r="B2708" s="4">
        <f t="shared" si="58"/>
        <v>597.01999999997543</v>
      </c>
      <c r="C2708" s="199">
        <v>674.9630375472683</v>
      </c>
      <c r="D2708" s="7"/>
    </row>
    <row r="2709" spans="2:4" x14ac:dyDescent="0.25">
      <c r="B2709" s="4">
        <f t="shared" si="58"/>
        <v>597.02999999997542</v>
      </c>
      <c r="C2709" s="199">
        <v>675.15246327339707</v>
      </c>
      <c r="D2709" s="7"/>
    </row>
    <row r="2710" spans="2:4" x14ac:dyDescent="0.25">
      <c r="B2710" s="4">
        <f t="shared" si="58"/>
        <v>597.03999999997541</v>
      </c>
      <c r="C2710" s="199">
        <v>675.34188899952539</v>
      </c>
      <c r="D2710" s="7"/>
    </row>
    <row r="2711" spans="2:4" x14ac:dyDescent="0.25">
      <c r="B2711" s="4">
        <f t="shared" si="58"/>
        <v>597.0499999999754</v>
      </c>
      <c r="C2711" s="199">
        <v>675.53131472565315</v>
      </c>
      <c r="D2711" s="7"/>
    </row>
    <row r="2712" spans="2:4" x14ac:dyDescent="0.25">
      <c r="B2712" s="4">
        <f t="shared" si="58"/>
        <v>597.05999999997539</v>
      </c>
      <c r="C2712" s="199">
        <v>675.72074045178238</v>
      </c>
      <c r="D2712" s="7"/>
    </row>
    <row r="2713" spans="2:4" x14ac:dyDescent="0.25">
      <c r="B2713" s="4">
        <f t="shared" si="58"/>
        <v>597.06999999997538</v>
      </c>
      <c r="C2713" s="199">
        <v>675.91016617791058</v>
      </c>
      <c r="D2713" s="7"/>
    </row>
    <row r="2714" spans="2:4" x14ac:dyDescent="0.25">
      <c r="B2714" s="4">
        <f t="shared" si="58"/>
        <v>597.07999999997537</v>
      </c>
      <c r="C2714" s="199">
        <v>676.09959190403833</v>
      </c>
      <c r="D2714" s="7"/>
    </row>
    <row r="2715" spans="2:4" x14ac:dyDescent="0.25">
      <c r="B2715" s="4">
        <f t="shared" si="58"/>
        <v>597.08999999997536</v>
      </c>
      <c r="C2715" s="199">
        <v>676.28901763016756</v>
      </c>
      <c r="D2715" s="7"/>
    </row>
    <row r="2716" spans="2:4" x14ac:dyDescent="0.25">
      <c r="B2716" s="4">
        <f t="shared" si="58"/>
        <v>597.09999999997535</v>
      </c>
      <c r="C2716" s="199">
        <v>676.47844335629532</v>
      </c>
      <c r="D2716" s="7"/>
    </row>
    <row r="2717" spans="2:4" x14ac:dyDescent="0.25">
      <c r="B2717" s="4">
        <f t="shared" si="58"/>
        <v>597.10999999997534</v>
      </c>
      <c r="C2717" s="199">
        <v>676.66786908242455</v>
      </c>
      <c r="D2717" s="7"/>
    </row>
    <row r="2718" spans="2:4" x14ac:dyDescent="0.25">
      <c r="B2718" s="4">
        <f t="shared" si="58"/>
        <v>597.11999999997533</v>
      </c>
      <c r="C2718" s="199">
        <v>676.85748924095356</v>
      </c>
      <c r="D2718" s="7"/>
    </row>
    <row r="2719" spans="2:4" x14ac:dyDescent="0.25">
      <c r="B2719" s="4">
        <f t="shared" si="58"/>
        <v>597.12999999997533</v>
      </c>
      <c r="C2719" s="199">
        <v>677.04710939948552</v>
      </c>
      <c r="D2719" s="7"/>
    </row>
    <row r="2720" spans="2:4" x14ac:dyDescent="0.25">
      <c r="B2720" s="4">
        <f t="shared" si="58"/>
        <v>597.13999999997532</v>
      </c>
      <c r="C2720" s="199">
        <v>677.23672955801771</v>
      </c>
      <c r="D2720" s="7"/>
    </row>
    <row r="2721" spans="2:4" x14ac:dyDescent="0.25">
      <c r="B2721" s="4">
        <f t="shared" si="58"/>
        <v>597.14999999997531</v>
      </c>
      <c r="C2721" s="199">
        <v>677.42634971654968</v>
      </c>
      <c r="D2721" s="7"/>
    </row>
    <row r="2722" spans="2:4" x14ac:dyDescent="0.25">
      <c r="B2722" s="4">
        <f t="shared" si="58"/>
        <v>597.1599999999753</v>
      </c>
      <c r="C2722" s="199">
        <v>677.6159698750821</v>
      </c>
      <c r="D2722" s="7"/>
    </row>
    <row r="2723" spans="2:4" x14ac:dyDescent="0.25">
      <c r="B2723" s="4">
        <f t="shared" si="58"/>
        <v>597.16999999997529</v>
      </c>
      <c r="C2723" s="199">
        <v>677.80559003361407</v>
      </c>
      <c r="D2723" s="7"/>
    </row>
    <row r="2724" spans="2:4" x14ac:dyDescent="0.25">
      <c r="B2724" s="4">
        <f t="shared" si="58"/>
        <v>597.17999999997528</v>
      </c>
      <c r="C2724" s="199">
        <v>677.99521019214626</v>
      </c>
      <c r="D2724" s="7"/>
    </row>
    <row r="2725" spans="2:4" x14ac:dyDescent="0.25">
      <c r="B2725" s="4">
        <f t="shared" si="58"/>
        <v>597.18999999997527</v>
      </c>
      <c r="C2725" s="199">
        <v>678.18483035067823</v>
      </c>
      <c r="D2725" s="7"/>
    </row>
    <row r="2726" spans="2:4" x14ac:dyDescent="0.25">
      <c r="B2726" s="4">
        <f t="shared" si="58"/>
        <v>597.19999999997526</v>
      </c>
      <c r="C2726" s="199">
        <v>678.37445050921031</v>
      </c>
      <c r="D2726" s="7"/>
    </row>
    <row r="2727" spans="2:4" x14ac:dyDescent="0.25">
      <c r="B2727" s="4">
        <f t="shared" si="58"/>
        <v>597.20999999997525</v>
      </c>
      <c r="C2727" s="199">
        <v>678.56407066774227</v>
      </c>
      <c r="D2727" s="7"/>
    </row>
    <row r="2728" spans="2:4" x14ac:dyDescent="0.25">
      <c r="B2728" s="4">
        <f t="shared" si="58"/>
        <v>597.21999999997524</v>
      </c>
      <c r="C2728" s="199">
        <v>678.75388831929467</v>
      </c>
      <c r="D2728" s="7"/>
    </row>
    <row r="2729" spans="2:4" x14ac:dyDescent="0.25">
      <c r="B2729" s="4">
        <f t="shared" si="58"/>
        <v>597.22999999997523</v>
      </c>
      <c r="C2729" s="199">
        <v>678.9437059708473</v>
      </c>
      <c r="D2729" s="7"/>
    </row>
    <row r="2730" spans="2:4" x14ac:dyDescent="0.25">
      <c r="B2730" s="4">
        <f t="shared" si="58"/>
        <v>597.23999999997523</v>
      </c>
      <c r="C2730" s="199">
        <v>679.13352362239993</v>
      </c>
      <c r="D2730" s="7"/>
    </row>
    <row r="2731" spans="2:4" x14ac:dyDescent="0.25">
      <c r="B2731" s="4">
        <f t="shared" si="58"/>
        <v>597.24999999997522</v>
      </c>
      <c r="C2731" s="199">
        <v>679.32334127395359</v>
      </c>
      <c r="D2731" s="7"/>
    </row>
    <row r="2732" spans="2:4" x14ac:dyDescent="0.25">
      <c r="B2732" s="4">
        <f t="shared" si="58"/>
        <v>597.25999999997521</v>
      </c>
      <c r="C2732" s="199">
        <v>679.51315892550576</v>
      </c>
      <c r="D2732" s="7"/>
    </row>
    <row r="2733" spans="2:4" x14ac:dyDescent="0.25">
      <c r="B2733" s="4">
        <f t="shared" si="58"/>
        <v>597.2699999999752</v>
      </c>
      <c r="C2733" s="199">
        <v>679.70297657705828</v>
      </c>
      <c r="D2733" s="7"/>
    </row>
    <row r="2734" spans="2:4" x14ac:dyDescent="0.25">
      <c r="B2734" s="4">
        <f t="shared" si="58"/>
        <v>597.27999999997519</v>
      </c>
      <c r="C2734" s="199">
        <v>679.89279422861102</v>
      </c>
      <c r="D2734" s="7"/>
    </row>
    <row r="2735" spans="2:4" x14ac:dyDescent="0.25">
      <c r="B2735" s="4">
        <f t="shared" si="58"/>
        <v>597.28999999997518</v>
      </c>
      <c r="C2735" s="199">
        <v>680.08261188016365</v>
      </c>
      <c r="D2735" s="7"/>
    </row>
    <row r="2736" spans="2:4" x14ac:dyDescent="0.25">
      <c r="B2736" s="4">
        <f t="shared" si="58"/>
        <v>597.29999999997517</v>
      </c>
      <c r="C2736" s="199">
        <v>680.27242953171583</v>
      </c>
      <c r="D2736" s="7"/>
    </row>
    <row r="2737" spans="2:4" x14ac:dyDescent="0.25">
      <c r="B2737" s="4">
        <f t="shared" si="58"/>
        <v>597.30999999997516</v>
      </c>
      <c r="C2737" s="199">
        <v>680.46224718326948</v>
      </c>
      <c r="D2737" s="7"/>
    </row>
    <row r="2738" spans="2:4" x14ac:dyDescent="0.25">
      <c r="B2738" s="4">
        <f t="shared" si="58"/>
        <v>597.31999999997515</v>
      </c>
      <c r="C2738" s="199">
        <v>680.65226203715997</v>
      </c>
      <c r="D2738" s="7"/>
    </row>
    <row r="2739" spans="2:4" x14ac:dyDescent="0.25">
      <c r="B2739" s="4">
        <f t="shared" si="58"/>
        <v>597.32999999997514</v>
      </c>
      <c r="C2739" s="199">
        <v>680.84227689105535</v>
      </c>
      <c r="D2739" s="7"/>
    </row>
    <row r="2740" spans="2:4" x14ac:dyDescent="0.25">
      <c r="B2740" s="4">
        <f t="shared" si="58"/>
        <v>597.33999999997513</v>
      </c>
      <c r="C2740" s="199">
        <v>681.03229174495027</v>
      </c>
      <c r="D2740" s="7"/>
    </row>
    <row r="2741" spans="2:4" x14ac:dyDescent="0.25">
      <c r="B2741" s="4">
        <f t="shared" si="58"/>
        <v>597.34999999997513</v>
      </c>
      <c r="C2741" s="199">
        <v>681.22230659884485</v>
      </c>
      <c r="D2741" s="7"/>
    </row>
    <row r="2742" spans="2:4" x14ac:dyDescent="0.25">
      <c r="B2742" s="4">
        <f t="shared" si="58"/>
        <v>597.35999999997512</v>
      </c>
      <c r="C2742" s="199">
        <v>681.41232145274057</v>
      </c>
      <c r="D2742" s="7"/>
    </row>
    <row r="2743" spans="2:4" x14ac:dyDescent="0.25">
      <c r="B2743" s="4">
        <f t="shared" si="58"/>
        <v>597.36999999997511</v>
      </c>
      <c r="C2743" s="199">
        <v>681.60233630663549</v>
      </c>
      <c r="D2743" s="7"/>
    </row>
    <row r="2744" spans="2:4" x14ac:dyDescent="0.25">
      <c r="B2744" s="4">
        <f t="shared" si="58"/>
        <v>597.3799999999751</v>
      </c>
      <c r="C2744" s="199">
        <v>681.79235116053121</v>
      </c>
      <c r="D2744" s="7"/>
    </row>
    <row r="2745" spans="2:4" x14ac:dyDescent="0.25">
      <c r="B2745" s="4">
        <f t="shared" si="58"/>
        <v>597.38999999997509</v>
      </c>
      <c r="C2745" s="199">
        <v>681.98236601442613</v>
      </c>
      <c r="D2745" s="7"/>
    </row>
    <row r="2746" spans="2:4" x14ac:dyDescent="0.25">
      <c r="B2746" s="4">
        <f t="shared" si="58"/>
        <v>597.39999999997508</v>
      </c>
      <c r="C2746" s="199">
        <v>682.17238086832128</v>
      </c>
      <c r="D2746" s="7"/>
    </row>
    <row r="2747" spans="2:4" x14ac:dyDescent="0.25">
      <c r="B2747" s="4">
        <f t="shared" si="58"/>
        <v>597.40999999997507</v>
      </c>
      <c r="C2747" s="199">
        <v>682.36239572221621</v>
      </c>
      <c r="D2747" s="7"/>
    </row>
    <row r="2748" spans="2:4" x14ac:dyDescent="0.25">
      <c r="B2748" s="4">
        <f t="shared" si="58"/>
        <v>597.41999999997506</v>
      </c>
      <c r="C2748" s="199">
        <v>682.55260717655096</v>
      </c>
      <c r="D2748" s="7"/>
    </row>
    <row r="2749" spans="2:4" x14ac:dyDescent="0.25">
      <c r="B2749" s="4">
        <f t="shared" si="58"/>
        <v>597.42999999997505</v>
      </c>
      <c r="C2749" s="199">
        <v>682.74281863088652</v>
      </c>
      <c r="D2749" s="7"/>
    </row>
    <row r="2750" spans="2:4" x14ac:dyDescent="0.25">
      <c r="B2750" s="4">
        <f t="shared" si="58"/>
        <v>597.43999999997504</v>
      </c>
      <c r="C2750" s="199">
        <v>682.93303008522093</v>
      </c>
      <c r="D2750" s="7"/>
    </row>
    <row r="2751" spans="2:4" x14ac:dyDescent="0.25">
      <c r="B2751" s="4">
        <f t="shared" si="58"/>
        <v>597.44999999997503</v>
      </c>
      <c r="C2751" s="199">
        <v>683.12324153955626</v>
      </c>
      <c r="D2751" s="7"/>
    </row>
    <row r="2752" spans="2:4" x14ac:dyDescent="0.25">
      <c r="B2752" s="4">
        <f t="shared" si="58"/>
        <v>597.45999999997503</v>
      </c>
      <c r="C2752" s="199">
        <v>683.31345299389113</v>
      </c>
      <c r="D2752" s="7"/>
    </row>
    <row r="2753" spans="2:4" x14ac:dyDescent="0.25">
      <c r="B2753" s="4">
        <f t="shared" si="58"/>
        <v>597.46999999997502</v>
      </c>
      <c r="C2753" s="199">
        <v>683.50366444822657</v>
      </c>
      <c r="D2753" s="7"/>
    </row>
    <row r="2754" spans="2:4" x14ac:dyDescent="0.25">
      <c r="B2754" s="4">
        <f t="shared" si="58"/>
        <v>597.47999999997501</v>
      </c>
      <c r="C2754" s="199">
        <v>683.6938759025611</v>
      </c>
      <c r="D2754" s="7"/>
    </row>
    <row r="2755" spans="2:4" x14ac:dyDescent="0.25">
      <c r="B2755" s="4">
        <f t="shared" si="58"/>
        <v>597.489999999975</v>
      </c>
      <c r="C2755" s="199">
        <v>683.88408735689654</v>
      </c>
      <c r="D2755" s="7"/>
    </row>
    <row r="2756" spans="2:4" x14ac:dyDescent="0.25">
      <c r="B2756" s="4">
        <f t="shared" si="58"/>
        <v>597.49999999997499</v>
      </c>
      <c r="C2756" s="199">
        <v>684.0742988112313</v>
      </c>
      <c r="D2756" s="7"/>
    </row>
    <row r="2757" spans="2:4" x14ac:dyDescent="0.25">
      <c r="B2757" s="4">
        <f t="shared" si="58"/>
        <v>597.50999999997498</v>
      </c>
      <c r="C2757" s="199">
        <v>684.26451026556674</v>
      </c>
      <c r="D2757" s="7"/>
    </row>
    <row r="2758" spans="2:4" x14ac:dyDescent="0.25">
      <c r="B2758" s="4">
        <f t="shared" si="58"/>
        <v>597.51999999997497</v>
      </c>
      <c r="C2758" s="199">
        <v>684.45491997626971</v>
      </c>
      <c r="D2758" s="7"/>
    </row>
    <row r="2759" spans="2:4" x14ac:dyDescent="0.25">
      <c r="B2759" s="4">
        <f t="shared" si="58"/>
        <v>597.52999999997496</v>
      </c>
      <c r="C2759" s="199">
        <v>684.64532968697631</v>
      </c>
      <c r="D2759" s="7"/>
    </row>
    <row r="2760" spans="2:4" x14ac:dyDescent="0.25">
      <c r="B2760" s="4">
        <f t="shared" ref="B2760:B2823" si="59">+B2759+0.01</f>
        <v>597.53999999997495</v>
      </c>
      <c r="C2760" s="199">
        <v>684.83573939768337</v>
      </c>
      <c r="D2760" s="7"/>
    </row>
    <row r="2761" spans="2:4" x14ac:dyDescent="0.25">
      <c r="B2761" s="4">
        <f t="shared" si="59"/>
        <v>597.54999999997494</v>
      </c>
      <c r="C2761" s="199">
        <v>685.02614910838975</v>
      </c>
      <c r="D2761" s="7"/>
    </row>
    <row r="2762" spans="2:4" x14ac:dyDescent="0.25">
      <c r="B2762" s="4">
        <f t="shared" si="59"/>
        <v>597.55999999997493</v>
      </c>
      <c r="C2762" s="199">
        <v>685.21655881909589</v>
      </c>
      <c r="D2762" s="7"/>
    </row>
    <row r="2763" spans="2:4" x14ac:dyDescent="0.25">
      <c r="B2763" s="4">
        <f t="shared" si="59"/>
        <v>597.56999999997493</v>
      </c>
      <c r="C2763" s="199">
        <v>685.40696852980318</v>
      </c>
      <c r="D2763" s="7"/>
    </row>
    <row r="2764" spans="2:4" x14ac:dyDescent="0.25">
      <c r="B2764" s="4">
        <f t="shared" si="59"/>
        <v>597.57999999997492</v>
      </c>
      <c r="C2764" s="199">
        <v>685.59737824050956</v>
      </c>
      <c r="D2764" s="7"/>
    </row>
    <row r="2765" spans="2:4" x14ac:dyDescent="0.25">
      <c r="B2765" s="4">
        <f t="shared" si="59"/>
        <v>597.58999999997491</v>
      </c>
      <c r="C2765" s="199">
        <v>685.78778795121593</v>
      </c>
      <c r="D2765" s="7"/>
    </row>
    <row r="2766" spans="2:4" x14ac:dyDescent="0.25">
      <c r="B2766" s="4">
        <f t="shared" si="59"/>
        <v>597.5999999999749</v>
      </c>
      <c r="C2766" s="199">
        <v>685.97819766192333</v>
      </c>
      <c r="D2766" s="7"/>
    </row>
    <row r="2767" spans="2:4" x14ac:dyDescent="0.25">
      <c r="B2767" s="4">
        <f t="shared" si="59"/>
        <v>597.60999999997489</v>
      </c>
      <c r="C2767" s="199">
        <v>686.16860737262982</v>
      </c>
      <c r="D2767" s="7"/>
    </row>
    <row r="2768" spans="2:4" x14ac:dyDescent="0.25">
      <c r="B2768" s="4">
        <f t="shared" si="59"/>
        <v>597.61999999997488</v>
      </c>
      <c r="C2768" s="199">
        <v>686.35921326678556</v>
      </c>
      <c r="D2768" s="7"/>
    </row>
    <row r="2769" spans="2:4" x14ac:dyDescent="0.25">
      <c r="B2769" s="4">
        <f t="shared" si="59"/>
        <v>597.62999999997487</v>
      </c>
      <c r="C2769" s="199">
        <v>686.54981916094118</v>
      </c>
      <c r="D2769" s="7"/>
    </row>
    <row r="2770" spans="2:4" x14ac:dyDescent="0.25">
      <c r="B2770" s="4">
        <f t="shared" si="59"/>
        <v>597.63999999997486</v>
      </c>
      <c r="C2770" s="199">
        <v>686.74042505509681</v>
      </c>
      <c r="D2770" s="7"/>
    </row>
    <row r="2771" spans="2:4" x14ac:dyDescent="0.25">
      <c r="B2771" s="4">
        <f t="shared" si="59"/>
        <v>597.64999999997485</v>
      </c>
      <c r="C2771" s="199">
        <v>686.93103094925266</v>
      </c>
      <c r="D2771" s="7"/>
    </row>
    <row r="2772" spans="2:4" x14ac:dyDescent="0.25">
      <c r="B2772" s="4">
        <f t="shared" si="59"/>
        <v>597.65999999997484</v>
      </c>
      <c r="C2772" s="199">
        <v>687.12163684340896</v>
      </c>
      <c r="D2772" s="7"/>
    </row>
    <row r="2773" spans="2:4" x14ac:dyDescent="0.25">
      <c r="B2773" s="4">
        <f t="shared" si="59"/>
        <v>597.66999999997483</v>
      </c>
      <c r="C2773" s="199">
        <v>687.31224273756482</v>
      </c>
      <c r="D2773" s="7"/>
    </row>
    <row r="2774" spans="2:4" x14ac:dyDescent="0.25">
      <c r="B2774" s="4">
        <f t="shared" si="59"/>
        <v>597.67999999997483</v>
      </c>
      <c r="C2774" s="199">
        <v>687.50284863172055</v>
      </c>
      <c r="D2774" s="7"/>
    </row>
    <row r="2775" spans="2:4" x14ac:dyDescent="0.25">
      <c r="B2775" s="4">
        <f t="shared" si="59"/>
        <v>597.68999999997482</v>
      </c>
      <c r="C2775" s="199">
        <v>687.69345452587595</v>
      </c>
      <c r="D2775" s="7"/>
    </row>
    <row r="2776" spans="2:4" x14ac:dyDescent="0.25">
      <c r="B2776" s="4">
        <f t="shared" si="59"/>
        <v>597.69999999997481</v>
      </c>
      <c r="C2776" s="199">
        <v>687.88406042003169</v>
      </c>
      <c r="D2776" s="7"/>
    </row>
    <row r="2777" spans="2:4" x14ac:dyDescent="0.25">
      <c r="B2777" s="4">
        <f t="shared" si="59"/>
        <v>597.7099999999748</v>
      </c>
      <c r="C2777" s="199">
        <v>688.07466631418708</v>
      </c>
      <c r="D2777" s="7"/>
    </row>
    <row r="2778" spans="2:4" x14ac:dyDescent="0.25">
      <c r="B2778" s="4">
        <f t="shared" si="59"/>
        <v>597.71999999997479</v>
      </c>
      <c r="C2778" s="199">
        <v>688.2654707070875</v>
      </c>
      <c r="D2778" s="7"/>
    </row>
    <row r="2779" spans="2:4" x14ac:dyDescent="0.25">
      <c r="B2779" s="4">
        <f t="shared" si="59"/>
        <v>597.72999999997478</v>
      </c>
      <c r="C2779" s="199">
        <v>688.45627509999235</v>
      </c>
      <c r="D2779" s="7"/>
    </row>
    <row r="2780" spans="2:4" x14ac:dyDescent="0.25">
      <c r="B2780" s="4">
        <f t="shared" si="59"/>
        <v>597.73999999997477</v>
      </c>
      <c r="C2780" s="199">
        <v>688.64707949289675</v>
      </c>
      <c r="D2780" s="7"/>
    </row>
    <row r="2781" spans="2:4" x14ac:dyDescent="0.25">
      <c r="B2781" s="4">
        <f t="shared" si="59"/>
        <v>597.74999999997476</v>
      </c>
      <c r="C2781" s="199">
        <v>688.83788388580149</v>
      </c>
      <c r="D2781" s="7"/>
    </row>
    <row r="2782" spans="2:4" x14ac:dyDescent="0.25">
      <c r="B2782" s="4">
        <f t="shared" si="59"/>
        <v>597.75999999997475</v>
      </c>
      <c r="C2782" s="199">
        <v>689.02868827870589</v>
      </c>
      <c r="D2782" s="7"/>
    </row>
    <row r="2783" spans="2:4" x14ac:dyDescent="0.25">
      <c r="B2783" s="4">
        <f t="shared" si="59"/>
        <v>597.76999999997474</v>
      </c>
      <c r="C2783" s="199">
        <v>689.21949267160983</v>
      </c>
      <c r="D2783" s="7"/>
    </row>
    <row r="2784" spans="2:4" x14ac:dyDescent="0.25">
      <c r="B2784" s="4">
        <f t="shared" si="59"/>
        <v>597.77999999997473</v>
      </c>
      <c r="C2784" s="199">
        <v>689.41029706451491</v>
      </c>
      <c r="D2784" s="7"/>
    </row>
    <row r="2785" spans="2:4" x14ac:dyDescent="0.25">
      <c r="B2785" s="4">
        <f t="shared" si="59"/>
        <v>597.78999999997473</v>
      </c>
      <c r="C2785" s="199">
        <v>689.60110145741896</v>
      </c>
      <c r="D2785" s="7"/>
    </row>
    <row r="2786" spans="2:4" x14ac:dyDescent="0.25">
      <c r="B2786" s="4">
        <f t="shared" si="59"/>
        <v>597.79999999997472</v>
      </c>
      <c r="C2786" s="199">
        <v>689.79190585032381</v>
      </c>
      <c r="D2786" s="7"/>
    </row>
    <row r="2787" spans="2:4" x14ac:dyDescent="0.25">
      <c r="B2787" s="4">
        <f t="shared" si="59"/>
        <v>597.80999999997471</v>
      </c>
      <c r="C2787" s="199">
        <v>689.9827102432281</v>
      </c>
      <c r="D2787" s="7"/>
    </row>
    <row r="2788" spans="2:4" x14ac:dyDescent="0.25">
      <c r="B2788" s="4">
        <f t="shared" si="59"/>
        <v>597.8199999999747</v>
      </c>
      <c r="C2788" s="199">
        <v>690.17371161065603</v>
      </c>
      <c r="D2788" s="7"/>
    </row>
    <row r="2789" spans="2:4" x14ac:dyDescent="0.25">
      <c r="B2789" s="4">
        <f t="shared" si="59"/>
        <v>597.82999999997469</v>
      </c>
      <c r="C2789" s="199">
        <v>690.36471297808316</v>
      </c>
      <c r="D2789" s="7"/>
    </row>
    <row r="2790" spans="2:4" x14ac:dyDescent="0.25">
      <c r="B2790" s="4">
        <f t="shared" si="59"/>
        <v>597.83999999997468</v>
      </c>
      <c r="C2790" s="199">
        <v>690.55571434550927</v>
      </c>
      <c r="D2790" s="7"/>
    </row>
    <row r="2791" spans="2:4" x14ac:dyDescent="0.25">
      <c r="B2791" s="4">
        <f t="shared" si="59"/>
        <v>597.84999999997467</v>
      </c>
      <c r="C2791" s="199">
        <v>690.74671571293641</v>
      </c>
      <c r="D2791" s="7"/>
    </row>
    <row r="2792" spans="2:4" x14ac:dyDescent="0.25">
      <c r="B2792" s="4">
        <f t="shared" si="59"/>
        <v>597.85999999997466</v>
      </c>
      <c r="C2792" s="199">
        <v>690.93771708036343</v>
      </c>
      <c r="D2792" s="7"/>
    </row>
    <row r="2793" spans="2:4" x14ac:dyDescent="0.25">
      <c r="B2793" s="4">
        <f t="shared" si="59"/>
        <v>597.86999999997465</v>
      </c>
      <c r="C2793" s="199">
        <v>691.1287184477909</v>
      </c>
      <c r="D2793" s="7"/>
    </row>
    <row r="2794" spans="2:4" x14ac:dyDescent="0.25">
      <c r="B2794" s="4">
        <f t="shared" si="59"/>
        <v>597.87999999997464</v>
      </c>
      <c r="C2794" s="199">
        <v>691.31971981521792</v>
      </c>
      <c r="D2794" s="7"/>
    </row>
    <row r="2795" spans="2:4" x14ac:dyDescent="0.25">
      <c r="B2795" s="4">
        <f t="shared" si="59"/>
        <v>597.88999999997463</v>
      </c>
      <c r="C2795" s="199">
        <v>691.51072118264494</v>
      </c>
      <c r="D2795" s="7"/>
    </row>
    <row r="2796" spans="2:4" x14ac:dyDescent="0.25">
      <c r="B2796" s="4">
        <f t="shared" si="59"/>
        <v>597.89999999997463</v>
      </c>
      <c r="C2796" s="199">
        <v>691.70172255007117</v>
      </c>
      <c r="D2796" s="7"/>
    </row>
    <row r="2797" spans="2:4" x14ac:dyDescent="0.25">
      <c r="B2797" s="4">
        <f t="shared" si="59"/>
        <v>597.90999999997462</v>
      </c>
      <c r="C2797" s="199">
        <v>691.89272391749864</v>
      </c>
      <c r="D2797" s="7"/>
    </row>
    <row r="2798" spans="2:4" x14ac:dyDescent="0.25">
      <c r="B2798" s="4">
        <f t="shared" si="59"/>
        <v>597.91999999997461</v>
      </c>
      <c r="C2798" s="199">
        <v>692.08392184231786</v>
      </c>
      <c r="D2798" s="7"/>
    </row>
    <row r="2799" spans="2:4" x14ac:dyDescent="0.25">
      <c r="B2799" s="4">
        <f t="shared" si="59"/>
        <v>597.9299999999746</v>
      </c>
      <c r="C2799" s="199">
        <v>692.27511976714186</v>
      </c>
      <c r="D2799" s="7"/>
    </row>
    <row r="2800" spans="2:4" x14ac:dyDescent="0.25">
      <c r="B2800" s="4">
        <f t="shared" si="59"/>
        <v>597.93999999997459</v>
      </c>
      <c r="C2800" s="199">
        <v>692.46631769196608</v>
      </c>
      <c r="D2800" s="7"/>
    </row>
    <row r="2801" spans="2:4" x14ac:dyDescent="0.25">
      <c r="B2801" s="4">
        <f t="shared" si="59"/>
        <v>597.94999999997458</v>
      </c>
      <c r="C2801" s="199">
        <v>692.65751561678917</v>
      </c>
      <c r="D2801" s="7"/>
    </row>
    <row r="2802" spans="2:4" x14ac:dyDescent="0.25">
      <c r="B2802" s="4">
        <f t="shared" si="59"/>
        <v>597.95999999997457</v>
      </c>
      <c r="C2802" s="199">
        <v>692.84871354161317</v>
      </c>
      <c r="D2802" s="7"/>
    </row>
    <row r="2803" spans="2:4" x14ac:dyDescent="0.25">
      <c r="B2803" s="4">
        <f t="shared" si="59"/>
        <v>597.96999999997456</v>
      </c>
      <c r="C2803" s="199">
        <v>693.03991146643727</v>
      </c>
      <c r="D2803" s="7"/>
    </row>
    <row r="2804" spans="2:4" x14ac:dyDescent="0.25">
      <c r="B2804" s="4">
        <f t="shared" si="59"/>
        <v>597.97999999997455</v>
      </c>
      <c r="C2804" s="199">
        <v>693.23110939126138</v>
      </c>
      <c r="D2804" s="7"/>
    </row>
    <row r="2805" spans="2:4" x14ac:dyDescent="0.25">
      <c r="B2805" s="4">
        <f t="shared" si="59"/>
        <v>597.98999999997454</v>
      </c>
      <c r="C2805" s="199">
        <v>693.42230731608436</v>
      </c>
      <c r="D2805" s="7"/>
    </row>
    <row r="2806" spans="2:4" x14ac:dyDescent="0.25">
      <c r="B2806" s="4">
        <f t="shared" si="59"/>
        <v>597.99999999997453</v>
      </c>
      <c r="C2806" s="199">
        <v>693.61350524090858</v>
      </c>
      <c r="D2806" s="7"/>
    </row>
    <row r="2807" spans="2:4" x14ac:dyDescent="0.25">
      <c r="B2807" s="4">
        <f t="shared" si="59"/>
        <v>598.00999999997453</v>
      </c>
      <c r="C2807" s="199">
        <v>693.80470316573258</v>
      </c>
      <c r="D2807" s="7"/>
    </row>
    <row r="2808" spans="2:4" x14ac:dyDescent="0.25">
      <c r="B2808" s="4">
        <f t="shared" si="59"/>
        <v>598.01999999997452</v>
      </c>
      <c r="C2808" s="199">
        <v>693.99610001646874</v>
      </c>
      <c r="D2808" s="7"/>
    </row>
    <row r="2809" spans="2:4" x14ac:dyDescent="0.25">
      <c r="B2809" s="4">
        <f t="shared" si="59"/>
        <v>598.02999999997451</v>
      </c>
      <c r="C2809" s="199">
        <v>694.18749686720423</v>
      </c>
      <c r="D2809" s="7"/>
    </row>
    <row r="2810" spans="2:4" x14ac:dyDescent="0.25">
      <c r="B2810" s="4">
        <f t="shared" si="59"/>
        <v>598.0399999999745</v>
      </c>
      <c r="C2810" s="199">
        <v>694.37889371793926</v>
      </c>
      <c r="D2810" s="7"/>
    </row>
    <row r="2811" spans="2:4" x14ac:dyDescent="0.25">
      <c r="B2811" s="4">
        <f t="shared" si="59"/>
        <v>598.04999999997449</v>
      </c>
      <c r="C2811" s="199">
        <v>694.57029056867475</v>
      </c>
      <c r="D2811" s="7"/>
    </row>
    <row r="2812" spans="2:4" x14ac:dyDescent="0.25">
      <c r="B2812" s="4">
        <f t="shared" si="59"/>
        <v>598.05999999997448</v>
      </c>
      <c r="C2812" s="199">
        <v>694.76168741941001</v>
      </c>
      <c r="D2812" s="7"/>
    </row>
    <row r="2813" spans="2:4" x14ac:dyDescent="0.25">
      <c r="B2813" s="4">
        <f t="shared" si="59"/>
        <v>598.06999999997447</v>
      </c>
      <c r="C2813" s="199">
        <v>694.9530842701447</v>
      </c>
      <c r="D2813" s="7"/>
    </row>
    <row r="2814" spans="2:4" x14ac:dyDescent="0.25">
      <c r="B2814" s="4">
        <f t="shared" si="59"/>
        <v>598.07999999997446</v>
      </c>
      <c r="C2814" s="199">
        <v>695.1444811208803</v>
      </c>
      <c r="D2814" s="7"/>
    </row>
    <row r="2815" spans="2:4" x14ac:dyDescent="0.25">
      <c r="B2815" s="4">
        <f t="shared" si="59"/>
        <v>598.08999999997445</v>
      </c>
      <c r="C2815" s="199">
        <v>695.33587797161545</v>
      </c>
      <c r="D2815" s="7"/>
    </row>
    <row r="2816" spans="2:4" x14ac:dyDescent="0.25">
      <c r="B2816" s="4">
        <f t="shared" si="59"/>
        <v>598.09999999997444</v>
      </c>
      <c r="C2816" s="199">
        <v>695.52727482235093</v>
      </c>
      <c r="D2816" s="7"/>
    </row>
    <row r="2817" spans="2:4" x14ac:dyDescent="0.25">
      <c r="B2817" s="4">
        <f t="shared" si="59"/>
        <v>598.10999999997443</v>
      </c>
      <c r="C2817" s="199">
        <v>695.71867167308574</v>
      </c>
      <c r="D2817" s="7"/>
    </row>
    <row r="2818" spans="2:4" x14ac:dyDescent="0.25">
      <c r="B2818" s="4">
        <f t="shared" si="59"/>
        <v>598.11999999997443</v>
      </c>
      <c r="C2818" s="199">
        <v>695.91026370235488</v>
      </c>
      <c r="D2818" s="7"/>
    </row>
    <row r="2819" spans="2:4" x14ac:dyDescent="0.25">
      <c r="B2819" s="4">
        <f t="shared" si="59"/>
        <v>598.12999999997442</v>
      </c>
      <c r="C2819" s="199">
        <v>696.10185573162755</v>
      </c>
      <c r="D2819" s="7"/>
    </row>
    <row r="2820" spans="2:4" x14ac:dyDescent="0.25">
      <c r="B2820" s="4">
        <f t="shared" si="59"/>
        <v>598.13999999997441</v>
      </c>
      <c r="C2820" s="199">
        <v>696.29344776090102</v>
      </c>
      <c r="D2820" s="7"/>
    </row>
    <row r="2821" spans="2:4" x14ac:dyDescent="0.25">
      <c r="B2821" s="4">
        <f t="shared" si="59"/>
        <v>598.1499999999744</v>
      </c>
      <c r="C2821" s="199">
        <v>696.48503979017414</v>
      </c>
      <c r="D2821" s="7"/>
    </row>
    <row r="2822" spans="2:4" x14ac:dyDescent="0.25">
      <c r="B2822" s="4">
        <f t="shared" si="59"/>
        <v>598.15999999997439</v>
      </c>
      <c r="C2822" s="199">
        <v>696.67663181944749</v>
      </c>
      <c r="D2822" s="7"/>
    </row>
    <row r="2823" spans="2:4" x14ac:dyDescent="0.25">
      <c r="B2823" s="4">
        <f t="shared" si="59"/>
        <v>598.16999999997438</v>
      </c>
      <c r="C2823" s="199">
        <v>696.86822384872028</v>
      </c>
      <c r="D2823" s="7"/>
    </row>
    <row r="2824" spans="2:4" x14ac:dyDescent="0.25">
      <c r="B2824" s="4">
        <f t="shared" ref="B2824:B2887" si="60">+B2823+0.01</f>
        <v>598.17999999997437</v>
      </c>
      <c r="C2824" s="199">
        <v>697.05981587799363</v>
      </c>
      <c r="D2824" s="7"/>
    </row>
    <row r="2825" spans="2:4" x14ac:dyDescent="0.25">
      <c r="B2825" s="4">
        <f t="shared" si="60"/>
        <v>598.18999999997436</v>
      </c>
      <c r="C2825" s="199">
        <v>697.25140790726607</v>
      </c>
      <c r="D2825" s="7"/>
    </row>
    <row r="2826" spans="2:4" x14ac:dyDescent="0.25">
      <c r="B2826" s="4">
        <f t="shared" si="60"/>
        <v>598.19999999997435</v>
      </c>
      <c r="C2826" s="199">
        <v>697.44299993653965</v>
      </c>
      <c r="D2826" s="7"/>
    </row>
    <row r="2827" spans="2:4" x14ac:dyDescent="0.25">
      <c r="B2827" s="4">
        <f t="shared" si="60"/>
        <v>598.20999999997434</v>
      </c>
      <c r="C2827" s="199">
        <v>697.63459196581266</v>
      </c>
      <c r="D2827" s="7"/>
    </row>
    <row r="2828" spans="2:4" x14ac:dyDescent="0.25">
      <c r="B2828" s="4">
        <f t="shared" si="60"/>
        <v>598.21999999997433</v>
      </c>
      <c r="C2828" s="199">
        <v>697.82638083094878</v>
      </c>
      <c r="D2828" s="7"/>
    </row>
    <row r="2829" spans="2:4" x14ac:dyDescent="0.25">
      <c r="B2829" s="4">
        <f t="shared" si="60"/>
        <v>598.22999999997432</v>
      </c>
      <c r="C2829" s="199">
        <v>698.01816969608444</v>
      </c>
      <c r="D2829" s="7"/>
    </row>
    <row r="2830" spans="2:4" x14ac:dyDescent="0.25">
      <c r="B2830" s="4">
        <f t="shared" si="60"/>
        <v>598.23999999997432</v>
      </c>
      <c r="C2830" s="199">
        <v>698.20995856122056</v>
      </c>
      <c r="D2830" s="7"/>
    </row>
    <row r="2831" spans="2:4" x14ac:dyDescent="0.25">
      <c r="B2831" s="4">
        <f t="shared" si="60"/>
        <v>598.24999999997431</v>
      </c>
      <c r="C2831" s="199">
        <v>698.40174742635611</v>
      </c>
      <c r="D2831" s="7"/>
    </row>
    <row r="2832" spans="2:4" x14ac:dyDescent="0.25">
      <c r="B2832" s="4">
        <f t="shared" si="60"/>
        <v>598.2599999999743</v>
      </c>
      <c r="C2832" s="199">
        <v>698.59353629149166</v>
      </c>
      <c r="D2832" s="7"/>
    </row>
    <row r="2833" spans="2:4" x14ac:dyDescent="0.25">
      <c r="B2833" s="4">
        <f t="shared" si="60"/>
        <v>598.26999999997429</v>
      </c>
      <c r="C2833" s="199">
        <v>698.78532515662664</v>
      </c>
      <c r="D2833" s="7"/>
    </row>
    <row r="2834" spans="2:4" x14ac:dyDescent="0.25">
      <c r="B2834" s="4">
        <f t="shared" si="60"/>
        <v>598.27999999997428</v>
      </c>
      <c r="C2834" s="199">
        <v>698.97711402176321</v>
      </c>
      <c r="D2834" s="7"/>
    </row>
    <row r="2835" spans="2:4" x14ac:dyDescent="0.25">
      <c r="B2835" s="4">
        <f t="shared" si="60"/>
        <v>598.28999999997427</v>
      </c>
      <c r="C2835" s="199">
        <v>699.16890288689899</v>
      </c>
      <c r="D2835" s="7"/>
    </row>
    <row r="2836" spans="2:4" x14ac:dyDescent="0.25">
      <c r="B2836" s="4">
        <f t="shared" si="60"/>
        <v>598.29999999997426</v>
      </c>
      <c r="C2836" s="199">
        <v>699.36069175203386</v>
      </c>
      <c r="D2836" s="7"/>
    </row>
    <row r="2837" spans="2:4" x14ac:dyDescent="0.25">
      <c r="B2837" s="4">
        <f t="shared" si="60"/>
        <v>598.30999999997425</v>
      </c>
      <c r="C2837" s="199">
        <v>699.55248061717032</v>
      </c>
      <c r="D2837" s="7"/>
    </row>
    <row r="2838" spans="2:4" x14ac:dyDescent="0.25">
      <c r="B2838" s="4">
        <f t="shared" si="60"/>
        <v>598.31999999997424</v>
      </c>
      <c r="C2838" s="199">
        <v>699.74446378395248</v>
      </c>
      <c r="D2838" s="7"/>
    </row>
    <row r="2839" spans="2:4" x14ac:dyDescent="0.25">
      <c r="B2839" s="4">
        <f t="shared" si="60"/>
        <v>598.32999999997423</v>
      </c>
      <c r="C2839" s="199">
        <v>699.93644695073897</v>
      </c>
      <c r="D2839" s="7"/>
    </row>
    <row r="2840" spans="2:4" x14ac:dyDescent="0.25">
      <c r="B2840" s="4">
        <f t="shared" si="60"/>
        <v>598.33999999997422</v>
      </c>
      <c r="C2840" s="199">
        <v>700.128430117525</v>
      </c>
      <c r="D2840" s="7"/>
    </row>
    <row r="2841" spans="2:4" x14ac:dyDescent="0.25">
      <c r="B2841" s="4">
        <f t="shared" si="60"/>
        <v>598.34999999997422</v>
      </c>
      <c r="C2841" s="199">
        <v>700.32041328431137</v>
      </c>
      <c r="D2841" s="7"/>
    </row>
    <row r="2842" spans="2:4" x14ac:dyDescent="0.25">
      <c r="B2842" s="4">
        <f t="shared" si="60"/>
        <v>598.35999999997421</v>
      </c>
      <c r="C2842" s="199">
        <v>700.51239645109797</v>
      </c>
      <c r="D2842" s="7"/>
    </row>
    <row r="2843" spans="2:4" x14ac:dyDescent="0.25">
      <c r="B2843" s="4">
        <f t="shared" si="60"/>
        <v>598.3699999999742</v>
      </c>
      <c r="C2843" s="199">
        <v>700.70437961788491</v>
      </c>
      <c r="D2843" s="7"/>
    </row>
    <row r="2844" spans="2:4" x14ac:dyDescent="0.25">
      <c r="B2844" s="4">
        <f t="shared" si="60"/>
        <v>598.37999999997419</v>
      </c>
      <c r="C2844" s="199">
        <v>700.89636278467151</v>
      </c>
      <c r="D2844" s="7"/>
    </row>
    <row r="2845" spans="2:4" x14ac:dyDescent="0.25">
      <c r="B2845" s="4">
        <f t="shared" si="60"/>
        <v>598.38999999997418</v>
      </c>
      <c r="C2845" s="199">
        <v>701.0883459514572</v>
      </c>
      <c r="D2845" s="7"/>
    </row>
    <row r="2846" spans="2:4" x14ac:dyDescent="0.25">
      <c r="B2846" s="4">
        <f t="shared" si="60"/>
        <v>598.39999999997417</v>
      </c>
      <c r="C2846" s="199">
        <v>701.2803291182438</v>
      </c>
      <c r="D2846" s="7"/>
    </row>
    <row r="2847" spans="2:4" x14ac:dyDescent="0.25">
      <c r="B2847" s="4">
        <f t="shared" si="60"/>
        <v>598.40999999997416</v>
      </c>
      <c r="C2847" s="199">
        <v>701.47231228503074</v>
      </c>
      <c r="D2847" s="7"/>
    </row>
    <row r="2848" spans="2:4" x14ac:dyDescent="0.25">
      <c r="B2848" s="4">
        <f t="shared" si="60"/>
        <v>598.41999999997415</v>
      </c>
      <c r="C2848" s="199">
        <v>701.66448694747032</v>
      </c>
      <c r="D2848" s="7"/>
    </row>
    <row r="2849" spans="2:4" x14ac:dyDescent="0.25">
      <c r="B2849" s="4">
        <f t="shared" si="60"/>
        <v>598.42999999997414</v>
      </c>
      <c r="C2849" s="199">
        <v>701.85666160991013</v>
      </c>
      <c r="D2849" s="7"/>
    </row>
    <row r="2850" spans="2:4" x14ac:dyDescent="0.25">
      <c r="B2850" s="4">
        <f t="shared" si="60"/>
        <v>598.43999999997413</v>
      </c>
      <c r="C2850" s="199">
        <v>702.04883627235029</v>
      </c>
      <c r="D2850" s="7"/>
    </row>
    <row r="2851" spans="2:4" x14ac:dyDescent="0.25">
      <c r="B2851" s="4">
        <f t="shared" si="60"/>
        <v>598.44999999997412</v>
      </c>
      <c r="C2851" s="199">
        <v>702.24101093478953</v>
      </c>
      <c r="D2851" s="7"/>
    </row>
    <row r="2852" spans="2:4" x14ac:dyDescent="0.25">
      <c r="B2852" s="4">
        <f t="shared" si="60"/>
        <v>598.45999999997412</v>
      </c>
      <c r="C2852" s="199">
        <v>702.43318559722934</v>
      </c>
      <c r="D2852" s="7"/>
    </row>
    <row r="2853" spans="2:4" x14ac:dyDescent="0.25">
      <c r="B2853" s="4">
        <f t="shared" si="60"/>
        <v>598.46999999997411</v>
      </c>
      <c r="C2853" s="199">
        <v>702.62536025966858</v>
      </c>
      <c r="D2853" s="7"/>
    </row>
    <row r="2854" spans="2:4" x14ac:dyDescent="0.25">
      <c r="B2854" s="4">
        <f t="shared" si="60"/>
        <v>598.4799999999741</v>
      </c>
      <c r="C2854" s="199">
        <v>702.81753492210817</v>
      </c>
      <c r="D2854" s="7"/>
    </row>
    <row r="2855" spans="2:4" x14ac:dyDescent="0.25">
      <c r="B2855" s="4">
        <f t="shared" si="60"/>
        <v>598.48999999997409</v>
      </c>
      <c r="C2855" s="199">
        <v>703.0097095845482</v>
      </c>
      <c r="D2855" s="7"/>
    </row>
    <row r="2856" spans="2:4" x14ac:dyDescent="0.25">
      <c r="B2856" s="4">
        <f t="shared" si="60"/>
        <v>598.49999999997408</v>
      </c>
      <c r="C2856" s="199">
        <v>703.20188424698756</v>
      </c>
      <c r="D2856" s="7"/>
    </row>
    <row r="2857" spans="2:4" x14ac:dyDescent="0.25">
      <c r="B2857" s="4">
        <f t="shared" si="60"/>
        <v>598.50999999997407</v>
      </c>
      <c r="C2857" s="199">
        <v>703.39405890942726</v>
      </c>
      <c r="D2857" s="7"/>
    </row>
    <row r="2858" spans="2:4" x14ac:dyDescent="0.25">
      <c r="B2858" s="4">
        <f t="shared" si="60"/>
        <v>598.51999999997406</v>
      </c>
      <c r="C2858" s="199">
        <v>703.58642606314322</v>
      </c>
      <c r="D2858" s="7"/>
    </row>
    <row r="2859" spans="2:4" x14ac:dyDescent="0.25">
      <c r="B2859" s="4">
        <f t="shared" si="60"/>
        <v>598.52999999997405</v>
      </c>
      <c r="C2859" s="199">
        <v>703.77879321686362</v>
      </c>
      <c r="D2859" s="7"/>
    </row>
    <row r="2860" spans="2:4" x14ac:dyDescent="0.25">
      <c r="B2860" s="4">
        <f t="shared" si="60"/>
        <v>598.53999999997404</v>
      </c>
      <c r="C2860" s="199">
        <v>703.9711603705839</v>
      </c>
      <c r="D2860" s="7"/>
    </row>
    <row r="2861" spans="2:4" x14ac:dyDescent="0.25">
      <c r="B2861" s="4">
        <f t="shared" si="60"/>
        <v>598.54999999997403</v>
      </c>
      <c r="C2861" s="199">
        <v>704.16352752430407</v>
      </c>
      <c r="D2861" s="7"/>
    </row>
    <row r="2862" spans="2:4" x14ac:dyDescent="0.25">
      <c r="B2862" s="4">
        <f t="shared" si="60"/>
        <v>598.55999999997402</v>
      </c>
      <c r="C2862" s="199">
        <v>704.35589467802515</v>
      </c>
      <c r="D2862" s="7"/>
    </row>
    <row r="2863" spans="2:4" x14ac:dyDescent="0.25">
      <c r="B2863" s="4">
        <f t="shared" si="60"/>
        <v>598.56999999997402</v>
      </c>
      <c r="C2863" s="199">
        <v>704.54826183174544</v>
      </c>
      <c r="D2863" s="7"/>
    </row>
    <row r="2864" spans="2:4" x14ac:dyDescent="0.25">
      <c r="B2864" s="4">
        <f t="shared" si="60"/>
        <v>598.57999999997401</v>
      </c>
      <c r="C2864" s="199">
        <v>704.74062898546572</v>
      </c>
      <c r="D2864" s="7"/>
    </row>
    <row r="2865" spans="2:4" x14ac:dyDescent="0.25">
      <c r="B2865" s="4">
        <f t="shared" si="60"/>
        <v>598.589999999974</v>
      </c>
      <c r="C2865" s="199">
        <v>704.93299613918578</v>
      </c>
      <c r="D2865" s="7"/>
    </row>
    <row r="2866" spans="2:4" x14ac:dyDescent="0.25">
      <c r="B2866" s="4">
        <f t="shared" si="60"/>
        <v>598.59999999997399</v>
      </c>
      <c r="C2866" s="199">
        <v>705.12536329290697</v>
      </c>
      <c r="D2866" s="7"/>
    </row>
    <row r="2867" spans="2:4" x14ac:dyDescent="0.25">
      <c r="B2867" s="4">
        <f t="shared" si="60"/>
        <v>598.60999999997398</v>
      </c>
      <c r="C2867" s="199">
        <v>705.31773044662725</v>
      </c>
      <c r="D2867" s="7"/>
    </row>
    <row r="2868" spans="2:4" x14ac:dyDescent="0.25">
      <c r="B2868" s="4">
        <f t="shared" si="60"/>
        <v>598.61999999997397</v>
      </c>
      <c r="C2868" s="199">
        <v>705.51028922672435</v>
      </c>
      <c r="D2868" s="7"/>
    </row>
    <row r="2869" spans="2:4" x14ac:dyDescent="0.25">
      <c r="B2869" s="4">
        <f t="shared" si="60"/>
        <v>598.62999999997396</v>
      </c>
      <c r="C2869" s="199">
        <v>705.702848006821</v>
      </c>
      <c r="D2869" s="7"/>
    </row>
    <row r="2870" spans="2:4" x14ac:dyDescent="0.25">
      <c r="B2870" s="4">
        <f t="shared" si="60"/>
        <v>598.63999999997395</v>
      </c>
      <c r="C2870" s="199">
        <v>705.89540678691787</v>
      </c>
      <c r="D2870" s="7"/>
    </row>
    <row r="2871" spans="2:4" x14ac:dyDescent="0.25">
      <c r="B2871" s="4">
        <f t="shared" si="60"/>
        <v>598.64999999997394</v>
      </c>
      <c r="C2871" s="199">
        <v>706.0879655670135</v>
      </c>
      <c r="D2871" s="7"/>
    </row>
    <row r="2872" spans="2:4" x14ac:dyDescent="0.25">
      <c r="B2872" s="4">
        <f t="shared" si="60"/>
        <v>598.65999999997393</v>
      </c>
      <c r="C2872" s="199">
        <v>706.2805243471106</v>
      </c>
      <c r="D2872" s="7"/>
    </row>
    <row r="2873" spans="2:4" x14ac:dyDescent="0.25">
      <c r="B2873" s="4">
        <f t="shared" si="60"/>
        <v>598.66999999997392</v>
      </c>
      <c r="C2873" s="199">
        <v>706.47308312720713</v>
      </c>
      <c r="D2873" s="7"/>
    </row>
    <row r="2874" spans="2:4" x14ac:dyDescent="0.25">
      <c r="B2874" s="4">
        <f t="shared" si="60"/>
        <v>598.67999999997392</v>
      </c>
      <c r="C2874" s="199">
        <v>706.66564190730276</v>
      </c>
      <c r="D2874" s="7"/>
    </row>
    <row r="2875" spans="2:4" x14ac:dyDescent="0.25">
      <c r="B2875" s="4">
        <f t="shared" si="60"/>
        <v>598.68999999997391</v>
      </c>
      <c r="C2875" s="199">
        <v>706.85820068739963</v>
      </c>
      <c r="D2875" s="7"/>
    </row>
    <row r="2876" spans="2:4" x14ac:dyDescent="0.25">
      <c r="B2876" s="4">
        <f t="shared" si="60"/>
        <v>598.6999999999739</v>
      </c>
      <c r="C2876" s="199">
        <v>707.05075946749628</v>
      </c>
      <c r="D2876" s="7"/>
    </row>
    <row r="2877" spans="2:4" x14ac:dyDescent="0.25">
      <c r="B2877" s="4">
        <f t="shared" si="60"/>
        <v>598.70999999997389</v>
      </c>
      <c r="C2877" s="199">
        <v>707.24331824759258</v>
      </c>
      <c r="D2877" s="7"/>
    </row>
    <row r="2878" spans="2:4" x14ac:dyDescent="0.25">
      <c r="B2878" s="4">
        <f t="shared" si="60"/>
        <v>598.71999999997388</v>
      </c>
      <c r="C2878" s="199">
        <v>707.4360670827831</v>
      </c>
      <c r="D2878" s="7"/>
    </row>
    <row r="2879" spans="2:4" x14ac:dyDescent="0.25">
      <c r="B2879" s="4">
        <f t="shared" si="60"/>
        <v>598.72999999997387</v>
      </c>
      <c r="C2879" s="199">
        <v>707.62881591797748</v>
      </c>
      <c r="D2879" s="7"/>
    </row>
    <row r="2880" spans="2:4" x14ac:dyDescent="0.25">
      <c r="B2880" s="4">
        <f t="shared" si="60"/>
        <v>598.73999999997386</v>
      </c>
      <c r="C2880" s="199">
        <v>707.82156475317254</v>
      </c>
      <c r="D2880" s="7"/>
    </row>
    <row r="2881" spans="2:4" x14ac:dyDescent="0.25">
      <c r="B2881" s="4">
        <f t="shared" si="60"/>
        <v>598.74999999997385</v>
      </c>
      <c r="C2881" s="199">
        <v>708.01431358836692</v>
      </c>
      <c r="D2881" s="7"/>
    </row>
    <row r="2882" spans="2:4" x14ac:dyDescent="0.25">
      <c r="B2882" s="4">
        <f t="shared" si="60"/>
        <v>598.75999999997384</v>
      </c>
      <c r="C2882" s="199">
        <v>708.20706242356175</v>
      </c>
      <c r="D2882" s="7"/>
    </row>
    <row r="2883" spans="2:4" x14ac:dyDescent="0.25">
      <c r="B2883" s="4">
        <f t="shared" si="60"/>
        <v>598.76999999997383</v>
      </c>
      <c r="C2883" s="199">
        <v>708.39981125875579</v>
      </c>
      <c r="D2883" s="7"/>
    </row>
    <row r="2884" spans="2:4" x14ac:dyDescent="0.25">
      <c r="B2884" s="4">
        <f t="shared" si="60"/>
        <v>598.77999999997382</v>
      </c>
      <c r="C2884" s="199">
        <v>708.59256009395108</v>
      </c>
      <c r="D2884" s="7"/>
    </row>
    <row r="2885" spans="2:4" x14ac:dyDescent="0.25">
      <c r="B2885" s="4">
        <f t="shared" si="60"/>
        <v>598.78999999997382</v>
      </c>
      <c r="C2885" s="199">
        <v>708.78530892914523</v>
      </c>
      <c r="D2885" s="7"/>
    </row>
    <row r="2886" spans="2:4" x14ac:dyDescent="0.25">
      <c r="B2886" s="4">
        <f t="shared" si="60"/>
        <v>598.79999999997381</v>
      </c>
      <c r="C2886" s="199">
        <v>708.97805776434052</v>
      </c>
      <c r="D2886" s="7"/>
    </row>
    <row r="2887" spans="2:4" x14ac:dyDescent="0.25">
      <c r="B2887" s="4">
        <f t="shared" si="60"/>
        <v>598.8099999999738</v>
      </c>
      <c r="C2887" s="199">
        <v>709.17080659953444</v>
      </c>
      <c r="D2887" s="7"/>
    </row>
    <row r="2888" spans="2:4" x14ac:dyDescent="0.25">
      <c r="B2888" s="4">
        <f t="shared" ref="B2888:B2951" si="61">+B2887+0.01</f>
        <v>598.81999999997379</v>
      </c>
      <c r="C2888" s="199">
        <v>709.36374327801741</v>
      </c>
      <c r="D2888" s="7"/>
    </row>
    <row r="2889" spans="2:4" x14ac:dyDescent="0.25">
      <c r="B2889" s="4">
        <f t="shared" si="61"/>
        <v>598.82999999997378</v>
      </c>
      <c r="C2889" s="199">
        <v>709.55667995649969</v>
      </c>
      <c r="D2889" s="7"/>
    </row>
    <row r="2890" spans="2:4" x14ac:dyDescent="0.25">
      <c r="B2890" s="4">
        <f t="shared" si="61"/>
        <v>598.83999999997377</v>
      </c>
      <c r="C2890" s="199">
        <v>709.7496166349822</v>
      </c>
      <c r="D2890" s="7"/>
    </row>
    <row r="2891" spans="2:4" x14ac:dyDescent="0.25">
      <c r="B2891" s="4">
        <f t="shared" si="61"/>
        <v>598.84999999997376</v>
      </c>
      <c r="C2891" s="199">
        <v>709.94255331346426</v>
      </c>
      <c r="D2891" s="7"/>
    </row>
    <row r="2892" spans="2:4" x14ac:dyDescent="0.25">
      <c r="B2892" s="4">
        <f t="shared" si="61"/>
        <v>598.85999999997375</v>
      </c>
      <c r="C2892" s="199">
        <v>710.13548999194666</v>
      </c>
      <c r="D2892" s="7"/>
    </row>
    <row r="2893" spans="2:4" x14ac:dyDescent="0.25">
      <c r="B2893" s="4">
        <f t="shared" si="61"/>
        <v>598.86999999997374</v>
      </c>
      <c r="C2893" s="199">
        <v>710.32842667042939</v>
      </c>
      <c r="D2893" s="7"/>
    </row>
    <row r="2894" spans="2:4" x14ac:dyDescent="0.25">
      <c r="B2894" s="4">
        <f t="shared" si="61"/>
        <v>598.87999999997373</v>
      </c>
      <c r="C2894" s="199">
        <v>710.5213633489119</v>
      </c>
      <c r="D2894" s="7"/>
    </row>
    <row r="2895" spans="2:4" x14ac:dyDescent="0.25">
      <c r="B2895" s="4">
        <f t="shared" si="61"/>
        <v>598.88999999997372</v>
      </c>
      <c r="C2895" s="199">
        <v>710.71430002739487</v>
      </c>
      <c r="D2895" s="7"/>
    </row>
    <row r="2896" spans="2:4" x14ac:dyDescent="0.25">
      <c r="B2896" s="4">
        <f t="shared" si="61"/>
        <v>598.89999999997372</v>
      </c>
      <c r="C2896" s="199">
        <v>710.90723670587738</v>
      </c>
      <c r="D2896" s="7"/>
    </row>
    <row r="2897" spans="2:4" x14ac:dyDescent="0.25">
      <c r="B2897" s="4">
        <f t="shared" si="61"/>
        <v>598.90999999997371</v>
      </c>
      <c r="C2897" s="199">
        <v>711.10017338435966</v>
      </c>
      <c r="D2897" s="7"/>
    </row>
    <row r="2898" spans="2:4" x14ac:dyDescent="0.25">
      <c r="B2898" s="4">
        <f t="shared" si="61"/>
        <v>598.9199999999737</v>
      </c>
      <c r="C2898" s="199">
        <v>711.29329639041816</v>
      </c>
      <c r="D2898" s="7"/>
    </row>
    <row r="2899" spans="2:4" x14ac:dyDescent="0.25">
      <c r="B2899" s="4">
        <f t="shared" si="61"/>
        <v>598.92999999997369</v>
      </c>
      <c r="C2899" s="199">
        <v>711.48641939648087</v>
      </c>
      <c r="D2899" s="7"/>
    </row>
    <row r="2900" spans="2:4" x14ac:dyDescent="0.25">
      <c r="B2900" s="4">
        <f t="shared" si="61"/>
        <v>598.93999999997368</v>
      </c>
      <c r="C2900" s="199">
        <v>711.67954240254403</v>
      </c>
      <c r="D2900" s="7"/>
    </row>
    <row r="2901" spans="2:4" x14ac:dyDescent="0.25">
      <c r="B2901" s="4">
        <f t="shared" si="61"/>
        <v>598.94999999997367</v>
      </c>
      <c r="C2901" s="199">
        <v>711.87266540860685</v>
      </c>
      <c r="D2901" s="7"/>
    </row>
    <row r="2902" spans="2:4" x14ac:dyDescent="0.25">
      <c r="B2902" s="4">
        <f t="shared" si="61"/>
        <v>598.95999999997366</v>
      </c>
      <c r="C2902" s="199">
        <v>712.06578841467046</v>
      </c>
      <c r="D2902" s="7"/>
    </row>
    <row r="2903" spans="2:4" x14ac:dyDescent="0.25">
      <c r="B2903" s="4">
        <f t="shared" si="61"/>
        <v>598.96999999997365</v>
      </c>
      <c r="C2903" s="199">
        <v>712.25891142073408</v>
      </c>
      <c r="D2903" s="7"/>
    </row>
    <row r="2904" spans="2:4" x14ac:dyDescent="0.25">
      <c r="B2904" s="4">
        <f t="shared" si="61"/>
        <v>598.97999999997364</v>
      </c>
      <c r="C2904" s="199">
        <v>712.45203442679644</v>
      </c>
      <c r="D2904" s="7"/>
    </row>
    <row r="2905" spans="2:4" x14ac:dyDescent="0.25">
      <c r="B2905" s="4">
        <f t="shared" si="61"/>
        <v>598.98999999997363</v>
      </c>
      <c r="C2905" s="199">
        <v>712.64515743286029</v>
      </c>
      <c r="D2905" s="7"/>
    </row>
    <row r="2906" spans="2:4" x14ac:dyDescent="0.25">
      <c r="B2906" s="4">
        <f t="shared" si="61"/>
        <v>598.99999999997362</v>
      </c>
      <c r="C2906" s="199">
        <v>712.83828043892288</v>
      </c>
      <c r="D2906" s="7"/>
    </row>
    <row r="2907" spans="2:4" x14ac:dyDescent="0.25">
      <c r="B2907" s="4">
        <f t="shared" si="61"/>
        <v>599.00999999997362</v>
      </c>
      <c r="C2907" s="199">
        <v>713.03140344498604</v>
      </c>
      <c r="D2907" s="7"/>
    </row>
    <row r="2908" spans="2:4" x14ac:dyDescent="0.25">
      <c r="B2908" s="4">
        <f t="shared" si="61"/>
        <v>599.01999999997361</v>
      </c>
      <c r="C2908" s="199">
        <v>713.22471189299006</v>
      </c>
      <c r="D2908" s="7"/>
    </row>
    <row r="2909" spans="2:4" x14ac:dyDescent="0.25">
      <c r="B2909" s="4">
        <f t="shared" si="61"/>
        <v>599.0299999999736</v>
      </c>
      <c r="C2909" s="199">
        <v>713.41802034099305</v>
      </c>
      <c r="D2909" s="7"/>
    </row>
    <row r="2910" spans="2:4" x14ac:dyDescent="0.25">
      <c r="B2910" s="4">
        <f t="shared" si="61"/>
        <v>599.03999999997359</v>
      </c>
      <c r="C2910" s="199">
        <v>713.61132878899593</v>
      </c>
      <c r="D2910" s="7"/>
    </row>
    <row r="2911" spans="2:4" x14ac:dyDescent="0.25">
      <c r="B2911" s="4">
        <f t="shared" si="61"/>
        <v>599.04999999997358</v>
      </c>
      <c r="C2911" s="199">
        <v>713.80463723699938</v>
      </c>
      <c r="D2911" s="7"/>
    </row>
    <row r="2912" spans="2:4" x14ac:dyDescent="0.25">
      <c r="B2912" s="4">
        <f t="shared" si="61"/>
        <v>599.05999999997357</v>
      </c>
      <c r="C2912" s="199">
        <v>713.99794568500238</v>
      </c>
      <c r="D2912" s="7"/>
    </row>
    <row r="2913" spans="2:4" x14ac:dyDescent="0.25">
      <c r="B2913" s="4">
        <f t="shared" si="61"/>
        <v>599.06999999997356</v>
      </c>
      <c r="C2913" s="199">
        <v>714.19125413300537</v>
      </c>
      <c r="D2913" s="7"/>
    </row>
    <row r="2914" spans="2:4" x14ac:dyDescent="0.25">
      <c r="B2914" s="4">
        <f t="shared" si="61"/>
        <v>599.07999999997355</v>
      </c>
      <c r="C2914" s="199">
        <v>714.38456258100871</v>
      </c>
      <c r="D2914" s="7"/>
    </row>
    <row r="2915" spans="2:4" x14ac:dyDescent="0.25">
      <c r="B2915" s="4">
        <f t="shared" si="61"/>
        <v>599.08999999997354</v>
      </c>
      <c r="C2915" s="199">
        <v>714.57787102901182</v>
      </c>
      <c r="D2915" s="7"/>
    </row>
    <row r="2916" spans="2:4" x14ac:dyDescent="0.25">
      <c r="B2916" s="4">
        <f t="shared" si="61"/>
        <v>599.09999999997353</v>
      </c>
      <c r="C2916" s="199">
        <v>714.77117947701515</v>
      </c>
      <c r="D2916" s="7"/>
    </row>
    <row r="2917" spans="2:4" x14ac:dyDescent="0.25">
      <c r="B2917" s="4">
        <f t="shared" si="61"/>
        <v>599.10999999997352</v>
      </c>
      <c r="C2917" s="199">
        <v>714.96448792501815</v>
      </c>
      <c r="D2917" s="7"/>
    </row>
    <row r="2918" spans="2:4" x14ac:dyDescent="0.25">
      <c r="B2918" s="4">
        <f t="shared" si="61"/>
        <v>599.11999999997352</v>
      </c>
      <c r="C2918" s="199">
        <v>715.1579791668895</v>
      </c>
      <c r="D2918" s="7"/>
    </row>
    <row r="2919" spans="2:4" x14ac:dyDescent="0.25">
      <c r="B2919" s="4">
        <f t="shared" si="61"/>
        <v>599.12999999997351</v>
      </c>
      <c r="C2919" s="199">
        <v>715.35147040876382</v>
      </c>
      <c r="D2919" s="7"/>
    </row>
    <row r="2920" spans="2:4" x14ac:dyDescent="0.25">
      <c r="B2920" s="4">
        <f t="shared" si="61"/>
        <v>599.1399999999735</v>
      </c>
      <c r="C2920" s="199">
        <v>715.54496165063949</v>
      </c>
      <c r="D2920" s="7"/>
    </row>
    <row r="2921" spans="2:4" x14ac:dyDescent="0.25">
      <c r="B2921" s="4">
        <f t="shared" si="61"/>
        <v>599.14999999997349</v>
      </c>
      <c r="C2921" s="199">
        <v>715.73845289251472</v>
      </c>
      <c r="D2921" s="7"/>
    </row>
    <row r="2922" spans="2:4" x14ac:dyDescent="0.25">
      <c r="B2922" s="4">
        <f t="shared" si="61"/>
        <v>599.15999999997348</v>
      </c>
      <c r="C2922" s="199">
        <v>715.93194413439005</v>
      </c>
      <c r="D2922" s="7"/>
    </row>
    <row r="2923" spans="2:4" x14ac:dyDescent="0.25">
      <c r="B2923" s="4">
        <f t="shared" si="61"/>
        <v>599.16999999997347</v>
      </c>
      <c r="C2923" s="199">
        <v>716.12543537626482</v>
      </c>
      <c r="D2923" s="7"/>
    </row>
    <row r="2924" spans="2:4" x14ac:dyDescent="0.25">
      <c r="B2924" s="4">
        <f t="shared" si="61"/>
        <v>599.17999999997346</v>
      </c>
      <c r="C2924" s="199">
        <v>716.31892661814038</v>
      </c>
      <c r="D2924" s="7"/>
    </row>
    <row r="2925" spans="2:4" x14ac:dyDescent="0.25">
      <c r="B2925" s="4">
        <f t="shared" si="61"/>
        <v>599.18999999997345</v>
      </c>
      <c r="C2925" s="199">
        <v>716.51241786001538</v>
      </c>
      <c r="D2925" s="7"/>
    </row>
    <row r="2926" spans="2:4" x14ac:dyDescent="0.25">
      <c r="B2926" s="4">
        <f t="shared" si="61"/>
        <v>599.19999999997344</v>
      </c>
      <c r="C2926" s="199">
        <v>716.70590910189014</v>
      </c>
      <c r="D2926" s="7"/>
    </row>
    <row r="2927" spans="2:4" x14ac:dyDescent="0.25">
      <c r="B2927" s="4">
        <f t="shared" si="61"/>
        <v>599.20999999997343</v>
      </c>
      <c r="C2927" s="199">
        <v>716.89940034376571</v>
      </c>
      <c r="D2927" s="7"/>
    </row>
    <row r="2928" spans="2:4" x14ac:dyDescent="0.25">
      <c r="B2928" s="4">
        <f t="shared" si="61"/>
        <v>599.21999999997342</v>
      </c>
      <c r="C2928" s="199">
        <v>717.09307616785577</v>
      </c>
      <c r="D2928" s="7"/>
    </row>
    <row r="2929" spans="2:4" x14ac:dyDescent="0.25">
      <c r="B2929" s="4">
        <f t="shared" si="61"/>
        <v>599.22999999997342</v>
      </c>
      <c r="C2929" s="199">
        <v>717.28675199194527</v>
      </c>
      <c r="D2929" s="7"/>
    </row>
    <row r="2930" spans="2:4" x14ac:dyDescent="0.25">
      <c r="B2930" s="4">
        <f t="shared" si="61"/>
        <v>599.23999999997341</v>
      </c>
      <c r="C2930" s="199">
        <v>717.4804278160351</v>
      </c>
      <c r="D2930" s="7"/>
    </row>
    <row r="2931" spans="2:4" x14ac:dyDescent="0.25">
      <c r="B2931" s="4">
        <f t="shared" si="61"/>
        <v>599.2499999999734</v>
      </c>
      <c r="C2931" s="199">
        <v>717.67410364012517</v>
      </c>
      <c r="D2931" s="7"/>
    </row>
    <row r="2932" spans="2:4" x14ac:dyDescent="0.25">
      <c r="B2932" s="4">
        <f t="shared" si="61"/>
        <v>599.25999999997339</v>
      </c>
      <c r="C2932" s="199">
        <v>717.86777946421478</v>
      </c>
      <c r="D2932" s="7"/>
    </row>
    <row r="2933" spans="2:4" x14ac:dyDescent="0.25">
      <c r="B2933" s="4">
        <f t="shared" si="61"/>
        <v>599.26999999997338</v>
      </c>
      <c r="C2933" s="199">
        <v>718.0614552883045</v>
      </c>
      <c r="D2933" s="7"/>
    </row>
    <row r="2934" spans="2:4" x14ac:dyDescent="0.25">
      <c r="B2934" s="4">
        <f t="shared" si="61"/>
        <v>599.27999999997337</v>
      </c>
      <c r="C2934" s="199">
        <v>718.25513111239366</v>
      </c>
      <c r="D2934" s="7"/>
    </row>
    <row r="2935" spans="2:4" x14ac:dyDescent="0.25">
      <c r="B2935" s="4">
        <f t="shared" si="61"/>
        <v>599.28999999997336</v>
      </c>
      <c r="C2935" s="199">
        <v>718.44880693648327</v>
      </c>
      <c r="D2935" s="7"/>
    </row>
    <row r="2936" spans="2:4" x14ac:dyDescent="0.25">
      <c r="B2936" s="4">
        <f t="shared" si="61"/>
        <v>599.29999999997335</v>
      </c>
      <c r="C2936" s="199">
        <v>718.64248276057288</v>
      </c>
      <c r="D2936" s="7"/>
    </row>
    <row r="2937" spans="2:4" x14ac:dyDescent="0.25">
      <c r="B2937" s="4">
        <f t="shared" si="61"/>
        <v>599.30999999997334</v>
      </c>
      <c r="C2937" s="199">
        <v>718.83615858466328</v>
      </c>
      <c r="D2937" s="7"/>
    </row>
    <row r="2938" spans="2:4" x14ac:dyDescent="0.25">
      <c r="B2938" s="4">
        <f t="shared" si="61"/>
        <v>599.31999999997333</v>
      </c>
      <c r="C2938" s="199">
        <v>719.03001542884795</v>
      </c>
      <c r="D2938" s="7"/>
    </row>
    <row r="2939" spans="2:4" x14ac:dyDescent="0.25">
      <c r="B2939" s="4">
        <f t="shared" si="61"/>
        <v>599.32999999997332</v>
      </c>
      <c r="C2939" s="199">
        <v>719.22387227303716</v>
      </c>
      <c r="D2939" s="7"/>
    </row>
    <row r="2940" spans="2:4" x14ac:dyDescent="0.25">
      <c r="B2940" s="4">
        <f t="shared" si="61"/>
        <v>599.33999999997332</v>
      </c>
      <c r="C2940" s="199">
        <v>719.41772911722603</v>
      </c>
      <c r="D2940" s="7"/>
    </row>
    <row r="2941" spans="2:4" x14ac:dyDescent="0.25">
      <c r="B2941" s="4">
        <f t="shared" si="61"/>
        <v>599.34999999997331</v>
      </c>
      <c r="C2941" s="199">
        <v>719.61158596141536</v>
      </c>
      <c r="D2941" s="7"/>
    </row>
    <row r="2942" spans="2:4" x14ac:dyDescent="0.25">
      <c r="B2942" s="4">
        <f t="shared" si="61"/>
        <v>599.3599999999733</v>
      </c>
      <c r="C2942" s="199">
        <v>719.80544280560446</v>
      </c>
      <c r="D2942" s="7"/>
    </row>
    <row r="2943" spans="2:4" x14ac:dyDescent="0.25">
      <c r="B2943" s="4">
        <f t="shared" si="61"/>
        <v>599.36999999997329</v>
      </c>
      <c r="C2943" s="199">
        <v>719.99929964979287</v>
      </c>
      <c r="D2943" s="7"/>
    </row>
    <row r="2944" spans="2:4" x14ac:dyDescent="0.25">
      <c r="B2944" s="4">
        <f t="shared" si="61"/>
        <v>599.37999999997328</v>
      </c>
      <c r="C2944" s="199">
        <v>720.19315649398197</v>
      </c>
      <c r="D2944" s="7"/>
    </row>
    <row r="2945" spans="2:4" x14ac:dyDescent="0.25">
      <c r="B2945" s="4">
        <f t="shared" si="61"/>
        <v>599.38999999997327</v>
      </c>
      <c r="C2945" s="199">
        <v>720.38701333817062</v>
      </c>
      <c r="D2945" s="7"/>
    </row>
    <row r="2946" spans="2:4" x14ac:dyDescent="0.25">
      <c r="B2946" s="4">
        <f t="shared" si="61"/>
        <v>599.39999999997326</v>
      </c>
      <c r="C2946" s="199">
        <v>720.58087018235983</v>
      </c>
      <c r="D2946" s="7"/>
    </row>
    <row r="2947" spans="2:4" x14ac:dyDescent="0.25">
      <c r="B2947" s="4">
        <f t="shared" si="61"/>
        <v>599.40999999997325</v>
      </c>
      <c r="C2947" s="199">
        <v>720.77472702654904</v>
      </c>
      <c r="D2947" s="7"/>
    </row>
    <row r="2948" spans="2:4" x14ac:dyDescent="0.25">
      <c r="B2948" s="4">
        <f t="shared" si="61"/>
        <v>599.41999999997324</v>
      </c>
      <c r="C2948" s="199">
        <v>720.96876611883727</v>
      </c>
      <c r="D2948" s="7"/>
    </row>
    <row r="2949" spans="2:4" x14ac:dyDescent="0.25">
      <c r="B2949" s="4">
        <f t="shared" si="61"/>
        <v>599.42999999997323</v>
      </c>
      <c r="C2949" s="199">
        <v>721.16280521112606</v>
      </c>
      <c r="D2949" s="7"/>
    </row>
    <row r="2950" spans="2:4" x14ac:dyDescent="0.25">
      <c r="B2950" s="4">
        <f t="shared" si="61"/>
        <v>599.43999999997322</v>
      </c>
      <c r="C2950" s="199">
        <v>721.35684430341496</v>
      </c>
      <c r="D2950" s="7"/>
    </row>
    <row r="2951" spans="2:4" x14ac:dyDescent="0.25">
      <c r="B2951" s="4">
        <f t="shared" si="61"/>
        <v>599.44999999997322</v>
      </c>
      <c r="C2951" s="199">
        <v>721.55088339570375</v>
      </c>
      <c r="D2951" s="7"/>
    </row>
    <row r="2952" spans="2:4" x14ac:dyDescent="0.25">
      <c r="B2952" s="4">
        <f t="shared" ref="B2952:B3015" si="62">+B2951+0.01</f>
        <v>599.45999999997321</v>
      </c>
      <c r="C2952" s="199">
        <v>721.74492248799243</v>
      </c>
      <c r="D2952" s="7"/>
    </row>
    <row r="2953" spans="2:4" x14ac:dyDescent="0.25">
      <c r="B2953" s="4">
        <f t="shared" si="62"/>
        <v>599.4699999999732</v>
      </c>
      <c r="C2953" s="199">
        <v>721.93896158028133</v>
      </c>
      <c r="D2953" s="7"/>
    </row>
    <row r="2954" spans="2:4" x14ac:dyDescent="0.25">
      <c r="B2954" s="4">
        <f t="shared" si="62"/>
        <v>599.47999999997319</v>
      </c>
      <c r="C2954" s="199">
        <v>722.13300067256978</v>
      </c>
      <c r="D2954" s="7"/>
    </row>
    <row r="2955" spans="2:4" x14ac:dyDescent="0.25">
      <c r="B2955" s="4">
        <f t="shared" si="62"/>
        <v>599.48999999997318</v>
      </c>
      <c r="C2955" s="199">
        <v>722.32703976485845</v>
      </c>
      <c r="D2955" s="7"/>
    </row>
    <row r="2956" spans="2:4" x14ac:dyDescent="0.25">
      <c r="B2956" s="4">
        <f t="shared" si="62"/>
        <v>599.49999999997317</v>
      </c>
      <c r="C2956" s="199">
        <v>722.52107885714747</v>
      </c>
      <c r="D2956" s="7"/>
    </row>
    <row r="2957" spans="2:4" x14ac:dyDescent="0.25">
      <c r="B2957" s="4">
        <f t="shared" si="62"/>
        <v>599.50999999997316</v>
      </c>
      <c r="C2957" s="199">
        <v>722.71511794943626</v>
      </c>
      <c r="D2957" s="7"/>
    </row>
    <row r="2958" spans="2:4" x14ac:dyDescent="0.25">
      <c r="B2958" s="4">
        <f t="shared" si="62"/>
        <v>599.51999999997315</v>
      </c>
      <c r="C2958" s="199">
        <v>722.90934145390986</v>
      </c>
      <c r="D2958" s="7"/>
    </row>
    <row r="2959" spans="2:4" x14ac:dyDescent="0.25">
      <c r="B2959" s="4">
        <f t="shared" si="62"/>
        <v>599.52999999997314</v>
      </c>
      <c r="C2959" s="199">
        <v>723.10356495838789</v>
      </c>
      <c r="D2959" s="7"/>
    </row>
    <row r="2960" spans="2:4" x14ac:dyDescent="0.25">
      <c r="B2960" s="4">
        <f t="shared" si="62"/>
        <v>599.53999999997313</v>
      </c>
      <c r="C2960" s="199">
        <v>723.29778846286604</v>
      </c>
      <c r="D2960" s="7"/>
    </row>
    <row r="2961" spans="2:4" x14ac:dyDescent="0.25">
      <c r="B2961" s="4">
        <f t="shared" si="62"/>
        <v>599.54999999997312</v>
      </c>
      <c r="C2961" s="199">
        <v>723.49201196734327</v>
      </c>
      <c r="D2961" s="7"/>
    </row>
    <row r="2962" spans="2:4" x14ac:dyDescent="0.25">
      <c r="B2962" s="4">
        <f t="shared" si="62"/>
        <v>599.55999999997312</v>
      </c>
      <c r="C2962" s="199">
        <v>723.68623547182119</v>
      </c>
      <c r="D2962" s="7"/>
    </row>
    <row r="2963" spans="2:4" x14ac:dyDescent="0.25">
      <c r="B2963" s="4">
        <f t="shared" si="62"/>
        <v>599.56999999997311</v>
      </c>
      <c r="C2963" s="199">
        <v>723.88045897629922</v>
      </c>
      <c r="D2963" s="7"/>
    </row>
    <row r="2964" spans="2:4" x14ac:dyDescent="0.25">
      <c r="B2964" s="4">
        <f t="shared" si="62"/>
        <v>599.5799999999731</v>
      </c>
      <c r="C2964" s="199">
        <v>724.07468248077635</v>
      </c>
      <c r="D2964" s="7"/>
    </row>
    <row r="2965" spans="2:4" x14ac:dyDescent="0.25">
      <c r="B2965" s="4">
        <f t="shared" si="62"/>
        <v>599.58999999997309</v>
      </c>
      <c r="C2965" s="199">
        <v>724.26890598525449</v>
      </c>
      <c r="D2965" s="7"/>
    </row>
    <row r="2966" spans="2:4" x14ac:dyDescent="0.25">
      <c r="B2966" s="4">
        <f t="shared" si="62"/>
        <v>599.59999999997308</v>
      </c>
      <c r="C2966" s="199">
        <v>724.46312948973127</v>
      </c>
      <c r="D2966" s="7"/>
    </row>
    <row r="2967" spans="2:4" x14ac:dyDescent="0.25">
      <c r="B2967" s="4">
        <f t="shared" si="62"/>
        <v>599.60999999997307</v>
      </c>
      <c r="C2967" s="199">
        <v>724.65735299420942</v>
      </c>
      <c r="D2967" s="7"/>
    </row>
    <row r="2968" spans="2:4" x14ac:dyDescent="0.25">
      <c r="B2968" s="4">
        <f t="shared" si="62"/>
        <v>599.61999999997306</v>
      </c>
      <c r="C2968" s="199">
        <v>724.85175845689218</v>
      </c>
      <c r="D2968" s="7"/>
    </row>
    <row r="2969" spans="2:4" x14ac:dyDescent="0.25">
      <c r="B2969" s="4">
        <f t="shared" si="62"/>
        <v>599.62999999997305</v>
      </c>
      <c r="C2969" s="199">
        <v>725.04616391957381</v>
      </c>
      <c r="D2969" s="7"/>
    </row>
    <row r="2970" spans="2:4" x14ac:dyDescent="0.25">
      <c r="B2970" s="4">
        <f t="shared" si="62"/>
        <v>599.63999999997304</v>
      </c>
      <c r="C2970" s="199">
        <v>725.24056938225544</v>
      </c>
      <c r="D2970" s="7"/>
    </row>
    <row r="2971" spans="2:4" x14ac:dyDescent="0.25">
      <c r="B2971" s="4">
        <f t="shared" si="62"/>
        <v>599.64999999997303</v>
      </c>
      <c r="C2971" s="199">
        <v>725.43497484493696</v>
      </c>
      <c r="D2971" s="7"/>
    </row>
    <row r="2972" spans="2:4" x14ac:dyDescent="0.25">
      <c r="B2972" s="4">
        <f t="shared" si="62"/>
        <v>599.65999999997302</v>
      </c>
      <c r="C2972" s="199">
        <v>725.6293803076187</v>
      </c>
      <c r="D2972" s="7"/>
    </row>
    <row r="2973" spans="2:4" x14ac:dyDescent="0.25">
      <c r="B2973" s="4">
        <f t="shared" si="62"/>
        <v>599.66999999997302</v>
      </c>
      <c r="C2973" s="199">
        <v>725.82378577029976</v>
      </c>
      <c r="D2973" s="7"/>
    </row>
    <row r="2974" spans="2:4" x14ac:dyDescent="0.25">
      <c r="B2974" s="4">
        <f t="shared" si="62"/>
        <v>599.67999999997301</v>
      </c>
      <c r="C2974" s="199">
        <v>726.01819123298219</v>
      </c>
      <c r="D2974" s="7"/>
    </row>
    <row r="2975" spans="2:4" x14ac:dyDescent="0.25">
      <c r="B2975" s="4">
        <f t="shared" si="62"/>
        <v>599.689999999973</v>
      </c>
      <c r="C2975" s="199">
        <v>726.21259669566382</v>
      </c>
      <c r="D2975" s="7"/>
    </row>
    <row r="2976" spans="2:4" x14ac:dyDescent="0.25">
      <c r="B2976" s="4">
        <f t="shared" si="62"/>
        <v>599.69999999997299</v>
      </c>
      <c r="C2976" s="199">
        <v>726.40700215834545</v>
      </c>
      <c r="D2976" s="7"/>
    </row>
    <row r="2977" spans="2:4" x14ac:dyDescent="0.25">
      <c r="B2977" s="4">
        <f t="shared" si="62"/>
        <v>599.70999999997298</v>
      </c>
      <c r="C2977" s="199">
        <v>726.60140762102696</v>
      </c>
      <c r="D2977" s="7"/>
    </row>
    <row r="2978" spans="2:4" x14ac:dyDescent="0.25">
      <c r="B2978" s="4">
        <f t="shared" si="62"/>
        <v>599.71999999997297</v>
      </c>
      <c r="C2978" s="199">
        <v>726.79599689801603</v>
      </c>
      <c r="D2978" s="7"/>
    </row>
    <row r="2979" spans="2:4" x14ac:dyDescent="0.25">
      <c r="B2979" s="4">
        <f t="shared" si="62"/>
        <v>599.72999999997296</v>
      </c>
      <c r="C2979" s="199">
        <v>726.99058617500896</v>
      </c>
      <c r="D2979" s="7"/>
    </row>
    <row r="2980" spans="2:4" x14ac:dyDescent="0.25">
      <c r="B2980" s="4">
        <f t="shared" si="62"/>
        <v>599.73999999997295</v>
      </c>
      <c r="C2980" s="199">
        <v>727.18517545200177</v>
      </c>
      <c r="D2980" s="7"/>
    </row>
    <row r="2981" spans="2:4" x14ac:dyDescent="0.25">
      <c r="B2981" s="4">
        <f t="shared" si="62"/>
        <v>599.74999999997294</v>
      </c>
      <c r="C2981" s="199">
        <v>727.37976472899504</v>
      </c>
      <c r="D2981" s="7"/>
    </row>
    <row r="2982" spans="2:4" x14ac:dyDescent="0.25">
      <c r="B2982" s="4">
        <f t="shared" si="62"/>
        <v>599.75999999997293</v>
      </c>
      <c r="C2982" s="199">
        <v>727.57435400598797</v>
      </c>
      <c r="D2982" s="7"/>
    </row>
    <row r="2983" spans="2:4" x14ac:dyDescent="0.25">
      <c r="B2983" s="4">
        <f t="shared" si="62"/>
        <v>599.76999999997292</v>
      </c>
      <c r="C2983" s="199">
        <v>727.76894328298079</v>
      </c>
      <c r="D2983" s="7"/>
    </row>
    <row r="2984" spans="2:4" x14ac:dyDescent="0.25">
      <c r="B2984" s="4">
        <f t="shared" si="62"/>
        <v>599.77999999997292</v>
      </c>
      <c r="C2984" s="199">
        <v>727.9635325599744</v>
      </c>
      <c r="D2984" s="7"/>
    </row>
    <row r="2985" spans="2:4" x14ac:dyDescent="0.25">
      <c r="B2985" s="4">
        <f t="shared" si="62"/>
        <v>599.78999999997291</v>
      </c>
      <c r="C2985" s="199">
        <v>728.15812183696721</v>
      </c>
      <c r="D2985" s="7"/>
    </row>
    <row r="2986" spans="2:4" x14ac:dyDescent="0.25">
      <c r="B2986" s="4">
        <f t="shared" si="62"/>
        <v>599.7999999999729</v>
      </c>
      <c r="C2986" s="199">
        <v>728.35271111396014</v>
      </c>
      <c r="D2986" s="7"/>
    </row>
    <row r="2987" spans="2:4" x14ac:dyDescent="0.25">
      <c r="B2987" s="4">
        <f t="shared" si="62"/>
        <v>599.80999999997289</v>
      </c>
      <c r="C2987" s="199">
        <v>728.54730039095341</v>
      </c>
      <c r="D2987" s="7"/>
    </row>
    <row r="2988" spans="2:4" x14ac:dyDescent="0.25">
      <c r="B2988" s="4">
        <f t="shared" si="62"/>
        <v>599.81999999997288</v>
      </c>
      <c r="C2988" s="199">
        <v>728.74207435528137</v>
      </c>
      <c r="D2988" s="7"/>
    </row>
    <row r="2989" spans="2:4" x14ac:dyDescent="0.25">
      <c r="B2989" s="4">
        <f t="shared" si="62"/>
        <v>599.82999999997287</v>
      </c>
      <c r="C2989" s="199">
        <v>728.93684831961002</v>
      </c>
      <c r="D2989" s="7"/>
    </row>
    <row r="2990" spans="2:4" x14ac:dyDescent="0.25">
      <c r="B2990" s="4">
        <f t="shared" si="62"/>
        <v>599.83999999997286</v>
      </c>
      <c r="C2990" s="199">
        <v>729.13162228393855</v>
      </c>
      <c r="D2990" s="7"/>
    </row>
    <row r="2991" spans="2:4" x14ac:dyDescent="0.25">
      <c r="B2991" s="4">
        <f t="shared" si="62"/>
        <v>599.84999999997285</v>
      </c>
      <c r="C2991" s="199">
        <v>729.326396248268</v>
      </c>
      <c r="D2991" s="7"/>
    </row>
    <row r="2992" spans="2:4" x14ac:dyDescent="0.25">
      <c r="B2992" s="4">
        <f t="shared" si="62"/>
        <v>599.85999999997284</v>
      </c>
      <c r="C2992" s="199">
        <v>729.52117021259642</v>
      </c>
      <c r="D2992" s="7"/>
    </row>
    <row r="2993" spans="2:4" x14ac:dyDescent="0.25">
      <c r="B2993" s="4">
        <f t="shared" si="62"/>
        <v>599.86999999997283</v>
      </c>
      <c r="C2993" s="199">
        <v>729.71594417692518</v>
      </c>
      <c r="D2993" s="7"/>
    </row>
    <row r="2994" spans="2:4" x14ac:dyDescent="0.25">
      <c r="B2994" s="4">
        <f t="shared" si="62"/>
        <v>599.87999999997282</v>
      </c>
      <c r="C2994" s="199">
        <v>729.9107181412536</v>
      </c>
      <c r="D2994" s="7"/>
    </row>
    <row r="2995" spans="2:4" x14ac:dyDescent="0.25">
      <c r="B2995" s="4">
        <f t="shared" si="62"/>
        <v>599.88999999997282</v>
      </c>
      <c r="C2995" s="199">
        <v>730.1054921055819</v>
      </c>
      <c r="D2995" s="7"/>
    </row>
    <row r="2996" spans="2:4" x14ac:dyDescent="0.25">
      <c r="B2996" s="4">
        <f t="shared" si="62"/>
        <v>599.89999999997281</v>
      </c>
      <c r="C2996" s="199">
        <v>730.30026606991089</v>
      </c>
      <c r="D2996" s="7"/>
    </row>
    <row r="2997" spans="2:4" x14ac:dyDescent="0.25">
      <c r="B2997" s="4">
        <f t="shared" si="62"/>
        <v>599.9099999999728</v>
      </c>
      <c r="C2997" s="199">
        <v>730.4950400342392</v>
      </c>
      <c r="D2997" s="7"/>
    </row>
    <row r="2998" spans="2:4" x14ac:dyDescent="0.25">
      <c r="B2998" s="4">
        <f t="shared" si="62"/>
        <v>599.91999999997279</v>
      </c>
      <c r="C2998" s="199">
        <v>730.6899974556344</v>
      </c>
      <c r="D2998" s="7"/>
    </row>
    <row r="2999" spans="2:4" x14ac:dyDescent="0.25">
      <c r="B2999" s="4">
        <f t="shared" si="62"/>
        <v>599.92999999997278</v>
      </c>
      <c r="C2999" s="199">
        <v>730.88495487703312</v>
      </c>
      <c r="D2999" s="7"/>
    </row>
    <row r="3000" spans="2:4" x14ac:dyDescent="0.25">
      <c r="B3000" s="4">
        <f t="shared" si="62"/>
        <v>599.93999999997277</v>
      </c>
      <c r="C3000" s="199">
        <v>731.07991229843208</v>
      </c>
      <c r="D3000" s="7"/>
    </row>
    <row r="3001" spans="2:4" x14ac:dyDescent="0.25">
      <c r="B3001" s="4">
        <f t="shared" si="62"/>
        <v>599.94999999997276</v>
      </c>
      <c r="C3001" s="199">
        <v>731.27486971983046</v>
      </c>
      <c r="D3001" s="7"/>
    </row>
    <row r="3002" spans="2:4" x14ac:dyDescent="0.25">
      <c r="B3002" s="4">
        <f t="shared" si="62"/>
        <v>599.95999999997275</v>
      </c>
      <c r="C3002" s="199">
        <v>731.46982714122908</v>
      </c>
      <c r="D3002" s="7"/>
    </row>
    <row r="3003" spans="2:4" x14ac:dyDescent="0.25">
      <c r="B3003" s="4">
        <f t="shared" si="62"/>
        <v>599.96999999997274</v>
      </c>
      <c r="C3003" s="199">
        <v>731.66478456262871</v>
      </c>
      <c r="D3003" s="7"/>
    </row>
    <row r="3004" spans="2:4" x14ac:dyDescent="0.25">
      <c r="B3004" s="4">
        <f t="shared" si="62"/>
        <v>599.97999999997273</v>
      </c>
      <c r="C3004" s="199">
        <v>731.8597419840271</v>
      </c>
      <c r="D3004" s="7"/>
    </row>
    <row r="3005" spans="2:4" x14ac:dyDescent="0.25">
      <c r="B3005" s="4">
        <f t="shared" si="62"/>
        <v>599.98999999997272</v>
      </c>
      <c r="C3005" s="199">
        <v>732.05469940542571</v>
      </c>
      <c r="D3005" s="7"/>
    </row>
    <row r="3006" spans="2:4" x14ac:dyDescent="0.25">
      <c r="B3006" s="4">
        <f t="shared" si="62"/>
        <v>599.99999999997272</v>
      </c>
      <c r="C3006" s="199">
        <v>732.24965682682455</v>
      </c>
      <c r="D3006" s="7"/>
    </row>
    <row r="3007" spans="2:4" x14ac:dyDescent="0.25">
      <c r="B3007" s="4">
        <f t="shared" si="62"/>
        <v>600.00999999997271</v>
      </c>
      <c r="C3007" s="199">
        <v>732.44461424822316</v>
      </c>
      <c r="D3007" s="7"/>
    </row>
    <row r="3008" spans="2:4" x14ac:dyDescent="0.25">
      <c r="B3008" s="4">
        <f t="shared" si="62"/>
        <v>600.0199999999727</v>
      </c>
      <c r="C3008" s="199">
        <v>732.63975718405425</v>
      </c>
      <c r="D3008" s="7"/>
    </row>
    <row r="3009" spans="2:4" x14ac:dyDescent="0.25">
      <c r="B3009" s="4">
        <f t="shared" si="62"/>
        <v>600.02999999997269</v>
      </c>
      <c r="C3009" s="199">
        <v>732.83490011988579</v>
      </c>
      <c r="D3009" s="7"/>
    </row>
    <row r="3010" spans="2:4" x14ac:dyDescent="0.25">
      <c r="B3010" s="4">
        <f t="shared" si="62"/>
        <v>600.03999999997268</v>
      </c>
      <c r="C3010" s="199">
        <v>733.03004305571653</v>
      </c>
      <c r="D3010" s="7"/>
    </row>
    <row r="3011" spans="2:4" x14ac:dyDescent="0.25">
      <c r="B3011" s="4">
        <f t="shared" si="62"/>
        <v>600.04999999997267</v>
      </c>
      <c r="C3011" s="199">
        <v>733.22518599154716</v>
      </c>
      <c r="D3011" s="7"/>
    </row>
    <row r="3012" spans="2:4" x14ac:dyDescent="0.25">
      <c r="B3012" s="4">
        <f t="shared" si="62"/>
        <v>600.05999999997266</v>
      </c>
      <c r="C3012" s="199">
        <v>733.42032892737791</v>
      </c>
      <c r="D3012" s="7"/>
    </row>
    <row r="3013" spans="2:4" x14ac:dyDescent="0.25">
      <c r="B3013" s="4">
        <f t="shared" si="62"/>
        <v>600.06999999997265</v>
      </c>
      <c r="C3013" s="199">
        <v>733.61547186320854</v>
      </c>
      <c r="D3013" s="7"/>
    </row>
    <row r="3014" spans="2:4" x14ac:dyDescent="0.25">
      <c r="B3014" s="4">
        <f t="shared" si="62"/>
        <v>600.07999999997264</v>
      </c>
      <c r="C3014" s="199">
        <v>733.81061479903883</v>
      </c>
      <c r="D3014" s="7"/>
    </row>
    <row r="3015" spans="2:4" x14ac:dyDescent="0.25">
      <c r="B3015" s="4">
        <f t="shared" si="62"/>
        <v>600.08999999997263</v>
      </c>
      <c r="C3015" s="199">
        <v>734.00575773487026</v>
      </c>
      <c r="D3015" s="7"/>
    </row>
    <row r="3016" spans="2:4" x14ac:dyDescent="0.25">
      <c r="B3016" s="4">
        <f t="shared" ref="B3016:B3079" si="63">+B3015+0.01</f>
        <v>600.09999999997262</v>
      </c>
      <c r="C3016" s="199">
        <v>734.20090067070089</v>
      </c>
      <c r="D3016" s="7"/>
    </row>
    <row r="3017" spans="2:4" x14ac:dyDescent="0.25">
      <c r="B3017" s="4">
        <f t="shared" si="63"/>
        <v>600.10999999997262</v>
      </c>
      <c r="C3017" s="199">
        <v>734.39604360653175</v>
      </c>
      <c r="D3017" s="7"/>
    </row>
    <row r="3018" spans="2:4" x14ac:dyDescent="0.25">
      <c r="B3018" s="4">
        <f t="shared" si="63"/>
        <v>600.11999999997261</v>
      </c>
      <c r="C3018" s="199">
        <v>734.59136874676142</v>
      </c>
      <c r="D3018" s="7"/>
    </row>
    <row r="3019" spans="2:4" x14ac:dyDescent="0.25">
      <c r="B3019" s="4">
        <f t="shared" si="63"/>
        <v>600.1299999999726</v>
      </c>
      <c r="C3019" s="199">
        <v>734.78669388699609</v>
      </c>
      <c r="D3019" s="7"/>
    </row>
    <row r="3020" spans="2:4" x14ac:dyDescent="0.25">
      <c r="B3020" s="4">
        <f t="shared" si="63"/>
        <v>600.13999999997259</v>
      </c>
      <c r="C3020" s="199">
        <v>734.98201902723076</v>
      </c>
      <c r="D3020" s="7"/>
    </row>
    <row r="3021" spans="2:4" x14ac:dyDescent="0.25">
      <c r="B3021" s="4">
        <f t="shared" si="63"/>
        <v>600.14999999997258</v>
      </c>
      <c r="C3021" s="199">
        <v>735.17734416746464</v>
      </c>
      <c r="D3021" s="7"/>
    </row>
    <row r="3022" spans="2:4" x14ac:dyDescent="0.25">
      <c r="B3022" s="4">
        <f t="shared" si="63"/>
        <v>600.15999999997257</v>
      </c>
      <c r="C3022" s="199">
        <v>735.37266930769977</v>
      </c>
      <c r="D3022" s="7"/>
    </row>
    <row r="3023" spans="2:4" x14ac:dyDescent="0.25">
      <c r="B3023" s="4">
        <f t="shared" si="63"/>
        <v>600.16999999997256</v>
      </c>
      <c r="C3023" s="199">
        <v>735.56799444793353</v>
      </c>
      <c r="D3023" s="7"/>
    </row>
    <row r="3024" spans="2:4" x14ac:dyDescent="0.25">
      <c r="B3024" s="4">
        <f t="shared" si="63"/>
        <v>600.17999999997255</v>
      </c>
      <c r="C3024" s="199">
        <v>735.76331958816843</v>
      </c>
      <c r="D3024" s="7"/>
    </row>
    <row r="3025" spans="2:4" x14ac:dyDescent="0.25">
      <c r="B3025" s="4">
        <f t="shared" si="63"/>
        <v>600.18999999997254</v>
      </c>
      <c r="C3025" s="199">
        <v>735.9586447284031</v>
      </c>
      <c r="D3025" s="7"/>
    </row>
    <row r="3026" spans="2:4" x14ac:dyDescent="0.25">
      <c r="B3026" s="4">
        <f t="shared" si="63"/>
        <v>600.19999999997253</v>
      </c>
      <c r="C3026" s="199">
        <v>736.15396986863698</v>
      </c>
      <c r="D3026" s="7"/>
    </row>
    <row r="3027" spans="2:4" x14ac:dyDescent="0.25">
      <c r="B3027" s="4">
        <f t="shared" si="63"/>
        <v>600.20999999997252</v>
      </c>
      <c r="C3027" s="199">
        <v>736.34929500887222</v>
      </c>
      <c r="D3027" s="7"/>
    </row>
    <row r="3028" spans="2:4" x14ac:dyDescent="0.25">
      <c r="B3028" s="4">
        <f t="shared" si="63"/>
        <v>600.21999999997252</v>
      </c>
      <c r="C3028" s="199">
        <v>736.54480346020398</v>
      </c>
      <c r="D3028" s="7"/>
    </row>
    <row r="3029" spans="2:4" x14ac:dyDescent="0.25">
      <c r="B3029" s="4">
        <f t="shared" si="63"/>
        <v>600.22999999997251</v>
      </c>
      <c r="C3029" s="199">
        <v>736.74031191153688</v>
      </c>
      <c r="D3029" s="7"/>
    </row>
    <row r="3030" spans="2:4" x14ac:dyDescent="0.25">
      <c r="B3030" s="4">
        <f t="shared" si="63"/>
        <v>600.2399999999725</v>
      </c>
      <c r="C3030" s="199">
        <v>736.93582036286864</v>
      </c>
      <c r="D3030" s="7"/>
    </row>
    <row r="3031" spans="2:4" x14ac:dyDescent="0.25">
      <c r="B3031" s="4">
        <f t="shared" si="63"/>
        <v>600.24999999997249</v>
      </c>
      <c r="C3031" s="199">
        <v>737.13132881420131</v>
      </c>
      <c r="D3031" s="7"/>
    </row>
    <row r="3032" spans="2:4" x14ac:dyDescent="0.25">
      <c r="B3032" s="4">
        <f t="shared" si="63"/>
        <v>600.25999999997248</v>
      </c>
      <c r="C3032" s="199">
        <v>737.32683726553341</v>
      </c>
      <c r="D3032" s="7"/>
    </row>
    <row r="3033" spans="2:4" x14ac:dyDescent="0.25">
      <c r="B3033" s="4">
        <f t="shared" si="63"/>
        <v>600.26999999997247</v>
      </c>
      <c r="C3033" s="199">
        <v>737.52234571686563</v>
      </c>
      <c r="D3033" s="7"/>
    </row>
    <row r="3034" spans="2:4" x14ac:dyDescent="0.25">
      <c r="B3034" s="4">
        <f t="shared" si="63"/>
        <v>600.27999999997246</v>
      </c>
      <c r="C3034" s="199">
        <v>737.7178541681975</v>
      </c>
      <c r="D3034" s="7"/>
    </row>
    <row r="3035" spans="2:4" x14ac:dyDescent="0.25">
      <c r="B3035" s="4">
        <f t="shared" si="63"/>
        <v>600.28999999997245</v>
      </c>
      <c r="C3035" s="199">
        <v>737.91336261953018</v>
      </c>
      <c r="D3035" s="7"/>
    </row>
    <row r="3036" spans="2:4" x14ac:dyDescent="0.25">
      <c r="B3036" s="4">
        <f t="shared" si="63"/>
        <v>600.29999999997244</v>
      </c>
      <c r="C3036" s="199">
        <v>738.10887107086194</v>
      </c>
      <c r="D3036" s="7"/>
    </row>
    <row r="3037" spans="2:4" x14ac:dyDescent="0.25">
      <c r="B3037" s="4">
        <f t="shared" si="63"/>
        <v>600.30999999997243</v>
      </c>
      <c r="C3037" s="199">
        <v>738.30437952219484</v>
      </c>
      <c r="D3037" s="7"/>
    </row>
    <row r="3038" spans="2:4" x14ac:dyDescent="0.25">
      <c r="B3038" s="4">
        <f t="shared" si="63"/>
        <v>600.31999999997242</v>
      </c>
      <c r="C3038" s="199">
        <v>738.5000708023415</v>
      </c>
      <c r="D3038" s="7"/>
    </row>
    <row r="3039" spans="2:4" x14ac:dyDescent="0.25">
      <c r="B3039" s="4">
        <f t="shared" si="63"/>
        <v>600.32999999997242</v>
      </c>
      <c r="C3039" s="199">
        <v>738.69576208249373</v>
      </c>
      <c r="D3039" s="7"/>
    </row>
    <row r="3040" spans="2:4" x14ac:dyDescent="0.25">
      <c r="B3040" s="4">
        <f t="shared" si="63"/>
        <v>600.33999999997241</v>
      </c>
      <c r="C3040" s="199">
        <v>738.89145336264596</v>
      </c>
      <c r="D3040" s="7"/>
    </row>
    <row r="3041" spans="2:4" x14ac:dyDescent="0.25">
      <c r="B3041" s="4">
        <f t="shared" si="63"/>
        <v>600.3499999999724</v>
      </c>
      <c r="C3041" s="199">
        <v>739.08714464279694</v>
      </c>
      <c r="D3041" s="7"/>
    </row>
    <row r="3042" spans="2:4" x14ac:dyDescent="0.25">
      <c r="B3042" s="4">
        <f t="shared" si="63"/>
        <v>600.35999999997239</v>
      </c>
      <c r="C3042" s="199">
        <v>739.28283592294929</v>
      </c>
      <c r="D3042" s="7"/>
    </row>
    <row r="3043" spans="2:4" x14ac:dyDescent="0.25">
      <c r="B3043" s="4">
        <f t="shared" si="63"/>
        <v>600.36999999997238</v>
      </c>
      <c r="C3043" s="199">
        <v>739.47852720310141</v>
      </c>
      <c r="D3043" s="7"/>
    </row>
    <row r="3044" spans="2:4" x14ac:dyDescent="0.25">
      <c r="B3044" s="4">
        <f t="shared" si="63"/>
        <v>600.37999999997237</v>
      </c>
      <c r="C3044" s="199">
        <v>739.67421848325296</v>
      </c>
      <c r="D3044" s="7"/>
    </row>
    <row r="3045" spans="2:4" x14ac:dyDescent="0.25">
      <c r="B3045" s="4">
        <f t="shared" si="63"/>
        <v>600.38999999997236</v>
      </c>
      <c r="C3045" s="199">
        <v>739.86990976340508</v>
      </c>
      <c r="D3045" s="7"/>
    </row>
    <row r="3046" spans="2:4" x14ac:dyDescent="0.25">
      <c r="B3046" s="4">
        <f t="shared" si="63"/>
        <v>600.39999999997235</v>
      </c>
      <c r="C3046" s="199">
        <v>740.06560104355663</v>
      </c>
      <c r="D3046" s="7"/>
    </row>
    <row r="3047" spans="2:4" x14ac:dyDescent="0.25">
      <c r="B3047" s="4">
        <f t="shared" si="63"/>
        <v>600.40999999997234</v>
      </c>
      <c r="C3047" s="199">
        <v>740.26129232370874</v>
      </c>
      <c r="D3047" s="7"/>
    </row>
    <row r="3048" spans="2:4" x14ac:dyDescent="0.25">
      <c r="B3048" s="4">
        <f t="shared" si="63"/>
        <v>600.41999999997233</v>
      </c>
      <c r="C3048" s="199">
        <v>740.45716835318035</v>
      </c>
      <c r="D3048" s="7"/>
    </row>
    <row r="3049" spans="2:4" x14ac:dyDescent="0.25">
      <c r="B3049" s="4">
        <f t="shared" si="63"/>
        <v>600.42999999997232</v>
      </c>
      <c r="C3049" s="199">
        <v>740.65304438265196</v>
      </c>
      <c r="D3049" s="7"/>
    </row>
    <row r="3050" spans="2:4" x14ac:dyDescent="0.25">
      <c r="B3050" s="4">
        <f t="shared" si="63"/>
        <v>600.43999999997231</v>
      </c>
      <c r="C3050" s="199">
        <v>740.84892041212277</v>
      </c>
      <c r="D3050" s="7"/>
    </row>
    <row r="3051" spans="2:4" x14ac:dyDescent="0.25">
      <c r="B3051" s="4">
        <f t="shared" si="63"/>
        <v>600.44999999997231</v>
      </c>
      <c r="C3051" s="199">
        <v>741.0447964415938</v>
      </c>
      <c r="D3051" s="7"/>
    </row>
    <row r="3052" spans="2:4" x14ac:dyDescent="0.25">
      <c r="B3052" s="4">
        <f t="shared" si="63"/>
        <v>600.4599999999723</v>
      </c>
      <c r="C3052" s="199">
        <v>741.2406724710653</v>
      </c>
      <c r="D3052" s="7"/>
    </row>
    <row r="3053" spans="2:4" x14ac:dyDescent="0.25">
      <c r="B3053" s="4">
        <f t="shared" si="63"/>
        <v>600.46999999997229</v>
      </c>
      <c r="C3053" s="199">
        <v>741.43654850053701</v>
      </c>
      <c r="D3053" s="7"/>
    </row>
    <row r="3054" spans="2:4" x14ac:dyDescent="0.25">
      <c r="B3054" s="4">
        <f t="shared" si="63"/>
        <v>600.47999999997228</v>
      </c>
      <c r="C3054" s="199">
        <v>741.63242453000817</v>
      </c>
      <c r="D3054" s="7"/>
    </row>
    <row r="3055" spans="2:4" x14ac:dyDescent="0.25">
      <c r="B3055" s="4">
        <f t="shared" si="63"/>
        <v>600.48999999997227</v>
      </c>
      <c r="C3055" s="199">
        <v>741.82830055947989</v>
      </c>
      <c r="D3055" s="7"/>
    </row>
    <row r="3056" spans="2:4" x14ac:dyDescent="0.25">
      <c r="B3056" s="4">
        <f t="shared" si="63"/>
        <v>600.49999999997226</v>
      </c>
      <c r="C3056" s="199">
        <v>742.02417658895138</v>
      </c>
      <c r="D3056" s="7"/>
    </row>
    <row r="3057" spans="2:4" x14ac:dyDescent="0.25">
      <c r="B3057" s="4">
        <f t="shared" si="63"/>
        <v>600.50999999997225</v>
      </c>
      <c r="C3057" s="199">
        <v>742.22005261842253</v>
      </c>
      <c r="D3057" s="7"/>
    </row>
    <row r="3058" spans="2:4" x14ac:dyDescent="0.25">
      <c r="B3058" s="4">
        <f t="shared" si="63"/>
        <v>600.51999999997224</v>
      </c>
      <c r="C3058" s="199">
        <v>742.41611255393536</v>
      </c>
      <c r="D3058" s="7"/>
    </row>
    <row r="3059" spans="2:4" x14ac:dyDescent="0.25">
      <c r="B3059" s="4">
        <f t="shared" si="63"/>
        <v>600.52999999997223</v>
      </c>
      <c r="C3059" s="199">
        <v>742.61217248945161</v>
      </c>
      <c r="D3059" s="7"/>
    </row>
    <row r="3060" spans="2:4" x14ac:dyDescent="0.25">
      <c r="B3060" s="4">
        <f t="shared" si="63"/>
        <v>600.53999999997222</v>
      </c>
      <c r="C3060" s="199">
        <v>742.80823242496729</v>
      </c>
      <c r="D3060" s="7"/>
    </row>
    <row r="3061" spans="2:4" x14ac:dyDescent="0.25">
      <c r="B3061" s="4">
        <f t="shared" si="63"/>
        <v>600.54999999997221</v>
      </c>
      <c r="C3061" s="199">
        <v>743.0042923604841</v>
      </c>
      <c r="D3061" s="7"/>
    </row>
    <row r="3062" spans="2:4" x14ac:dyDescent="0.25">
      <c r="B3062" s="4">
        <f t="shared" si="63"/>
        <v>600.55999999997221</v>
      </c>
      <c r="C3062" s="199">
        <v>743.20035229600035</v>
      </c>
      <c r="D3062" s="7"/>
    </row>
    <row r="3063" spans="2:4" x14ac:dyDescent="0.25">
      <c r="B3063" s="4">
        <f t="shared" si="63"/>
        <v>600.5699999999722</v>
      </c>
      <c r="C3063" s="199">
        <v>743.39641223151625</v>
      </c>
      <c r="D3063" s="7"/>
    </row>
    <row r="3064" spans="2:4" x14ac:dyDescent="0.25">
      <c r="B3064" s="4">
        <f t="shared" si="63"/>
        <v>600.57999999997219</v>
      </c>
      <c r="C3064" s="199">
        <v>743.59247216703295</v>
      </c>
      <c r="D3064" s="7"/>
    </row>
    <row r="3065" spans="2:4" x14ac:dyDescent="0.25">
      <c r="B3065" s="4">
        <f t="shared" si="63"/>
        <v>600.58999999997218</v>
      </c>
      <c r="C3065" s="199">
        <v>743.7885321025492</v>
      </c>
      <c r="D3065" s="7"/>
    </row>
    <row r="3066" spans="2:4" x14ac:dyDescent="0.25">
      <c r="B3066" s="4">
        <f t="shared" si="63"/>
        <v>600.59999999997217</v>
      </c>
      <c r="C3066" s="199">
        <v>743.98459203806499</v>
      </c>
      <c r="D3066" s="7"/>
    </row>
    <row r="3067" spans="2:4" x14ac:dyDescent="0.25">
      <c r="B3067" s="4">
        <f t="shared" si="63"/>
        <v>600.60999999997216</v>
      </c>
      <c r="C3067" s="199">
        <v>744.18065197358192</v>
      </c>
      <c r="D3067" s="7"/>
    </row>
    <row r="3068" spans="2:4" x14ac:dyDescent="0.25">
      <c r="B3068" s="4">
        <f t="shared" si="63"/>
        <v>600.61999999997215</v>
      </c>
      <c r="C3068" s="199">
        <v>744.3768933854526</v>
      </c>
      <c r="D3068" s="7"/>
    </row>
    <row r="3069" spans="2:4" x14ac:dyDescent="0.25">
      <c r="B3069" s="4">
        <f t="shared" si="63"/>
        <v>600.62999999997214</v>
      </c>
      <c r="C3069" s="199">
        <v>744.57313479732238</v>
      </c>
      <c r="D3069" s="7"/>
    </row>
    <row r="3070" spans="2:4" x14ac:dyDescent="0.25">
      <c r="B3070" s="4">
        <f t="shared" si="63"/>
        <v>600.63999999997213</v>
      </c>
      <c r="C3070" s="199">
        <v>744.76937620919193</v>
      </c>
      <c r="D3070" s="7"/>
    </row>
    <row r="3071" spans="2:4" x14ac:dyDescent="0.25">
      <c r="B3071" s="4">
        <f t="shared" si="63"/>
        <v>600.64999999997212</v>
      </c>
      <c r="C3071" s="199">
        <v>744.96561762106182</v>
      </c>
      <c r="D3071" s="7"/>
    </row>
    <row r="3072" spans="2:4" x14ac:dyDescent="0.25">
      <c r="B3072" s="4">
        <f t="shared" si="63"/>
        <v>600.65999999997211</v>
      </c>
      <c r="C3072" s="199">
        <v>745.16185903293115</v>
      </c>
      <c r="D3072" s="7"/>
    </row>
    <row r="3073" spans="2:4" x14ac:dyDescent="0.25">
      <c r="B3073" s="4">
        <f t="shared" si="63"/>
        <v>600.66999999997211</v>
      </c>
      <c r="C3073" s="199">
        <v>745.35810044480104</v>
      </c>
      <c r="D3073" s="7"/>
    </row>
    <row r="3074" spans="2:4" x14ac:dyDescent="0.25">
      <c r="B3074" s="4">
        <f t="shared" si="63"/>
        <v>600.6799999999721</v>
      </c>
      <c r="C3074" s="199">
        <v>745.5543418566707</v>
      </c>
      <c r="D3074" s="7"/>
    </row>
    <row r="3075" spans="2:4" x14ac:dyDescent="0.25">
      <c r="B3075" s="4">
        <f t="shared" si="63"/>
        <v>600.68999999997209</v>
      </c>
      <c r="C3075" s="199">
        <v>745.75058326854071</v>
      </c>
      <c r="D3075" s="7"/>
    </row>
    <row r="3076" spans="2:4" x14ac:dyDescent="0.25">
      <c r="B3076" s="4">
        <f t="shared" si="63"/>
        <v>600.69999999997208</v>
      </c>
      <c r="C3076" s="199">
        <v>745.94682468040992</v>
      </c>
      <c r="D3076" s="7"/>
    </row>
    <row r="3077" spans="2:4" x14ac:dyDescent="0.25">
      <c r="B3077" s="4">
        <f t="shared" si="63"/>
        <v>600.70999999997207</v>
      </c>
      <c r="C3077" s="199">
        <v>746.14306609228072</v>
      </c>
      <c r="D3077" s="7"/>
    </row>
    <row r="3078" spans="2:4" x14ac:dyDescent="0.25">
      <c r="B3078" s="4">
        <f t="shared" si="63"/>
        <v>600.71999999997206</v>
      </c>
      <c r="C3078" s="199">
        <v>746.33949171269217</v>
      </c>
      <c r="D3078" s="7"/>
    </row>
    <row r="3079" spans="2:4" x14ac:dyDescent="0.25">
      <c r="B3079" s="4">
        <f t="shared" si="63"/>
        <v>600.72999999997205</v>
      </c>
      <c r="C3079" s="199">
        <v>746.53591733310827</v>
      </c>
      <c r="D3079" s="7"/>
    </row>
    <row r="3080" spans="2:4" x14ac:dyDescent="0.25">
      <c r="B3080" s="4">
        <f t="shared" ref="B3080:B3143" si="64">+B3079+0.01</f>
        <v>600.73999999997204</v>
      </c>
      <c r="C3080" s="199">
        <v>746.73234295352324</v>
      </c>
      <c r="D3080" s="7"/>
    </row>
    <row r="3081" spans="2:4" x14ac:dyDescent="0.25">
      <c r="B3081" s="4">
        <f t="shared" si="64"/>
        <v>600.74999999997203</v>
      </c>
      <c r="C3081" s="199">
        <v>746.92876857393833</v>
      </c>
      <c r="D3081" s="7"/>
    </row>
    <row r="3082" spans="2:4" x14ac:dyDescent="0.25">
      <c r="B3082" s="4">
        <f t="shared" si="64"/>
        <v>600.75999999997202</v>
      </c>
      <c r="C3082" s="199">
        <v>747.12519419435444</v>
      </c>
      <c r="D3082" s="7"/>
    </row>
    <row r="3083" spans="2:4" x14ac:dyDescent="0.25">
      <c r="B3083" s="4">
        <f t="shared" si="64"/>
        <v>600.76999999997201</v>
      </c>
      <c r="C3083" s="199">
        <v>747.32161981476906</v>
      </c>
      <c r="D3083" s="7"/>
    </row>
    <row r="3084" spans="2:4" x14ac:dyDescent="0.25">
      <c r="B3084" s="4">
        <f t="shared" si="64"/>
        <v>600.77999999997201</v>
      </c>
      <c r="C3084" s="199">
        <v>747.51804543518404</v>
      </c>
      <c r="D3084" s="7"/>
    </row>
    <row r="3085" spans="2:4" x14ac:dyDescent="0.25">
      <c r="B3085" s="4">
        <f t="shared" si="64"/>
        <v>600.789999999972</v>
      </c>
      <c r="C3085" s="199">
        <v>747.71447105560003</v>
      </c>
      <c r="D3085" s="7"/>
    </row>
    <row r="3086" spans="2:4" x14ac:dyDescent="0.25">
      <c r="B3086" s="4">
        <f t="shared" si="64"/>
        <v>600.79999999997199</v>
      </c>
      <c r="C3086" s="199">
        <v>747.91089667601523</v>
      </c>
      <c r="D3086" s="7"/>
    </row>
    <row r="3087" spans="2:4" x14ac:dyDescent="0.25">
      <c r="B3087" s="4">
        <f t="shared" si="64"/>
        <v>600.80999999997198</v>
      </c>
      <c r="C3087" s="199">
        <v>748.10732229643031</v>
      </c>
      <c r="D3087" s="7"/>
    </row>
    <row r="3088" spans="2:4" x14ac:dyDescent="0.25">
      <c r="B3088" s="4">
        <f t="shared" si="64"/>
        <v>600.81999999997197</v>
      </c>
      <c r="C3088" s="199">
        <v>748.30393007655709</v>
      </c>
      <c r="D3088" s="7"/>
    </row>
    <row r="3089" spans="2:4" x14ac:dyDescent="0.25">
      <c r="B3089" s="4">
        <f t="shared" si="64"/>
        <v>600.82999999997196</v>
      </c>
      <c r="C3089" s="199">
        <v>748.50053785668479</v>
      </c>
      <c r="D3089" s="7"/>
    </row>
    <row r="3090" spans="2:4" x14ac:dyDescent="0.25">
      <c r="B3090" s="4">
        <f t="shared" si="64"/>
        <v>600.83999999997195</v>
      </c>
      <c r="C3090" s="199">
        <v>748.69714563681089</v>
      </c>
      <c r="D3090" s="7"/>
    </row>
    <row r="3091" spans="2:4" x14ac:dyDescent="0.25">
      <c r="B3091" s="4">
        <f t="shared" si="64"/>
        <v>600.84999999997194</v>
      </c>
      <c r="C3091" s="199">
        <v>748.89375341693778</v>
      </c>
      <c r="D3091" s="7"/>
    </row>
    <row r="3092" spans="2:4" x14ac:dyDescent="0.25">
      <c r="B3092" s="4">
        <f t="shared" si="64"/>
        <v>600.85999999997193</v>
      </c>
      <c r="C3092" s="199">
        <v>749.09036119706457</v>
      </c>
      <c r="D3092" s="7"/>
    </row>
    <row r="3093" spans="2:4" x14ac:dyDescent="0.25">
      <c r="B3093" s="4">
        <f t="shared" si="64"/>
        <v>600.86999999997192</v>
      </c>
      <c r="C3093" s="199">
        <v>749.28696897719169</v>
      </c>
      <c r="D3093" s="7"/>
    </row>
    <row r="3094" spans="2:4" x14ac:dyDescent="0.25">
      <c r="B3094" s="4">
        <f t="shared" si="64"/>
        <v>600.87999999997191</v>
      </c>
      <c r="C3094" s="199">
        <v>749.48357675731825</v>
      </c>
      <c r="D3094" s="7"/>
    </row>
    <row r="3095" spans="2:4" x14ac:dyDescent="0.25">
      <c r="B3095" s="4">
        <f t="shared" si="64"/>
        <v>600.88999999997191</v>
      </c>
      <c r="C3095" s="199">
        <v>749.68018453744503</v>
      </c>
      <c r="D3095" s="7"/>
    </row>
    <row r="3096" spans="2:4" x14ac:dyDescent="0.25">
      <c r="B3096" s="4">
        <f t="shared" si="64"/>
        <v>600.8999999999719</v>
      </c>
      <c r="C3096" s="199">
        <v>749.87679231757181</v>
      </c>
      <c r="D3096" s="7"/>
    </row>
    <row r="3097" spans="2:4" x14ac:dyDescent="0.25">
      <c r="B3097" s="4">
        <f t="shared" si="64"/>
        <v>600.90999999997189</v>
      </c>
      <c r="C3097" s="199">
        <v>750.07340009769814</v>
      </c>
      <c r="D3097" s="7"/>
    </row>
    <row r="3098" spans="2:4" x14ac:dyDescent="0.25">
      <c r="B3098" s="4">
        <f t="shared" si="64"/>
        <v>600.91999999997188</v>
      </c>
      <c r="C3098" s="199">
        <v>750.27018926049266</v>
      </c>
      <c r="D3098" s="7"/>
    </row>
    <row r="3099" spans="2:4" x14ac:dyDescent="0.25">
      <c r="B3099" s="4">
        <f t="shared" si="64"/>
        <v>600.92999999997187</v>
      </c>
      <c r="C3099" s="199">
        <v>750.46697842329183</v>
      </c>
      <c r="D3099" s="7"/>
    </row>
    <row r="3100" spans="2:4" x14ac:dyDescent="0.25">
      <c r="B3100" s="4">
        <f t="shared" si="64"/>
        <v>600.93999999997186</v>
      </c>
      <c r="C3100" s="199">
        <v>750.66376758608999</v>
      </c>
      <c r="D3100" s="7"/>
    </row>
    <row r="3101" spans="2:4" x14ac:dyDescent="0.25">
      <c r="B3101" s="4">
        <f t="shared" si="64"/>
        <v>600.94999999997185</v>
      </c>
      <c r="C3101" s="199">
        <v>750.86055674888905</v>
      </c>
      <c r="D3101" s="7"/>
    </row>
    <row r="3102" spans="2:4" x14ac:dyDescent="0.25">
      <c r="B3102" s="4">
        <f t="shared" si="64"/>
        <v>600.95999999997184</v>
      </c>
      <c r="C3102" s="199">
        <v>751.05734591168709</v>
      </c>
      <c r="D3102" s="7"/>
    </row>
    <row r="3103" spans="2:4" x14ac:dyDescent="0.25">
      <c r="B3103" s="4">
        <f t="shared" si="64"/>
        <v>600.96999999997183</v>
      </c>
      <c r="C3103" s="199">
        <v>751.25413507448582</v>
      </c>
      <c r="D3103" s="7"/>
    </row>
    <row r="3104" spans="2:4" x14ac:dyDescent="0.25">
      <c r="B3104" s="4">
        <f t="shared" si="64"/>
        <v>600.97999999997182</v>
      </c>
      <c r="C3104" s="199">
        <v>751.45092423728408</v>
      </c>
      <c r="D3104" s="7"/>
    </row>
    <row r="3105" spans="2:4" x14ac:dyDescent="0.25">
      <c r="B3105" s="4">
        <f t="shared" si="64"/>
        <v>600.98999999997181</v>
      </c>
      <c r="C3105" s="199">
        <v>751.64771340008303</v>
      </c>
      <c r="D3105" s="7"/>
    </row>
    <row r="3106" spans="2:4" x14ac:dyDescent="0.25">
      <c r="B3106" s="4">
        <f t="shared" si="64"/>
        <v>600.99999999997181</v>
      </c>
      <c r="C3106" s="199">
        <v>751.84450256288119</v>
      </c>
      <c r="D3106" s="7"/>
    </row>
    <row r="3107" spans="2:4" x14ac:dyDescent="0.25">
      <c r="B3107" s="4">
        <f t="shared" si="64"/>
        <v>601.0099999999718</v>
      </c>
      <c r="C3107" s="199">
        <v>752.04129172568082</v>
      </c>
      <c r="D3107" s="7"/>
    </row>
    <row r="3108" spans="2:4" x14ac:dyDescent="0.25">
      <c r="B3108" s="4">
        <f t="shared" si="64"/>
        <v>601.01999999997179</v>
      </c>
      <c r="C3108" s="199">
        <v>752.23826521673323</v>
      </c>
      <c r="D3108" s="7"/>
    </row>
    <row r="3109" spans="2:4" x14ac:dyDescent="0.25">
      <c r="B3109" s="4">
        <f t="shared" si="64"/>
        <v>601.02999999997178</v>
      </c>
      <c r="C3109" s="199">
        <v>752.43523870778574</v>
      </c>
      <c r="D3109" s="7"/>
    </row>
    <row r="3110" spans="2:4" x14ac:dyDescent="0.25">
      <c r="B3110" s="4">
        <f t="shared" si="64"/>
        <v>601.03999999997177</v>
      </c>
      <c r="C3110" s="199">
        <v>752.63221219883815</v>
      </c>
      <c r="D3110" s="7"/>
    </row>
    <row r="3111" spans="2:4" x14ac:dyDescent="0.25">
      <c r="B3111" s="4">
        <f t="shared" si="64"/>
        <v>601.04999999997176</v>
      </c>
      <c r="C3111" s="199">
        <v>752.82918568989066</v>
      </c>
      <c r="D3111" s="7"/>
    </row>
    <row r="3112" spans="2:4" x14ac:dyDescent="0.25">
      <c r="B3112" s="4">
        <f t="shared" si="64"/>
        <v>601.05999999997175</v>
      </c>
      <c r="C3112" s="199">
        <v>753.0261591809425</v>
      </c>
      <c r="D3112" s="7"/>
    </row>
    <row r="3113" spans="2:4" x14ac:dyDescent="0.25">
      <c r="B3113" s="4">
        <f t="shared" si="64"/>
        <v>601.06999999997174</v>
      </c>
      <c r="C3113" s="199">
        <v>753.22313267199479</v>
      </c>
      <c r="D3113" s="7"/>
    </row>
    <row r="3114" spans="2:4" x14ac:dyDescent="0.25">
      <c r="B3114" s="4">
        <f t="shared" si="64"/>
        <v>601.07999999997173</v>
      </c>
      <c r="C3114" s="199">
        <v>753.42010616304731</v>
      </c>
      <c r="D3114" s="7"/>
    </row>
    <row r="3115" spans="2:4" x14ac:dyDescent="0.25">
      <c r="B3115" s="4">
        <f t="shared" si="64"/>
        <v>601.08999999997172</v>
      </c>
      <c r="C3115" s="199">
        <v>753.61707965410017</v>
      </c>
      <c r="D3115" s="7"/>
    </row>
    <row r="3116" spans="2:4" x14ac:dyDescent="0.25">
      <c r="B3116" s="4">
        <f t="shared" si="64"/>
        <v>601.09999999997171</v>
      </c>
      <c r="C3116" s="199">
        <v>753.81405314515246</v>
      </c>
      <c r="D3116" s="7"/>
    </row>
    <row r="3117" spans="2:4" x14ac:dyDescent="0.25">
      <c r="B3117" s="4">
        <f t="shared" si="64"/>
        <v>601.10999999997171</v>
      </c>
      <c r="C3117" s="199">
        <v>754.01102663620497</v>
      </c>
      <c r="D3117" s="7"/>
    </row>
    <row r="3118" spans="2:4" x14ac:dyDescent="0.25">
      <c r="B3118" s="4">
        <f t="shared" si="64"/>
        <v>601.1199999999717</v>
      </c>
      <c r="C3118" s="199">
        <v>754.20818181439245</v>
      </c>
      <c r="D3118" s="7"/>
    </row>
    <row r="3119" spans="2:4" x14ac:dyDescent="0.25">
      <c r="B3119" s="4">
        <f t="shared" si="64"/>
        <v>601.12999999997169</v>
      </c>
      <c r="C3119" s="199">
        <v>754.40533699258424</v>
      </c>
      <c r="D3119" s="7"/>
    </row>
    <row r="3120" spans="2:4" x14ac:dyDescent="0.25">
      <c r="B3120" s="4">
        <f t="shared" si="64"/>
        <v>601.13999999997168</v>
      </c>
      <c r="C3120" s="199">
        <v>754.60249217077717</v>
      </c>
      <c r="D3120" s="7"/>
    </row>
    <row r="3121" spans="2:4" x14ac:dyDescent="0.25">
      <c r="B3121" s="4">
        <f t="shared" si="64"/>
        <v>601.14999999997167</v>
      </c>
      <c r="C3121" s="199">
        <v>754.79964734896885</v>
      </c>
      <c r="D3121" s="7"/>
    </row>
    <row r="3122" spans="2:4" x14ac:dyDescent="0.25">
      <c r="B3122" s="4">
        <f t="shared" si="64"/>
        <v>601.15999999997166</v>
      </c>
      <c r="C3122" s="199">
        <v>754.99680252716087</v>
      </c>
      <c r="D3122" s="7"/>
    </row>
    <row r="3123" spans="2:4" x14ac:dyDescent="0.25">
      <c r="B3123" s="4">
        <f t="shared" si="64"/>
        <v>601.16999999997165</v>
      </c>
      <c r="C3123" s="199">
        <v>755.19395770535209</v>
      </c>
      <c r="D3123" s="7"/>
    </row>
    <row r="3124" spans="2:4" x14ac:dyDescent="0.25">
      <c r="B3124" s="4">
        <f t="shared" si="64"/>
        <v>601.17999999997164</v>
      </c>
      <c r="C3124" s="199">
        <v>755.39111288354502</v>
      </c>
      <c r="D3124" s="7"/>
    </row>
    <row r="3125" spans="2:4" x14ac:dyDescent="0.25">
      <c r="B3125" s="4">
        <f t="shared" si="64"/>
        <v>601.18999999997163</v>
      </c>
      <c r="C3125" s="199">
        <v>755.5882680617367</v>
      </c>
      <c r="D3125" s="7"/>
    </row>
    <row r="3126" spans="2:4" x14ac:dyDescent="0.25">
      <c r="B3126" s="4">
        <f t="shared" si="64"/>
        <v>601.19999999997162</v>
      </c>
      <c r="C3126" s="199">
        <v>755.78542323992872</v>
      </c>
      <c r="D3126" s="7"/>
    </row>
    <row r="3127" spans="2:4" x14ac:dyDescent="0.25">
      <c r="B3127" s="4">
        <f t="shared" si="64"/>
        <v>601.20999999997161</v>
      </c>
      <c r="C3127" s="199">
        <v>755.98257841812142</v>
      </c>
      <c r="D3127" s="7"/>
    </row>
    <row r="3128" spans="2:4" x14ac:dyDescent="0.25">
      <c r="B3128" s="4">
        <f t="shared" si="64"/>
        <v>601.21999999997161</v>
      </c>
      <c r="C3128" s="199">
        <v>756.17991751104739</v>
      </c>
      <c r="D3128" s="7"/>
    </row>
    <row r="3129" spans="2:4" x14ac:dyDescent="0.25">
      <c r="B3129" s="4">
        <f t="shared" si="64"/>
        <v>601.2299999999716</v>
      </c>
      <c r="C3129" s="199">
        <v>756.37725660397268</v>
      </c>
      <c r="D3129" s="7"/>
    </row>
    <row r="3130" spans="2:4" x14ac:dyDescent="0.25">
      <c r="B3130" s="4">
        <f t="shared" si="64"/>
        <v>601.23999999997159</v>
      </c>
      <c r="C3130" s="199">
        <v>756.574595696899</v>
      </c>
      <c r="D3130" s="7"/>
    </row>
    <row r="3131" spans="2:4" x14ac:dyDescent="0.25">
      <c r="B3131" s="4">
        <f t="shared" si="64"/>
        <v>601.24999999997158</v>
      </c>
      <c r="C3131" s="199">
        <v>756.77193478982463</v>
      </c>
      <c r="D3131" s="7"/>
    </row>
    <row r="3132" spans="2:4" x14ac:dyDescent="0.25">
      <c r="B3132" s="4">
        <f t="shared" si="64"/>
        <v>601.25999999997157</v>
      </c>
      <c r="C3132" s="199">
        <v>756.96927388274969</v>
      </c>
      <c r="D3132" s="7"/>
    </row>
    <row r="3133" spans="2:4" x14ac:dyDescent="0.25">
      <c r="B3133" s="4">
        <f t="shared" si="64"/>
        <v>601.26999999997156</v>
      </c>
      <c r="C3133" s="199">
        <v>757.16661297567634</v>
      </c>
      <c r="D3133" s="7"/>
    </row>
    <row r="3134" spans="2:4" x14ac:dyDescent="0.25">
      <c r="B3134" s="4">
        <f t="shared" si="64"/>
        <v>601.27999999997155</v>
      </c>
      <c r="C3134" s="199">
        <v>757.36395206860198</v>
      </c>
      <c r="D3134" s="7"/>
    </row>
    <row r="3135" spans="2:4" x14ac:dyDescent="0.25">
      <c r="B3135" s="4">
        <f t="shared" si="64"/>
        <v>601.28999999997154</v>
      </c>
      <c r="C3135" s="199">
        <v>757.56129116152806</v>
      </c>
      <c r="D3135" s="7"/>
    </row>
    <row r="3136" spans="2:4" x14ac:dyDescent="0.25">
      <c r="B3136" s="4">
        <f t="shared" si="64"/>
        <v>601.29999999997153</v>
      </c>
      <c r="C3136" s="199">
        <v>757.75863025445381</v>
      </c>
      <c r="D3136" s="7"/>
    </row>
    <row r="3137" spans="2:4" x14ac:dyDescent="0.25">
      <c r="B3137" s="4">
        <f t="shared" si="64"/>
        <v>601.30999999997152</v>
      </c>
      <c r="C3137" s="199">
        <v>757.95596934738035</v>
      </c>
      <c r="D3137" s="7"/>
    </row>
    <row r="3138" spans="2:4" x14ac:dyDescent="0.25">
      <c r="B3138" s="4">
        <f t="shared" si="64"/>
        <v>601.31999999997151</v>
      </c>
      <c r="C3138" s="199">
        <v>758.15349495732426</v>
      </c>
      <c r="D3138" s="7"/>
    </row>
    <row r="3139" spans="2:4" x14ac:dyDescent="0.25">
      <c r="B3139" s="4">
        <f t="shared" si="64"/>
        <v>601.32999999997151</v>
      </c>
      <c r="C3139" s="199">
        <v>758.35102056727237</v>
      </c>
      <c r="D3139" s="7"/>
    </row>
    <row r="3140" spans="2:4" x14ac:dyDescent="0.25">
      <c r="B3140" s="4">
        <f t="shared" si="64"/>
        <v>601.3399999999715</v>
      </c>
      <c r="C3140" s="199">
        <v>758.54854617722071</v>
      </c>
      <c r="D3140" s="7"/>
    </row>
    <row r="3141" spans="2:4" x14ac:dyDescent="0.25">
      <c r="B3141" s="4">
        <f t="shared" si="64"/>
        <v>601.34999999997149</v>
      </c>
      <c r="C3141" s="199">
        <v>758.74607178716883</v>
      </c>
      <c r="D3141" s="7"/>
    </row>
    <row r="3142" spans="2:4" x14ac:dyDescent="0.25">
      <c r="B3142" s="4">
        <f t="shared" si="64"/>
        <v>601.35999999997148</v>
      </c>
      <c r="C3142" s="199">
        <v>758.94359739711751</v>
      </c>
      <c r="D3142" s="7"/>
    </row>
    <row r="3143" spans="2:4" x14ac:dyDescent="0.25">
      <c r="B3143" s="4">
        <f t="shared" si="64"/>
        <v>601.36999999997147</v>
      </c>
      <c r="C3143" s="199">
        <v>759.14112300706608</v>
      </c>
      <c r="D3143" s="7"/>
    </row>
    <row r="3144" spans="2:4" x14ac:dyDescent="0.25">
      <c r="B3144" s="4">
        <f t="shared" ref="B3144:B3207" si="65">+B3143+0.01</f>
        <v>601.37999999997146</v>
      </c>
      <c r="C3144" s="199">
        <v>759.338648617015</v>
      </c>
      <c r="D3144" s="7"/>
    </row>
    <row r="3145" spans="2:4" x14ac:dyDescent="0.25">
      <c r="B3145" s="4">
        <f t="shared" si="65"/>
        <v>601.38999999997145</v>
      </c>
      <c r="C3145" s="199">
        <v>759.53617422696379</v>
      </c>
      <c r="D3145" s="7"/>
    </row>
    <row r="3146" spans="2:4" x14ac:dyDescent="0.25">
      <c r="B3146" s="4">
        <f t="shared" si="65"/>
        <v>601.39999999997144</v>
      </c>
      <c r="C3146" s="199">
        <v>759.7336998369118</v>
      </c>
      <c r="D3146" s="7"/>
    </row>
    <row r="3147" spans="2:4" x14ac:dyDescent="0.25">
      <c r="B3147" s="4">
        <f t="shared" si="65"/>
        <v>601.40999999997143</v>
      </c>
      <c r="C3147" s="199">
        <v>759.93122544686014</v>
      </c>
      <c r="D3147" s="7"/>
    </row>
    <row r="3148" spans="2:4" x14ac:dyDescent="0.25">
      <c r="B3148" s="4">
        <f t="shared" si="65"/>
        <v>601.41999999997142</v>
      </c>
      <c r="C3148" s="199">
        <v>760.12893708030776</v>
      </c>
      <c r="D3148" s="7"/>
    </row>
    <row r="3149" spans="2:4" x14ac:dyDescent="0.25">
      <c r="B3149" s="4">
        <f t="shared" si="65"/>
        <v>601.42999999997141</v>
      </c>
      <c r="C3149" s="199">
        <v>760.32664871375368</v>
      </c>
      <c r="D3149" s="7"/>
    </row>
    <row r="3150" spans="2:4" x14ac:dyDescent="0.25">
      <c r="B3150" s="4">
        <f t="shared" si="65"/>
        <v>601.43999999997141</v>
      </c>
      <c r="C3150" s="199">
        <v>760.52436034720063</v>
      </c>
      <c r="D3150" s="7"/>
    </row>
    <row r="3151" spans="2:4" x14ac:dyDescent="0.25">
      <c r="B3151" s="4">
        <f t="shared" si="65"/>
        <v>601.4499999999714</v>
      </c>
      <c r="C3151" s="199">
        <v>760.72207198064666</v>
      </c>
      <c r="D3151" s="7"/>
    </row>
    <row r="3152" spans="2:4" x14ac:dyDescent="0.25">
      <c r="B3152" s="4">
        <f t="shared" si="65"/>
        <v>601.45999999997139</v>
      </c>
      <c r="C3152" s="199">
        <v>760.91978361409292</v>
      </c>
      <c r="D3152" s="7"/>
    </row>
    <row r="3153" spans="2:4" x14ac:dyDescent="0.25">
      <c r="B3153" s="4">
        <f t="shared" si="65"/>
        <v>601.46999999997138</v>
      </c>
      <c r="C3153" s="199">
        <v>761.11749524753998</v>
      </c>
      <c r="D3153" s="7"/>
    </row>
    <row r="3154" spans="2:4" x14ac:dyDescent="0.25">
      <c r="B3154" s="4">
        <f t="shared" si="65"/>
        <v>601.47999999997137</v>
      </c>
      <c r="C3154" s="199">
        <v>761.31520688098601</v>
      </c>
      <c r="D3154" s="7"/>
    </row>
    <row r="3155" spans="2:4" x14ac:dyDescent="0.25">
      <c r="B3155" s="4">
        <f t="shared" si="65"/>
        <v>601.48999999997136</v>
      </c>
      <c r="C3155" s="199">
        <v>761.51291851443204</v>
      </c>
      <c r="D3155" s="7"/>
    </row>
    <row r="3156" spans="2:4" x14ac:dyDescent="0.25">
      <c r="B3156" s="4">
        <f t="shared" si="65"/>
        <v>601.49999999997135</v>
      </c>
      <c r="C3156" s="199">
        <v>761.71063014787933</v>
      </c>
      <c r="D3156" s="7"/>
    </row>
    <row r="3157" spans="2:4" x14ac:dyDescent="0.25">
      <c r="B3157" s="4">
        <f t="shared" si="65"/>
        <v>601.50999999997134</v>
      </c>
      <c r="C3157" s="199">
        <v>761.90834178132491</v>
      </c>
      <c r="D3157" s="7"/>
    </row>
    <row r="3158" spans="2:4" x14ac:dyDescent="0.25">
      <c r="B3158" s="4">
        <f t="shared" si="65"/>
        <v>601.51999999997133</v>
      </c>
      <c r="C3158" s="199">
        <v>762.10624120076227</v>
      </c>
      <c r="D3158" s="7"/>
    </row>
    <row r="3159" spans="2:4" x14ac:dyDescent="0.25">
      <c r="B3159" s="4">
        <f t="shared" si="65"/>
        <v>601.52999999997132</v>
      </c>
      <c r="C3159" s="199">
        <v>762.30414062020384</v>
      </c>
      <c r="D3159" s="7"/>
    </row>
    <row r="3160" spans="2:4" x14ac:dyDescent="0.25">
      <c r="B3160" s="4">
        <f t="shared" si="65"/>
        <v>601.53999999997131</v>
      </c>
      <c r="C3160" s="199">
        <v>762.50204003964495</v>
      </c>
      <c r="D3160" s="7"/>
    </row>
    <row r="3161" spans="2:4" x14ac:dyDescent="0.25">
      <c r="B3161" s="4">
        <f t="shared" si="65"/>
        <v>601.54999999997131</v>
      </c>
      <c r="C3161" s="199">
        <v>762.69993945908641</v>
      </c>
      <c r="D3161" s="7"/>
    </row>
    <row r="3162" spans="2:4" x14ac:dyDescent="0.25">
      <c r="B3162" s="4">
        <f t="shared" si="65"/>
        <v>601.5599999999713</v>
      </c>
      <c r="C3162" s="199">
        <v>762.89783887852775</v>
      </c>
      <c r="D3162" s="7"/>
    </row>
    <row r="3163" spans="2:4" x14ac:dyDescent="0.25">
      <c r="B3163" s="4">
        <f t="shared" si="65"/>
        <v>601.56999999997129</v>
      </c>
      <c r="C3163" s="199">
        <v>763.09573829796932</v>
      </c>
      <c r="D3163" s="7"/>
    </row>
    <row r="3164" spans="2:4" x14ac:dyDescent="0.25">
      <c r="B3164" s="4">
        <f t="shared" si="65"/>
        <v>601.57999999997128</v>
      </c>
      <c r="C3164" s="199">
        <v>763.29363771741021</v>
      </c>
      <c r="D3164" s="7"/>
    </row>
    <row r="3165" spans="2:4" x14ac:dyDescent="0.25">
      <c r="B3165" s="4">
        <f t="shared" si="65"/>
        <v>601.58999999997127</v>
      </c>
      <c r="C3165" s="199">
        <v>763.49153713685087</v>
      </c>
      <c r="D3165" s="7"/>
    </row>
    <row r="3166" spans="2:4" x14ac:dyDescent="0.25">
      <c r="B3166" s="4">
        <f t="shared" si="65"/>
        <v>601.59999999997126</v>
      </c>
      <c r="C3166" s="199">
        <v>763.68943655629243</v>
      </c>
      <c r="D3166" s="7"/>
    </row>
    <row r="3167" spans="2:4" x14ac:dyDescent="0.25">
      <c r="B3167" s="4">
        <f t="shared" si="65"/>
        <v>601.60999999997125</v>
      </c>
      <c r="C3167" s="199">
        <v>763.887335975734</v>
      </c>
      <c r="D3167" s="7"/>
    </row>
    <row r="3168" spans="2:4" x14ac:dyDescent="0.25">
      <c r="B3168" s="4">
        <f t="shared" si="65"/>
        <v>601.61999999997124</v>
      </c>
      <c r="C3168" s="199">
        <v>764.08542144056173</v>
      </c>
      <c r="D3168" s="7"/>
    </row>
    <row r="3169" spans="2:4" x14ac:dyDescent="0.25">
      <c r="B3169" s="4">
        <f t="shared" si="65"/>
        <v>601.62999999997123</v>
      </c>
      <c r="C3169" s="199">
        <v>764.283506905389</v>
      </c>
      <c r="D3169" s="7"/>
    </row>
    <row r="3170" spans="2:4" x14ac:dyDescent="0.25">
      <c r="B3170" s="4">
        <f t="shared" si="65"/>
        <v>601.63999999997122</v>
      </c>
      <c r="C3170" s="199">
        <v>764.48159237021525</v>
      </c>
      <c r="D3170" s="7"/>
    </row>
    <row r="3171" spans="2:4" x14ac:dyDescent="0.25">
      <c r="B3171" s="4">
        <f t="shared" si="65"/>
        <v>601.64999999997121</v>
      </c>
      <c r="C3171" s="199">
        <v>764.67967783504207</v>
      </c>
      <c r="D3171" s="7"/>
    </row>
    <row r="3172" spans="2:4" x14ac:dyDescent="0.25">
      <c r="B3172" s="4">
        <f t="shared" si="65"/>
        <v>601.65999999997121</v>
      </c>
      <c r="C3172" s="199">
        <v>764.87776329986912</v>
      </c>
      <c r="D3172" s="7"/>
    </row>
    <row r="3173" spans="2:4" x14ac:dyDescent="0.25">
      <c r="B3173" s="4">
        <f t="shared" si="65"/>
        <v>601.6699999999712</v>
      </c>
      <c r="C3173" s="199">
        <v>765.0758487646965</v>
      </c>
      <c r="D3173" s="7"/>
    </row>
    <row r="3174" spans="2:4" x14ac:dyDescent="0.25">
      <c r="B3174" s="4">
        <f t="shared" si="65"/>
        <v>601.67999999997119</v>
      </c>
      <c r="C3174" s="199">
        <v>765.27393422952264</v>
      </c>
      <c r="D3174" s="7"/>
    </row>
    <row r="3175" spans="2:4" x14ac:dyDescent="0.25">
      <c r="B3175" s="4">
        <f t="shared" si="65"/>
        <v>601.68999999997118</v>
      </c>
      <c r="C3175" s="199">
        <v>765.47201969434946</v>
      </c>
      <c r="D3175" s="7"/>
    </row>
    <row r="3176" spans="2:4" x14ac:dyDescent="0.25">
      <c r="B3176" s="4">
        <f t="shared" si="65"/>
        <v>601.69999999997117</v>
      </c>
      <c r="C3176" s="199">
        <v>765.67010515917616</v>
      </c>
      <c r="D3176" s="7"/>
    </row>
    <row r="3177" spans="2:4" x14ac:dyDescent="0.25">
      <c r="B3177" s="4">
        <f t="shared" si="65"/>
        <v>601.70999999997116</v>
      </c>
      <c r="C3177" s="199">
        <v>765.86819062400343</v>
      </c>
      <c r="D3177" s="7"/>
    </row>
    <row r="3178" spans="2:4" x14ac:dyDescent="0.25">
      <c r="B3178" s="4">
        <f t="shared" si="65"/>
        <v>601.71999999997115</v>
      </c>
      <c r="C3178" s="199">
        <v>766.06646148979235</v>
      </c>
      <c r="D3178" s="7"/>
    </row>
    <row r="3179" spans="2:4" x14ac:dyDescent="0.25">
      <c r="B3179" s="4">
        <f t="shared" si="65"/>
        <v>601.72999999997114</v>
      </c>
      <c r="C3179" s="199">
        <v>766.26473235558706</v>
      </c>
      <c r="D3179" s="7"/>
    </row>
    <row r="3180" spans="2:4" x14ac:dyDescent="0.25">
      <c r="B3180" s="4">
        <f t="shared" si="65"/>
        <v>601.73999999997113</v>
      </c>
      <c r="C3180" s="199">
        <v>766.46300322138177</v>
      </c>
      <c r="D3180" s="7"/>
    </row>
    <row r="3181" spans="2:4" x14ac:dyDescent="0.25">
      <c r="B3181" s="4">
        <f t="shared" si="65"/>
        <v>601.74999999997112</v>
      </c>
      <c r="C3181" s="199">
        <v>766.66127408717648</v>
      </c>
      <c r="D3181" s="7"/>
    </row>
    <row r="3182" spans="2:4" x14ac:dyDescent="0.25">
      <c r="B3182" s="4">
        <f t="shared" si="65"/>
        <v>601.75999999997111</v>
      </c>
      <c r="C3182" s="199">
        <v>766.85954495297074</v>
      </c>
      <c r="D3182" s="7"/>
    </row>
    <row r="3183" spans="2:4" x14ac:dyDescent="0.25">
      <c r="B3183" s="4">
        <f t="shared" si="65"/>
        <v>601.76999999997111</v>
      </c>
      <c r="C3183" s="199">
        <v>767.05781581876522</v>
      </c>
      <c r="D3183" s="7"/>
    </row>
    <row r="3184" spans="2:4" x14ac:dyDescent="0.25">
      <c r="B3184" s="4">
        <f t="shared" si="65"/>
        <v>601.7799999999711</v>
      </c>
      <c r="C3184" s="199">
        <v>767.25608668455902</v>
      </c>
      <c r="D3184" s="7"/>
    </row>
    <row r="3185" spans="2:4" x14ac:dyDescent="0.25">
      <c r="B3185" s="4">
        <f t="shared" si="65"/>
        <v>601.78999999997109</v>
      </c>
      <c r="C3185" s="199">
        <v>767.45435755035362</v>
      </c>
      <c r="D3185" s="7"/>
    </row>
    <row r="3186" spans="2:4" x14ac:dyDescent="0.25">
      <c r="B3186" s="4">
        <f t="shared" si="65"/>
        <v>601.79999999997108</v>
      </c>
      <c r="C3186" s="199">
        <v>767.65262841614776</v>
      </c>
      <c r="D3186" s="7"/>
    </row>
    <row r="3187" spans="2:4" x14ac:dyDescent="0.25">
      <c r="B3187" s="4">
        <f t="shared" si="65"/>
        <v>601.80999999997107</v>
      </c>
      <c r="C3187" s="199">
        <v>767.85089928194247</v>
      </c>
      <c r="D3187" s="7"/>
    </row>
    <row r="3188" spans="2:4" x14ac:dyDescent="0.25">
      <c r="B3188" s="4">
        <f t="shared" si="65"/>
        <v>601.81999999997106</v>
      </c>
      <c r="C3188" s="199">
        <v>768.04935509421637</v>
      </c>
      <c r="D3188" s="7"/>
    </row>
    <row r="3189" spans="2:4" x14ac:dyDescent="0.25">
      <c r="B3189" s="4">
        <f t="shared" si="65"/>
        <v>601.82999999997105</v>
      </c>
      <c r="C3189" s="199">
        <v>768.24781090649071</v>
      </c>
      <c r="D3189" s="7"/>
    </row>
    <row r="3190" spans="2:4" x14ac:dyDescent="0.25">
      <c r="B3190" s="4">
        <f t="shared" si="65"/>
        <v>601.83999999997104</v>
      </c>
      <c r="C3190" s="199">
        <v>768.4462667187646</v>
      </c>
      <c r="D3190" s="7"/>
    </row>
    <row r="3191" spans="2:4" x14ac:dyDescent="0.25">
      <c r="B3191" s="4">
        <f t="shared" si="65"/>
        <v>601.84999999997103</v>
      </c>
      <c r="C3191" s="199">
        <v>768.6447225310377</v>
      </c>
      <c r="D3191" s="7"/>
    </row>
    <row r="3192" spans="2:4" x14ac:dyDescent="0.25">
      <c r="B3192" s="4">
        <f t="shared" si="65"/>
        <v>601.85999999997102</v>
      </c>
      <c r="C3192" s="199">
        <v>768.84317834331227</v>
      </c>
      <c r="D3192" s="7"/>
    </row>
    <row r="3193" spans="2:4" x14ac:dyDescent="0.25">
      <c r="B3193" s="4">
        <f t="shared" si="65"/>
        <v>601.86999999997101</v>
      </c>
      <c r="C3193" s="199">
        <v>769.04163415558492</v>
      </c>
      <c r="D3193" s="7"/>
    </row>
    <row r="3194" spans="2:4" x14ac:dyDescent="0.25">
      <c r="B3194" s="4">
        <f t="shared" si="65"/>
        <v>601.87999999997101</v>
      </c>
      <c r="C3194" s="199">
        <v>769.24008996785949</v>
      </c>
      <c r="D3194" s="7"/>
    </row>
    <row r="3195" spans="2:4" x14ac:dyDescent="0.25">
      <c r="B3195" s="4">
        <f t="shared" si="65"/>
        <v>601.889999999971</v>
      </c>
      <c r="C3195" s="199">
        <v>769.4385457801327</v>
      </c>
      <c r="D3195" s="7"/>
    </row>
    <row r="3196" spans="2:4" x14ac:dyDescent="0.25">
      <c r="B3196" s="4">
        <f t="shared" si="65"/>
        <v>601.89999999997099</v>
      </c>
      <c r="C3196" s="199">
        <v>769.6370015924067</v>
      </c>
      <c r="D3196" s="7"/>
    </row>
    <row r="3197" spans="2:4" x14ac:dyDescent="0.25">
      <c r="B3197" s="4">
        <f t="shared" si="65"/>
        <v>601.90999999997098</v>
      </c>
      <c r="C3197" s="199">
        <v>769.83545740468082</v>
      </c>
      <c r="D3197" s="7"/>
    </row>
    <row r="3198" spans="2:4" x14ac:dyDescent="0.25">
      <c r="B3198" s="4">
        <f t="shared" si="65"/>
        <v>601.91999999997097</v>
      </c>
      <c r="C3198" s="199">
        <v>770.03409906123466</v>
      </c>
      <c r="D3198" s="7"/>
    </row>
    <row r="3199" spans="2:4" x14ac:dyDescent="0.25">
      <c r="B3199" s="4">
        <f t="shared" si="65"/>
        <v>601.92999999997096</v>
      </c>
      <c r="C3199" s="199">
        <v>770.23274071779383</v>
      </c>
      <c r="D3199" s="7"/>
    </row>
    <row r="3200" spans="2:4" x14ac:dyDescent="0.25">
      <c r="B3200" s="4">
        <f t="shared" si="65"/>
        <v>601.93999999997095</v>
      </c>
      <c r="C3200" s="199">
        <v>770.43138237435221</v>
      </c>
      <c r="D3200" s="7"/>
    </row>
    <row r="3201" spans="2:4" x14ac:dyDescent="0.25">
      <c r="B3201" s="4">
        <f t="shared" si="65"/>
        <v>601.94999999997094</v>
      </c>
      <c r="C3201" s="199">
        <v>770.63002403091139</v>
      </c>
      <c r="D3201" s="7"/>
    </row>
    <row r="3202" spans="2:4" x14ac:dyDescent="0.25">
      <c r="B3202" s="4">
        <f t="shared" si="65"/>
        <v>601.95999999997093</v>
      </c>
      <c r="C3202" s="199">
        <v>770.82866568746931</v>
      </c>
      <c r="D3202" s="7"/>
    </row>
    <row r="3203" spans="2:4" x14ac:dyDescent="0.25">
      <c r="B3203" s="4">
        <f t="shared" si="65"/>
        <v>601.96999999997092</v>
      </c>
      <c r="C3203" s="199">
        <v>771.02730734402849</v>
      </c>
      <c r="D3203" s="7"/>
    </row>
    <row r="3204" spans="2:4" x14ac:dyDescent="0.25">
      <c r="B3204" s="4">
        <f t="shared" si="65"/>
        <v>601.97999999997091</v>
      </c>
      <c r="C3204" s="199">
        <v>771.22594900058675</v>
      </c>
      <c r="D3204" s="7"/>
    </row>
    <row r="3205" spans="2:4" x14ac:dyDescent="0.25">
      <c r="B3205" s="4">
        <f t="shared" si="65"/>
        <v>601.98999999997091</v>
      </c>
      <c r="C3205" s="199">
        <v>771.42459065714547</v>
      </c>
      <c r="D3205" s="7"/>
    </row>
    <row r="3206" spans="2:4" x14ac:dyDescent="0.25">
      <c r="B3206" s="4">
        <f t="shared" si="65"/>
        <v>601.9999999999709</v>
      </c>
      <c r="C3206" s="199">
        <v>771.62323231370385</v>
      </c>
      <c r="D3206" s="7"/>
    </row>
    <row r="3207" spans="2:4" x14ac:dyDescent="0.25">
      <c r="B3207" s="4">
        <f t="shared" si="65"/>
        <v>602.00999999997089</v>
      </c>
      <c r="C3207" s="199">
        <v>771.82187397026303</v>
      </c>
      <c r="D3207" s="7"/>
    </row>
    <row r="3208" spans="2:4" x14ac:dyDescent="0.25">
      <c r="B3208" s="4">
        <f t="shared" ref="B3208:B3271" si="66">+B3207+0.01</f>
        <v>602.01999999997088</v>
      </c>
      <c r="C3208" s="199">
        <v>772.02070146663175</v>
      </c>
      <c r="D3208" s="7"/>
    </row>
    <row r="3209" spans="2:4" x14ac:dyDescent="0.25">
      <c r="B3209" s="4">
        <f t="shared" si="66"/>
        <v>602.02999999997087</v>
      </c>
      <c r="C3209" s="199">
        <v>772.21952896300172</v>
      </c>
      <c r="D3209" s="7"/>
    </row>
    <row r="3210" spans="2:4" x14ac:dyDescent="0.25">
      <c r="B3210" s="4">
        <f t="shared" si="66"/>
        <v>602.03999999997086</v>
      </c>
      <c r="C3210" s="199">
        <v>772.4183564593709</v>
      </c>
      <c r="D3210" s="7"/>
    </row>
    <row r="3211" spans="2:4" x14ac:dyDescent="0.25">
      <c r="B3211" s="4">
        <f t="shared" si="66"/>
        <v>602.04999999997085</v>
      </c>
      <c r="C3211" s="199">
        <v>772.61718395574042</v>
      </c>
      <c r="D3211" s="7"/>
    </row>
    <row r="3212" spans="2:4" x14ac:dyDescent="0.25">
      <c r="B3212" s="4">
        <f t="shared" si="66"/>
        <v>602.05999999997084</v>
      </c>
      <c r="C3212" s="199">
        <v>772.81601145211039</v>
      </c>
      <c r="D3212" s="7"/>
    </row>
    <row r="3213" spans="2:4" x14ac:dyDescent="0.25">
      <c r="B3213" s="4">
        <f t="shared" si="66"/>
        <v>602.06999999997083</v>
      </c>
      <c r="C3213" s="199">
        <v>773.01483894847968</v>
      </c>
      <c r="D3213" s="7"/>
    </row>
    <row r="3214" spans="2:4" x14ac:dyDescent="0.25">
      <c r="B3214" s="4">
        <f t="shared" si="66"/>
        <v>602.07999999997082</v>
      </c>
      <c r="C3214" s="199">
        <v>773.21366644484908</v>
      </c>
      <c r="D3214" s="7"/>
    </row>
    <row r="3215" spans="2:4" x14ac:dyDescent="0.25">
      <c r="B3215" s="4">
        <f t="shared" si="66"/>
        <v>602.08999999997081</v>
      </c>
      <c r="C3215" s="199">
        <v>773.41249394121837</v>
      </c>
      <c r="D3215" s="7"/>
    </row>
    <row r="3216" spans="2:4" x14ac:dyDescent="0.25">
      <c r="B3216" s="4">
        <f t="shared" si="66"/>
        <v>602.09999999997081</v>
      </c>
      <c r="C3216" s="199">
        <v>773.61132143758823</v>
      </c>
      <c r="D3216" s="7"/>
    </row>
    <row r="3217" spans="2:4" x14ac:dyDescent="0.25">
      <c r="B3217" s="4">
        <f t="shared" si="66"/>
        <v>602.1099999999708</v>
      </c>
      <c r="C3217" s="199">
        <v>773.81014893395729</v>
      </c>
      <c r="D3217" s="7"/>
    </row>
    <row r="3218" spans="2:4" x14ac:dyDescent="0.25">
      <c r="B3218" s="4">
        <f t="shared" si="66"/>
        <v>602.11999999997079</v>
      </c>
      <c r="C3218" s="199">
        <v>774.00916074334737</v>
      </c>
      <c r="D3218" s="7"/>
    </row>
    <row r="3219" spans="2:4" x14ac:dyDescent="0.25">
      <c r="B3219" s="4">
        <f t="shared" si="66"/>
        <v>602.12999999997078</v>
      </c>
      <c r="C3219" s="199">
        <v>774.20817255274062</v>
      </c>
      <c r="D3219" s="7"/>
    </row>
    <row r="3220" spans="2:4" x14ac:dyDescent="0.25">
      <c r="B3220" s="4">
        <f t="shared" si="66"/>
        <v>602.13999999997077</v>
      </c>
      <c r="C3220" s="199">
        <v>774.40718436213365</v>
      </c>
      <c r="D3220" s="7"/>
    </row>
    <row r="3221" spans="2:4" x14ac:dyDescent="0.25">
      <c r="B3221" s="4">
        <f t="shared" si="66"/>
        <v>602.14999999997076</v>
      </c>
      <c r="C3221" s="199">
        <v>774.6061961715277</v>
      </c>
      <c r="D3221" s="7"/>
    </row>
    <row r="3222" spans="2:4" x14ac:dyDescent="0.25">
      <c r="B3222" s="4">
        <f t="shared" si="66"/>
        <v>602.15999999997075</v>
      </c>
      <c r="C3222" s="199">
        <v>774.80520798092107</v>
      </c>
      <c r="D3222" s="7"/>
    </row>
    <row r="3223" spans="2:4" x14ac:dyDescent="0.25">
      <c r="B3223" s="4">
        <f t="shared" si="66"/>
        <v>602.16999999997074</v>
      </c>
      <c r="C3223" s="199">
        <v>775.00421979031444</v>
      </c>
      <c r="D3223" s="7"/>
    </row>
    <row r="3224" spans="2:4" x14ac:dyDescent="0.25">
      <c r="B3224" s="4">
        <f t="shared" si="66"/>
        <v>602.17999999997073</v>
      </c>
      <c r="C3224" s="199">
        <v>775.20323159970769</v>
      </c>
      <c r="D3224" s="7"/>
    </row>
    <row r="3225" spans="2:4" x14ac:dyDescent="0.25">
      <c r="B3225" s="4">
        <f t="shared" si="66"/>
        <v>602.18999999997072</v>
      </c>
      <c r="C3225" s="199">
        <v>775.40224340910174</v>
      </c>
      <c r="D3225" s="7"/>
    </row>
    <row r="3226" spans="2:4" x14ac:dyDescent="0.25">
      <c r="B3226" s="4">
        <f t="shared" si="66"/>
        <v>602.19999999997071</v>
      </c>
      <c r="C3226" s="199">
        <v>775.601255218495</v>
      </c>
      <c r="D3226" s="7"/>
    </row>
    <row r="3227" spans="2:4" x14ac:dyDescent="0.25">
      <c r="B3227" s="4">
        <f t="shared" si="66"/>
        <v>602.20999999997071</v>
      </c>
      <c r="C3227" s="199">
        <v>775.80026702788814</v>
      </c>
      <c r="D3227" s="7"/>
    </row>
    <row r="3228" spans="2:4" x14ac:dyDescent="0.25">
      <c r="B3228" s="4">
        <f t="shared" si="66"/>
        <v>602.2199999999707</v>
      </c>
      <c r="C3228" s="199">
        <v>775.99946679133063</v>
      </c>
      <c r="D3228" s="7"/>
    </row>
    <row r="3229" spans="2:4" x14ac:dyDescent="0.25">
      <c r="B3229" s="4">
        <f t="shared" si="66"/>
        <v>602.22999999997069</v>
      </c>
      <c r="C3229" s="199">
        <v>776.19866655477256</v>
      </c>
      <c r="D3229" s="7"/>
    </row>
    <row r="3230" spans="2:4" x14ac:dyDescent="0.25">
      <c r="B3230" s="4">
        <f t="shared" si="66"/>
        <v>602.23999999997068</v>
      </c>
      <c r="C3230" s="199">
        <v>776.39786631821426</v>
      </c>
      <c r="D3230" s="7"/>
    </row>
    <row r="3231" spans="2:4" x14ac:dyDescent="0.25">
      <c r="B3231" s="4">
        <f t="shared" si="66"/>
        <v>602.24999999997067</v>
      </c>
      <c r="C3231" s="199">
        <v>776.59706608165618</v>
      </c>
      <c r="D3231" s="7"/>
    </row>
    <row r="3232" spans="2:4" x14ac:dyDescent="0.25">
      <c r="B3232" s="4">
        <f t="shared" si="66"/>
        <v>602.25999999997066</v>
      </c>
      <c r="C3232" s="199">
        <v>776.79626584509788</v>
      </c>
      <c r="D3232" s="7"/>
    </row>
    <row r="3233" spans="2:4" x14ac:dyDescent="0.25">
      <c r="B3233" s="4">
        <f t="shared" si="66"/>
        <v>602.26999999997065</v>
      </c>
      <c r="C3233" s="199">
        <v>776.99546560853901</v>
      </c>
      <c r="D3233" s="7"/>
    </row>
    <row r="3234" spans="2:4" x14ac:dyDescent="0.25">
      <c r="B3234" s="4">
        <f t="shared" si="66"/>
        <v>602.27999999997064</v>
      </c>
      <c r="C3234" s="199">
        <v>777.19466537198173</v>
      </c>
      <c r="D3234" s="7"/>
    </row>
    <row r="3235" spans="2:4" x14ac:dyDescent="0.25">
      <c r="B3235" s="4">
        <f t="shared" si="66"/>
        <v>602.28999999997063</v>
      </c>
      <c r="C3235" s="199">
        <v>777.39386513542286</v>
      </c>
      <c r="D3235" s="7"/>
    </row>
    <row r="3236" spans="2:4" x14ac:dyDescent="0.25">
      <c r="B3236" s="4">
        <f t="shared" si="66"/>
        <v>602.29999999997062</v>
      </c>
      <c r="C3236" s="199">
        <v>777.59306489886546</v>
      </c>
      <c r="D3236" s="7"/>
    </row>
    <row r="3237" spans="2:4" x14ac:dyDescent="0.25">
      <c r="B3237" s="4">
        <f t="shared" si="66"/>
        <v>602.30999999997061</v>
      </c>
      <c r="C3237" s="199">
        <v>777.79226466230659</v>
      </c>
      <c r="D3237" s="7"/>
    </row>
    <row r="3238" spans="2:4" x14ac:dyDescent="0.25">
      <c r="B3238" s="4">
        <f t="shared" si="66"/>
        <v>602.31999999997061</v>
      </c>
      <c r="C3238" s="199">
        <v>777.99165229997573</v>
      </c>
      <c r="D3238" s="7"/>
    </row>
    <row r="3239" spans="2:4" x14ac:dyDescent="0.25">
      <c r="B3239" s="4">
        <f t="shared" si="66"/>
        <v>602.3299999999706</v>
      </c>
      <c r="C3239" s="199">
        <v>778.19103993764952</v>
      </c>
      <c r="D3239" s="7"/>
    </row>
    <row r="3240" spans="2:4" x14ac:dyDescent="0.25">
      <c r="B3240" s="4">
        <f t="shared" si="66"/>
        <v>602.33999999997059</v>
      </c>
      <c r="C3240" s="199">
        <v>778.39042757532252</v>
      </c>
      <c r="D3240" s="7"/>
    </row>
    <row r="3241" spans="2:4" x14ac:dyDescent="0.25">
      <c r="B3241" s="4">
        <f t="shared" si="66"/>
        <v>602.34999999997058</v>
      </c>
      <c r="C3241" s="199">
        <v>778.58981521299643</v>
      </c>
      <c r="D3241" s="7"/>
    </row>
    <row r="3242" spans="2:4" x14ac:dyDescent="0.25">
      <c r="B3242" s="4">
        <f t="shared" si="66"/>
        <v>602.35999999997057</v>
      </c>
      <c r="C3242" s="199">
        <v>778.7892028506692</v>
      </c>
      <c r="D3242" s="7"/>
    </row>
    <row r="3243" spans="2:4" x14ac:dyDescent="0.25">
      <c r="B3243" s="4">
        <f t="shared" si="66"/>
        <v>602.36999999997056</v>
      </c>
      <c r="C3243" s="199">
        <v>778.98859048834265</v>
      </c>
      <c r="D3243" s="7"/>
    </row>
    <row r="3244" spans="2:4" x14ac:dyDescent="0.25">
      <c r="B3244" s="4">
        <f t="shared" si="66"/>
        <v>602.37999999997055</v>
      </c>
      <c r="C3244" s="199">
        <v>779.1879781260169</v>
      </c>
      <c r="D3244" s="7"/>
    </row>
    <row r="3245" spans="2:4" x14ac:dyDescent="0.25">
      <c r="B3245" s="4">
        <f t="shared" si="66"/>
        <v>602.38999999997054</v>
      </c>
      <c r="C3245" s="199">
        <v>779.3873657636899</v>
      </c>
      <c r="D3245" s="7"/>
    </row>
    <row r="3246" spans="2:4" x14ac:dyDescent="0.25">
      <c r="B3246" s="4">
        <f t="shared" si="66"/>
        <v>602.39999999997053</v>
      </c>
      <c r="C3246" s="199">
        <v>779.58675340136358</v>
      </c>
      <c r="D3246" s="7"/>
    </row>
    <row r="3247" spans="2:4" x14ac:dyDescent="0.25">
      <c r="B3247" s="4">
        <f t="shared" si="66"/>
        <v>602.40999999997052</v>
      </c>
      <c r="C3247" s="199">
        <v>779.78614103903624</v>
      </c>
      <c r="D3247" s="7"/>
    </row>
    <row r="3248" spans="2:4" x14ac:dyDescent="0.25">
      <c r="B3248" s="4">
        <f t="shared" si="66"/>
        <v>602.41999999997051</v>
      </c>
      <c r="C3248" s="199">
        <v>779.98571929197522</v>
      </c>
      <c r="D3248" s="7"/>
    </row>
    <row r="3249" spans="2:4" x14ac:dyDescent="0.25">
      <c r="B3249" s="4">
        <f t="shared" si="66"/>
        <v>602.42999999997051</v>
      </c>
      <c r="C3249" s="199">
        <v>780.18529754491328</v>
      </c>
      <c r="D3249" s="7"/>
    </row>
    <row r="3250" spans="2:4" x14ac:dyDescent="0.25">
      <c r="B3250" s="4">
        <f t="shared" si="66"/>
        <v>602.4399999999705</v>
      </c>
      <c r="C3250" s="199">
        <v>780.38487579785203</v>
      </c>
      <c r="D3250" s="7"/>
    </row>
    <row r="3251" spans="2:4" x14ac:dyDescent="0.25">
      <c r="B3251" s="4">
        <f t="shared" si="66"/>
        <v>602.44999999997049</v>
      </c>
      <c r="C3251" s="199">
        <v>780.58445405078999</v>
      </c>
      <c r="D3251" s="7"/>
    </row>
    <row r="3252" spans="2:4" x14ac:dyDescent="0.25">
      <c r="B3252" s="4">
        <f t="shared" si="66"/>
        <v>602.45999999997048</v>
      </c>
      <c r="C3252" s="199">
        <v>780.78403230372851</v>
      </c>
      <c r="D3252" s="7"/>
    </row>
    <row r="3253" spans="2:4" x14ac:dyDescent="0.25">
      <c r="B3253" s="4">
        <f t="shared" si="66"/>
        <v>602.46999999997047</v>
      </c>
      <c r="C3253" s="199">
        <v>780.98361055666726</v>
      </c>
      <c r="D3253" s="7"/>
    </row>
    <row r="3254" spans="2:4" x14ac:dyDescent="0.25">
      <c r="B3254" s="4">
        <f t="shared" si="66"/>
        <v>602.47999999997046</v>
      </c>
      <c r="C3254" s="199">
        <v>781.18318880960499</v>
      </c>
      <c r="D3254" s="7"/>
    </row>
    <row r="3255" spans="2:4" x14ac:dyDescent="0.25">
      <c r="B3255" s="4">
        <f t="shared" si="66"/>
        <v>602.48999999997045</v>
      </c>
      <c r="C3255" s="199">
        <v>781.38276706254373</v>
      </c>
      <c r="D3255" s="7"/>
    </row>
    <row r="3256" spans="2:4" x14ac:dyDescent="0.25">
      <c r="B3256" s="4">
        <f t="shared" si="66"/>
        <v>602.49999999997044</v>
      </c>
      <c r="C3256" s="199">
        <v>781.58234531548226</v>
      </c>
      <c r="D3256" s="7"/>
    </row>
    <row r="3257" spans="2:4" x14ac:dyDescent="0.25">
      <c r="B3257" s="4">
        <f t="shared" si="66"/>
        <v>602.50999999997043</v>
      </c>
      <c r="C3257" s="199">
        <v>781.78192356842101</v>
      </c>
      <c r="D3257" s="7"/>
    </row>
    <row r="3258" spans="2:4" x14ac:dyDescent="0.25">
      <c r="B3258" s="4">
        <f t="shared" si="66"/>
        <v>602.51999999997042</v>
      </c>
      <c r="C3258" s="199">
        <v>781.98169447614748</v>
      </c>
      <c r="D3258" s="7"/>
    </row>
    <row r="3259" spans="2:4" x14ac:dyDescent="0.25">
      <c r="B3259" s="4">
        <f t="shared" si="66"/>
        <v>602.52999999997041</v>
      </c>
      <c r="C3259" s="199">
        <v>782.18146538387793</v>
      </c>
      <c r="D3259" s="7"/>
    </row>
    <row r="3260" spans="2:4" x14ac:dyDescent="0.25">
      <c r="B3260" s="4">
        <f t="shared" si="66"/>
        <v>602.53999999997041</v>
      </c>
      <c r="C3260" s="199">
        <v>782.38123629160759</v>
      </c>
      <c r="D3260" s="7"/>
    </row>
    <row r="3261" spans="2:4" x14ac:dyDescent="0.25">
      <c r="B3261" s="4">
        <f t="shared" si="66"/>
        <v>602.5499999999704</v>
      </c>
      <c r="C3261" s="199">
        <v>782.58100719933805</v>
      </c>
      <c r="D3261" s="7"/>
    </row>
    <row r="3262" spans="2:4" x14ac:dyDescent="0.25">
      <c r="B3262" s="4">
        <f t="shared" si="66"/>
        <v>602.55999999997039</v>
      </c>
      <c r="C3262" s="199">
        <v>782.78077810706804</v>
      </c>
      <c r="D3262" s="7"/>
    </row>
    <row r="3263" spans="2:4" x14ac:dyDescent="0.25">
      <c r="B3263" s="4">
        <f t="shared" si="66"/>
        <v>602.56999999997038</v>
      </c>
      <c r="C3263" s="199">
        <v>782.98054901479929</v>
      </c>
      <c r="D3263" s="7"/>
    </row>
    <row r="3264" spans="2:4" x14ac:dyDescent="0.25">
      <c r="B3264" s="4">
        <f t="shared" si="66"/>
        <v>602.57999999997037</v>
      </c>
      <c r="C3264" s="199">
        <v>783.18031992252929</v>
      </c>
      <c r="D3264" s="7"/>
    </row>
    <row r="3265" spans="2:4" x14ac:dyDescent="0.25">
      <c r="B3265" s="4">
        <f t="shared" si="66"/>
        <v>602.58999999997036</v>
      </c>
      <c r="C3265" s="199">
        <v>783.38009083025952</v>
      </c>
      <c r="D3265" s="7"/>
    </row>
    <row r="3266" spans="2:4" x14ac:dyDescent="0.25">
      <c r="B3266" s="4">
        <f t="shared" si="66"/>
        <v>602.59999999997035</v>
      </c>
      <c r="C3266" s="199">
        <v>783.5798617379894</v>
      </c>
      <c r="D3266" s="7"/>
    </row>
    <row r="3267" spans="2:4" x14ac:dyDescent="0.25">
      <c r="B3267" s="4">
        <f t="shared" si="66"/>
        <v>602.60999999997034</v>
      </c>
      <c r="C3267" s="199">
        <v>783.77963264571986</v>
      </c>
      <c r="D3267" s="7"/>
    </row>
    <row r="3268" spans="2:4" x14ac:dyDescent="0.25">
      <c r="B3268" s="4">
        <f t="shared" si="66"/>
        <v>602.61999999997033</v>
      </c>
      <c r="C3268" s="199">
        <v>783.97959379084489</v>
      </c>
      <c r="D3268" s="7"/>
    </row>
    <row r="3269" spans="2:4" x14ac:dyDescent="0.25">
      <c r="B3269" s="4">
        <f t="shared" si="66"/>
        <v>602.62999999997032</v>
      </c>
      <c r="C3269" s="199">
        <v>784.17955493596969</v>
      </c>
      <c r="D3269" s="7"/>
    </row>
    <row r="3270" spans="2:4" x14ac:dyDescent="0.25">
      <c r="B3270" s="4">
        <f t="shared" si="66"/>
        <v>602.63999999997031</v>
      </c>
      <c r="C3270" s="199">
        <v>784.37951608109483</v>
      </c>
      <c r="D3270" s="7"/>
    </row>
    <row r="3271" spans="2:4" x14ac:dyDescent="0.25">
      <c r="B3271" s="4">
        <f t="shared" si="66"/>
        <v>602.6499999999703</v>
      </c>
      <c r="C3271" s="199">
        <v>784.5794772262185</v>
      </c>
      <c r="D3271" s="7"/>
    </row>
    <row r="3272" spans="2:4" x14ac:dyDescent="0.25">
      <c r="B3272" s="4">
        <f t="shared" ref="B3272:B3335" si="67">+B3271+0.01</f>
        <v>602.6599999999703</v>
      </c>
      <c r="C3272" s="199">
        <v>784.77943837134308</v>
      </c>
      <c r="D3272" s="7"/>
    </row>
    <row r="3273" spans="2:4" x14ac:dyDescent="0.25">
      <c r="B3273" s="4">
        <f t="shared" si="67"/>
        <v>602.66999999997029</v>
      </c>
      <c r="C3273" s="199">
        <v>784.97939951646799</v>
      </c>
      <c r="D3273" s="7"/>
    </row>
    <row r="3274" spans="2:4" x14ac:dyDescent="0.25">
      <c r="B3274" s="4">
        <f t="shared" si="67"/>
        <v>602.67999999997028</v>
      </c>
      <c r="C3274" s="199">
        <v>785.17936066159234</v>
      </c>
      <c r="D3274" s="7"/>
    </row>
    <row r="3275" spans="2:4" x14ac:dyDescent="0.25">
      <c r="B3275" s="4">
        <f t="shared" si="67"/>
        <v>602.68999999997027</v>
      </c>
      <c r="C3275" s="199">
        <v>785.37932180671612</v>
      </c>
      <c r="D3275" s="7"/>
    </row>
    <row r="3276" spans="2:4" x14ac:dyDescent="0.25">
      <c r="B3276" s="4">
        <f t="shared" si="67"/>
        <v>602.69999999997026</v>
      </c>
      <c r="C3276" s="199">
        <v>785.57928295184138</v>
      </c>
      <c r="D3276" s="7"/>
    </row>
    <row r="3277" spans="2:4" x14ac:dyDescent="0.25">
      <c r="B3277" s="4">
        <f t="shared" si="67"/>
        <v>602.70999999997025</v>
      </c>
      <c r="C3277" s="199">
        <v>785.77924409696607</v>
      </c>
      <c r="D3277" s="7"/>
    </row>
    <row r="3278" spans="2:4" x14ac:dyDescent="0.25">
      <c r="B3278" s="4">
        <f t="shared" si="67"/>
        <v>602.71999999997024</v>
      </c>
      <c r="C3278" s="199">
        <v>785.97939764300384</v>
      </c>
      <c r="D3278" s="7"/>
    </row>
    <row r="3279" spans="2:4" x14ac:dyDescent="0.25">
      <c r="B3279" s="4">
        <f t="shared" si="67"/>
        <v>602.72999999997023</v>
      </c>
      <c r="C3279" s="199">
        <v>786.17955118904752</v>
      </c>
      <c r="D3279" s="7"/>
    </row>
    <row r="3280" spans="2:4" x14ac:dyDescent="0.25">
      <c r="B3280" s="4">
        <f t="shared" si="67"/>
        <v>602.73999999997022</v>
      </c>
      <c r="C3280" s="199">
        <v>786.37970473509063</v>
      </c>
      <c r="D3280" s="7"/>
    </row>
    <row r="3281" spans="2:4" x14ac:dyDescent="0.25">
      <c r="B3281" s="4">
        <f t="shared" si="67"/>
        <v>602.74999999997021</v>
      </c>
      <c r="C3281" s="199">
        <v>786.57985828113408</v>
      </c>
      <c r="D3281" s="7"/>
    </row>
    <row r="3282" spans="2:4" x14ac:dyDescent="0.25">
      <c r="B3282" s="4">
        <f t="shared" si="67"/>
        <v>602.7599999999702</v>
      </c>
      <c r="C3282" s="199">
        <v>786.7800118271781</v>
      </c>
      <c r="D3282" s="7"/>
    </row>
    <row r="3283" spans="2:4" x14ac:dyDescent="0.25">
      <c r="B3283" s="4">
        <f t="shared" si="67"/>
        <v>602.7699999999702</v>
      </c>
      <c r="C3283" s="199">
        <v>786.98016537322064</v>
      </c>
      <c r="D3283" s="7"/>
    </row>
    <row r="3284" spans="2:4" x14ac:dyDescent="0.25">
      <c r="B3284" s="4">
        <f t="shared" si="67"/>
        <v>602.77999999997019</v>
      </c>
      <c r="C3284" s="199">
        <v>787.18031891926466</v>
      </c>
      <c r="D3284" s="7"/>
    </row>
    <row r="3285" spans="2:4" x14ac:dyDescent="0.25">
      <c r="B3285" s="4">
        <f t="shared" si="67"/>
        <v>602.78999999997018</v>
      </c>
      <c r="C3285" s="199">
        <v>787.38047246530857</v>
      </c>
      <c r="D3285" s="7"/>
    </row>
    <row r="3286" spans="2:4" x14ac:dyDescent="0.25">
      <c r="B3286" s="4">
        <f t="shared" si="67"/>
        <v>602.79999999997017</v>
      </c>
      <c r="C3286" s="199">
        <v>787.58062601135123</v>
      </c>
      <c r="D3286" s="7"/>
    </row>
    <row r="3287" spans="2:4" x14ac:dyDescent="0.25">
      <c r="B3287" s="4">
        <f t="shared" si="67"/>
        <v>602.80999999997016</v>
      </c>
      <c r="C3287" s="199">
        <v>787.78077955739502</v>
      </c>
      <c r="D3287" s="7"/>
    </row>
    <row r="3288" spans="2:4" x14ac:dyDescent="0.25">
      <c r="B3288" s="4">
        <f t="shared" si="67"/>
        <v>602.81999999997015</v>
      </c>
      <c r="C3288" s="199">
        <v>787.98112721192535</v>
      </c>
      <c r="D3288" s="7"/>
    </row>
    <row r="3289" spans="2:4" x14ac:dyDescent="0.25">
      <c r="B3289" s="4">
        <f t="shared" si="67"/>
        <v>602.82999999997014</v>
      </c>
      <c r="C3289" s="199">
        <v>788.18147486645501</v>
      </c>
      <c r="D3289" s="7"/>
    </row>
    <row r="3290" spans="2:4" x14ac:dyDescent="0.25">
      <c r="B3290" s="4">
        <f t="shared" si="67"/>
        <v>602.83999999997013</v>
      </c>
      <c r="C3290" s="199">
        <v>788.38182252098431</v>
      </c>
      <c r="D3290" s="7"/>
    </row>
    <row r="3291" spans="2:4" x14ac:dyDescent="0.25">
      <c r="B3291" s="4">
        <f t="shared" si="67"/>
        <v>602.84999999997012</v>
      </c>
      <c r="C3291" s="199">
        <v>788.58217017551362</v>
      </c>
      <c r="D3291" s="7"/>
    </row>
    <row r="3292" spans="2:4" x14ac:dyDescent="0.25">
      <c r="B3292" s="4">
        <f t="shared" si="67"/>
        <v>602.85999999997011</v>
      </c>
      <c r="C3292" s="199">
        <v>788.78251783004248</v>
      </c>
      <c r="D3292" s="7"/>
    </row>
    <row r="3293" spans="2:4" x14ac:dyDescent="0.25">
      <c r="B3293" s="4">
        <f t="shared" si="67"/>
        <v>602.8699999999701</v>
      </c>
      <c r="C3293" s="199">
        <v>788.98286548457281</v>
      </c>
      <c r="D3293" s="7"/>
    </row>
    <row r="3294" spans="2:4" x14ac:dyDescent="0.25">
      <c r="B3294" s="4">
        <f t="shared" si="67"/>
        <v>602.8799999999701</v>
      </c>
      <c r="C3294" s="199">
        <v>789.18321313910189</v>
      </c>
      <c r="D3294" s="7"/>
    </row>
    <row r="3295" spans="2:4" x14ac:dyDescent="0.25">
      <c r="B3295" s="4">
        <f t="shared" si="67"/>
        <v>602.88999999997009</v>
      </c>
      <c r="C3295" s="199">
        <v>789.3835607936312</v>
      </c>
      <c r="D3295" s="7"/>
    </row>
    <row r="3296" spans="2:4" x14ac:dyDescent="0.25">
      <c r="B3296" s="4">
        <f t="shared" si="67"/>
        <v>602.89999999997008</v>
      </c>
      <c r="C3296" s="199">
        <v>789.58390844816006</v>
      </c>
      <c r="D3296" s="7"/>
    </row>
    <row r="3297" spans="2:4" x14ac:dyDescent="0.25">
      <c r="B3297" s="4">
        <f t="shared" si="67"/>
        <v>602.90999999997007</v>
      </c>
      <c r="C3297" s="199">
        <v>789.78425610269039</v>
      </c>
      <c r="D3297" s="7"/>
    </row>
    <row r="3298" spans="2:4" x14ac:dyDescent="0.25">
      <c r="B3298" s="4">
        <f t="shared" si="67"/>
        <v>602.91999999997006</v>
      </c>
      <c r="C3298" s="199">
        <v>789.98479647842782</v>
      </c>
      <c r="D3298" s="7"/>
    </row>
    <row r="3299" spans="2:4" x14ac:dyDescent="0.25">
      <c r="B3299" s="4">
        <f t="shared" si="67"/>
        <v>602.92999999997005</v>
      </c>
      <c r="C3299" s="199">
        <v>790.18533685416924</v>
      </c>
      <c r="D3299" s="7"/>
    </row>
    <row r="3300" spans="2:4" x14ac:dyDescent="0.25">
      <c r="B3300" s="4">
        <f t="shared" si="67"/>
        <v>602.93999999997004</v>
      </c>
      <c r="C3300" s="199">
        <v>790.38587722991008</v>
      </c>
      <c r="D3300" s="7"/>
    </row>
    <row r="3301" spans="2:4" x14ac:dyDescent="0.25">
      <c r="B3301" s="4">
        <f t="shared" si="67"/>
        <v>602.94999999997003</v>
      </c>
      <c r="C3301" s="199">
        <v>790.58641760565217</v>
      </c>
      <c r="D3301" s="7"/>
    </row>
    <row r="3302" spans="2:4" x14ac:dyDescent="0.25">
      <c r="B3302" s="4">
        <f t="shared" si="67"/>
        <v>602.95999999997002</v>
      </c>
      <c r="C3302" s="199">
        <v>790.78695798139302</v>
      </c>
      <c r="D3302" s="7"/>
    </row>
    <row r="3303" spans="2:4" x14ac:dyDescent="0.25">
      <c r="B3303" s="4">
        <f t="shared" si="67"/>
        <v>602.96999999997001</v>
      </c>
      <c r="C3303" s="199">
        <v>790.98749835713511</v>
      </c>
      <c r="D3303" s="7"/>
    </row>
    <row r="3304" spans="2:4" x14ac:dyDescent="0.25">
      <c r="B3304" s="4">
        <f t="shared" si="67"/>
        <v>602.97999999997</v>
      </c>
      <c r="C3304" s="199">
        <v>791.18803873287641</v>
      </c>
      <c r="D3304" s="7"/>
    </row>
    <row r="3305" spans="2:4" x14ac:dyDescent="0.25">
      <c r="B3305" s="4">
        <f t="shared" si="67"/>
        <v>602.98999999997</v>
      </c>
      <c r="C3305" s="199">
        <v>791.38857910861714</v>
      </c>
      <c r="D3305" s="7"/>
    </row>
    <row r="3306" spans="2:4" x14ac:dyDescent="0.25">
      <c r="B3306" s="4">
        <f t="shared" si="67"/>
        <v>602.99999999996999</v>
      </c>
      <c r="C3306" s="199">
        <v>791.58911948435923</v>
      </c>
      <c r="D3306" s="7"/>
    </row>
    <row r="3307" spans="2:4" x14ac:dyDescent="0.25">
      <c r="B3307" s="4">
        <f t="shared" si="67"/>
        <v>603.00999999996998</v>
      </c>
      <c r="C3307" s="199">
        <v>791.78965986010064</v>
      </c>
      <c r="D3307" s="7"/>
    </row>
    <row r="3308" spans="2:4" x14ac:dyDescent="0.25">
      <c r="B3308" s="4">
        <f t="shared" si="67"/>
        <v>603.01999999996997</v>
      </c>
      <c r="C3308" s="199">
        <v>791.9903955392092</v>
      </c>
      <c r="D3308" s="7"/>
    </row>
    <row r="3309" spans="2:4" x14ac:dyDescent="0.25">
      <c r="B3309" s="4">
        <f t="shared" si="67"/>
        <v>603.02999999996996</v>
      </c>
      <c r="C3309" s="199">
        <v>792.19113121831754</v>
      </c>
      <c r="D3309" s="7"/>
    </row>
    <row r="3310" spans="2:4" x14ac:dyDescent="0.25">
      <c r="B3310" s="4">
        <f t="shared" si="67"/>
        <v>603.03999999996995</v>
      </c>
      <c r="C3310" s="199">
        <v>792.39186689742621</v>
      </c>
      <c r="D3310" s="7"/>
    </row>
    <row r="3311" spans="2:4" x14ac:dyDescent="0.25">
      <c r="B3311" s="4">
        <f t="shared" si="67"/>
        <v>603.04999999996994</v>
      </c>
      <c r="C3311" s="199">
        <v>792.59260257653466</v>
      </c>
      <c r="D3311" s="7"/>
    </row>
    <row r="3312" spans="2:4" x14ac:dyDescent="0.25">
      <c r="B3312" s="4">
        <f t="shared" si="67"/>
        <v>603.05999999996993</v>
      </c>
      <c r="C3312" s="199">
        <v>792.79333825564265</v>
      </c>
      <c r="D3312" s="7"/>
    </row>
    <row r="3313" spans="2:4" x14ac:dyDescent="0.25">
      <c r="B3313" s="4">
        <f t="shared" si="67"/>
        <v>603.06999999996992</v>
      </c>
      <c r="C3313" s="199">
        <v>792.99407393475201</v>
      </c>
      <c r="D3313" s="7"/>
    </row>
    <row r="3314" spans="2:4" x14ac:dyDescent="0.25">
      <c r="B3314" s="4">
        <f t="shared" si="67"/>
        <v>603.07999999996991</v>
      </c>
      <c r="C3314" s="199">
        <v>793.1948096138608</v>
      </c>
      <c r="D3314" s="7"/>
    </row>
    <row r="3315" spans="2:4" x14ac:dyDescent="0.25">
      <c r="B3315" s="4">
        <f t="shared" si="67"/>
        <v>603.0899999999699</v>
      </c>
      <c r="C3315" s="199">
        <v>793.39554529296913</v>
      </c>
      <c r="D3315" s="7"/>
    </row>
    <row r="3316" spans="2:4" x14ac:dyDescent="0.25">
      <c r="B3316" s="4">
        <f t="shared" si="67"/>
        <v>603.0999999999699</v>
      </c>
      <c r="C3316" s="199">
        <v>793.59628097207724</v>
      </c>
      <c r="D3316" s="7"/>
    </row>
    <row r="3317" spans="2:4" x14ac:dyDescent="0.25">
      <c r="B3317" s="4">
        <f t="shared" si="67"/>
        <v>603.10999999996989</v>
      </c>
      <c r="C3317" s="199">
        <v>793.79701665118569</v>
      </c>
      <c r="D3317" s="7"/>
    </row>
    <row r="3318" spans="2:4" x14ac:dyDescent="0.25">
      <c r="B3318" s="4">
        <f t="shared" si="67"/>
        <v>603.11999999996988</v>
      </c>
      <c r="C3318" s="199">
        <v>793.99794944108612</v>
      </c>
      <c r="D3318" s="7"/>
    </row>
    <row r="3319" spans="2:4" x14ac:dyDescent="0.25">
      <c r="B3319" s="4">
        <f t="shared" si="67"/>
        <v>603.12999999996987</v>
      </c>
      <c r="C3319" s="199">
        <v>794.19888223099201</v>
      </c>
      <c r="D3319" s="7"/>
    </row>
    <row r="3320" spans="2:4" x14ac:dyDescent="0.25">
      <c r="B3320" s="4">
        <f t="shared" si="67"/>
        <v>603.13999999996986</v>
      </c>
      <c r="C3320" s="199">
        <v>794.39981502089654</v>
      </c>
      <c r="D3320" s="7"/>
    </row>
    <row r="3321" spans="2:4" x14ac:dyDescent="0.25">
      <c r="B3321" s="4">
        <f t="shared" si="67"/>
        <v>603.14999999996985</v>
      </c>
      <c r="C3321" s="199">
        <v>794.60074781080198</v>
      </c>
      <c r="D3321" s="7"/>
    </row>
    <row r="3322" spans="2:4" x14ac:dyDescent="0.25">
      <c r="B3322" s="4">
        <f t="shared" si="67"/>
        <v>603.15999999996984</v>
      </c>
      <c r="C3322" s="199">
        <v>794.80168060070616</v>
      </c>
      <c r="D3322" s="7"/>
    </row>
    <row r="3323" spans="2:4" x14ac:dyDescent="0.25">
      <c r="B3323" s="4">
        <f t="shared" si="67"/>
        <v>603.16999999996983</v>
      </c>
      <c r="C3323" s="199">
        <v>795.00261339061149</v>
      </c>
      <c r="D3323" s="7"/>
    </row>
    <row r="3324" spans="2:4" x14ac:dyDescent="0.25">
      <c r="B3324" s="4">
        <f t="shared" si="67"/>
        <v>603.17999999996982</v>
      </c>
      <c r="C3324" s="199">
        <v>795.20354618051635</v>
      </c>
      <c r="D3324" s="7"/>
    </row>
    <row r="3325" spans="2:4" x14ac:dyDescent="0.25">
      <c r="B3325" s="4">
        <f t="shared" si="67"/>
        <v>603.18999999996981</v>
      </c>
      <c r="C3325" s="199">
        <v>795.40447897042191</v>
      </c>
      <c r="D3325" s="7"/>
    </row>
    <row r="3326" spans="2:4" x14ac:dyDescent="0.25">
      <c r="B3326" s="4">
        <f t="shared" si="67"/>
        <v>603.1999999999698</v>
      </c>
      <c r="C3326" s="199">
        <v>795.60541176032632</v>
      </c>
      <c r="D3326" s="7"/>
    </row>
    <row r="3327" spans="2:4" x14ac:dyDescent="0.25">
      <c r="B3327" s="4">
        <f t="shared" si="67"/>
        <v>603.2099999999698</v>
      </c>
      <c r="C3327" s="199">
        <v>795.80634455023153</v>
      </c>
      <c r="D3327" s="7"/>
    </row>
    <row r="3328" spans="2:4" x14ac:dyDescent="0.25">
      <c r="B3328" s="4">
        <f t="shared" si="67"/>
        <v>603.21999999996979</v>
      </c>
      <c r="C3328" s="199">
        <v>796.007475720966</v>
      </c>
      <c r="D3328" s="7"/>
    </row>
    <row r="3329" spans="2:4" x14ac:dyDescent="0.25">
      <c r="B3329" s="4">
        <f t="shared" si="67"/>
        <v>603.22999999996978</v>
      </c>
      <c r="C3329" s="199">
        <v>796.20860689169911</v>
      </c>
      <c r="D3329" s="7"/>
    </row>
    <row r="3330" spans="2:4" x14ac:dyDescent="0.25">
      <c r="B3330" s="4">
        <f t="shared" si="67"/>
        <v>603.23999999996977</v>
      </c>
      <c r="C3330" s="199">
        <v>796.40973806243335</v>
      </c>
      <c r="D3330" s="7"/>
    </row>
    <row r="3331" spans="2:4" x14ac:dyDescent="0.25">
      <c r="B3331" s="4">
        <f t="shared" si="67"/>
        <v>603.24999999996976</v>
      </c>
      <c r="C3331" s="199">
        <v>796.61086923316668</v>
      </c>
      <c r="D3331" s="7"/>
    </row>
    <row r="3332" spans="2:4" x14ac:dyDescent="0.25">
      <c r="B3332" s="4">
        <f t="shared" si="67"/>
        <v>603.25999999996975</v>
      </c>
      <c r="C3332" s="199">
        <v>796.8120004038999</v>
      </c>
      <c r="D3332" s="7"/>
    </row>
    <row r="3333" spans="2:4" x14ac:dyDescent="0.25">
      <c r="B3333" s="4">
        <f t="shared" si="67"/>
        <v>603.26999999996974</v>
      </c>
      <c r="C3333" s="199">
        <v>797.01313157463369</v>
      </c>
      <c r="D3333" s="7"/>
    </row>
    <row r="3334" spans="2:4" x14ac:dyDescent="0.25">
      <c r="B3334" s="4">
        <f t="shared" si="67"/>
        <v>603.27999999996973</v>
      </c>
      <c r="C3334" s="199">
        <v>797.21426274536771</v>
      </c>
      <c r="D3334" s="7"/>
    </row>
    <row r="3335" spans="2:4" x14ac:dyDescent="0.25">
      <c r="B3335" s="4">
        <f t="shared" si="67"/>
        <v>603.28999999996972</v>
      </c>
      <c r="C3335" s="199">
        <v>797.41539391610092</v>
      </c>
      <c r="D3335" s="7"/>
    </row>
    <row r="3336" spans="2:4" x14ac:dyDescent="0.25">
      <c r="B3336" s="4">
        <f t="shared" ref="B3336:B3399" si="68">+B3335+0.01</f>
        <v>603.29999999996971</v>
      </c>
      <c r="C3336" s="199">
        <v>797.61652508683426</v>
      </c>
      <c r="D3336" s="7"/>
    </row>
    <row r="3337" spans="2:4" x14ac:dyDescent="0.25">
      <c r="B3337" s="4">
        <f t="shared" si="68"/>
        <v>603.3099999999697</v>
      </c>
      <c r="C3337" s="199">
        <v>797.81765625756759</v>
      </c>
      <c r="D3337" s="7"/>
    </row>
    <row r="3338" spans="2:4" x14ac:dyDescent="0.25">
      <c r="B3338" s="4">
        <f t="shared" si="68"/>
        <v>603.3199999999697</v>
      </c>
      <c r="C3338" s="199">
        <v>798.01898443335187</v>
      </c>
      <c r="D3338" s="7"/>
    </row>
    <row r="3339" spans="2:4" x14ac:dyDescent="0.25">
      <c r="B3339" s="4">
        <f t="shared" si="68"/>
        <v>603.32999999996969</v>
      </c>
      <c r="C3339" s="199">
        <v>798.22031260914139</v>
      </c>
      <c r="D3339" s="7"/>
    </row>
    <row r="3340" spans="2:4" x14ac:dyDescent="0.25">
      <c r="B3340" s="4">
        <f t="shared" si="68"/>
        <v>603.33999999996968</v>
      </c>
      <c r="C3340" s="199">
        <v>798.42164078492954</v>
      </c>
      <c r="D3340" s="7"/>
    </row>
    <row r="3341" spans="2:4" x14ac:dyDescent="0.25">
      <c r="B3341" s="4">
        <f t="shared" si="68"/>
        <v>603.34999999996967</v>
      </c>
      <c r="C3341" s="199">
        <v>798.62296896071882</v>
      </c>
      <c r="D3341" s="7"/>
    </row>
    <row r="3342" spans="2:4" x14ac:dyDescent="0.25">
      <c r="B3342" s="4">
        <f t="shared" si="68"/>
        <v>603.35999999996966</v>
      </c>
      <c r="C3342" s="199">
        <v>798.82429713650811</v>
      </c>
      <c r="D3342" s="7"/>
    </row>
    <row r="3343" spans="2:4" x14ac:dyDescent="0.25">
      <c r="B3343" s="4">
        <f t="shared" si="68"/>
        <v>603.36999999996965</v>
      </c>
      <c r="C3343" s="199">
        <v>799.02562531229762</v>
      </c>
      <c r="D3343" s="7"/>
    </row>
    <row r="3344" spans="2:4" x14ac:dyDescent="0.25">
      <c r="B3344" s="4">
        <f t="shared" si="68"/>
        <v>603.37999999996964</v>
      </c>
      <c r="C3344" s="199">
        <v>799.226953488086</v>
      </c>
      <c r="D3344" s="7"/>
    </row>
    <row r="3345" spans="2:4" x14ac:dyDescent="0.25">
      <c r="B3345" s="4">
        <f t="shared" si="68"/>
        <v>603.38999999996963</v>
      </c>
      <c r="C3345" s="199">
        <v>799.42828166387528</v>
      </c>
      <c r="D3345" s="7"/>
    </row>
    <row r="3346" spans="2:4" x14ac:dyDescent="0.25">
      <c r="B3346" s="4">
        <f t="shared" si="68"/>
        <v>603.39999999996962</v>
      </c>
      <c r="C3346" s="199">
        <v>799.62960983966445</v>
      </c>
      <c r="D3346" s="7"/>
    </row>
    <row r="3347" spans="2:4" x14ac:dyDescent="0.25">
      <c r="B3347" s="4">
        <f t="shared" si="68"/>
        <v>603.40999999996961</v>
      </c>
      <c r="C3347" s="199">
        <v>799.83093801545294</v>
      </c>
      <c r="D3347" s="7"/>
    </row>
    <row r="3348" spans="2:4" x14ac:dyDescent="0.25">
      <c r="B3348" s="4">
        <f t="shared" si="68"/>
        <v>603.4199999999696</v>
      </c>
      <c r="C3348" s="199">
        <v>800.03246666672283</v>
      </c>
      <c r="D3348" s="7"/>
    </row>
    <row r="3349" spans="2:4" x14ac:dyDescent="0.25">
      <c r="B3349" s="4">
        <f t="shared" si="68"/>
        <v>603.4299999999696</v>
      </c>
      <c r="C3349" s="199">
        <v>800.23399531799225</v>
      </c>
      <c r="D3349" s="7"/>
    </row>
    <row r="3350" spans="2:4" x14ac:dyDescent="0.25">
      <c r="B3350" s="4">
        <f t="shared" si="68"/>
        <v>603.43999999996959</v>
      </c>
      <c r="C3350" s="199">
        <v>800.43552396926214</v>
      </c>
      <c r="D3350" s="7"/>
    </row>
    <row r="3351" spans="2:4" x14ac:dyDescent="0.25">
      <c r="B3351" s="4">
        <f t="shared" si="68"/>
        <v>603.44999999996958</v>
      </c>
      <c r="C3351" s="199">
        <v>800.63705262053168</v>
      </c>
      <c r="D3351" s="7"/>
    </row>
    <row r="3352" spans="2:4" x14ac:dyDescent="0.25">
      <c r="B3352" s="4">
        <f t="shared" si="68"/>
        <v>603.45999999996957</v>
      </c>
      <c r="C3352" s="199">
        <v>800.8385812718011</v>
      </c>
      <c r="D3352" s="7"/>
    </row>
    <row r="3353" spans="2:4" x14ac:dyDescent="0.25">
      <c r="B3353" s="4">
        <f t="shared" si="68"/>
        <v>603.46999999996956</v>
      </c>
      <c r="C3353" s="199">
        <v>801.04010992307064</v>
      </c>
      <c r="D3353" s="7"/>
    </row>
    <row r="3354" spans="2:4" x14ac:dyDescent="0.25">
      <c r="B3354" s="4">
        <f t="shared" si="68"/>
        <v>603.47999999996955</v>
      </c>
      <c r="C3354" s="199">
        <v>801.24163857434053</v>
      </c>
      <c r="D3354" s="7"/>
    </row>
    <row r="3355" spans="2:4" x14ac:dyDescent="0.25">
      <c r="B3355" s="4">
        <f t="shared" si="68"/>
        <v>603.48999999996954</v>
      </c>
      <c r="C3355" s="199">
        <v>801.44316722561052</v>
      </c>
      <c r="D3355" s="7"/>
    </row>
    <row r="3356" spans="2:4" x14ac:dyDescent="0.25">
      <c r="B3356" s="4">
        <f t="shared" si="68"/>
        <v>603.49999999996953</v>
      </c>
      <c r="C3356" s="199">
        <v>801.64469587688041</v>
      </c>
      <c r="D3356" s="7"/>
    </row>
    <row r="3357" spans="2:4" x14ac:dyDescent="0.25">
      <c r="B3357" s="4">
        <f t="shared" si="68"/>
        <v>603.50999999996952</v>
      </c>
      <c r="C3357" s="199">
        <v>801.84622452814995</v>
      </c>
      <c r="D3357" s="7"/>
    </row>
    <row r="3358" spans="2:4" x14ac:dyDescent="0.25">
      <c r="B3358" s="4">
        <f t="shared" si="68"/>
        <v>603.51999999996951</v>
      </c>
      <c r="C3358" s="199">
        <v>802.0479572042251</v>
      </c>
      <c r="D3358" s="7"/>
    </row>
    <row r="3359" spans="2:4" x14ac:dyDescent="0.25">
      <c r="B3359" s="4">
        <f t="shared" si="68"/>
        <v>603.5299999999695</v>
      </c>
      <c r="C3359" s="199">
        <v>802.24968988030514</v>
      </c>
      <c r="D3359" s="7"/>
    </row>
    <row r="3360" spans="2:4" x14ac:dyDescent="0.25">
      <c r="B3360" s="4">
        <f t="shared" si="68"/>
        <v>603.5399999999695</v>
      </c>
      <c r="C3360" s="199">
        <v>802.45142255638427</v>
      </c>
      <c r="D3360" s="7"/>
    </row>
    <row r="3361" spans="2:4" x14ac:dyDescent="0.25">
      <c r="B3361" s="4">
        <f t="shared" si="68"/>
        <v>603.54999999996949</v>
      </c>
      <c r="C3361" s="199">
        <v>802.6531552324642</v>
      </c>
      <c r="D3361" s="7"/>
    </row>
    <row r="3362" spans="2:4" x14ac:dyDescent="0.25">
      <c r="B3362" s="4">
        <f t="shared" si="68"/>
        <v>603.55999999996948</v>
      </c>
      <c r="C3362" s="199">
        <v>802.85488790854311</v>
      </c>
      <c r="D3362" s="7"/>
    </row>
    <row r="3363" spans="2:4" x14ac:dyDescent="0.25">
      <c r="B3363" s="4">
        <f t="shared" si="68"/>
        <v>603.56999999996947</v>
      </c>
      <c r="C3363" s="199">
        <v>803.05662058462246</v>
      </c>
      <c r="D3363" s="7"/>
    </row>
    <row r="3364" spans="2:4" x14ac:dyDescent="0.25">
      <c r="B3364" s="4">
        <f t="shared" si="68"/>
        <v>603.57999999996946</v>
      </c>
      <c r="C3364" s="199">
        <v>803.25835326070148</v>
      </c>
      <c r="D3364" s="7"/>
    </row>
    <row r="3365" spans="2:4" x14ac:dyDescent="0.25">
      <c r="B3365" s="4">
        <f t="shared" si="68"/>
        <v>603.58999999996945</v>
      </c>
      <c r="C3365" s="199">
        <v>803.46008593678141</v>
      </c>
      <c r="D3365" s="7"/>
    </row>
    <row r="3366" spans="2:4" x14ac:dyDescent="0.25">
      <c r="B3366" s="4">
        <f t="shared" si="68"/>
        <v>603.59999999996944</v>
      </c>
      <c r="C3366" s="199">
        <v>803.66181861286066</v>
      </c>
      <c r="D3366" s="7"/>
    </row>
    <row r="3367" spans="2:4" x14ac:dyDescent="0.25">
      <c r="B3367" s="4">
        <f t="shared" si="68"/>
        <v>603.60999999996943</v>
      </c>
      <c r="C3367" s="199">
        <v>803.86355128894047</v>
      </c>
      <c r="D3367" s="7"/>
    </row>
    <row r="3368" spans="2:4" x14ac:dyDescent="0.25">
      <c r="B3368" s="4">
        <f t="shared" si="68"/>
        <v>603.61999999996942</v>
      </c>
      <c r="C3368" s="199">
        <v>804.06548718102545</v>
      </c>
      <c r="D3368" s="7"/>
    </row>
    <row r="3369" spans="2:4" x14ac:dyDescent="0.25">
      <c r="B3369" s="4">
        <f t="shared" si="68"/>
        <v>603.62999999996941</v>
      </c>
      <c r="C3369" s="199">
        <v>804.26742307310974</v>
      </c>
      <c r="D3369" s="7"/>
    </row>
    <row r="3370" spans="2:4" x14ac:dyDescent="0.25">
      <c r="B3370" s="4">
        <f t="shared" si="68"/>
        <v>603.6399999999694</v>
      </c>
      <c r="C3370" s="199">
        <v>804.46935896519517</v>
      </c>
      <c r="D3370" s="7"/>
    </row>
    <row r="3371" spans="2:4" x14ac:dyDescent="0.25">
      <c r="B3371" s="4">
        <f t="shared" si="68"/>
        <v>603.6499999999694</v>
      </c>
      <c r="C3371" s="199">
        <v>804.67129485727935</v>
      </c>
      <c r="D3371" s="7"/>
    </row>
    <row r="3372" spans="2:4" x14ac:dyDescent="0.25">
      <c r="B3372" s="4">
        <f t="shared" si="68"/>
        <v>603.65999999996939</v>
      </c>
      <c r="C3372" s="199">
        <v>804.87323074936501</v>
      </c>
      <c r="D3372" s="7"/>
    </row>
    <row r="3373" spans="2:4" x14ac:dyDescent="0.25">
      <c r="B3373" s="4">
        <f t="shared" si="68"/>
        <v>603.66999999996938</v>
      </c>
      <c r="C3373" s="199">
        <v>805.0751666414493</v>
      </c>
      <c r="D3373" s="7"/>
    </row>
    <row r="3374" spans="2:4" x14ac:dyDescent="0.25">
      <c r="B3374" s="4">
        <f t="shared" si="68"/>
        <v>603.67999999996937</v>
      </c>
      <c r="C3374" s="199">
        <v>805.27710253353462</v>
      </c>
      <c r="D3374" s="7"/>
    </row>
    <row r="3375" spans="2:4" x14ac:dyDescent="0.25">
      <c r="B3375" s="4">
        <f t="shared" si="68"/>
        <v>603.68999999996936</v>
      </c>
      <c r="C3375" s="199">
        <v>805.47903842561891</v>
      </c>
      <c r="D3375" s="7"/>
    </row>
    <row r="3376" spans="2:4" x14ac:dyDescent="0.25">
      <c r="B3376" s="4">
        <f t="shared" si="68"/>
        <v>603.69999999996935</v>
      </c>
      <c r="C3376" s="199">
        <v>805.68097431770411</v>
      </c>
      <c r="D3376" s="7"/>
    </row>
    <row r="3377" spans="2:4" x14ac:dyDescent="0.25">
      <c r="B3377" s="4">
        <f t="shared" si="68"/>
        <v>603.70999999996934</v>
      </c>
      <c r="C3377" s="199">
        <v>805.88291020978829</v>
      </c>
      <c r="D3377" s="7"/>
    </row>
    <row r="3378" spans="2:4" x14ac:dyDescent="0.25">
      <c r="B3378" s="4">
        <f t="shared" si="68"/>
        <v>603.71999999996933</v>
      </c>
      <c r="C3378" s="199">
        <v>806.08505262981669</v>
      </c>
      <c r="D3378" s="7"/>
    </row>
    <row r="3379" spans="2:4" x14ac:dyDescent="0.25">
      <c r="B3379" s="4">
        <f t="shared" si="68"/>
        <v>603.72999999996932</v>
      </c>
      <c r="C3379" s="199">
        <v>806.28719504984815</v>
      </c>
      <c r="D3379" s="7"/>
    </row>
    <row r="3380" spans="2:4" x14ac:dyDescent="0.25">
      <c r="B3380" s="4">
        <f t="shared" si="68"/>
        <v>603.73999999996931</v>
      </c>
      <c r="C3380" s="199">
        <v>806.48933746988052</v>
      </c>
      <c r="D3380" s="7"/>
    </row>
    <row r="3381" spans="2:4" x14ac:dyDescent="0.25">
      <c r="B3381" s="4">
        <f t="shared" si="68"/>
        <v>603.7499999999693</v>
      </c>
      <c r="C3381" s="199">
        <v>806.69147988991188</v>
      </c>
      <c r="D3381" s="7"/>
    </row>
    <row r="3382" spans="2:4" x14ac:dyDescent="0.25">
      <c r="B3382" s="4">
        <f t="shared" si="68"/>
        <v>603.7599999999693</v>
      </c>
      <c r="C3382" s="199">
        <v>806.8936223099447</v>
      </c>
      <c r="D3382" s="7"/>
    </row>
    <row r="3383" spans="2:4" x14ac:dyDescent="0.25">
      <c r="B3383" s="4">
        <f t="shared" si="68"/>
        <v>603.76999999996929</v>
      </c>
      <c r="C3383" s="199">
        <v>807.09576472997617</v>
      </c>
      <c r="D3383" s="7"/>
    </row>
    <row r="3384" spans="2:4" x14ac:dyDescent="0.25">
      <c r="B3384" s="4">
        <f t="shared" si="68"/>
        <v>603.77999999996928</v>
      </c>
      <c r="C3384" s="199">
        <v>807.29790715000865</v>
      </c>
      <c r="D3384" s="7"/>
    </row>
    <row r="3385" spans="2:4" x14ac:dyDescent="0.25">
      <c r="B3385" s="4">
        <f t="shared" si="68"/>
        <v>603.78999999996927</v>
      </c>
      <c r="C3385" s="199">
        <v>807.50004957004046</v>
      </c>
      <c r="D3385" s="7"/>
    </row>
    <row r="3386" spans="2:4" x14ac:dyDescent="0.25">
      <c r="B3386" s="4">
        <f t="shared" si="68"/>
        <v>603.79999999996926</v>
      </c>
      <c r="C3386" s="199">
        <v>807.70219199007181</v>
      </c>
      <c r="D3386" s="7"/>
    </row>
    <row r="3387" spans="2:4" x14ac:dyDescent="0.25">
      <c r="B3387" s="4">
        <f t="shared" si="68"/>
        <v>603.80999999996925</v>
      </c>
      <c r="C3387" s="199">
        <v>807.90433441010418</v>
      </c>
      <c r="D3387" s="7"/>
    </row>
    <row r="3388" spans="2:4" x14ac:dyDescent="0.25">
      <c r="B3388" s="4">
        <f t="shared" si="68"/>
        <v>603.81999999996924</v>
      </c>
      <c r="C3388" s="199">
        <v>808.10668191457967</v>
      </c>
      <c r="D3388" s="7"/>
    </row>
    <row r="3389" spans="2:4" x14ac:dyDescent="0.25">
      <c r="B3389" s="4">
        <f t="shared" si="68"/>
        <v>603.82999999996923</v>
      </c>
      <c r="C3389" s="199">
        <v>808.30902941905481</v>
      </c>
      <c r="D3389" s="7"/>
    </row>
    <row r="3390" spans="2:4" x14ac:dyDescent="0.25">
      <c r="B3390" s="4">
        <f t="shared" si="68"/>
        <v>603.83999999996922</v>
      </c>
      <c r="C3390" s="199">
        <v>808.51137692352938</v>
      </c>
      <c r="D3390" s="7"/>
    </row>
    <row r="3391" spans="2:4" x14ac:dyDescent="0.25">
      <c r="B3391" s="4">
        <f t="shared" si="68"/>
        <v>603.84999999996921</v>
      </c>
      <c r="C3391" s="199">
        <v>808.71372442800441</v>
      </c>
      <c r="D3391" s="7"/>
    </row>
    <row r="3392" spans="2:4" x14ac:dyDescent="0.25">
      <c r="B3392" s="4">
        <f t="shared" si="68"/>
        <v>603.8599999999692</v>
      </c>
      <c r="C3392" s="199">
        <v>808.91607193247978</v>
      </c>
      <c r="D3392" s="7"/>
    </row>
    <row r="3393" spans="2:4" x14ac:dyDescent="0.25">
      <c r="B3393" s="4">
        <f t="shared" si="68"/>
        <v>603.8699999999692</v>
      </c>
      <c r="C3393" s="199">
        <v>809.11841943695424</v>
      </c>
      <c r="D3393" s="7"/>
    </row>
    <row r="3394" spans="2:4" x14ac:dyDescent="0.25">
      <c r="B3394" s="4">
        <f t="shared" si="68"/>
        <v>603.87999999996919</v>
      </c>
      <c r="C3394" s="199">
        <v>809.32076694142938</v>
      </c>
      <c r="D3394" s="7"/>
    </row>
    <row r="3395" spans="2:4" x14ac:dyDescent="0.25">
      <c r="B3395" s="4">
        <f t="shared" si="68"/>
        <v>603.88999999996918</v>
      </c>
      <c r="C3395" s="199">
        <v>809.52311444590543</v>
      </c>
      <c r="D3395" s="7"/>
    </row>
    <row r="3396" spans="2:4" x14ac:dyDescent="0.25">
      <c r="B3396" s="4">
        <f t="shared" si="68"/>
        <v>603.89999999996917</v>
      </c>
      <c r="C3396" s="199">
        <v>809.72546195038012</v>
      </c>
      <c r="D3396" s="7"/>
    </row>
    <row r="3397" spans="2:4" x14ac:dyDescent="0.25">
      <c r="B3397" s="4">
        <f t="shared" si="68"/>
        <v>603.90999999996916</v>
      </c>
      <c r="C3397" s="199">
        <v>809.92780945485504</v>
      </c>
      <c r="D3397" s="7"/>
    </row>
    <row r="3398" spans="2:4" x14ac:dyDescent="0.25">
      <c r="B3398" s="4">
        <f t="shared" si="68"/>
        <v>603.91999999996915</v>
      </c>
      <c r="C3398" s="199">
        <v>810.13036130082787</v>
      </c>
      <c r="D3398" s="7"/>
    </row>
    <row r="3399" spans="2:4" x14ac:dyDescent="0.25">
      <c r="B3399" s="4">
        <f t="shared" si="68"/>
        <v>603.92999999996914</v>
      </c>
      <c r="C3399" s="199">
        <v>810.3329131468048</v>
      </c>
      <c r="D3399" s="7"/>
    </row>
    <row r="3400" spans="2:4" x14ac:dyDescent="0.25">
      <c r="B3400" s="4">
        <f t="shared" ref="B3400:B3463" si="69">+B3399+0.01</f>
        <v>603.93999999996913</v>
      </c>
      <c r="C3400" s="199">
        <v>810.53546499278173</v>
      </c>
      <c r="D3400" s="7"/>
    </row>
    <row r="3401" spans="2:4" x14ac:dyDescent="0.25">
      <c r="B3401" s="4">
        <f t="shared" si="69"/>
        <v>603.94999999996912</v>
      </c>
      <c r="C3401" s="199">
        <v>810.73801683875774</v>
      </c>
      <c r="D3401" s="7"/>
    </row>
    <row r="3402" spans="2:4" x14ac:dyDescent="0.25">
      <c r="B3402" s="4">
        <f t="shared" si="69"/>
        <v>603.95999999996911</v>
      </c>
      <c r="C3402" s="199">
        <v>810.94056868473479</v>
      </c>
      <c r="D3402" s="7"/>
    </row>
    <row r="3403" spans="2:4" x14ac:dyDescent="0.25">
      <c r="B3403" s="4">
        <f t="shared" si="69"/>
        <v>603.9699999999691</v>
      </c>
      <c r="C3403" s="199">
        <v>811.14312053071137</v>
      </c>
      <c r="D3403" s="7"/>
    </row>
    <row r="3404" spans="2:4" x14ac:dyDescent="0.25">
      <c r="B3404" s="4">
        <f t="shared" si="69"/>
        <v>603.9799999999691</v>
      </c>
      <c r="C3404" s="199">
        <v>811.34567237668739</v>
      </c>
      <c r="D3404" s="7"/>
    </row>
    <row r="3405" spans="2:4" x14ac:dyDescent="0.25">
      <c r="B3405" s="4">
        <f t="shared" si="69"/>
        <v>603.98999999996909</v>
      </c>
      <c r="C3405" s="199">
        <v>811.54822422266443</v>
      </c>
      <c r="D3405" s="7"/>
    </row>
    <row r="3406" spans="2:4" x14ac:dyDescent="0.25">
      <c r="B3406" s="4">
        <f t="shared" si="69"/>
        <v>603.99999999996908</v>
      </c>
      <c r="C3406" s="199">
        <v>811.75077606864181</v>
      </c>
      <c r="D3406" s="7"/>
    </row>
    <row r="3407" spans="2:4" x14ac:dyDescent="0.25">
      <c r="B3407" s="4">
        <f t="shared" si="69"/>
        <v>604.00999999996907</v>
      </c>
      <c r="C3407" s="199">
        <v>811.95332791461783</v>
      </c>
      <c r="D3407" s="7"/>
    </row>
    <row r="3408" spans="2:4" x14ac:dyDescent="0.25">
      <c r="B3408" s="4">
        <f t="shared" si="69"/>
        <v>604.01999999996906</v>
      </c>
      <c r="C3408" s="199">
        <v>812.15608722399065</v>
      </c>
      <c r="D3408" s="7"/>
    </row>
    <row r="3409" spans="2:4" x14ac:dyDescent="0.25">
      <c r="B3409" s="4">
        <f t="shared" si="69"/>
        <v>604.02999999996905</v>
      </c>
      <c r="C3409" s="199">
        <v>812.35884653336382</v>
      </c>
      <c r="D3409" s="7"/>
    </row>
    <row r="3410" spans="2:4" x14ac:dyDescent="0.25">
      <c r="B3410" s="4">
        <f t="shared" si="69"/>
        <v>604.03999999996904</v>
      </c>
      <c r="C3410" s="199">
        <v>812.56160584273641</v>
      </c>
      <c r="D3410" s="7"/>
    </row>
    <row r="3411" spans="2:4" x14ac:dyDescent="0.25">
      <c r="B3411" s="4">
        <f t="shared" si="69"/>
        <v>604.04999999996903</v>
      </c>
      <c r="C3411" s="199">
        <v>812.76436515210867</v>
      </c>
      <c r="D3411" s="7"/>
    </row>
    <row r="3412" spans="2:4" x14ac:dyDescent="0.25">
      <c r="B3412" s="4">
        <f t="shared" si="69"/>
        <v>604.05999999996902</v>
      </c>
      <c r="C3412" s="199">
        <v>812.96712446148183</v>
      </c>
      <c r="D3412" s="7"/>
    </row>
    <row r="3413" spans="2:4" x14ac:dyDescent="0.25">
      <c r="B3413" s="4">
        <f t="shared" si="69"/>
        <v>604.06999999996901</v>
      </c>
      <c r="C3413" s="199">
        <v>813.16988377085443</v>
      </c>
      <c r="D3413" s="7"/>
    </row>
    <row r="3414" spans="2:4" x14ac:dyDescent="0.25">
      <c r="B3414" s="4">
        <f t="shared" si="69"/>
        <v>604.079999999969</v>
      </c>
      <c r="C3414" s="199">
        <v>813.37264308022759</v>
      </c>
      <c r="D3414" s="7"/>
    </row>
    <row r="3415" spans="2:4" x14ac:dyDescent="0.25">
      <c r="B3415" s="4">
        <f t="shared" si="69"/>
        <v>604.089999999969</v>
      </c>
      <c r="C3415" s="199">
        <v>813.57540238960064</v>
      </c>
      <c r="D3415" s="7"/>
    </row>
    <row r="3416" spans="2:4" x14ac:dyDescent="0.25">
      <c r="B3416" s="4">
        <f t="shared" si="69"/>
        <v>604.09999999996899</v>
      </c>
      <c r="C3416" s="199">
        <v>813.77816169897369</v>
      </c>
      <c r="D3416" s="7"/>
    </row>
    <row r="3417" spans="2:4" x14ac:dyDescent="0.25">
      <c r="B3417" s="4">
        <f t="shared" si="69"/>
        <v>604.10999999996898</v>
      </c>
      <c r="C3417" s="199">
        <v>813.9809210083464</v>
      </c>
      <c r="D3417" s="7"/>
    </row>
    <row r="3418" spans="2:4" x14ac:dyDescent="0.25">
      <c r="B3418" s="4">
        <f t="shared" si="69"/>
        <v>604.11999999996897</v>
      </c>
      <c r="C3418" s="199">
        <v>814.18388730594756</v>
      </c>
      <c r="D3418" s="7"/>
    </row>
    <row r="3419" spans="2:4" x14ac:dyDescent="0.25">
      <c r="B3419" s="4">
        <f t="shared" si="69"/>
        <v>604.12999999996896</v>
      </c>
      <c r="C3419" s="199">
        <v>814.38685360355532</v>
      </c>
      <c r="D3419" s="7"/>
    </row>
    <row r="3420" spans="2:4" x14ac:dyDescent="0.25">
      <c r="B3420" s="4">
        <f t="shared" si="69"/>
        <v>604.13999999996895</v>
      </c>
      <c r="C3420" s="199">
        <v>814.58981990116149</v>
      </c>
      <c r="D3420" s="7"/>
    </row>
    <row r="3421" spans="2:4" x14ac:dyDescent="0.25">
      <c r="B3421" s="4">
        <f t="shared" si="69"/>
        <v>604.14999999996894</v>
      </c>
      <c r="C3421" s="199">
        <v>814.79278619876925</v>
      </c>
      <c r="D3421" s="7"/>
    </row>
    <row r="3422" spans="2:4" x14ac:dyDescent="0.25">
      <c r="B3422" s="4">
        <f t="shared" si="69"/>
        <v>604.15999999996893</v>
      </c>
      <c r="C3422" s="199">
        <v>814.99575249637542</v>
      </c>
      <c r="D3422" s="7"/>
    </row>
    <row r="3423" spans="2:4" x14ac:dyDescent="0.25">
      <c r="B3423" s="4">
        <f t="shared" si="69"/>
        <v>604.16999999996892</v>
      </c>
      <c r="C3423" s="199">
        <v>815.19871879398227</v>
      </c>
      <c r="D3423" s="7"/>
    </row>
    <row r="3424" spans="2:4" x14ac:dyDescent="0.25">
      <c r="B3424" s="4">
        <f t="shared" si="69"/>
        <v>604.17999999996891</v>
      </c>
      <c r="C3424" s="199">
        <v>815.40168509158957</v>
      </c>
      <c r="D3424" s="7"/>
    </row>
    <row r="3425" spans="2:4" x14ac:dyDescent="0.25">
      <c r="B3425" s="4">
        <f t="shared" si="69"/>
        <v>604.1899999999689</v>
      </c>
      <c r="C3425" s="199">
        <v>815.60465138919596</v>
      </c>
      <c r="D3425" s="7"/>
    </row>
    <row r="3426" spans="2:4" x14ac:dyDescent="0.25">
      <c r="B3426" s="4">
        <f t="shared" si="69"/>
        <v>604.1999999999689</v>
      </c>
      <c r="C3426" s="199">
        <v>815.80761768680259</v>
      </c>
      <c r="D3426" s="7"/>
    </row>
    <row r="3427" spans="2:4" x14ac:dyDescent="0.25">
      <c r="B3427" s="4">
        <f t="shared" si="69"/>
        <v>604.20999999996889</v>
      </c>
      <c r="C3427" s="199">
        <v>816.01058398440989</v>
      </c>
      <c r="D3427" s="7"/>
    </row>
    <row r="3428" spans="2:4" x14ac:dyDescent="0.25">
      <c r="B3428" s="4">
        <f t="shared" si="69"/>
        <v>604.21999999996888</v>
      </c>
      <c r="C3428" s="199">
        <v>816.21375747097659</v>
      </c>
      <c r="D3428" s="7"/>
    </row>
    <row r="3429" spans="2:4" x14ac:dyDescent="0.25">
      <c r="B3429" s="4">
        <f t="shared" si="69"/>
        <v>604.22999999996887</v>
      </c>
      <c r="C3429" s="199">
        <v>816.41693095754272</v>
      </c>
      <c r="D3429" s="7"/>
    </row>
    <row r="3430" spans="2:4" x14ac:dyDescent="0.25">
      <c r="B3430" s="4">
        <f t="shared" si="69"/>
        <v>604.23999999996886</v>
      </c>
      <c r="C3430" s="199">
        <v>816.62010444410896</v>
      </c>
      <c r="D3430" s="7"/>
    </row>
    <row r="3431" spans="2:4" x14ac:dyDescent="0.25">
      <c r="B3431" s="4">
        <f t="shared" si="69"/>
        <v>604.24999999996885</v>
      </c>
      <c r="C3431" s="199">
        <v>816.82327793067407</v>
      </c>
      <c r="D3431" s="7"/>
    </row>
    <row r="3432" spans="2:4" x14ac:dyDescent="0.25">
      <c r="B3432" s="4">
        <f t="shared" si="69"/>
        <v>604.25999999996884</v>
      </c>
      <c r="C3432" s="199">
        <v>817.0264514172402</v>
      </c>
      <c r="D3432" s="7"/>
    </row>
    <row r="3433" spans="2:4" x14ac:dyDescent="0.25">
      <c r="B3433" s="4">
        <f t="shared" si="69"/>
        <v>604.26999999996883</v>
      </c>
      <c r="C3433" s="199">
        <v>817.22962490380644</v>
      </c>
      <c r="D3433" s="7"/>
    </row>
    <row r="3434" spans="2:4" x14ac:dyDescent="0.25">
      <c r="B3434" s="4">
        <f t="shared" si="69"/>
        <v>604.27999999996882</v>
      </c>
      <c r="C3434" s="199">
        <v>817.43279839037325</v>
      </c>
      <c r="D3434" s="7"/>
    </row>
    <row r="3435" spans="2:4" x14ac:dyDescent="0.25">
      <c r="B3435" s="4">
        <f t="shared" si="69"/>
        <v>604.28999999996881</v>
      </c>
      <c r="C3435" s="199">
        <v>817.63597187693858</v>
      </c>
      <c r="D3435" s="7"/>
    </row>
    <row r="3436" spans="2:4" x14ac:dyDescent="0.25">
      <c r="B3436" s="4">
        <f t="shared" si="69"/>
        <v>604.2999999999688</v>
      </c>
      <c r="C3436" s="199">
        <v>817.83914536350449</v>
      </c>
      <c r="D3436" s="7"/>
    </row>
    <row r="3437" spans="2:4" x14ac:dyDescent="0.25">
      <c r="B3437" s="4">
        <f t="shared" si="69"/>
        <v>604.3099999999688</v>
      </c>
      <c r="C3437" s="199">
        <v>818.04231885007084</v>
      </c>
      <c r="D3437" s="7"/>
    </row>
    <row r="3438" spans="2:4" x14ac:dyDescent="0.25">
      <c r="B3438" s="4">
        <f t="shared" si="69"/>
        <v>604.31999999996879</v>
      </c>
      <c r="C3438" s="199">
        <v>818.24569993005525</v>
      </c>
      <c r="D3438" s="7"/>
    </row>
    <row r="3439" spans="2:4" x14ac:dyDescent="0.25">
      <c r="B3439" s="4">
        <f t="shared" si="69"/>
        <v>604.32999999996878</v>
      </c>
      <c r="C3439" s="199">
        <v>818.44908101004694</v>
      </c>
      <c r="D3439" s="7"/>
    </row>
    <row r="3440" spans="2:4" x14ac:dyDescent="0.25">
      <c r="B3440" s="4">
        <f t="shared" si="69"/>
        <v>604.33999999996877</v>
      </c>
      <c r="C3440" s="199">
        <v>818.6524620900384</v>
      </c>
      <c r="D3440" s="7"/>
    </row>
    <row r="3441" spans="2:4" x14ac:dyDescent="0.25">
      <c r="B3441" s="4">
        <f t="shared" si="69"/>
        <v>604.34999999996876</v>
      </c>
      <c r="C3441" s="199">
        <v>818.85584317002963</v>
      </c>
      <c r="D3441" s="7"/>
    </row>
    <row r="3442" spans="2:4" x14ac:dyDescent="0.25">
      <c r="B3442" s="4">
        <f t="shared" si="69"/>
        <v>604.35999999996875</v>
      </c>
      <c r="C3442" s="199">
        <v>819.05922425002097</v>
      </c>
      <c r="D3442" s="7"/>
    </row>
    <row r="3443" spans="2:4" x14ac:dyDescent="0.25">
      <c r="B3443" s="4">
        <f t="shared" si="69"/>
        <v>604.36999999996874</v>
      </c>
      <c r="C3443" s="199">
        <v>819.26260533001243</v>
      </c>
      <c r="D3443" s="7"/>
    </row>
    <row r="3444" spans="2:4" x14ac:dyDescent="0.25">
      <c r="B3444" s="4">
        <f t="shared" si="69"/>
        <v>604.37999999996873</v>
      </c>
      <c r="C3444" s="199">
        <v>819.46598641000344</v>
      </c>
      <c r="D3444" s="7"/>
    </row>
    <row r="3445" spans="2:4" x14ac:dyDescent="0.25">
      <c r="B3445" s="4">
        <f t="shared" si="69"/>
        <v>604.38999999996872</v>
      </c>
      <c r="C3445" s="199">
        <v>819.66936748999467</v>
      </c>
      <c r="D3445" s="7"/>
    </row>
    <row r="3446" spans="2:4" x14ac:dyDescent="0.25">
      <c r="B3446" s="4">
        <f t="shared" si="69"/>
        <v>604.39999999996871</v>
      </c>
      <c r="C3446" s="199">
        <v>819.87274856998613</v>
      </c>
      <c r="D3446" s="7"/>
    </row>
    <row r="3447" spans="2:4" x14ac:dyDescent="0.25">
      <c r="B3447" s="4">
        <f t="shared" si="69"/>
        <v>604.4099999999687</v>
      </c>
      <c r="C3447" s="199">
        <v>820.07612964997759</v>
      </c>
      <c r="D3447" s="7"/>
    </row>
    <row r="3448" spans="2:4" x14ac:dyDescent="0.25">
      <c r="B3448" s="4">
        <f t="shared" si="69"/>
        <v>604.4199999999687</v>
      </c>
      <c r="C3448" s="199">
        <v>820.27971776518973</v>
      </c>
      <c r="D3448" s="7"/>
    </row>
    <row r="3449" spans="2:4" x14ac:dyDescent="0.25">
      <c r="B3449" s="4">
        <f t="shared" si="69"/>
        <v>604.42999999996869</v>
      </c>
      <c r="C3449" s="199">
        <v>820.48330588040074</v>
      </c>
      <c r="D3449" s="7"/>
    </row>
    <row r="3450" spans="2:4" x14ac:dyDescent="0.25">
      <c r="B3450" s="4">
        <f t="shared" si="69"/>
        <v>604.43999999996868</v>
      </c>
      <c r="C3450" s="199">
        <v>820.68689399561083</v>
      </c>
      <c r="D3450" s="7"/>
    </row>
    <row r="3451" spans="2:4" x14ac:dyDescent="0.25">
      <c r="B3451" s="4">
        <f t="shared" si="69"/>
        <v>604.44999999996867</v>
      </c>
      <c r="C3451" s="199">
        <v>820.89048211082184</v>
      </c>
      <c r="D3451" s="7"/>
    </row>
    <row r="3452" spans="2:4" x14ac:dyDescent="0.25">
      <c r="B3452" s="4">
        <f t="shared" si="69"/>
        <v>604.45999999996866</v>
      </c>
      <c r="C3452" s="199">
        <v>821.09407022603273</v>
      </c>
      <c r="D3452" s="7"/>
    </row>
    <row r="3453" spans="2:4" x14ac:dyDescent="0.25">
      <c r="B3453" s="4">
        <f t="shared" si="69"/>
        <v>604.46999999996865</v>
      </c>
      <c r="C3453" s="199">
        <v>821.29765834124225</v>
      </c>
      <c r="D3453" s="7"/>
    </row>
    <row r="3454" spans="2:4" x14ac:dyDescent="0.25">
      <c r="B3454" s="4">
        <f t="shared" si="69"/>
        <v>604.47999999996864</v>
      </c>
      <c r="C3454" s="199">
        <v>821.50124645645303</v>
      </c>
      <c r="D3454" s="7"/>
    </row>
    <row r="3455" spans="2:4" x14ac:dyDescent="0.25">
      <c r="B3455" s="4">
        <f t="shared" si="69"/>
        <v>604.48999999996863</v>
      </c>
      <c r="C3455" s="199">
        <v>821.70483457166404</v>
      </c>
      <c r="D3455" s="7"/>
    </row>
    <row r="3456" spans="2:4" x14ac:dyDescent="0.25">
      <c r="B3456" s="4">
        <f t="shared" si="69"/>
        <v>604.49999999996862</v>
      </c>
      <c r="C3456" s="199">
        <v>821.90842268687425</v>
      </c>
      <c r="D3456" s="7"/>
    </row>
    <row r="3457" spans="2:4" x14ac:dyDescent="0.25">
      <c r="B3457" s="4">
        <f t="shared" si="69"/>
        <v>604.50999999996861</v>
      </c>
      <c r="C3457" s="199">
        <v>822.11201080208514</v>
      </c>
      <c r="D3457" s="7"/>
    </row>
    <row r="3458" spans="2:4" x14ac:dyDescent="0.25">
      <c r="B3458" s="4">
        <f t="shared" si="69"/>
        <v>604.5199999999686</v>
      </c>
      <c r="C3458" s="199">
        <v>822.31581111066669</v>
      </c>
      <c r="D3458" s="7"/>
    </row>
    <row r="3459" spans="2:4" x14ac:dyDescent="0.25">
      <c r="B3459" s="4">
        <f t="shared" si="69"/>
        <v>604.5299999999686</v>
      </c>
      <c r="C3459" s="199">
        <v>822.51961141925392</v>
      </c>
      <c r="D3459" s="7"/>
    </row>
    <row r="3460" spans="2:4" x14ac:dyDescent="0.25">
      <c r="B3460" s="4">
        <f t="shared" si="69"/>
        <v>604.53999999996859</v>
      </c>
      <c r="C3460" s="199">
        <v>822.72341172784195</v>
      </c>
      <c r="D3460" s="7"/>
    </row>
    <row r="3461" spans="2:4" x14ac:dyDescent="0.25">
      <c r="B3461" s="4">
        <f t="shared" si="69"/>
        <v>604.54999999996858</v>
      </c>
      <c r="C3461" s="199">
        <v>822.9272120364285</v>
      </c>
      <c r="D3461" s="7"/>
    </row>
    <row r="3462" spans="2:4" x14ac:dyDescent="0.25">
      <c r="B3462" s="4">
        <f t="shared" si="69"/>
        <v>604.55999999996857</v>
      </c>
      <c r="C3462" s="199">
        <v>823.13101234501562</v>
      </c>
      <c r="D3462" s="7"/>
    </row>
    <row r="3463" spans="2:4" x14ac:dyDescent="0.25">
      <c r="B3463" s="4">
        <f t="shared" si="69"/>
        <v>604.56999999996856</v>
      </c>
      <c r="C3463" s="199">
        <v>823.33481265360319</v>
      </c>
      <c r="D3463" s="7"/>
    </row>
    <row r="3464" spans="2:4" x14ac:dyDescent="0.25">
      <c r="B3464" s="4">
        <f t="shared" ref="B3464:B3527" si="70">+B3463+0.01</f>
        <v>604.57999999996855</v>
      </c>
      <c r="C3464" s="199">
        <v>823.53861296219031</v>
      </c>
      <c r="D3464" s="7"/>
    </row>
    <row r="3465" spans="2:4" x14ac:dyDescent="0.25">
      <c r="B3465" s="4">
        <f t="shared" si="70"/>
        <v>604.58999999996854</v>
      </c>
      <c r="C3465" s="199">
        <v>823.74241327077698</v>
      </c>
      <c r="D3465" s="7"/>
    </row>
    <row r="3466" spans="2:4" x14ac:dyDescent="0.25">
      <c r="B3466" s="4">
        <f t="shared" si="70"/>
        <v>604.59999999996853</v>
      </c>
      <c r="C3466" s="199">
        <v>823.94621357936489</v>
      </c>
      <c r="D3466" s="7"/>
    </row>
    <row r="3467" spans="2:4" x14ac:dyDescent="0.25">
      <c r="B3467" s="4">
        <f t="shared" si="70"/>
        <v>604.60999999996852</v>
      </c>
      <c r="C3467" s="199">
        <v>824.15001388795156</v>
      </c>
      <c r="D3467" s="7"/>
    </row>
    <row r="3468" spans="2:4" x14ac:dyDescent="0.25">
      <c r="B3468" s="4">
        <f t="shared" si="70"/>
        <v>604.61999999996851</v>
      </c>
      <c r="C3468" s="199">
        <v>824.35403038513334</v>
      </c>
      <c r="D3468" s="7"/>
    </row>
    <row r="3469" spans="2:4" x14ac:dyDescent="0.25">
      <c r="B3469" s="4">
        <f t="shared" si="70"/>
        <v>604.6299999999685</v>
      </c>
      <c r="C3469" s="199">
        <v>824.55804688231524</v>
      </c>
      <c r="D3469" s="7"/>
    </row>
    <row r="3470" spans="2:4" x14ac:dyDescent="0.25">
      <c r="B3470" s="4">
        <f t="shared" si="70"/>
        <v>604.6399999999685</v>
      </c>
      <c r="C3470" s="199">
        <v>824.76206337949588</v>
      </c>
      <c r="D3470" s="7"/>
    </row>
    <row r="3471" spans="2:4" x14ac:dyDescent="0.25">
      <c r="B3471" s="4">
        <f t="shared" si="70"/>
        <v>604.64999999996849</v>
      </c>
      <c r="C3471" s="199">
        <v>824.9660798766779</v>
      </c>
      <c r="D3471" s="7"/>
    </row>
    <row r="3472" spans="2:4" x14ac:dyDescent="0.25">
      <c r="B3472" s="4">
        <f t="shared" si="70"/>
        <v>604.65999999996848</v>
      </c>
      <c r="C3472" s="199">
        <v>825.17009637385888</v>
      </c>
      <c r="D3472" s="7"/>
    </row>
    <row r="3473" spans="2:4" x14ac:dyDescent="0.25">
      <c r="B3473" s="4">
        <f t="shared" si="70"/>
        <v>604.66999999996847</v>
      </c>
      <c r="C3473" s="199">
        <v>825.37411287104067</v>
      </c>
      <c r="D3473" s="7"/>
    </row>
    <row r="3474" spans="2:4" x14ac:dyDescent="0.25">
      <c r="B3474" s="4">
        <f t="shared" si="70"/>
        <v>604.67999999996846</v>
      </c>
      <c r="C3474" s="199">
        <v>825.57812936822143</v>
      </c>
      <c r="D3474" s="7"/>
    </row>
    <row r="3475" spans="2:4" x14ac:dyDescent="0.25">
      <c r="B3475" s="4">
        <f t="shared" si="70"/>
        <v>604.68999999996845</v>
      </c>
      <c r="C3475" s="199">
        <v>825.78214586540344</v>
      </c>
      <c r="D3475" s="7"/>
    </row>
    <row r="3476" spans="2:4" x14ac:dyDescent="0.25">
      <c r="B3476" s="4">
        <f t="shared" si="70"/>
        <v>604.69999999996844</v>
      </c>
      <c r="C3476" s="199">
        <v>825.98616236258442</v>
      </c>
      <c r="D3476" s="7"/>
    </row>
    <row r="3477" spans="2:4" x14ac:dyDescent="0.25">
      <c r="B3477" s="4">
        <f t="shared" si="70"/>
        <v>604.70999999996843</v>
      </c>
      <c r="C3477" s="199">
        <v>826.19017885976575</v>
      </c>
      <c r="D3477" s="7"/>
    </row>
    <row r="3478" spans="2:4" x14ac:dyDescent="0.25">
      <c r="B3478" s="4">
        <f t="shared" si="70"/>
        <v>604.71999999996842</v>
      </c>
      <c r="C3478" s="199">
        <v>826.3944145759873</v>
      </c>
      <c r="D3478" s="7"/>
    </row>
    <row r="3479" spans="2:4" x14ac:dyDescent="0.25">
      <c r="B3479" s="4">
        <f t="shared" si="70"/>
        <v>604.72999999996841</v>
      </c>
      <c r="C3479" s="199">
        <v>826.5986502922143</v>
      </c>
      <c r="D3479" s="7"/>
    </row>
    <row r="3480" spans="2:4" x14ac:dyDescent="0.25">
      <c r="B3480" s="4">
        <f t="shared" si="70"/>
        <v>604.7399999999684</v>
      </c>
      <c r="C3480" s="199">
        <v>826.80288600844142</v>
      </c>
      <c r="D3480" s="7"/>
    </row>
    <row r="3481" spans="2:4" x14ac:dyDescent="0.25">
      <c r="B3481" s="4">
        <f t="shared" si="70"/>
        <v>604.7499999999684</v>
      </c>
      <c r="C3481" s="199">
        <v>827.0071217246674</v>
      </c>
      <c r="D3481" s="7"/>
    </row>
    <row r="3482" spans="2:4" x14ac:dyDescent="0.25">
      <c r="B3482" s="4">
        <f t="shared" si="70"/>
        <v>604.75999999996839</v>
      </c>
      <c r="C3482" s="199">
        <v>827.21135744089452</v>
      </c>
      <c r="D3482" s="7"/>
    </row>
    <row r="3483" spans="2:4" x14ac:dyDescent="0.25">
      <c r="B3483" s="4">
        <f t="shared" si="70"/>
        <v>604.76999999996838</v>
      </c>
      <c r="C3483" s="199">
        <v>827.41559315712061</v>
      </c>
      <c r="D3483" s="7"/>
    </row>
    <row r="3484" spans="2:4" x14ac:dyDescent="0.25">
      <c r="B3484" s="4">
        <f t="shared" si="70"/>
        <v>604.77999999996837</v>
      </c>
      <c r="C3484" s="199">
        <v>827.61982887334739</v>
      </c>
      <c r="D3484" s="7"/>
    </row>
    <row r="3485" spans="2:4" x14ac:dyDescent="0.25">
      <c r="B3485" s="4">
        <f t="shared" si="70"/>
        <v>604.78999999996836</v>
      </c>
      <c r="C3485" s="199">
        <v>827.82406458957496</v>
      </c>
      <c r="D3485" s="7"/>
    </row>
    <row r="3486" spans="2:4" x14ac:dyDescent="0.25">
      <c r="B3486" s="4">
        <f t="shared" si="70"/>
        <v>604.79999999996835</v>
      </c>
      <c r="C3486" s="199">
        <v>828.02830030580083</v>
      </c>
      <c r="D3486" s="7"/>
    </row>
    <row r="3487" spans="2:4" x14ac:dyDescent="0.25">
      <c r="B3487" s="4">
        <f t="shared" si="70"/>
        <v>604.80999999996834</v>
      </c>
      <c r="C3487" s="199">
        <v>828.23253602202794</v>
      </c>
      <c r="D3487" s="7"/>
    </row>
    <row r="3488" spans="2:4" x14ac:dyDescent="0.25">
      <c r="B3488" s="4">
        <f t="shared" si="70"/>
        <v>604.81999999996833</v>
      </c>
      <c r="C3488" s="199">
        <v>828.43698997287095</v>
      </c>
      <c r="D3488" s="7"/>
    </row>
    <row r="3489" spans="2:4" x14ac:dyDescent="0.25">
      <c r="B3489" s="4">
        <f t="shared" si="70"/>
        <v>604.82999999996832</v>
      </c>
      <c r="C3489" s="199">
        <v>828.64144392371429</v>
      </c>
      <c r="D3489" s="7"/>
    </row>
    <row r="3490" spans="2:4" x14ac:dyDescent="0.25">
      <c r="B3490" s="4">
        <f t="shared" si="70"/>
        <v>604.83999999996831</v>
      </c>
      <c r="C3490" s="199">
        <v>828.84589787455718</v>
      </c>
      <c r="D3490" s="7"/>
    </row>
    <row r="3491" spans="2:4" x14ac:dyDescent="0.25">
      <c r="B3491" s="4">
        <f t="shared" si="70"/>
        <v>604.8499999999683</v>
      </c>
      <c r="C3491" s="199">
        <v>829.05035182540053</v>
      </c>
      <c r="D3491" s="7"/>
    </row>
    <row r="3492" spans="2:4" x14ac:dyDescent="0.25">
      <c r="B3492" s="4">
        <f t="shared" si="70"/>
        <v>604.8599999999683</v>
      </c>
      <c r="C3492" s="199">
        <v>829.25480577624478</v>
      </c>
      <c r="D3492" s="7"/>
    </row>
    <row r="3493" spans="2:4" x14ac:dyDescent="0.25">
      <c r="B3493" s="4">
        <f t="shared" si="70"/>
        <v>604.86999999996829</v>
      </c>
      <c r="C3493" s="199">
        <v>829.45925972708756</v>
      </c>
      <c r="D3493" s="7"/>
    </row>
    <row r="3494" spans="2:4" x14ac:dyDescent="0.25">
      <c r="B3494" s="4">
        <f t="shared" si="70"/>
        <v>604.87999999996828</v>
      </c>
      <c r="C3494" s="199">
        <v>829.66371367793101</v>
      </c>
      <c r="D3494" s="7"/>
    </row>
    <row r="3495" spans="2:4" x14ac:dyDescent="0.25">
      <c r="B3495" s="4">
        <f t="shared" si="70"/>
        <v>604.88999999996827</v>
      </c>
      <c r="C3495" s="199">
        <v>829.86816762877379</v>
      </c>
      <c r="D3495" s="7"/>
    </row>
    <row r="3496" spans="2:4" x14ac:dyDescent="0.25">
      <c r="B3496" s="4">
        <f t="shared" si="70"/>
        <v>604.89999999996826</v>
      </c>
      <c r="C3496" s="199">
        <v>830.07262157961736</v>
      </c>
      <c r="D3496" s="7"/>
    </row>
    <row r="3497" spans="2:4" x14ac:dyDescent="0.25">
      <c r="B3497" s="4">
        <f t="shared" si="70"/>
        <v>604.90999999996825</v>
      </c>
      <c r="C3497" s="199">
        <v>830.27707553046116</v>
      </c>
      <c r="D3497" s="7"/>
    </row>
    <row r="3498" spans="2:4" x14ac:dyDescent="0.25">
      <c r="B3498" s="4">
        <f t="shared" si="70"/>
        <v>604.91999999996824</v>
      </c>
      <c r="C3498" s="199">
        <v>830.48175000517961</v>
      </c>
      <c r="D3498" s="7"/>
    </row>
    <row r="3499" spans="2:4" x14ac:dyDescent="0.25">
      <c r="B3499" s="4">
        <f t="shared" si="70"/>
        <v>604.92999999996823</v>
      </c>
      <c r="C3499" s="199">
        <v>830.68642447990487</v>
      </c>
      <c r="D3499" s="7"/>
    </row>
    <row r="3500" spans="2:4" x14ac:dyDescent="0.25">
      <c r="B3500" s="4">
        <f t="shared" si="70"/>
        <v>604.93999999996822</v>
      </c>
      <c r="C3500" s="199">
        <v>830.89109895462911</v>
      </c>
      <c r="D3500" s="7"/>
    </row>
    <row r="3501" spans="2:4" x14ac:dyDescent="0.25">
      <c r="B3501" s="4">
        <f t="shared" si="70"/>
        <v>604.94999999996821</v>
      </c>
      <c r="C3501" s="199">
        <v>831.09577342935336</v>
      </c>
      <c r="D3501" s="7"/>
    </row>
    <row r="3502" spans="2:4" x14ac:dyDescent="0.25">
      <c r="B3502" s="4">
        <f t="shared" si="70"/>
        <v>604.9599999999682</v>
      </c>
      <c r="C3502" s="199">
        <v>831.30044790407749</v>
      </c>
      <c r="D3502" s="7"/>
    </row>
    <row r="3503" spans="2:4" x14ac:dyDescent="0.25">
      <c r="B3503" s="4">
        <f t="shared" si="70"/>
        <v>604.96999999996819</v>
      </c>
      <c r="C3503" s="199">
        <v>831.50512237880184</v>
      </c>
      <c r="D3503" s="7"/>
    </row>
    <row r="3504" spans="2:4" x14ac:dyDescent="0.25">
      <c r="B3504" s="4">
        <f t="shared" si="70"/>
        <v>604.97999999996819</v>
      </c>
      <c r="C3504" s="199">
        <v>831.70979685352609</v>
      </c>
      <c r="D3504" s="7"/>
    </row>
    <row r="3505" spans="2:4" x14ac:dyDescent="0.25">
      <c r="B3505" s="4">
        <f t="shared" si="70"/>
        <v>604.98999999996818</v>
      </c>
      <c r="C3505" s="199">
        <v>831.91447132825135</v>
      </c>
      <c r="D3505" s="7"/>
    </row>
    <row r="3506" spans="2:4" x14ac:dyDescent="0.25">
      <c r="B3506" s="4">
        <f t="shared" si="70"/>
        <v>604.99999999996817</v>
      </c>
      <c r="C3506" s="199">
        <v>832.11914580297559</v>
      </c>
      <c r="D3506" s="7"/>
    </row>
    <row r="3507" spans="2:4" x14ac:dyDescent="0.25">
      <c r="B3507" s="4">
        <f t="shared" si="70"/>
        <v>605.00999999996816</v>
      </c>
      <c r="C3507" s="199">
        <v>832.32382027769995</v>
      </c>
      <c r="D3507" s="7"/>
    </row>
    <row r="3508" spans="2:4" x14ac:dyDescent="0.25">
      <c r="B3508" s="4">
        <f t="shared" si="70"/>
        <v>605.01999999996815</v>
      </c>
      <c r="C3508" s="199">
        <v>832.52871778199403</v>
      </c>
      <c r="D3508" s="7"/>
    </row>
    <row r="3509" spans="2:4" x14ac:dyDescent="0.25">
      <c r="B3509" s="4">
        <f t="shared" si="70"/>
        <v>605.02999999996814</v>
      </c>
      <c r="C3509" s="199">
        <v>832.73361528628698</v>
      </c>
      <c r="D3509" s="7"/>
    </row>
    <row r="3510" spans="2:4" x14ac:dyDescent="0.25">
      <c r="B3510" s="4">
        <f t="shared" si="70"/>
        <v>605.03999999996813</v>
      </c>
      <c r="C3510" s="199">
        <v>832.93851279058038</v>
      </c>
      <c r="D3510" s="7"/>
    </row>
    <row r="3511" spans="2:4" x14ac:dyDescent="0.25">
      <c r="B3511" s="4">
        <f t="shared" si="70"/>
        <v>605.04999999996812</v>
      </c>
      <c r="C3511" s="199">
        <v>833.143410294874</v>
      </c>
      <c r="D3511" s="7"/>
    </row>
    <row r="3512" spans="2:4" x14ac:dyDescent="0.25">
      <c r="B3512" s="4">
        <f t="shared" si="70"/>
        <v>605.05999999996811</v>
      </c>
      <c r="C3512" s="199">
        <v>833.34830779916683</v>
      </c>
      <c r="D3512" s="7"/>
    </row>
    <row r="3513" spans="2:4" x14ac:dyDescent="0.25">
      <c r="B3513" s="4">
        <f t="shared" si="70"/>
        <v>605.0699999999681</v>
      </c>
      <c r="C3513" s="199">
        <v>833.55320530346046</v>
      </c>
      <c r="D3513" s="7"/>
    </row>
    <row r="3514" spans="2:4" x14ac:dyDescent="0.25">
      <c r="B3514" s="4">
        <f t="shared" si="70"/>
        <v>605.07999999996809</v>
      </c>
      <c r="C3514" s="199">
        <v>833.75810280775329</v>
      </c>
      <c r="D3514" s="7"/>
    </row>
    <row r="3515" spans="2:4" x14ac:dyDescent="0.25">
      <c r="B3515" s="4">
        <f t="shared" si="70"/>
        <v>605.08999999996809</v>
      </c>
      <c r="C3515" s="199">
        <v>833.96300031204669</v>
      </c>
      <c r="D3515" s="7"/>
    </row>
    <row r="3516" spans="2:4" x14ac:dyDescent="0.25">
      <c r="B3516" s="4">
        <f t="shared" si="70"/>
        <v>605.09999999996808</v>
      </c>
      <c r="C3516" s="199">
        <v>834.16789781633929</v>
      </c>
      <c r="D3516" s="7"/>
    </row>
    <row r="3517" spans="2:4" x14ac:dyDescent="0.25">
      <c r="B3517" s="4">
        <f t="shared" si="70"/>
        <v>605.10999999996807</v>
      </c>
      <c r="C3517" s="199">
        <v>834.37279532063337</v>
      </c>
      <c r="D3517" s="7"/>
    </row>
    <row r="3518" spans="2:4" x14ac:dyDescent="0.25">
      <c r="B3518" s="4">
        <f t="shared" si="70"/>
        <v>605.11999999996806</v>
      </c>
      <c r="C3518" s="199">
        <v>834.57791415471604</v>
      </c>
      <c r="D3518" s="7"/>
    </row>
    <row r="3519" spans="2:4" x14ac:dyDescent="0.25">
      <c r="B3519" s="4">
        <f t="shared" si="70"/>
        <v>605.12999999996805</v>
      </c>
      <c r="C3519" s="199">
        <v>834.78303298880417</v>
      </c>
      <c r="D3519" s="7"/>
    </row>
    <row r="3520" spans="2:4" x14ac:dyDescent="0.25">
      <c r="B3520" s="4">
        <f t="shared" si="70"/>
        <v>605.13999999996804</v>
      </c>
      <c r="C3520" s="199">
        <v>834.98815182289229</v>
      </c>
      <c r="D3520" s="7"/>
    </row>
    <row r="3521" spans="2:4" x14ac:dyDescent="0.25">
      <c r="B3521" s="4">
        <f t="shared" si="70"/>
        <v>605.14999999996803</v>
      </c>
      <c r="C3521" s="199">
        <v>835.19327065698019</v>
      </c>
      <c r="D3521" s="7"/>
    </row>
    <row r="3522" spans="2:4" x14ac:dyDescent="0.25">
      <c r="B3522" s="4">
        <f t="shared" si="70"/>
        <v>605.15999999996802</v>
      </c>
      <c r="C3522" s="199">
        <v>835.39838949106831</v>
      </c>
      <c r="D3522" s="7"/>
    </row>
    <row r="3523" spans="2:4" x14ac:dyDescent="0.25">
      <c r="B3523" s="4">
        <f t="shared" si="70"/>
        <v>605.16999999996801</v>
      </c>
      <c r="C3523" s="199">
        <v>835.60350832515655</v>
      </c>
      <c r="D3523" s="7"/>
    </row>
    <row r="3524" spans="2:4" x14ac:dyDescent="0.25">
      <c r="B3524" s="4">
        <f t="shared" si="70"/>
        <v>605.179999999968</v>
      </c>
      <c r="C3524" s="199">
        <v>835.8086271592457</v>
      </c>
      <c r="D3524" s="7"/>
    </row>
    <row r="3525" spans="2:4" x14ac:dyDescent="0.25">
      <c r="B3525" s="4">
        <f t="shared" si="70"/>
        <v>605.18999999996799</v>
      </c>
      <c r="C3525" s="199">
        <v>836.01374599333371</v>
      </c>
      <c r="D3525" s="7"/>
    </row>
    <row r="3526" spans="2:4" x14ac:dyDescent="0.25">
      <c r="B3526" s="4">
        <f t="shared" si="70"/>
        <v>605.19999999996799</v>
      </c>
      <c r="C3526" s="199">
        <v>836.21886482742173</v>
      </c>
      <c r="D3526" s="7"/>
    </row>
    <row r="3527" spans="2:4" x14ac:dyDescent="0.25">
      <c r="B3527" s="4">
        <f t="shared" si="70"/>
        <v>605.20999999996798</v>
      </c>
      <c r="C3527" s="199">
        <v>836.42398366150985</v>
      </c>
      <c r="D3527" s="7"/>
    </row>
    <row r="3528" spans="2:4" x14ac:dyDescent="0.25">
      <c r="B3528" s="4">
        <f t="shared" ref="B3528:B3591" si="71">+B3527+0.01</f>
        <v>605.21999999996797</v>
      </c>
      <c r="C3528" s="199">
        <v>836.62932407229891</v>
      </c>
      <c r="D3528" s="7"/>
    </row>
    <row r="3529" spans="2:4" x14ac:dyDescent="0.25">
      <c r="B3529" s="4">
        <f t="shared" si="71"/>
        <v>605.22999999996796</v>
      </c>
      <c r="C3529" s="199">
        <v>836.83466448308775</v>
      </c>
      <c r="D3529" s="7"/>
    </row>
    <row r="3530" spans="2:4" x14ac:dyDescent="0.25">
      <c r="B3530" s="4">
        <f t="shared" si="71"/>
        <v>605.23999999996795</v>
      </c>
      <c r="C3530" s="199">
        <v>837.04000489387522</v>
      </c>
      <c r="D3530" s="7"/>
    </row>
    <row r="3531" spans="2:4" x14ac:dyDescent="0.25">
      <c r="B3531" s="4">
        <f t="shared" si="71"/>
        <v>605.24999999996794</v>
      </c>
      <c r="C3531" s="199">
        <v>837.24534530466428</v>
      </c>
      <c r="D3531" s="7"/>
    </row>
    <row r="3532" spans="2:4" x14ac:dyDescent="0.25">
      <c r="B3532" s="4">
        <f t="shared" si="71"/>
        <v>605.25999999996793</v>
      </c>
      <c r="C3532" s="199">
        <v>837.45068571545198</v>
      </c>
      <c r="D3532" s="7"/>
    </row>
    <row r="3533" spans="2:4" x14ac:dyDescent="0.25">
      <c r="B3533" s="4">
        <f t="shared" si="71"/>
        <v>605.26999999996792</v>
      </c>
      <c r="C3533" s="199">
        <v>837.65602612624059</v>
      </c>
      <c r="D3533" s="7"/>
    </row>
    <row r="3534" spans="2:4" x14ac:dyDescent="0.25">
      <c r="B3534" s="4">
        <f t="shared" si="71"/>
        <v>605.27999999996791</v>
      </c>
      <c r="C3534" s="199">
        <v>837.86136653702852</v>
      </c>
      <c r="D3534" s="7"/>
    </row>
    <row r="3535" spans="2:4" x14ac:dyDescent="0.25">
      <c r="B3535" s="4">
        <f t="shared" si="71"/>
        <v>605.2899999999679</v>
      </c>
      <c r="C3535" s="199">
        <v>838.06670694781724</v>
      </c>
      <c r="D3535" s="7"/>
    </row>
    <row r="3536" spans="2:4" x14ac:dyDescent="0.25">
      <c r="B3536" s="4">
        <f t="shared" si="71"/>
        <v>605.29999999996789</v>
      </c>
      <c r="C3536" s="199">
        <v>838.27204735860482</v>
      </c>
      <c r="D3536" s="7"/>
    </row>
    <row r="3537" spans="2:4" x14ac:dyDescent="0.25">
      <c r="B3537" s="4">
        <f t="shared" si="71"/>
        <v>605.30999999996789</v>
      </c>
      <c r="C3537" s="199">
        <v>838.47738776939366</v>
      </c>
      <c r="D3537" s="7"/>
    </row>
    <row r="3538" spans="2:4" x14ac:dyDescent="0.25">
      <c r="B3538" s="4">
        <f t="shared" si="71"/>
        <v>605.31999999996788</v>
      </c>
      <c r="C3538" s="199">
        <v>838.68294740385079</v>
      </c>
      <c r="D3538" s="7"/>
    </row>
    <row r="3539" spans="2:4" x14ac:dyDescent="0.25">
      <c r="B3539" s="4">
        <f t="shared" si="71"/>
        <v>605.32999999996787</v>
      </c>
      <c r="C3539" s="199">
        <v>838.88850703831258</v>
      </c>
      <c r="D3539" s="7"/>
    </row>
    <row r="3540" spans="2:4" x14ac:dyDescent="0.25">
      <c r="B3540" s="4">
        <f t="shared" si="71"/>
        <v>605.33999999996786</v>
      </c>
      <c r="C3540" s="199">
        <v>839.09406667277426</v>
      </c>
      <c r="D3540" s="7"/>
    </row>
    <row r="3541" spans="2:4" x14ac:dyDescent="0.25">
      <c r="B3541" s="4">
        <f t="shared" si="71"/>
        <v>605.34999999996785</v>
      </c>
      <c r="C3541" s="199">
        <v>839.29962630723708</v>
      </c>
      <c r="D3541" s="7"/>
    </row>
    <row r="3542" spans="2:4" x14ac:dyDescent="0.25">
      <c r="B3542" s="4">
        <f t="shared" si="71"/>
        <v>605.35999999996784</v>
      </c>
      <c r="C3542" s="199">
        <v>839.50518594169864</v>
      </c>
      <c r="D3542" s="7"/>
    </row>
    <row r="3543" spans="2:4" x14ac:dyDescent="0.25">
      <c r="B3543" s="4">
        <f t="shared" si="71"/>
        <v>605.36999999996783</v>
      </c>
      <c r="C3543" s="199">
        <v>839.71074557616078</v>
      </c>
      <c r="D3543" s="7"/>
    </row>
    <row r="3544" spans="2:4" x14ac:dyDescent="0.25">
      <c r="B3544" s="4">
        <f t="shared" si="71"/>
        <v>605.37999999996782</v>
      </c>
      <c r="C3544" s="199">
        <v>839.91630521062257</v>
      </c>
      <c r="D3544" s="7"/>
    </row>
    <row r="3545" spans="2:4" x14ac:dyDescent="0.25">
      <c r="B3545" s="4">
        <f t="shared" si="71"/>
        <v>605.38999999996781</v>
      </c>
      <c r="C3545" s="199">
        <v>840.12186484508516</v>
      </c>
      <c r="D3545" s="7"/>
    </row>
    <row r="3546" spans="2:4" x14ac:dyDescent="0.25">
      <c r="B3546" s="4">
        <f t="shared" si="71"/>
        <v>605.3999999999678</v>
      </c>
      <c r="C3546" s="199">
        <v>840.32742447954706</v>
      </c>
      <c r="D3546" s="7"/>
    </row>
    <row r="3547" spans="2:4" x14ac:dyDescent="0.25">
      <c r="B3547" s="4">
        <f t="shared" si="71"/>
        <v>605.40999999996779</v>
      </c>
      <c r="C3547" s="199">
        <v>840.53298411400885</v>
      </c>
      <c r="D3547" s="7"/>
    </row>
    <row r="3548" spans="2:4" x14ac:dyDescent="0.25">
      <c r="B3548" s="4">
        <f t="shared" si="71"/>
        <v>605.41999999996779</v>
      </c>
      <c r="C3548" s="199">
        <v>840.73876384476193</v>
      </c>
      <c r="D3548" s="7"/>
    </row>
    <row r="3549" spans="2:4" x14ac:dyDescent="0.25">
      <c r="B3549" s="4">
        <f t="shared" si="71"/>
        <v>605.42999999996778</v>
      </c>
      <c r="C3549" s="199">
        <v>840.94454357551285</v>
      </c>
      <c r="D3549" s="7"/>
    </row>
    <row r="3550" spans="2:4" x14ac:dyDescent="0.25">
      <c r="B3550" s="4">
        <f t="shared" si="71"/>
        <v>605.43999999996777</v>
      </c>
      <c r="C3550" s="199">
        <v>841.15032330626332</v>
      </c>
      <c r="D3550" s="7"/>
    </row>
    <row r="3551" spans="2:4" x14ac:dyDescent="0.25">
      <c r="B3551" s="4">
        <f t="shared" si="71"/>
        <v>605.44999999996776</v>
      </c>
      <c r="C3551" s="199">
        <v>841.35610303701412</v>
      </c>
      <c r="D3551" s="7"/>
    </row>
    <row r="3552" spans="2:4" x14ac:dyDescent="0.25">
      <c r="B3552" s="4">
        <f t="shared" si="71"/>
        <v>605.45999999996775</v>
      </c>
      <c r="C3552" s="199">
        <v>841.5618827677655</v>
      </c>
      <c r="D3552" s="7"/>
    </row>
    <row r="3553" spans="2:4" x14ac:dyDescent="0.25">
      <c r="B3553" s="4">
        <f t="shared" si="71"/>
        <v>605.46999999996774</v>
      </c>
      <c r="C3553" s="199">
        <v>841.76766249851698</v>
      </c>
      <c r="D3553" s="7"/>
    </row>
    <row r="3554" spans="2:4" x14ac:dyDescent="0.25">
      <c r="B3554" s="4">
        <f t="shared" si="71"/>
        <v>605.47999999996773</v>
      </c>
      <c r="C3554" s="199">
        <v>841.97344222926688</v>
      </c>
      <c r="D3554" s="7"/>
    </row>
    <row r="3555" spans="2:4" x14ac:dyDescent="0.25">
      <c r="B3555" s="4">
        <f t="shared" si="71"/>
        <v>605.48999999996772</v>
      </c>
      <c r="C3555" s="199">
        <v>842.17922196001803</v>
      </c>
      <c r="D3555" s="7"/>
    </row>
    <row r="3556" spans="2:4" x14ac:dyDescent="0.25">
      <c r="B3556" s="4">
        <f t="shared" si="71"/>
        <v>605.49999999996771</v>
      </c>
      <c r="C3556" s="199">
        <v>842.38500169076929</v>
      </c>
      <c r="D3556" s="7"/>
    </row>
    <row r="3557" spans="2:4" x14ac:dyDescent="0.25">
      <c r="B3557" s="4">
        <f t="shared" si="71"/>
        <v>605.5099999999677</v>
      </c>
      <c r="C3557" s="199">
        <v>842.59078142152032</v>
      </c>
      <c r="D3557" s="7"/>
    </row>
    <row r="3558" spans="2:4" x14ac:dyDescent="0.25">
      <c r="B3558" s="4">
        <f t="shared" si="71"/>
        <v>605.51999999996769</v>
      </c>
      <c r="C3558" s="199">
        <v>842.79678818275056</v>
      </c>
      <c r="D3558" s="7"/>
    </row>
    <row r="3559" spans="2:4" x14ac:dyDescent="0.25">
      <c r="B3559" s="4">
        <f t="shared" si="71"/>
        <v>605.52999999996769</v>
      </c>
      <c r="C3559" s="199">
        <v>843.00279494398649</v>
      </c>
      <c r="D3559" s="7"/>
    </row>
    <row r="3560" spans="2:4" x14ac:dyDescent="0.25">
      <c r="B3560" s="4">
        <f t="shared" si="71"/>
        <v>605.53999999996768</v>
      </c>
      <c r="C3560" s="199">
        <v>843.20880170522355</v>
      </c>
      <c r="D3560" s="7"/>
    </row>
    <row r="3561" spans="2:4" x14ac:dyDescent="0.25">
      <c r="B3561" s="4">
        <f t="shared" si="71"/>
        <v>605.54999999996767</v>
      </c>
      <c r="C3561" s="199">
        <v>843.41480846646004</v>
      </c>
      <c r="D3561" s="7"/>
    </row>
    <row r="3562" spans="2:4" x14ac:dyDescent="0.25">
      <c r="B3562" s="4">
        <f t="shared" si="71"/>
        <v>605.55999999996766</v>
      </c>
      <c r="C3562" s="199">
        <v>843.62081522769574</v>
      </c>
      <c r="D3562" s="7"/>
    </row>
    <row r="3563" spans="2:4" x14ac:dyDescent="0.25">
      <c r="B3563" s="4">
        <f t="shared" si="71"/>
        <v>605.56999999996765</v>
      </c>
      <c r="C3563" s="199">
        <v>843.82682198893303</v>
      </c>
      <c r="D3563" s="7"/>
    </row>
    <row r="3564" spans="2:4" x14ac:dyDescent="0.25">
      <c r="B3564" s="4">
        <f t="shared" si="71"/>
        <v>605.57999999996764</v>
      </c>
      <c r="C3564" s="199">
        <v>844.03282875016885</v>
      </c>
      <c r="D3564" s="7"/>
    </row>
    <row r="3565" spans="2:4" x14ac:dyDescent="0.25">
      <c r="B3565" s="4">
        <f t="shared" si="71"/>
        <v>605.58999999996763</v>
      </c>
      <c r="C3565" s="199">
        <v>844.238835511405</v>
      </c>
      <c r="D3565" s="7"/>
    </row>
    <row r="3566" spans="2:4" x14ac:dyDescent="0.25">
      <c r="B3566" s="4">
        <f t="shared" si="71"/>
        <v>605.59999999996762</v>
      </c>
      <c r="C3566" s="199">
        <v>844.44484227264229</v>
      </c>
      <c r="D3566" s="7"/>
    </row>
    <row r="3567" spans="2:4" x14ac:dyDescent="0.25">
      <c r="B3567" s="4">
        <f t="shared" si="71"/>
        <v>605.60999999996761</v>
      </c>
      <c r="C3567" s="199">
        <v>844.65084903387799</v>
      </c>
      <c r="D3567" s="7"/>
    </row>
    <row r="3568" spans="2:4" x14ac:dyDescent="0.25">
      <c r="B3568" s="4">
        <f t="shared" si="71"/>
        <v>605.6199999999676</v>
      </c>
      <c r="C3568" s="199">
        <v>844.85708746086436</v>
      </c>
      <c r="D3568" s="7"/>
    </row>
    <row r="3569" spans="2:4" x14ac:dyDescent="0.25">
      <c r="B3569" s="4">
        <f t="shared" si="71"/>
        <v>605.62999999996759</v>
      </c>
      <c r="C3569" s="199">
        <v>845.06332588785017</v>
      </c>
      <c r="D3569" s="7"/>
    </row>
    <row r="3570" spans="2:4" x14ac:dyDescent="0.25">
      <c r="B3570" s="4">
        <f t="shared" si="71"/>
        <v>605.63999999996759</v>
      </c>
      <c r="C3570" s="199">
        <v>845.26956431483597</v>
      </c>
      <c r="D3570" s="7"/>
    </row>
    <row r="3571" spans="2:4" x14ac:dyDescent="0.25">
      <c r="B3571" s="4">
        <f t="shared" si="71"/>
        <v>605.64999999996758</v>
      </c>
      <c r="C3571" s="199">
        <v>845.47580274182269</v>
      </c>
      <c r="D3571" s="7"/>
    </row>
    <row r="3572" spans="2:4" x14ac:dyDescent="0.25">
      <c r="B3572" s="4">
        <f t="shared" si="71"/>
        <v>605.65999999996757</v>
      </c>
      <c r="C3572" s="199">
        <v>845.68204116880827</v>
      </c>
      <c r="D3572" s="7"/>
    </row>
    <row r="3573" spans="2:4" x14ac:dyDescent="0.25">
      <c r="B3573" s="4">
        <f t="shared" si="71"/>
        <v>605.66999999996756</v>
      </c>
      <c r="C3573" s="199">
        <v>845.88827959579442</v>
      </c>
      <c r="D3573" s="7"/>
    </row>
    <row r="3574" spans="2:4" x14ac:dyDescent="0.25">
      <c r="B3574" s="4">
        <f t="shared" si="71"/>
        <v>605.67999999996755</v>
      </c>
      <c r="C3574" s="199">
        <v>846.09451802278022</v>
      </c>
      <c r="D3574" s="7"/>
    </row>
    <row r="3575" spans="2:4" x14ac:dyDescent="0.25">
      <c r="B3575" s="4">
        <f t="shared" si="71"/>
        <v>605.68999999996754</v>
      </c>
      <c r="C3575" s="199">
        <v>846.30075644976603</v>
      </c>
      <c r="D3575" s="7"/>
    </row>
    <row r="3576" spans="2:4" x14ac:dyDescent="0.25">
      <c r="B3576" s="4">
        <f t="shared" si="71"/>
        <v>605.69999999996753</v>
      </c>
      <c r="C3576" s="199">
        <v>846.50699487675161</v>
      </c>
      <c r="D3576" s="7"/>
    </row>
    <row r="3577" spans="2:4" x14ac:dyDescent="0.25">
      <c r="B3577" s="4">
        <f t="shared" si="71"/>
        <v>605.70999999996752</v>
      </c>
      <c r="C3577" s="199">
        <v>846.71323330373741</v>
      </c>
      <c r="D3577" s="7"/>
    </row>
    <row r="3578" spans="2:4" x14ac:dyDescent="0.25">
      <c r="B3578" s="4">
        <f t="shared" si="71"/>
        <v>605.71999999996751</v>
      </c>
      <c r="C3578" s="199">
        <v>846.91970667017097</v>
      </c>
      <c r="D3578" s="7"/>
    </row>
    <row r="3579" spans="2:4" x14ac:dyDescent="0.25">
      <c r="B3579" s="4">
        <f t="shared" si="71"/>
        <v>605.7299999999675</v>
      </c>
      <c r="C3579" s="199">
        <v>847.1261800366093</v>
      </c>
      <c r="D3579" s="7"/>
    </row>
    <row r="3580" spans="2:4" x14ac:dyDescent="0.25">
      <c r="B3580" s="4">
        <f t="shared" si="71"/>
        <v>605.73999999996749</v>
      </c>
      <c r="C3580" s="199">
        <v>847.33265340304831</v>
      </c>
      <c r="D3580" s="7"/>
    </row>
    <row r="3581" spans="2:4" x14ac:dyDescent="0.25">
      <c r="B3581" s="4">
        <f t="shared" si="71"/>
        <v>605.74999999996749</v>
      </c>
      <c r="C3581" s="199">
        <v>847.5391267694871</v>
      </c>
      <c r="D3581" s="7"/>
    </row>
    <row r="3582" spans="2:4" x14ac:dyDescent="0.25">
      <c r="B3582" s="4">
        <f t="shared" si="71"/>
        <v>605.75999999996748</v>
      </c>
      <c r="C3582" s="199">
        <v>847.74560013592622</v>
      </c>
      <c r="D3582" s="7"/>
    </row>
    <row r="3583" spans="2:4" x14ac:dyDescent="0.25">
      <c r="B3583" s="4">
        <f t="shared" si="71"/>
        <v>605.76999999996747</v>
      </c>
      <c r="C3583" s="199">
        <v>847.95207350236535</v>
      </c>
      <c r="D3583" s="7"/>
    </row>
    <row r="3584" spans="2:4" x14ac:dyDescent="0.25">
      <c r="B3584" s="4">
        <f t="shared" si="71"/>
        <v>605.77999999996746</v>
      </c>
      <c r="C3584" s="199">
        <v>848.15854686880448</v>
      </c>
      <c r="D3584" s="7"/>
    </row>
    <row r="3585" spans="2:4" x14ac:dyDescent="0.25">
      <c r="B3585" s="4">
        <f t="shared" si="71"/>
        <v>605.78999999996745</v>
      </c>
      <c r="C3585" s="199">
        <v>848.36502023524395</v>
      </c>
      <c r="D3585" s="7"/>
    </row>
    <row r="3586" spans="2:4" x14ac:dyDescent="0.25">
      <c r="B3586" s="4">
        <f t="shared" si="71"/>
        <v>605.79999999996744</v>
      </c>
      <c r="C3586" s="199">
        <v>848.57149360168262</v>
      </c>
      <c r="D3586" s="7"/>
    </row>
    <row r="3587" spans="2:4" x14ac:dyDescent="0.25">
      <c r="B3587" s="4">
        <f t="shared" si="71"/>
        <v>605.80999999996743</v>
      </c>
      <c r="C3587" s="199">
        <v>848.77796696812175</v>
      </c>
      <c r="D3587" s="7"/>
    </row>
    <row r="3588" spans="2:4" x14ac:dyDescent="0.25">
      <c r="B3588" s="4">
        <f t="shared" si="71"/>
        <v>605.81999999996742</v>
      </c>
      <c r="C3588" s="199">
        <v>848.98467521712064</v>
      </c>
      <c r="D3588" s="7"/>
    </row>
    <row r="3589" spans="2:4" x14ac:dyDescent="0.25">
      <c r="B3589" s="4">
        <f t="shared" si="71"/>
        <v>605.82999999996741</v>
      </c>
      <c r="C3589" s="199">
        <v>849.19138346611931</v>
      </c>
      <c r="D3589" s="7"/>
    </row>
    <row r="3590" spans="2:4" x14ac:dyDescent="0.25">
      <c r="B3590" s="4">
        <f t="shared" si="71"/>
        <v>605.8399999999674</v>
      </c>
      <c r="C3590" s="199">
        <v>849.39809171511718</v>
      </c>
      <c r="D3590" s="7"/>
    </row>
    <row r="3591" spans="2:4" x14ac:dyDescent="0.25">
      <c r="B3591" s="4">
        <f t="shared" si="71"/>
        <v>605.84999999996739</v>
      </c>
      <c r="C3591" s="199">
        <v>849.6047999641163</v>
      </c>
      <c r="D3591" s="7"/>
    </row>
    <row r="3592" spans="2:4" x14ac:dyDescent="0.25">
      <c r="B3592" s="4">
        <f t="shared" ref="B3592:B3655" si="72">+B3591+0.01</f>
        <v>605.85999999996739</v>
      </c>
      <c r="C3592" s="199">
        <v>849.81150821311371</v>
      </c>
      <c r="D3592" s="7"/>
    </row>
    <row r="3593" spans="2:4" x14ac:dyDescent="0.25">
      <c r="B3593" s="4">
        <f t="shared" si="72"/>
        <v>605.86999999996738</v>
      </c>
      <c r="C3593" s="199">
        <v>850.01821646211181</v>
      </c>
      <c r="D3593" s="7"/>
    </row>
    <row r="3594" spans="2:4" x14ac:dyDescent="0.25">
      <c r="B3594" s="4">
        <f t="shared" si="72"/>
        <v>605.87999999996737</v>
      </c>
      <c r="C3594" s="199">
        <v>850.22492471111036</v>
      </c>
      <c r="D3594" s="7"/>
    </row>
    <row r="3595" spans="2:4" x14ac:dyDescent="0.25">
      <c r="B3595" s="4">
        <f t="shared" si="72"/>
        <v>605.88999999996736</v>
      </c>
      <c r="C3595" s="199">
        <v>850.43163296010835</v>
      </c>
      <c r="D3595" s="7"/>
    </row>
    <row r="3596" spans="2:4" x14ac:dyDescent="0.25">
      <c r="B3596" s="4">
        <f t="shared" si="72"/>
        <v>605.89999999996735</v>
      </c>
      <c r="C3596" s="199">
        <v>850.63834120910667</v>
      </c>
      <c r="D3596" s="7"/>
    </row>
    <row r="3597" spans="2:4" x14ac:dyDescent="0.25">
      <c r="B3597" s="4">
        <f t="shared" si="72"/>
        <v>605.90999999996734</v>
      </c>
      <c r="C3597" s="199">
        <v>850.84504945810465</v>
      </c>
      <c r="D3597" s="7"/>
    </row>
    <row r="3598" spans="2:4" x14ac:dyDescent="0.25">
      <c r="B3598" s="4">
        <f t="shared" si="72"/>
        <v>605.91999999996733</v>
      </c>
      <c r="C3598" s="199">
        <v>851.05198951529701</v>
      </c>
      <c r="D3598" s="7"/>
    </row>
    <row r="3599" spans="2:4" x14ac:dyDescent="0.25">
      <c r="B3599" s="4">
        <f t="shared" si="72"/>
        <v>605.92999999996732</v>
      </c>
      <c r="C3599" s="199">
        <v>851.25892957249164</v>
      </c>
      <c r="D3599" s="7"/>
    </row>
    <row r="3600" spans="2:4" x14ac:dyDescent="0.25">
      <c r="B3600" s="4">
        <f t="shared" si="72"/>
        <v>605.93999999996731</v>
      </c>
      <c r="C3600" s="199">
        <v>851.46586962968752</v>
      </c>
      <c r="D3600" s="7"/>
    </row>
    <row r="3601" spans="2:4" x14ac:dyDescent="0.25">
      <c r="B3601" s="4">
        <f t="shared" si="72"/>
        <v>605.9499999999673</v>
      </c>
      <c r="C3601" s="199">
        <v>851.67280968688192</v>
      </c>
      <c r="D3601" s="7"/>
    </row>
    <row r="3602" spans="2:4" x14ac:dyDescent="0.25">
      <c r="B3602" s="4">
        <f t="shared" si="72"/>
        <v>605.95999999996729</v>
      </c>
      <c r="C3602" s="199">
        <v>851.87974974407746</v>
      </c>
      <c r="D3602" s="7"/>
    </row>
    <row r="3603" spans="2:4" x14ac:dyDescent="0.25">
      <c r="B3603" s="4">
        <f t="shared" si="72"/>
        <v>605.96999999996729</v>
      </c>
      <c r="C3603" s="199">
        <v>852.08668980127368</v>
      </c>
      <c r="D3603" s="7"/>
    </row>
    <row r="3604" spans="2:4" x14ac:dyDescent="0.25">
      <c r="B3604" s="4">
        <f t="shared" si="72"/>
        <v>605.97999999996728</v>
      </c>
      <c r="C3604" s="199">
        <v>852.29362985846819</v>
      </c>
      <c r="D3604" s="7"/>
    </row>
    <row r="3605" spans="2:4" x14ac:dyDescent="0.25">
      <c r="B3605" s="4">
        <f t="shared" si="72"/>
        <v>605.98999999996727</v>
      </c>
      <c r="C3605" s="199">
        <v>852.50056991566407</v>
      </c>
      <c r="D3605" s="7"/>
    </row>
    <row r="3606" spans="2:4" x14ac:dyDescent="0.25">
      <c r="B3606" s="4">
        <f t="shared" si="72"/>
        <v>605.99999999996726</v>
      </c>
      <c r="C3606" s="199">
        <v>852.70750997285938</v>
      </c>
      <c r="D3606" s="7"/>
    </row>
    <row r="3607" spans="2:4" x14ac:dyDescent="0.25">
      <c r="B3607" s="4">
        <f t="shared" si="72"/>
        <v>606.00999999996725</v>
      </c>
      <c r="C3607" s="199">
        <v>852.91445003005458</v>
      </c>
      <c r="D3607" s="7"/>
    </row>
    <row r="3608" spans="2:4" x14ac:dyDescent="0.25">
      <c r="B3608" s="4">
        <f t="shared" si="72"/>
        <v>606.01999999996724</v>
      </c>
      <c r="C3608" s="199">
        <v>853.12162422896085</v>
      </c>
      <c r="D3608" s="7"/>
    </row>
    <row r="3609" spans="2:4" x14ac:dyDescent="0.25">
      <c r="B3609" s="4">
        <f t="shared" si="72"/>
        <v>606.02999999996723</v>
      </c>
      <c r="C3609" s="199">
        <v>853.32879842786895</v>
      </c>
      <c r="D3609" s="7"/>
    </row>
    <row r="3610" spans="2:4" x14ac:dyDescent="0.25">
      <c r="B3610" s="4">
        <f t="shared" si="72"/>
        <v>606.03999999996722</v>
      </c>
      <c r="C3610" s="199">
        <v>853.53597262677579</v>
      </c>
      <c r="D3610" s="7"/>
    </row>
    <row r="3611" spans="2:4" x14ac:dyDescent="0.25">
      <c r="B3611" s="4">
        <f t="shared" si="72"/>
        <v>606.04999999996721</v>
      </c>
      <c r="C3611" s="199">
        <v>853.74314682568343</v>
      </c>
      <c r="D3611" s="7"/>
    </row>
    <row r="3612" spans="2:4" x14ac:dyDescent="0.25">
      <c r="B3612" s="4">
        <f t="shared" si="72"/>
        <v>606.0599999999672</v>
      </c>
      <c r="C3612" s="199">
        <v>853.95032102459038</v>
      </c>
      <c r="D3612" s="7"/>
    </row>
    <row r="3613" spans="2:4" x14ac:dyDescent="0.25">
      <c r="B3613" s="4">
        <f t="shared" si="72"/>
        <v>606.06999999996719</v>
      </c>
      <c r="C3613" s="199">
        <v>854.15749522349824</v>
      </c>
      <c r="D3613" s="7"/>
    </row>
    <row r="3614" spans="2:4" x14ac:dyDescent="0.25">
      <c r="B3614" s="4">
        <f t="shared" si="72"/>
        <v>606.07999999996719</v>
      </c>
      <c r="C3614" s="199">
        <v>854.36466942240497</v>
      </c>
      <c r="D3614" s="7"/>
    </row>
    <row r="3615" spans="2:4" x14ac:dyDescent="0.25">
      <c r="B3615" s="4">
        <f t="shared" si="72"/>
        <v>606.08999999996718</v>
      </c>
      <c r="C3615" s="199">
        <v>854.57184362131147</v>
      </c>
      <c r="D3615" s="7"/>
    </row>
    <row r="3616" spans="2:4" x14ac:dyDescent="0.25">
      <c r="B3616" s="4">
        <f t="shared" si="72"/>
        <v>606.09999999996717</v>
      </c>
      <c r="C3616" s="199">
        <v>854.77901782021979</v>
      </c>
      <c r="D3616" s="7"/>
    </row>
    <row r="3617" spans="2:4" x14ac:dyDescent="0.25">
      <c r="B3617" s="4">
        <f t="shared" si="72"/>
        <v>606.10999999996716</v>
      </c>
      <c r="C3617" s="199">
        <v>854.98619201912641</v>
      </c>
      <c r="D3617" s="7"/>
    </row>
    <row r="3618" spans="2:4" x14ac:dyDescent="0.25">
      <c r="B3618" s="4">
        <f t="shared" si="72"/>
        <v>606.11999999996715</v>
      </c>
      <c r="C3618" s="199">
        <v>855.19359765764852</v>
      </c>
      <c r="D3618" s="7"/>
    </row>
    <row r="3619" spans="2:4" x14ac:dyDescent="0.25">
      <c r="B3619" s="4">
        <f t="shared" si="72"/>
        <v>606.12999999996714</v>
      </c>
      <c r="C3619" s="199">
        <v>855.40100329617474</v>
      </c>
      <c r="D3619" s="7"/>
    </row>
    <row r="3620" spans="2:4" x14ac:dyDescent="0.25">
      <c r="B3620" s="4">
        <f t="shared" si="72"/>
        <v>606.13999999996713</v>
      </c>
      <c r="C3620" s="199">
        <v>855.6084089347014</v>
      </c>
      <c r="D3620" s="7"/>
    </row>
    <row r="3621" spans="2:4" x14ac:dyDescent="0.25">
      <c r="B3621" s="4">
        <f t="shared" si="72"/>
        <v>606.14999999996712</v>
      </c>
      <c r="C3621" s="199">
        <v>855.81581457322841</v>
      </c>
      <c r="D3621" s="7"/>
    </row>
    <row r="3622" spans="2:4" x14ac:dyDescent="0.25">
      <c r="B3622" s="4">
        <f t="shared" si="72"/>
        <v>606.15999999996711</v>
      </c>
      <c r="C3622" s="199">
        <v>856.02322021175451</v>
      </c>
      <c r="D3622" s="7"/>
    </row>
    <row r="3623" spans="2:4" x14ac:dyDescent="0.25">
      <c r="B3623" s="4">
        <f t="shared" si="72"/>
        <v>606.1699999999671</v>
      </c>
      <c r="C3623" s="199">
        <v>856.23062585028117</v>
      </c>
      <c r="D3623" s="7"/>
    </row>
    <row r="3624" spans="2:4" x14ac:dyDescent="0.25">
      <c r="B3624" s="4">
        <f t="shared" si="72"/>
        <v>606.17999999996709</v>
      </c>
      <c r="C3624" s="199">
        <v>856.43803148880761</v>
      </c>
      <c r="D3624" s="7"/>
    </row>
    <row r="3625" spans="2:4" x14ac:dyDescent="0.25">
      <c r="B3625" s="4">
        <f t="shared" si="72"/>
        <v>606.18999999996709</v>
      </c>
      <c r="C3625" s="199">
        <v>856.64543712733439</v>
      </c>
      <c r="D3625" s="7"/>
    </row>
    <row r="3626" spans="2:4" x14ac:dyDescent="0.25">
      <c r="B3626" s="4">
        <f t="shared" si="72"/>
        <v>606.19999999996708</v>
      </c>
      <c r="C3626" s="199">
        <v>856.85284276586094</v>
      </c>
      <c r="D3626" s="7"/>
    </row>
    <row r="3627" spans="2:4" x14ac:dyDescent="0.25">
      <c r="B3627" s="4">
        <f t="shared" si="72"/>
        <v>606.20999999996707</v>
      </c>
      <c r="C3627" s="199">
        <v>857.06024840438749</v>
      </c>
      <c r="D3627" s="7"/>
    </row>
    <row r="3628" spans="2:4" x14ac:dyDescent="0.25">
      <c r="B3628" s="4">
        <f t="shared" si="72"/>
        <v>606.21999999996706</v>
      </c>
      <c r="C3628" s="199">
        <v>857.26788469584062</v>
      </c>
      <c r="D3628" s="7"/>
    </row>
    <row r="3629" spans="2:4" x14ac:dyDescent="0.25">
      <c r="B3629" s="4">
        <f t="shared" si="72"/>
        <v>606.22999999996705</v>
      </c>
      <c r="C3629" s="199">
        <v>857.47552098729409</v>
      </c>
      <c r="D3629" s="7"/>
    </row>
    <row r="3630" spans="2:4" x14ac:dyDescent="0.25">
      <c r="B3630" s="4">
        <f t="shared" si="72"/>
        <v>606.23999999996704</v>
      </c>
      <c r="C3630" s="199">
        <v>857.68315727874767</v>
      </c>
      <c r="D3630" s="7"/>
    </row>
    <row r="3631" spans="2:4" x14ac:dyDescent="0.25">
      <c r="B3631" s="4">
        <f t="shared" si="72"/>
        <v>606.24999999996703</v>
      </c>
      <c r="C3631" s="199">
        <v>857.89079357019989</v>
      </c>
      <c r="D3631" s="7"/>
    </row>
    <row r="3632" spans="2:4" x14ac:dyDescent="0.25">
      <c r="B3632" s="4">
        <f t="shared" si="72"/>
        <v>606.25999999996702</v>
      </c>
      <c r="C3632" s="199">
        <v>858.09842986165336</v>
      </c>
      <c r="D3632" s="7"/>
    </row>
    <row r="3633" spans="2:4" x14ac:dyDescent="0.25">
      <c r="B3633" s="4">
        <f t="shared" si="72"/>
        <v>606.26999999996701</v>
      </c>
      <c r="C3633" s="199">
        <v>858.30606615310717</v>
      </c>
      <c r="D3633" s="7"/>
    </row>
    <row r="3634" spans="2:4" x14ac:dyDescent="0.25">
      <c r="B3634" s="4">
        <f t="shared" si="72"/>
        <v>606.279999999967</v>
      </c>
      <c r="C3634" s="199">
        <v>858.51370244456041</v>
      </c>
      <c r="D3634" s="7"/>
    </row>
    <row r="3635" spans="2:4" x14ac:dyDescent="0.25">
      <c r="B3635" s="4">
        <f t="shared" si="72"/>
        <v>606.28999999996699</v>
      </c>
      <c r="C3635" s="199">
        <v>858.72133873601308</v>
      </c>
      <c r="D3635" s="7"/>
    </row>
    <row r="3636" spans="2:4" x14ac:dyDescent="0.25">
      <c r="B3636" s="4">
        <f t="shared" si="72"/>
        <v>606.29999999996699</v>
      </c>
      <c r="C3636" s="199">
        <v>858.92897502746632</v>
      </c>
      <c r="D3636" s="7"/>
    </row>
    <row r="3637" spans="2:4" x14ac:dyDescent="0.25">
      <c r="B3637" s="4">
        <f t="shared" si="72"/>
        <v>606.30999999996698</v>
      </c>
      <c r="C3637" s="199">
        <v>859.1366113189199</v>
      </c>
      <c r="D3637" s="7"/>
    </row>
    <row r="3638" spans="2:4" x14ac:dyDescent="0.25">
      <c r="B3638" s="4">
        <f t="shared" si="72"/>
        <v>606.31999999996697</v>
      </c>
      <c r="C3638" s="199">
        <v>859.34447481803147</v>
      </c>
      <c r="D3638" s="7"/>
    </row>
    <row r="3639" spans="2:4" x14ac:dyDescent="0.25">
      <c r="B3639" s="4">
        <f t="shared" si="72"/>
        <v>606.32999999996696</v>
      </c>
      <c r="C3639" s="199">
        <v>859.55233831714645</v>
      </c>
      <c r="D3639" s="7"/>
    </row>
    <row r="3640" spans="2:4" x14ac:dyDescent="0.25">
      <c r="B3640" s="4">
        <f t="shared" si="72"/>
        <v>606.33999999996695</v>
      </c>
      <c r="C3640" s="199">
        <v>859.76020181626177</v>
      </c>
      <c r="D3640" s="7"/>
    </row>
    <row r="3641" spans="2:4" x14ac:dyDescent="0.25">
      <c r="B3641" s="4">
        <f t="shared" si="72"/>
        <v>606.34999999996694</v>
      </c>
      <c r="C3641" s="199">
        <v>859.96806531537584</v>
      </c>
      <c r="D3641" s="7"/>
    </row>
    <row r="3642" spans="2:4" x14ac:dyDescent="0.25">
      <c r="B3642" s="4">
        <f t="shared" si="72"/>
        <v>606.35999999996693</v>
      </c>
      <c r="C3642" s="199">
        <v>860.17592881449093</v>
      </c>
      <c r="D3642" s="7"/>
    </row>
    <row r="3643" spans="2:4" x14ac:dyDescent="0.25">
      <c r="B3643" s="4">
        <f t="shared" si="72"/>
        <v>606.36999999996692</v>
      </c>
      <c r="C3643" s="199">
        <v>860.3837923136058</v>
      </c>
      <c r="D3643" s="7"/>
    </row>
    <row r="3644" spans="2:4" x14ac:dyDescent="0.25">
      <c r="B3644" s="4">
        <f t="shared" si="72"/>
        <v>606.37999999996691</v>
      </c>
      <c r="C3644" s="199">
        <v>860.59165581272123</v>
      </c>
      <c r="D3644" s="7"/>
    </row>
    <row r="3645" spans="2:4" x14ac:dyDescent="0.25">
      <c r="B3645" s="4">
        <f t="shared" si="72"/>
        <v>606.3899999999669</v>
      </c>
      <c r="C3645" s="199">
        <v>860.79951931183621</v>
      </c>
      <c r="D3645" s="7"/>
    </row>
    <row r="3646" spans="2:4" x14ac:dyDescent="0.25">
      <c r="B3646" s="4">
        <f t="shared" si="72"/>
        <v>606.39999999996689</v>
      </c>
      <c r="C3646" s="199">
        <v>861.00738281095107</v>
      </c>
      <c r="D3646" s="7"/>
    </row>
    <row r="3647" spans="2:4" x14ac:dyDescent="0.25">
      <c r="B3647" s="4">
        <f t="shared" si="72"/>
        <v>606.40999999996689</v>
      </c>
      <c r="C3647" s="199">
        <v>861.21524631006673</v>
      </c>
      <c r="D3647" s="7"/>
    </row>
    <row r="3648" spans="2:4" x14ac:dyDescent="0.25">
      <c r="B3648" s="4">
        <f t="shared" si="72"/>
        <v>606.41999999996688</v>
      </c>
      <c r="C3648" s="199">
        <v>861.4233356947932</v>
      </c>
      <c r="D3648" s="7"/>
    </row>
    <row r="3649" spans="2:4" x14ac:dyDescent="0.25">
      <c r="B3649" s="4">
        <f t="shared" si="72"/>
        <v>606.42999999996687</v>
      </c>
      <c r="C3649" s="199">
        <v>861.63142507952136</v>
      </c>
      <c r="D3649" s="7"/>
    </row>
    <row r="3650" spans="2:4" x14ac:dyDescent="0.25">
      <c r="B3650" s="4">
        <f t="shared" si="72"/>
        <v>606.43999999996686</v>
      </c>
      <c r="C3650" s="199">
        <v>861.83951446424965</v>
      </c>
      <c r="D3650" s="7"/>
    </row>
    <row r="3651" spans="2:4" x14ac:dyDescent="0.25">
      <c r="B3651" s="4">
        <f t="shared" si="72"/>
        <v>606.44999999996685</v>
      </c>
      <c r="C3651" s="199">
        <v>862.04760384897713</v>
      </c>
      <c r="D3651" s="7"/>
    </row>
    <row r="3652" spans="2:4" x14ac:dyDescent="0.25">
      <c r="B3652" s="4">
        <f t="shared" si="72"/>
        <v>606.45999999996684</v>
      </c>
      <c r="C3652" s="199">
        <v>862.25569323370439</v>
      </c>
      <c r="D3652" s="7"/>
    </row>
    <row r="3653" spans="2:4" x14ac:dyDescent="0.25">
      <c r="B3653" s="4">
        <f t="shared" si="72"/>
        <v>606.46999999996683</v>
      </c>
      <c r="C3653" s="199">
        <v>862.46378261843256</v>
      </c>
      <c r="D3653" s="7"/>
    </row>
    <row r="3654" spans="2:4" x14ac:dyDescent="0.25">
      <c r="B3654" s="4">
        <f t="shared" si="72"/>
        <v>606.47999999996682</v>
      </c>
      <c r="C3654" s="199">
        <v>862.67187200315982</v>
      </c>
      <c r="D3654" s="7"/>
    </row>
    <row r="3655" spans="2:4" x14ac:dyDescent="0.25">
      <c r="B3655" s="4">
        <f t="shared" si="72"/>
        <v>606.48999999996681</v>
      </c>
      <c r="C3655" s="199">
        <v>862.87996138788787</v>
      </c>
      <c r="D3655" s="7"/>
    </row>
    <row r="3656" spans="2:4" x14ac:dyDescent="0.25">
      <c r="B3656" s="4">
        <f t="shared" ref="B3656:B3719" si="73">+B3655+0.01</f>
        <v>606.4999999999668</v>
      </c>
      <c r="C3656" s="199">
        <v>863.08805077261547</v>
      </c>
      <c r="D3656" s="7"/>
    </row>
    <row r="3657" spans="2:4" x14ac:dyDescent="0.25">
      <c r="B3657" s="4">
        <f t="shared" si="73"/>
        <v>606.50999999996679</v>
      </c>
      <c r="C3657" s="199">
        <v>863.29614015734285</v>
      </c>
      <c r="D3657" s="7"/>
    </row>
    <row r="3658" spans="2:4" x14ac:dyDescent="0.25">
      <c r="B3658" s="4">
        <f t="shared" si="73"/>
        <v>606.51999999996679</v>
      </c>
      <c r="C3658" s="199">
        <v>863.50445356799185</v>
      </c>
      <c r="D3658" s="7"/>
    </row>
    <row r="3659" spans="2:4" x14ac:dyDescent="0.25">
      <c r="B3659" s="4">
        <f t="shared" si="73"/>
        <v>606.52999999996678</v>
      </c>
      <c r="C3659" s="199">
        <v>863.71276697864528</v>
      </c>
      <c r="D3659" s="7"/>
    </row>
    <row r="3660" spans="2:4" x14ac:dyDescent="0.25">
      <c r="B3660" s="4">
        <f t="shared" si="73"/>
        <v>606.53999999996677</v>
      </c>
      <c r="C3660" s="199">
        <v>863.92108038929882</v>
      </c>
      <c r="D3660" s="7"/>
    </row>
    <row r="3661" spans="2:4" x14ac:dyDescent="0.25">
      <c r="B3661" s="4">
        <f t="shared" si="73"/>
        <v>606.54999999996676</v>
      </c>
      <c r="C3661" s="199">
        <v>864.1293937999518</v>
      </c>
      <c r="D3661" s="7"/>
    </row>
    <row r="3662" spans="2:4" x14ac:dyDescent="0.25">
      <c r="B3662" s="4">
        <f t="shared" si="73"/>
        <v>606.55999999996675</v>
      </c>
      <c r="C3662" s="199">
        <v>864.337707210605</v>
      </c>
      <c r="D3662" s="7"/>
    </row>
    <row r="3663" spans="2:4" x14ac:dyDescent="0.25">
      <c r="B3663" s="4">
        <f t="shared" si="73"/>
        <v>606.56999999996674</v>
      </c>
      <c r="C3663" s="199">
        <v>864.54602062125821</v>
      </c>
      <c r="D3663" s="7"/>
    </row>
    <row r="3664" spans="2:4" x14ac:dyDescent="0.25">
      <c r="B3664" s="4">
        <f t="shared" si="73"/>
        <v>606.57999999996673</v>
      </c>
      <c r="C3664" s="199">
        <v>864.75433403191141</v>
      </c>
      <c r="D3664" s="7"/>
    </row>
    <row r="3665" spans="2:4" x14ac:dyDescent="0.25">
      <c r="B3665" s="4">
        <f t="shared" si="73"/>
        <v>606.58999999996672</v>
      </c>
      <c r="C3665" s="199">
        <v>864.96264744256518</v>
      </c>
      <c r="D3665" s="7"/>
    </row>
    <row r="3666" spans="2:4" x14ac:dyDescent="0.25">
      <c r="B3666" s="4">
        <f t="shared" si="73"/>
        <v>606.59999999996671</v>
      </c>
      <c r="C3666" s="199">
        <v>865.17096085321793</v>
      </c>
      <c r="D3666" s="7"/>
    </row>
    <row r="3667" spans="2:4" x14ac:dyDescent="0.25">
      <c r="B3667" s="4">
        <f t="shared" si="73"/>
        <v>606.6099999999667</v>
      </c>
      <c r="C3667" s="199">
        <v>865.37927426387137</v>
      </c>
      <c r="D3667" s="7"/>
    </row>
    <row r="3668" spans="2:4" x14ac:dyDescent="0.25">
      <c r="B3668" s="4">
        <f t="shared" si="73"/>
        <v>606.61999999996669</v>
      </c>
      <c r="C3668" s="199">
        <v>865.58780951447056</v>
      </c>
      <c r="D3668" s="7"/>
    </row>
    <row r="3669" spans="2:4" x14ac:dyDescent="0.25">
      <c r="B3669" s="4">
        <f t="shared" si="73"/>
        <v>606.62999999996669</v>
      </c>
      <c r="C3669" s="199">
        <v>865.79634476506988</v>
      </c>
      <c r="D3669" s="7"/>
    </row>
    <row r="3670" spans="2:4" x14ac:dyDescent="0.25">
      <c r="B3670" s="4">
        <f t="shared" si="73"/>
        <v>606.63999999996668</v>
      </c>
      <c r="C3670" s="199">
        <v>866.00488001566873</v>
      </c>
      <c r="D3670" s="7"/>
    </row>
    <row r="3671" spans="2:4" x14ac:dyDescent="0.25">
      <c r="B3671" s="4">
        <f t="shared" si="73"/>
        <v>606.64999999996667</v>
      </c>
      <c r="C3671" s="199">
        <v>866.21341526626838</v>
      </c>
      <c r="D3671" s="7"/>
    </row>
    <row r="3672" spans="2:4" x14ac:dyDescent="0.25">
      <c r="B3672" s="4">
        <f t="shared" si="73"/>
        <v>606.65999999996666</v>
      </c>
      <c r="C3672" s="199">
        <v>866.42195051686804</v>
      </c>
      <c r="D3672" s="7"/>
    </row>
    <row r="3673" spans="2:4" x14ac:dyDescent="0.25">
      <c r="B3673" s="4">
        <f t="shared" si="73"/>
        <v>606.66999999996665</v>
      </c>
      <c r="C3673" s="199">
        <v>866.6304857674678</v>
      </c>
      <c r="D3673" s="7"/>
    </row>
    <row r="3674" spans="2:4" x14ac:dyDescent="0.25">
      <c r="B3674" s="4">
        <f t="shared" si="73"/>
        <v>606.67999999996664</v>
      </c>
      <c r="C3674" s="199">
        <v>866.83902101806655</v>
      </c>
      <c r="D3674" s="7"/>
    </row>
    <row r="3675" spans="2:4" x14ac:dyDescent="0.25">
      <c r="B3675" s="4">
        <f t="shared" si="73"/>
        <v>606.68999999996663</v>
      </c>
      <c r="C3675" s="199">
        <v>867.0475562686662</v>
      </c>
      <c r="D3675" s="7"/>
    </row>
    <row r="3676" spans="2:4" x14ac:dyDescent="0.25">
      <c r="B3676" s="4">
        <f t="shared" si="73"/>
        <v>606.69999999996662</v>
      </c>
      <c r="C3676" s="199">
        <v>867.2560915192654</v>
      </c>
      <c r="D3676" s="7"/>
    </row>
    <row r="3677" spans="2:4" x14ac:dyDescent="0.25">
      <c r="B3677" s="4">
        <f t="shared" si="73"/>
        <v>606.70999999996661</v>
      </c>
      <c r="C3677" s="199">
        <v>867.46462676986516</v>
      </c>
      <c r="D3677" s="7"/>
    </row>
    <row r="3678" spans="2:4" x14ac:dyDescent="0.25">
      <c r="B3678" s="4">
        <f t="shared" si="73"/>
        <v>606.7199999999666</v>
      </c>
      <c r="C3678" s="199">
        <v>867.67338576730174</v>
      </c>
      <c r="D3678" s="7"/>
    </row>
    <row r="3679" spans="2:4" x14ac:dyDescent="0.25">
      <c r="B3679" s="4">
        <f t="shared" si="73"/>
        <v>606.72999999996659</v>
      </c>
      <c r="C3679" s="199">
        <v>867.88214476474286</v>
      </c>
      <c r="D3679" s="7"/>
    </row>
    <row r="3680" spans="2:4" x14ac:dyDescent="0.25">
      <c r="B3680" s="4">
        <f t="shared" si="73"/>
        <v>606.73999999996659</v>
      </c>
      <c r="C3680" s="199">
        <v>868.09090376218455</v>
      </c>
      <c r="D3680" s="7"/>
    </row>
    <row r="3681" spans="2:4" x14ac:dyDescent="0.25">
      <c r="B3681" s="4">
        <f t="shared" si="73"/>
        <v>606.74999999996658</v>
      </c>
      <c r="C3681" s="199">
        <v>868.29966275962511</v>
      </c>
      <c r="D3681" s="7"/>
    </row>
    <row r="3682" spans="2:4" x14ac:dyDescent="0.25">
      <c r="B3682" s="4">
        <f t="shared" si="73"/>
        <v>606.75999999996657</v>
      </c>
      <c r="C3682" s="199">
        <v>868.50842175706725</v>
      </c>
      <c r="D3682" s="7"/>
    </row>
    <row r="3683" spans="2:4" x14ac:dyDescent="0.25">
      <c r="B3683" s="4">
        <f t="shared" si="73"/>
        <v>606.76999999996656</v>
      </c>
      <c r="C3683" s="199">
        <v>868.71718075450804</v>
      </c>
      <c r="D3683" s="7"/>
    </row>
    <row r="3684" spans="2:4" x14ac:dyDescent="0.25">
      <c r="B3684" s="4">
        <f t="shared" si="73"/>
        <v>606.77999999996655</v>
      </c>
      <c r="C3684" s="199">
        <v>868.9259397519495</v>
      </c>
      <c r="D3684" s="7"/>
    </row>
    <row r="3685" spans="2:4" x14ac:dyDescent="0.25">
      <c r="B3685" s="4">
        <f t="shared" si="73"/>
        <v>606.78999999996654</v>
      </c>
      <c r="C3685" s="199">
        <v>869.13469874939028</v>
      </c>
      <c r="D3685" s="7"/>
    </row>
    <row r="3686" spans="2:4" x14ac:dyDescent="0.25">
      <c r="B3686" s="4">
        <f t="shared" si="73"/>
        <v>606.79999999996653</v>
      </c>
      <c r="C3686" s="199">
        <v>869.34345774683231</v>
      </c>
      <c r="D3686" s="7"/>
    </row>
    <row r="3687" spans="2:4" x14ac:dyDescent="0.25">
      <c r="B3687" s="4">
        <f t="shared" si="73"/>
        <v>606.80999999996652</v>
      </c>
      <c r="C3687" s="199">
        <v>869.55221674427332</v>
      </c>
      <c r="D3687" s="7"/>
    </row>
    <row r="3688" spans="2:4" x14ac:dyDescent="0.25">
      <c r="B3688" s="4">
        <f t="shared" si="73"/>
        <v>606.81999999996651</v>
      </c>
      <c r="C3688" s="199">
        <v>869.76119938475961</v>
      </c>
      <c r="D3688" s="7"/>
    </row>
    <row r="3689" spans="2:4" x14ac:dyDescent="0.25">
      <c r="B3689" s="4">
        <f t="shared" si="73"/>
        <v>606.8299999999665</v>
      </c>
      <c r="C3689" s="199">
        <v>869.97018202524737</v>
      </c>
      <c r="D3689" s="7"/>
    </row>
    <row r="3690" spans="2:4" x14ac:dyDescent="0.25">
      <c r="B3690" s="4">
        <f t="shared" si="73"/>
        <v>606.83999999996649</v>
      </c>
      <c r="C3690" s="199">
        <v>870.17916466573467</v>
      </c>
      <c r="D3690" s="7"/>
    </row>
    <row r="3691" spans="2:4" x14ac:dyDescent="0.25">
      <c r="B3691" s="4">
        <f t="shared" si="73"/>
        <v>606.84999999996649</v>
      </c>
      <c r="C3691" s="199">
        <v>870.38814730622141</v>
      </c>
      <c r="D3691" s="7"/>
    </row>
    <row r="3692" spans="2:4" x14ac:dyDescent="0.25">
      <c r="B3692" s="4">
        <f t="shared" si="73"/>
        <v>606.85999999996648</v>
      </c>
      <c r="C3692" s="199">
        <v>870.59712994670906</v>
      </c>
      <c r="D3692" s="7"/>
    </row>
    <row r="3693" spans="2:4" x14ac:dyDescent="0.25">
      <c r="B3693" s="4">
        <f t="shared" si="73"/>
        <v>606.86999999996647</v>
      </c>
      <c r="C3693" s="199">
        <v>870.80611258719557</v>
      </c>
      <c r="D3693" s="7"/>
    </row>
    <row r="3694" spans="2:4" x14ac:dyDescent="0.25">
      <c r="B3694" s="4">
        <f t="shared" si="73"/>
        <v>606.87999999996646</v>
      </c>
      <c r="C3694" s="199">
        <v>871.01509522768367</v>
      </c>
      <c r="D3694" s="7"/>
    </row>
    <row r="3695" spans="2:4" x14ac:dyDescent="0.25">
      <c r="B3695" s="4">
        <f t="shared" si="73"/>
        <v>606.88999999996645</v>
      </c>
      <c r="C3695" s="199">
        <v>871.2240778681703</v>
      </c>
      <c r="D3695" s="7"/>
    </row>
    <row r="3696" spans="2:4" x14ac:dyDescent="0.25">
      <c r="B3696" s="4">
        <f t="shared" si="73"/>
        <v>606.89999999996644</v>
      </c>
      <c r="C3696" s="199">
        <v>871.43306050865806</v>
      </c>
      <c r="D3696" s="7"/>
    </row>
    <row r="3697" spans="2:4" x14ac:dyDescent="0.25">
      <c r="B3697" s="4">
        <f t="shared" si="73"/>
        <v>606.90999999996643</v>
      </c>
      <c r="C3697" s="199">
        <v>871.64204314914537</v>
      </c>
      <c r="D3697" s="7"/>
    </row>
    <row r="3698" spans="2:4" x14ac:dyDescent="0.25">
      <c r="B3698" s="4">
        <f t="shared" si="73"/>
        <v>606.91999999996642</v>
      </c>
      <c r="C3698" s="199">
        <v>871.85125056303161</v>
      </c>
      <c r="D3698" s="7"/>
    </row>
    <row r="3699" spans="2:4" x14ac:dyDescent="0.25">
      <c r="B3699" s="4">
        <f t="shared" si="73"/>
        <v>606.92999999996641</v>
      </c>
      <c r="C3699" s="199">
        <v>872.06045797692309</v>
      </c>
      <c r="D3699" s="7"/>
    </row>
    <row r="3700" spans="2:4" x14ac:dyDescent="0.25">
      <c r="B3700" s="4">
        <f t="shared" si="73"/>
        <v>606.9399999999664</v>
      </c>
      <c r="C3700" s="199">
        <v>872.26966539081411</v>
      </c>
      <c r="D3700" s="7"/>
    </row>
    <row r="3701" spans="2:4" x14ac:dyDescent="0.25">
      <c r="B3701" s="4">
        <f t="shared" si="73"/>
        <v>606.94999999996639</v>
      </c>
      <c r="C3701" s="199">
        <v>872.47887280470547</v>
      </c>
      <c r="D3701" s="7"/>
    </row>
    <row r="3702" spans="2:4" x14ac:dyDescent="0.25">
      <c r="B3702" s="4">
        <f t="shared" si="73"/>
        <v>606.95999999996639</v>
      </c>
      <c r="C3702" s="199">
        <v>872.68808021859672</v>
      </c>
      <c r="D3702" s="7"/>
    </row>
    <row r="3703" spans="2:4" x14ac:dyDescent="0.25">
      <c r="B3703" s="4">
        <f t="shared" si="73"/>
        <v>606.96999999996638</v>
      </c>
      <c r="C3703" s="199">
        <v>872.8972876324882</v>
      </c>
      <c r="D3703" s="7"/>
    </row>
    <row r="3704" spans="2:4" x14ac:dyDescent="0.25">
      <c r="B3704" s="4">
        <f t="shared" si="73"/>
        <v>606.97999999996637</v>
      </c>
      <c r="C3704" s="199">
        <v>873.10649504637911</v>
      </c>
      <c r="D3704" s="7"/>
    </row>
    <row r="3705" spans="2:4" x14ac:dyDescent="0.25">
      <c r="B3705" s="4">
        <f t="shared" si="73"/>
        <v>606.98999999996636</v>
      </c>
      <c r="C3705" s="199">
        <v>873.31570246027059</v>
      </c>
      <c r="D3705" s="7"/>
    </row>
    <row r="3706" spans="2:4" x14ac:dyDescent="0.25">
      <c r="B3706" s="4">
        <f t="shared" si="73"/>
        <v>606.99999999996635</v>
      </c>
      <c r="C3706" s="199">
        <v>873.52490987416184</v>
      </c>
      <c r="D3706" s="7"/>
    </row>
    <row r="3707" spans="2:4" x14ac:dyDescent="0.25">
      <c r="B3707" s="4">
        <f t="shared" si="73"/>
        <v>607.00999999996634</v>
      </c>
      <c r="C3707" s="199">
        <v>873.73411728805183</v>
      </c>
      <c r="D3707" s="7"/>
    </row>
    <row r="3708" spans="2:4" x14ac:dyDescent="0.25">
      <c r="B3708" s="4">
        <f t="shared" si="73"/>
        <v>607.01999999996633</v>
      </c>
      <c r="C3708" s="199">
        <v>873.94355149312923</v>
      </c>
      <c r="D3708" s="7"/>
    </row>
    <row r="3709" spans="2:4" x14ac:dyDescent="0.25">
      <c r="B3709" s="4">
        <f t="shared" si="73"/>
        <v>607.02999999996632</v>
      </c>
      <c r="C3709" s="199">
        <v>874.15298569820652</v>
      </c>
      <c r="D3709" s="7"/>
    </row>
    <row r="3710" spans="2:4" x14ac:dyDescent="0.25">
      <c r="B3710" s="4">
        <f t="shared" si="73"/>
        <v>607.03999999996631</v>
      </c>
      <c r="C3710" s="199">
        <v>874.36241990328392</v>
      </c>
      <c r="D3710" s="7"/>
    </row>
    <row r="3711" spans="2:4" x14ac:dyDescent="0.25">
      <c r="B3711" s="4">
        <f t="shared" si="73"/>
        <v>607.0499999999663</v>
      </c>
      <c r="C3711" s="199">
        <v>874.57185410836121</v>
      </c>
      <c r="D3711" s="7"/>
    </row>
    <row r="3712" spans="2:4" x14ac:dyDescent="0.25">
      <c r="B3712" s="4">
        <f t="shared" si="73"/>
        <v>607.05999999996629</v>
      </c>
      <c r="C3712" s="199">
        <v>874.78128831343815</v>
      </c>
      <c r="D3712" s="7"/>
    </row>
    <row r="3713" spans="2:4" x14ac:dyDescent="0.25">
      <c r="B3713" s="4">
        <f t="shared" si="73"/>
        <v>607.06999999996629</v>
      </c>
      <c r="C3713" s="199">
        <v>874.99072251851544</v>
      </c>
      <c r="D3713" s="7"/>
    </row>
    <row r="3714" spans="2:4" x14ac:dyDescent="0.25">
      <c r="B3714" s="4">
        <f t="shared" si="73"/>
        <v>607.07999999996628</v>
      </c>
      <c r="C3714" s="199">
        <v>875.20015672359295</v>
      </c>
      <c r="D3714" s="7"/>
    </row>
    <row r="3715" spans="2:4" x14ac:dyDescent="0.25">
      <c r="B3715" s="4">
        <f t="shared" si="73"/>
        <v>607.08999999996627</v>
      </c>
      <c r="C3715" s="199">
        <v>875.40959092867024</v>
      </c>
      <c r="D3715" s="7"/>
    </row>
    <row r="3716" spans="2:4" x14ac:dyDescent="0.25">
      <c r="B3716" s="4">
        <f t="shared" si="73"/>
        <v>607.09999999996626</v>
      </c>
      <c r="C3716" s="199">
        <v>875.61902513374719</v>
      </c>
      <c r="D3716" s="7"/>
    </row>
    <row r="3717" spans="2:4" x14ac:dyDescent="0.25">
      <c r="B3717" s="4">
        <f t="shared" si="73"/>
        <v>607.10999999996625</v>
      </c>
      <c r="C3717" s="199">
        <v>875.82845933882436</v>
      </c>
      <c r="D3717" s="7"/>
    </row>
    <row r="3718" spans="2:4" x14ac:dyDescent="0.25">
      <c r="B3718" s="4">
        <f t="shared" si="73"/>
        <v>607.11999999996624</v>
      </c>
      <c r="C3718" s="199">
        <v>876.03811888356813</v>
      </c>
      <c r="D3718" s="7"/>
    </row>
    <row r="3719" spans="2:4" x14ac:dyDescent="0.25">
      <c r="B3719" s="4">
        <f t="shared" si="73"/>
        <v>607.12999999996623</v>
      </c>
      <c r="C3719" s="199">
        <v>876.24777842831452</v>
      </c>
      <c r="D3719" s="7"/>
    </row>
    <row r="3720" spans="2:4" x14ac:dyDescent="0.25">
      <c r="B3720" s="4">
        <f t="shared" ref="B3720:B3783" si="74">+B3719+0.01</f>
        <v>607.13999999996622</v>
      </c>
      <c r="C3720" s="199">
        <v>876.45743797306181</v>
      </c>
      <c r="D3720" s="7"/>
    </row>
    <row r="3721" spans="2:4" x14ac:dyDescent="0.25">
      <c r="B3721" s="4">
        <f t="shared" si="74"/>
        <v>607.14999999996621</v>
      </c>
      <c r="C3721" s="199">
        <v>876.66709751780843</v>
      </c>
      <c r="D3721" s="7"/>
    </row>
    <row r="3722" spans="2:4" x14ac:dyDescent="0.25">
      <c r="B3722" s="4">
        <f t="shared" si="74"/>
        <v>607.1599999999662</v>
      </c>
      <c r="C3722" s="199">
        <v>876.87675706255573</v>
      </c>
      <c r="D3722" s="7"/>
    </row>
    <row r="3723" spans="2:4" x14ac:dyDescent="0.25">
      <c r="B3723" s="4">
        <f t="shared" si="74"/>
        <v>607.16999999996619</v>
      </c>
      <c r="C3723" s="199">
        <v>877.08641660730223</v>
      </c>
      <c r="D3723" s="7"/>
    </row>
    <row r="3724" spans="2:4" x14ac:dyDescent="0.25">
      <c r="B3724" s="4">
        <f t="shared" si="74"/>
        <v>607.17999999996618</v>
      </c>
      <c r="C3724" s="199">
        <v>877.29607615204884</v>
      </c>
      <c r="D3724" s="7"/>
    </row>
    <row r="3725" spans="2:4" x14ac:dyDescent="0.25">
      <c r="B3725" s="4">
        <f t="shared" si="74"/>
        <v>607.18999999996618</v>
      </c>
      <c r="C3725" s="199">
        <v>877.50573569679625</v>
      </c>
      <c r="D3725" s="7"/>
    </row>
    <row r="3726" spans="2:4" x14ac:dyDescent="0.25">
      <c r="B3726" s="4">
        <f t="shared" si="74"/>
        <v>607.19999999996617</v>
      </c>
      <c r="C3726" s="199">
        <v>877.71539524154218</v>
      </c>
      <c r="D3726" s="7"/>
    </row>
    <row r="3727" spans="2:4" x14ac:dyDescent="0.25">
      <c r="B3727" s="4">
        <f t="shared" si="74"/>
        <v>607.20999999996616</v>
      </c>
      <c r="C3727" s="199">
        <v>877.92505478628971</v>
      </c>
      <c r="D3727" s="7"/>
    </row>
    <row r="3728" spans="2:4" x14ac:dyDescent="0.25">
      <c r="B3728" s="4">
        <f t="shared" si="74"/>
        <v>607.21999999996615</v>
      </c>
      <c r="C3728" s="199">
        <v>878.13493844605478</v>
      </c>
      <c r="D3728" s="7"/>
    </row>
    <row r="3729" spans="2:4" x14ac:dyDescent="0.25">
      <c r="B3729" s="4">
        <f t="shared" si="74"/>
        <v>607.22999999996614</v>
      </c>
      <c r="C3729" s="199">
        <v>878.34482210582189</v>
      </c>
      <c r="D3729" s="7"/>
    </row>
    <row r="3730" spans="2:4" x14ac:dyDescent="0.25">
      <c r="B3730" s="4">
        <f t="shared" si="74"/>
        <v>607.23999999996613</v>
      </c>
      <c r="C3730" s="199">
        <v>878.5547057655873</v>
      </c>
      <c r="D3730" s="7"/>
    </row>
    <row r="3731" spans="2:4" x14ac:dyDescent="0.25">
      <c r="B3731" s="4">
        <f t="shared" si="74"/>
        <v>607.24999999996612</v>
      </c>
      <c r="C3731" s="199">
        <v>878.76458942535317</v>
      </c>
      <c r="D3731" s="7"/>
    </row>
    <row r="3732" spans="2:4" x14ac:dyDescent="0.25">
      <c r="B3732" s="4">
        <f t="shared" si="74"/>
        <v>607.25999999996611</v>
      </c>
      <c r="C3732" s="199">
        <v>878.9744730851188</v>
      </c>
      <c r="D3732" s="7"/>
    </row>
    <row r="3733" spans="2:4" x14ac:dyDescent="0.25">
      <c r="B3733" s="4">
        <f t="shared" si="74"/>
        <v>607.2699999999661</v>
      </c>
      <c r="C3733" s="199">
        <v>879.18435674488478</v>
      </c>
      <c r="D3733" s="7"/>
    </row>
    <row r="3734" spans="2:4" x14ac:dyDescent="0.25">
      <c r="B3734" s="4">
        <f t="shared" si="74"/>
        <v>607.27999999996609</v>
      </c>
      <c r="C3734" s="199">
        <v>879.39424040465019</v>
      </c>
      <c r="D3734" s="7"/>
    </row>
    <row r="3735" spans="2:4" x14ac:dyDescent="0.25">
      <c r="B3735" s="4">
        <f t="shared" si="74"/>
        <v>607.28999999996608</v>
      </c>
      <c r="C3735" s="199">
        <v>879.60412406441696</v>
      </c>
      <c r="D3735" s="7"/>
    </row>
    <row r="3736" spans="2:4" x14ac:dyDescent="0.25">
      <c r="B3736" s="4">
        <f t="shared" si="74"/>
        <v>607.29999999996608</v>
      </c>
      <c r="C3736" s="199">
        <v>879.81400772418272</v>
      </c>
      <c r="D3736" s="7"/>
    </row>
    <row r="3737" spans="2:4" x14ac:dyDescent="0.25">
      <c r="B3737" s="4">
        <f t="shared" si="74"/>
        <v>607.30999999996607</v>
      </c>
      <c r="C3737" s="199">
        <v>880.02389138394847</v>
      </c>
      <c r="D3737" s="7"/>
    </row>
    <row r="3738" spans="2:4" x14ac:dyDescent="0.25">
      <c r="B3738" s="4">
        <f t="shared" si="74"/>
        <v>607.31999999996606</v>
      </c>
      <c r="C3738" s="199">
        <v>880.23399763102714</v>
      </c>
      <c r="D3738" s="7"/>
    </row>
    <row r="3739" spans="2:4" x14ac:dyDescent="0.25">
      <c r="B3739" s="4">
        <f t="shared" si="74"/>
        <v>607.32999999996605</v>
      </c>
      <c r="C3739" s="199">
        <v>880.44410387811047</v>
      </c>
      <c r="D3739" s="7"/>
    </row>
    <row r="3740" spans="2:4" x14ac:dyDescent="0.25">
      <c r="B3740" s="4">
        <f t="shared" si="74"/>
        <v>607.33999999996604</v>
      </c>
      <c r="C3740" s="199">
        <v>880.65421012519448</v>
      </c>
      <c r="D3740" s="7"/>
    </row>
    <row r="3741" spans="2:4" x14ac:dyDescent="0.25">
      <c r="B3741" s="4">
        <f t="shared" si="74"/>
        <v>607.34999999996603</v>
      </c>
      <c r="C3741" s="199">
        <v>880.86431637227861</v>
      </c>
      <c r="D3741" s="7"/>
    </row>
    <row r="3742" spans="2:4" x14ac:dyDescent="0.25">
      <c r="B3742" s="4">
        <f t="shared" si="74"/>
        <v>607.35999999996602</v>
      </c>
      <c r="C3742" s="199">
        <v>881.07442261936239</v>
      </c>
      <c r="D3742" s="7"/>
    </row>
    <row r="3743" spans="2:4" x14ac:dyDescent="0.25">
      <c r="B3743" s="4">
        <f t="shared" si="74"/>
        <v>607.36999999996601</v>
      </c>
      <c r="C3743" s="199">
        <v>881.28452886644641</v>
      </c>
      <c r="D3743" s="7"/>
    </row>
    <row r="3744" spans="2:4" x14ac:dyDescent="0.25">
      <c r="B3744" s="4">
        <f t="shared" si="74"/>
        <v>607.379999999966</v>
      </c>
      <c r="C3744" s="199">
        <v>881.49463511353042</v>
      </c>
      <c r="D3744" s="7"/>
    </row>
    <row r="3745" spans="2:4" x14ac:dyDescent="0.25">
      <c r="B3745" s="4">
        <f t="shared" si="74"/>
        <v>607.38999999996599</v>
      </c>
      <c r="C3745" s="199">
        <v>881.70474136061353</v>
      </c>
      <c r="D3745" s="7"/>
    </row>
    <row r="3746" spans="2:4" x14ac:dyDescent="0.25">
      <c r="B3746" s="4">
        <f t="shared" si="74"/>
        <v>607.39999999996598</v>
      </c>
      <c r="C3746" s="199">
        <v>881.91484760769845</v>
      </c>
      <c r="D3746" s="7"/>
    </row>
    <row r="3747" spans="2:4" x14ac:dyDescent="0.25">
      <c r="B3747" s="4">
        <f t="shared" si="74"/>
        <v>607.40999999996598</v>
      </c>
      <c r="C3747" s="199">
        <v>882.12495385478144</v>
      </c>
      <c r="D3747" s="7"/>
    </row>
    <row r="3748" spans="2:4" x14ac:dyDescent="0.25">
      <c r="B3748" s="4">
        <f t="shared" si="74"/>
        <v>607.41999999996597</v>
      </c>
      <c r="C3748" s="199">
        <v>882.33528081459872</v>
      </c>
      <c r="D3748" s="7"/>
    </row>
    <row r="3749" spans="2:4" x14ac:dyDescent="0.25">
      <c r="B3749" s="4">
        <f t="shared" si="74"/>
        <v>607.42999999996596</v>
      </c>
      <c r="C3749" s="199">
        <v>882.54560777441554</v>
      </c>
      <c r="D3749" s="7"/>
    </row>
    <row r="3750" spans="2:4" x14ac:dyDescent="0.25">
      <c r="B3750" s="4">
        <f t="shared" si="74"/>
        <v>607.43999999996595</v>
      </c>
      <c r="C3750" s="199">
        <v>882.75593473423339</v>
      </c>
      <c r="D3750" s="7"/>
    </row>
    <row r="3751" spans="2:4" x14ac:dyDescent="0.25">
      <c r="B3751" s="4">
        <f t="shared" si="74"/>
        <v>607.44999999996594</v>
      </c>
      <c r="C3751" s="199">
        <v>882.96626169405033</v>
      </c>
      <c r="D3751" s="7"/>
    </row>
    <row r="3752" spans="2:4" x14ac:dyDescent="0.25">
      <c r="B3752" s="4">
        <f t="shared" si="74"/>
        <v>607.45999999996593</v>
      </c>
      <c r="C3752" s="199">
        <v>883.17658865386773</v>
      </c>
      <c r="D3752" s="7"/>
    </row>
    <row r="3753" spans="2:4" x14ac:dyDescent="0.25">
      <c r="B3753" s="4">
        <f t="shared" si="74"/>
        <v>607.46999999996592</v>
      </c>
      <c r="C3753" s="199">
        <v>883.38691561368466</v>
      </c>
      <c r="D3753" s="7"/>
    </row>
    <row r="3754" spans="2:4" x14ac:dyDescent="0.25">
      <c r="B3754" s="4">
        <f t="shared" si="74"/>
        <v>607.47999999996591</v>
      </c>
      <c r="C3754" s="199">
        <v>883.59724257350251</v>
      </c>
      <c r="D3754" s="7"/>
    </row>
    <row r="3755" spans="2:4" x14ac:dyDescent="0.25">
      <c r="B3755" s="4">
        <f t="shared" si="74"/>
        <v>607.4899999999659</v>
      </c>
      <c r="C3755" s="199">
        <v>883.80756953331934</v>
      </c>
      <c r="D3755" s="7"/>
    </row>
    <row r="3756" spans="2:4" x14ac:dyDescent="0.25">
      <c r="B3756" s="4">
        <f t="shared" si="74"/>
        <v>607.49999999996589</v>
      </c>
      <c r="C3756" s="199">
        <v>884.01789649313685</v>
      </c>
      <c r="D3756" s="7"/>
    </row>
    <row r="3757" spans="2:4" x14ac:dyDescent="0.25">
      <c r="B3757" s="4">
        <f t="shared" si="74"/>
        <v>607.50999999996588</v>
      </c>
      <c r="C3757" s="199">
        <v>884.22822345295378</v>
      </c>
      <c r="D3757" s="7"/>
    </row>
    <row r="3758" spans="2:4" x14ac:dyDescent="0.25">
      <c r="B3758" s="4">
        <f t="shared" si="74"/>
        <v>607.51999999996588</v>
      </c>
      <c r="C3758" s="199">
        <v>884.43877379488197</v>
      </c>
      <c r="D3758" s="7"/>
    </row>
    <row r="3759" spans="2:4" x14ac:dyDescent="0.25">
      <c r="B3759" s="4">
        <f t="shared" si="74"/>
        <v>607.52999999996587</v>
      </c>
      <c r="C3759" s="199">
        <v>884.64932413681413</v>
      </c>
      <c r="D3759" s="7"/>
    </row>
    <row r="3760" spans="2:4" x14ac:dyDescent="0.25">
      <c r="B3760" s="4">
        <f t="shared" si="74"/>
        <v>607.53999999996586</v>
      </c>
      <c r="C3760" s="199">
        <v>884.85987447874561</v>
      </c>
      <c r="D3760" s="7"/>
    </row>
    <row r="3761" spans="2:4" x14ac:dyDescent="0.25">
      <c r="B3761" s="4">
        <f t="shared" si="74"/>
        <v>607.54999999996585</v>
      </c>
      <c r="C3761" s="199">
        <v>885.07042482067766</v>
      </c>
      <c r="D3761" s="7"/>
    </row>
    <row r="3762" spans="2:4" x14ac:dyDescent="0.25">
      <c r="B3762" s="4">
        <f t="shared" si="74"/>
        <v>607.55999999996584</v>
      </c>
      <c r="C3762" s="199">
        <v>885.28097516260925</v>
      </c>
      <c r="D3762" s="7"/>
    </row>
    <row r="3763" spans="2:4" x14ac:dyDescent="0.25">
      <c r="B3763" s="4">
        <f t="shared" si="74"/>
        <v>607.56999999996583</v>
      </c>
      <c r="C3763" s="199">
        <v>885.49152550454119</v>
      </c>
      <c r="D3763" s="7"/>
    </row>
    <row r="3764" spans="2:4" x14ac:dyDescent="0.25">
      <c r="B3764" s="4">
        <f t="shared" si="74"/>
        <v>607.57999999996582</v>
      </c>
      <c r="C3764" s="199">
        <v>885.70207584647335</v>
      </c>
      <c r="D3764" s="7"/>
    </row>
    <row r="3765" spans="2:4" x14ac:dyDescent="0.25">
      <c r="B3765" s="4">
        <f t="shared" si="74"/>
        <v>607.58999999996581</v>
      </c>
      <c r="C3765" s="199">
        <v>885.91262618840494</v>
      </c>
      <c r="D3765" s="7"/>
    </row>
    <row r="3766" spans="2:4" x14ac:dyDescent="0.25">
      <c r="B3766" s="4">
        <f t="shared" si="74"/>
        <v>607.5999999999658</v>
      </c>
      <c r="C3766" s="199">
        <v>886.12317653033699</v>
      </c>
      <c r="D3766" s="7"/>
    </row>
    <row r="3767" spans="2:4" x14ac:dyDescent="0.25">
      <c r="B3767" s="4">
        <f t="shared" si="74"/>
        <v>607.60999999996579</v>
      </c>
      <c r="C3767" s="199">
        <v>886.33372687226847</v>
      </c>
      <c r="D3767" s="7"/>
    </row>
    <row r="3768" spans="2:4" x14ac:dyDescent="0.25">
      <c r="B3768" s="4">
        <f t="shared" si="74"/>
        <v>607.61999999996578</v>
      </c>
      <c r="C3768" s="199">
        <v>886.54449791734544</v>
      </c>
      <c r="D3768" s="7"/>
    </row>
    <row r="3769" spans="2:4" x14ac:dyDescent="0.25">
      <c r="B3769" s="4">
        <f t="shared" si="74"/>
        <v>607.62999999996578</v>
      </c>
      <c r="C3769" s="199">
        <v>886.75526896242354</v>
      </c>
      <c r="D3769" s="7"/>
    </row>
    <row r="3770" spans="2:4" x14ac:dyDescent="0.25">
      <c r="B3770" s="4">
        <f t="shared" si="74"/>
        <v>607.63999999996577</v>
      </c>
      <c r="C3770" s="199">
        <v>886.96604000750062</v>
      </c>
      <c r="D3770" s="7"/>
    </row>
    <row r="3771" spans="2:4" x14ac:dyDescent="0.25">
      <c r="B3771" s="4">
        <f t="shared" si="74"/>
        <v>607.64999999996576</v>
      </c>
      <c r="C3771" s="199">
        <v>887.17681105257782</v>
      </c>
      <c r="D3771" s="7"/>
    </row>
    <row r="3772" spans="2:4" x14ac:dyDescent="0.25">
      <c r="B3772" s="4">
        <f t="shared" si="74"/>
        <v>607.65999999996575</v>
      </c>
      <c r="C3772" s="199">
        <v>887.38758209765581</v>
      </c>
      <c r="D3772" s="7"/>
    </row>
    <row r="3773" spans="2:4" x14ac:dyDescent="0.25">
      <c r="B3773" s="4">
        <f t="shared" si="74"/>
        <v>607.66999999996574</v>
      </c>
      <c r="C3773" s="199">
        <v>887.59835314273289</v>
      </c>
      <c r="D3773" s="7"/>
    </row>
    <row r="3774" spans="2:4" x14ac:dyDescent="0.25">
      <c r="B3774" s="4">
        <f t="shared" si="74"/>
        <v>607.67999999996573</v>
      </c>
      <c r="C3774" s="199">
        <v>887.80912418781099</v>
      </c>
      <c r="D3774" s="7"/>
    </row>
    <row r="3775" spans="2:4" x14ac:dyDescent="0.25">
      <c r="B3775" s="4">
        <f t="shared" si="74"/>
        <v>607.68999999996572</v>
      </c>
      <c r="C3775" s="199">
        <v>888.01989523288808</v>
      </c>
      <c r="D3775" s="7"/>
    </row>
    <row r="3776" spans="2:4" x14ac:dyDescent="0.25">
      <c r="B3776" s="4">
        <f t="shared" si="74"/>
        <v>607.69999999996571</v>
      </c>
      <c r="C3776" s="199">
        <v>888.23066627796481</v>
      </c>
      <c r="D3776" s="7"/>
    </row>
    <row r="3777" spans="2:4" x14ac:dyDescent="0.25">
      <c r="B3777" s="4">
        <f t="shared" si="74"/>
        <v>607.7099999999657</v>
      </c>
      <c r="C3777" s="199">
        <v>888.44143732304281</v>
      </c>
      <c r="D3777" s="7"/>
    </row>
    <row r="3778" spans="2:4" x14ac:dyDescent="0.25">
      <c r="B3778" s="4">
        <f t="shared" si="74"/>
        <v>607.71999999996569</v>
      </c>
      <c r="C3778" s="199">
        <v>888.65243160444231</v>
      </c>
      <c r="D3778" s="7"/>
    </row>
    <row r="3779" spans="2:4" x14ac:dyDescent="0.25">
      <c r="B3779" s="4">
        <f t="shared" si="74"/>
        <v>607.72999999996568</v>
      </c>
      <c r="C3779" s="199">
        <v>888.86342588584625</v>
      </c>
      <c r="D3779" s="7"/>
    </row>
    <row r="3780" spans="2:4" x14ac:dyDescent="0.25">
      <c r="B3780" s="4">
        <f t="shared" si="74"/>
        <v>607.73999999996568</v>
      </c>
      <c r="C3780" s="199">
        <v>889.07442016725008</v>
      </c>
      <c r="D3780" s="7"/>
    </row>
    <row r="3781" spans="2:4" x14ac:dyDescent="0.25">
      <c r="B3781" s="4">
        <f t="shared" si="74"/>
        <v>607.74999999996567</v>
      </c>
      <c r="C3781" s="199">
        <v>889.28541444865357</v>
      </c>
      <c r="D3781" s="7"/>
    </row>
    <row r="3782" spans="2:4" x14ac:dyDescent="0.25">
      <c r="B3782" s="4">
        <f t="shared" si="74"/>
        <v>607.75999999996566</v>
      </c>
      <c r="C3782" s="199">
        <v>889.49640873005717</v>
      </c>
      <c r="D3782" s="7"/>
    </row>
    <row r="3783" spans="2:4" x14ac:dyDescent="0.25">
      <c r="B3783" s="4">
        <f t="shared" si="74"/>
        <v>607.76999999996565</v>
      </c>
      <c r="C3783" s="199">
        <v>889.70740301146054</v>
      </c>
      <c r="D3783" s="7"/>
    </row>
    <row r="3784" spans="2:4" x14ac:dyDescent="0.25">
      <c r="B3784" s="4">
        <f t="shared" ref="B3784:B3847" si="75">+B3783+0.01</f>
        <v>607.77999999996564</v>
      </c>
      <c r="C3784" s="199">
        <v>889.91839729286494</v>
      </c>
      <c r="D3784" s="7"/>
    </row>
    <row r="3785" spans="2:4" x14ac:dyDescent="0.25">
      <c r="B3785" s="4">
        <f t="shared" si="75"/>
        <v>607.78999999996563</v>
      </c>
      <c r="C3785" s="199">
        <v>890.12939157426854</v>
      </c>
      <c r="D3785" s="7"/>
    </row>
    <row r="3786" spans="2:4" x14ac:dyDescent="0.25">
      <c r="B3786" s="4">
        <f t="shared" si="75"/>
        <v>607.79999999996562</v>
      </c>
      <c r="C3786" s="199">
        <v>890.34038585567191</v>
      </c>
      <c r="D3786" s="7"/>
    </row>
    <row r="3787" spans="2:4" x14ac:dyDescent="0.25">
      <c r="B3787" s="4">
        <f t="shared" si="75"/>
        <v>607.80999999996561</v>
      </c>
      <c r="C3787" s="199">
        <v>890.5513801370754</v>
      </c>
      <c r="D3787" s="7"/>
    </row>
    <row r="3788" spans="2:4" x14ac:dyDescent="0.25">
      <c r="B3788" s="4">
        <f t="shared" si="75"/>
        <v>607.8199999999656</v>
      </c>
      <c r="C3788" s="199">
        <v>890.76259717385972</v>
      </c>
      <c r="D3788" s="7"/>
    </row>
    <row r="3789" spans="2:4" x14ac:dyDescent="0.25">
      <c r="B3789" s="4">
        <f t="shared" si="75"/>
        <v>607.82999999996559</v>
      </c>
      <c r="C3789" s="199">
        <v>890.97381421064404</v>
      </c>
      <c r="D3789" s="7"/>
    </row>
    <row r="3790" spans="2:4" x14ac:dyDescent="0.25">
      <c r="B3790" s="4">
        <f t="shared" si="75"/>
        <v>607.83999999996558</v>
      </c>
      <c r="C3790" s="199">
        <v>891.18503124742699</v>
      </c>
      <c r="D3790" s="7"/>
    </row>
    <row r="3791" spans="2:4" x14ac:dyDescent="0.25">
      <c r="B3791" s="4">
        <f t="shared" si="75"/>
        <v>607.84999999996558</v>
      </c>
      <c r="C3791" s="199">
        <v>891.39624828421131</v>
      </c>
      <c r="D3791" s="7"/>
    </row>
    <row r="3792" spans="2:4" x14ac:dyDescent="0.25">
      <c r="B3792" s="4">
        <f t="shared" si="75"/>
        <v>607.85999999996557</v>
      </c>
      <c r="C3792" s="199">
        <v>891.60746532099529</v>
      </c>
      <c r="D3792" s="7"/>
    </row>
    <row r="3793" spans="2:4" x14ac:dyDescent="0.25">
      <c r="B3793" s="4">
        <f t="shared" si="75"/>
        <v>607.86999999996556</v>
      </c>
      <c r="C3793" s="199">
        <v>891.81868235777961</v>
      </c>
      <c r="D3793" s="7"/>
    </row>
    <row r="3794" spans="2:4" x14ac:dyDescent="0.25">
      <c r="B3794" s="4">
        <f t="shared" si="75"/>
        <v>607.87999999996555</v>
      </c>
      <c r="C3794" s="199">
        <v>892.02989939456381</v>
      </c>
      <c r="D3794" s="7"/>
    </row>
    <row r="3795" spans="2:4" x14ac:dyDescent="0.25">
      <c r="B3795" s="4">
        <f t="shared" si="75"/>
        <v>607.88999999996554</v>
      </c>
      <c r="C3795" s="199">
        <v>892.24111643134779</v>
      </c>
      <c r="D3795" s="7"/>
    </row>
    <row r="3796" spans="2:4" x14ac:dyDescent="0.25">
      <c r="B3796" s="4">
        <f t="shared" si="75"/>
        <v>607.89999999996553</v>
      </c>
      <c r="C3796" s="199">
        <v>892.45233346813211</v>
      </c>
      <c r="D3796" s="7"/>
    </row>
    <row r="3797" spans="2:4" x14ac:dyDescent="0.25">
      <c r="B3797" s="4">
        <f t="shared" si="75"/>
        <v>607.90999999996552</v>
      </c>
      <c r="C3797" s="199">
        <v>892.66355050491677</v>
      </c>
      <c r="D3797" s="7"/>
    </row>
    <row r="3798" spans="2:4" x14ac:dyDescent="0.25">
      <c r="B3798" s="4">
        <f t="shared" si="75"/>
        <v>607.91999999996551</v>
      </c>
      <c r="C3798" s="199">
        <v>892.87498941902652</v>
      </c>
      <c r="D3798" s="7"/>
    </row>
    <row r="3799" spans="2:4" x14ac:dyDescent="0.25">
      <c r="B3799" s="4">
        <f t="shared" si="75"/>
        <v>607.9299999999655</v>
      </c>
      <c r="C3799" s="199">
        <v>893.08642833314252</v>
      </c>
      <c r="D3799" s="7"/>
    </row>
    <row r="3800" spans="2:4" x14ac:dyDescent="0.25">
      <c r="B3800" s="4">
        <f t="shared" si="75"/>
        <v>607.93999999996549</v>
      </c>
      <c r="C3800" s="199">
        <v>893.29786724725795</v>
      </c>
      <c r="D3800" s="7"/>
    </row>
    <row r="3801" spans="2:4" x14ac:dyDescent="0.25">
      <c r="B3801" s="4">
        <f t="shared" si="75"/>
        <v>607.94999999996548</v>
      </c>
      <c r="C3801" s="199">
        <v>893.50930616137407</v>
      </c>
      <c r="D3801" s="7"/>
    </row>
    <row r="3802" spans="2:4" x14ac:dyDescent="0.25">
      <c r="B3802" s="4">
        <f t="shared" si="75"/>
        <v>607.95999999996548</v>
      </c>
      <c r="C3802" s="199">
        <v>893.72074507548905</v>
      </c>
      <c r="D3802" s="7"/>
    </row>
    <row r="3803" spans="2:4" x14ac:dyDescent="0.25">
      <c r="B3803" s="4">
        <f t="shared" si="75"/>
        <v>607.96999999996547</v>
      </c>
      <c r="C3803" s="199">
        <v>893.93218398960482</v>
      </c>
      <c r="D3803" s="7"/>
    </row>
    <row r="3804" spans="2:4" x14ac:dyDescent="0.25">
      <c r="B3804" s="4">
        <f t="shared" si="75"/>
        <v>607.97999999996546</v>
      </c>
      <c r="C3804" s="199">
        <v>894.14362290372026</v>
      </c>
      <c r="D3804" s="7"/>
    </row>
    <row r="3805" spans="2:4" x14ac:dyDescent="0.25">
      <c r="B3805" s="4">
        <f t="shared" si="75"/>
        <v>607.98999999996545</v>
      </c>
      <c r="C3805" s="199">
        <v>894.35506181783637</v>
      </c>
      <c r="D3805" s="7"/>
    </row>
    <row r="3806" spans="2:4" x14ac:dyDescent="0.25">
      <c r="B3806" s="4">
        <f t="shared" si="75"/>
        <v>607.99999999996544</v>
      </c>
      <c r="C3806" s="199">
        <v>894.56650073195135</v>
      </c>
      <c r="D3806" s="7"/>
    </row>
    <row r="3807" spans="2:4" x14ac:dyDescent="0.25">
      <c r="B3807" s="4">
        <f t="shared" si="75"/>
        <v>608.00999999996543</v>
      </c>
      <c r="C3807" s="199">
        <v>894.77793964606735</v>
      </c>
      <c r="D3807" s="7"/>
    </row>
    <row r="3808" spans="2:4" x14ac:dyDescent="0.25">
      <c r="B3808" s="4">
        <f t="shared" si="75"/>
        <v>608.01999999996542</v>
      </c>
      <c r="C3808" s="199">
        <v>894.9896033392705</v>
      </c>
      <c r="D3808" s="7"/>
    </row>
    <row r="3809" spans="2:4" x14ac:dyDescent="0.25">
      <c r="B3809" s="4">
        <f t="shared" si="75"/>
        <v>608.02999999996541</v>
      </c>
      <c r="C3809" s="199">
        <v>895.20126703247377</v>
      </c>
      <c r="D3809" s="7"/>
    </row>
    <row r="3810" spans="2:4" x14ac:dyDescent="0.25">
      <c r="B3810" s="4">
        <f t="shared" si="75"/>
        <v>608.0399999999654</v>
      </c>
      <c r="C3810" s="199">
        <v>895.41293072567692</v>
      </c>
      <c r="D3810" s="7"/>
    </row>
    <row r="3811" spans="2:4" x14ac:dyDescent="0.25">
      <c r="B3811" s="4">
        <f t="shared" si="75"/>
        <v>608.04999999996539</v>
      </c>
      <c r="C3811" s="199">
        <v>895.6245944188812</v>
      </c>
      <c r="D3811" s="7"/>
    </row>
    <row r="3812" spans="2:4" x14ac:dyDescent="0.25">
      <c r="B3812" s="4">
        <f t="shared" si="75"/>
        <v>608.05999999996538</v>
      </c>
      <c r="C3812" s="199">
        <v>895.83625811208481</v>
      </c>
      <c r="D3812" s="7"/>
    </row>
    <row r="3813" spans="2:4" x14ac:dyDescent="0.25">
      <c r="B3813" s="4">
        <f t="shared" si="75"/>
        <v>608.06999999996538</v>
      </c>
      <c r="C3813" s="199">
        <v>896.04792180528773</v>
      </c>
      <c r="D3813" s="7"/>
    </row>
    <row r="3814" spans="2:4" x14ac:dyDescent="0.25">
      <c r="B3814" s="4">
        <f t="shared" si="75"/>
        <v>608.07999999996537</v>
      </c>
      <c r="C3814" s="199">
        <v>896.25958549849224</v>
      </c>
      <c r="D3814" s="7"/>
    </row>
    <row r="3815" spans="2:4" x14ac:dyDescent="0.25">
      <c r="B3815" s="4">
        <f t="shared" si="75"/>
        <v>608.08999999996536</v>
      </c>
      <c r="C3815" s="199">
        <v>896.47124919169562</v>
      </c>
      <c r="D3815" s="7"/>
    </row>
    <row r="3816" spans="2:4" x14ac:dyDescent="0.25">
      <c r="B3816" s="4">
        <f t="shared" si="75"/>
        <v>608.09999999996535</v>
      </c>
      <c r="C3816" s="199">
        <v>896.68291288489968</v>
      </c>
      <c r="D3816" s="7"/>
    </row>
    <row r="3817" spans="2:4" x14ac:dyDescent="0.25">
      <c r="B3817" s="4">
        <f t="shared" si="75"/>
        <v>608.10999999996534</v>
      </c>
      <c r="C3817" s="199">
        <v>896.89457657810306</v>
      </c>
      <c r="D3817" s="7"/>
    </row>
    <row r="3818" spans="2:4" x14ac:dyDescent="0.25">
      <c r="B3818" s="4">
        <f t="shared" si="75"/>
        <v>608.11999999996533</v>
      </c>
      <c r="C3818" s="199">
        <v>897.10646477193097</v>
      </c>
      <c r="D3818" s="7"/>
    </row>
    <row r="3819" spans="2:4" x14ac:dyDescent="0.25">
      <c r="B3819" s="4">
        <f t="shared" si="75"/>
        <v>608.12999999996532</v>
      </c>
      <c r="C3819" s="199">
        <v>897.31835296576241</v>
      </c>
      <c r="D3819" s="7"/>
    </row>
    <row r="3820" spans="2:4" x14ac:dyDescent="0.25">
      <c r="B3820" s="4">
        <f t="shared" si="75"/>
        <v>608.13999999996531</v>
      </c>
      <c r="C3820" s="199">
        <v>897.53024115959386</v>
      </c>
      <c r="D3820" s="7"/>
    </row>
    <row r="3821" spans="2:4" x14ac:dyDescent="0.25">
      <c r="B3821" s="4">
        <f t="shared" si="75"/>
        <v>608.1499999999653</v>
      </c>
      <c r="C3821" s="199">
        <v>897.74212935342541</v>
      </c>
      <c r="D3821" s="7"/>
    </row>
    <row r="3822" spans="2:4" x14ac:dyDescent="0.25">
      <c r="B3822" s="4">
        <f t="shared" si="75"/>
        <v>608.15999999996529</v>
      </c>
      <c r="C3822" s="199">
        <v>897.95401754725572</v>
      </c>
      <c r="D3822" s="7"/>
    </row>
    <row r="3823" spans="2:4" x14ac:dyDescent="0.25">
      <c r="B3823" s="4">
        <f t="shared" si="75"/>
        <v>608.16999999996528</v>
      </c>
      <c r="C3823" s="199">
        <v>898.16590574108716</v>
      </c>
      <c r="D3823" s="7"/>
    </row>
    <row r="3824" spans="2:4" x14ac:dyDescent="0.25">
      <c r="B3824" s="4">
        <f t="shared" si="75"/>
        <v>608.17999999996528</v>
      </c>
      <c r="C3824" s="199">
        <v>898.37779393491837</v>
      </c>
      <c r="D3824" s="7"/>
    </row>
    <row r="3825" spans="2:4" x14ac:dyDescent="0.25">
      <c r="B3825" s="4">
        <f t="shared" si="75"/>
        <v>608.18999999996527</v>
      </c>
      <c r="C3825" s="199">
        <v>898.58968212874981</v>
      </c>
      <c r="D3825" s="7"/>
    </row>
    <row r="3826" spans="2:4" x14ac:dyDescent="0.25">
      <c r="B3826" s="4">
        <f t="shared" si="75"/>
        <v>608.19999999996526</v>
      </c>
      <c r="C3826" s="199">
        <v>898.80157032258126</v>
      </c>
      <c r="D3826" s="7"/>
    </row>
    <row r="3827" spans="2:4" x14ac:dyDescent="0.25">
      <c r="B3827" s="4">
        <f t="shared" si="75"/>
        <v>608.20999999996525</v>
      </c>
      <c r="C3827" s="199">
        <v>899.01345851641247</v>
      </c>
      <c r="D3827" s="7"/>
    </row>
    <row r="3828" spans="2:4" x14ac:dyDescent="0.25">
      <c r="B3828" s="4">
        <f t="shared" si="75"/>
        <v>608.21999999996524</v>
      </c>
      <c r="C3828" s="199">
        <v>899.22557655336266</v>
      </c>
      <c r="D3828" s="7"/>
    </row>
    <row r="3829" spans="2:4" x14ac:dyDescent="0.25">
      <c r="B3829" s="4">
        <f t="shared" si="75"/>
        <v>608.22999999996523</v>
      </c>
      <c r="C3829" s="199">
        <v>899.43769459031455</v>
      </c>
      <c r="D3829" s="7"/>
    </row>
    <row r="3830" spans="2:4" x14ac:dyDescent="0.25">
      <c r="B3830" s="4">
        <f t="shared" si="75"/>
        <v>608.23999999996522</v>
      </c>
      <c r="C3830" s="199">
        <v>899.64981262726531</v>
      </c>
      <c r="D3830" s="7"/>
    </row>
    <row r="3831" spans="2:4" x14ac:dyDescent="0.25">
      <c r="B3831" s="4">
        <f t="shared" si="75"/>
        <v>608.24999999996521</v>
      </c>
      <c r="C3831" s="199">
        <v>899.86193066421629</v>
      </c>
      <c r="D3831" s="7"/>
    </row>
    <row r="3832" spans="2:4" x14ac:dyDescent="0.25">
      <c r="B3832" s="4">
        <f t="shared" si="75"/>
        <v>608.2599999999652</v>
      </c>
      <c r="C3832" s="199">
        <v>900.07404870116795</v>
      </c>
      <c r="D3832" s="7"/>
    </row>
    <row r="3833" spans="2:4" x14ac:dyDescent="0.25">
      <c r="B3833" s="4">
        <f t="shared" si="75"/>
        <v>608.26999999996519</v>
      </c>
      <c r="C3833" s="199">
        <v>900.28616673811871</v>
      </c>
      <c r="D3833" s="7"/>
    </row>
    <row r="3834" spans="2:4" x14ac:dyDescent="0.25">
      <c r="B3834" s="4">
        <f t="shared" si="75"/>
        <v>608.27999999996518</v>
      </c>
      <c r="C3834" s="199">
        <v>900.49828477506935</v>
      </c>
      <c r="D3834" s="7"/>
    </row>
    <row r="3835" spans="2:4" x14ac:dyDescent="0.25">
      <c r="B3835" s="4">
        <f t="shared" si="75"/>
        <v>608.28999999996518</v>
      </c>
      <c r="C3835" s="199">
        <v>900.71040281202102</v>
      </c>
      <c r="D3835" s="7"/>
    </row>
    <row r="3836" spans="2:4" x14ac:dyDescent="0.25">
      <c r="B3836" s="4">
        <f t="shared" si="75"/>
        <v>608.29999999996517</v>
      </c>
      <c r="C3836" s="199">
        <v>900.92252084897177</v>
      </c>
      <c r="D3836" s="7"/>
    </row>
    <row r="3837" spans="2:4" x14ac:dyDescent="0.25">
      <c r="B3837" s="4">
        <f t="shared" si="75"/>
        <v>608.30999999996516</v>
      </c>
      <c r="C3837" s="199">
        <v>901.13463888592275</v>
      </c>
      <c r="D3837" s="7"/>
    </row>
    <row r="3838" spans="2:4" x14ac:dyDescent="0.25">
      <c r="B3838" s="4">
        <f t="shared" si="75"/>
        <v>608.31999999996515</v>
      </c>
      <c r="C3838" s="199">
        <v>901.34698986474393</v>
      </c>
      <c r="D3838" s="7"/>
    </row>
    <row r="3839" spans="2:4" x14ac:dyDescent="0.25">
      <c r="B3839" s="4">
        <f t="shared" si="75"/>
        <v>608.32999999996514</v>
      </c>
      <c r="C3839" s="199">
        <v>901.5593408435692</v>
      </c>
      <c r="D3839" s="7"/>
    </row>
    <row r="3840" spans="2:4" x14ac:dyDescent="0.25">
      <c r="B3840" s="4">
        <f t="shared" si="75"/>
        <v>608.33999999996513</v>
      </c>
      <c r="C3840" s="199">
        <v>901.77169182239561</v>
      </c>
      <c r="D3840" s="7"/>
    </row>
    <row r="3841" spans="2:4" x14ac:dyDescent="0.25">
      <c r="B3841" s="4">
        <f t="shared" si="75"/>
        <v>608.34999999996512</v>
      </c>
      <c r="C3841" s="199">
        <v>901.98404280122088</v>
      </c>
      <c r="D3841" s="7"/>
    </row>
    <row r="3842" spans="2:4" x14ac:dyDescent="0.25">
      <c r="B3842" s="4">
        <f t="shared" si="75"/>
        <v>608.35999999996511</v>
      </c>
      <c r="C3842" s="199">
        <v>902.19639378004729</v>
      </c>
      <c r="D3842" s="7"/>
    </row>
    <row r="3843" spans="2:4" x14ac:dyDescent="0.25">
      <c r="B3843" s="4">
        <f t="shared" si="75"/>
        <v>608.3699999999651</v>
      </c>
      <c r="C3843" s="199">
        <v>902.40874475887347</v>
      </c>
      <c r="D3843" s="7"/>
    </row>
    <row r="3844" spans="2:4" x14ac:dyDescent="0.25">
      <c r="B3844" s="4">
        <f t="shared" si="75"/>
        <v>608.37999999996509</v>
      </c>
      <c r="C3844" s="199">
        <v>902.62109573769908</v>
      </c>
      <c r="D3844" s="7"/>
    </row>
    <row r="3845" spans="2:4" x14ac:dyDescent="0.25">
      <c r="B3845" s="4">
        <f t="shared" si="75"/>
        <v>608.38999999996508</v>
      </c>
      <c r="C3845" s="199">
        <v>902.83344671652526</v>
      </c>
      <c r="D3845" s="7"/>
    </row>
    <row r="3846" spans="2:4" x14ac:dyDescent="0.25">
      <c r="B3846" s="4">
        <f t="shared" si="75"/>
        <v>608.39999999996508</v>
      </c>
      <c r="C3846" s="199">
        <v>903.04579769535087</v>
      </c>
      <c r="D3846" s="7"/>
    </row>
    <row r="3847" spans="2:4" x14ac:dyDescent="0.25">
      <c r="B3847" s="4">
        <f t="shared" si="75"/>
        <v>608.40999999996507</v>
      </c>
      <c r="C3847" s="199">
        <v>903.25814867417705</v>
      </c>
      <c r="D3847" s="7"/>
    </row>
    <row r="3848" spans="2:4" x14ac:dyDescent="0.25">
      <c r="B3848" s="4">
        <f t="shared" ref="B3848:B3911" si="76">+B3847+0.01</f>
        <v>608.41999999996506</v>
      </c>
      <c r="C3848" s="199">
        <v>903.47073490965056</v>
      </c>
      <c r="D3848" s="7"/>
    </row>
    <row r="3849" spans="2:4" x14ac:dyDescent="0.25">
      <c r="B3849" s="4">
        <f t="shared" si="76"/>
        <v>608.42999999996505</v>
      </c>
      <c r="C3849" s="199">
        <v>903.68332114512418</v>
      </c>
      <c r="D3849" s="7"/>
    </row>
    <row r="3850" spans="2:4" x14ac:dyDescent="0.25">
      <c r="B3850" s="4">
        <f t="shared" si="76"/>
        <v>608.43999999996504</v>
      </c>
      <c r="C3850" s="199">
        <v>903.89590738059826</v>
      </c>
      <c r="D3850" s="7"/>
    </row>
    <row r="3851" spans="2:4" x14ac:dyDescent="0.25">
      <c r="B3851" s="4">
        <f t="shared" si="76"/>
        <v>608.44999999996503</v>
      </c>
      <c r="C3851" s="199">
        <v>904.108493616072</v>
      </c>
      <c r="D3851" s="7"/>
    </row>
    <row r="3852" spans="2:4" x14ac:dyDescent="0.25">
      <c r="B3852" s="4">
        <f t="shared" si="76"/>
        <v>608.45999999996502</v>
      </c>
      <c r="C3852" s="199">
        <v>904.32107985154539</v>
      </c>
      <c r="D3852" s="7"/>
    </row>
    <row r="3853" spans="2:4" x14ac:dyDescent="0.25">
      <c r="B3853" s="4">
        <f t="shared" si="76"/>
        <v>608.46999999996501</v>
      </c>
      <c r="C3853" s="199">
        <v>904.53366608701856</v>
      </c>
      <c r="D3853" s="7"/>
    </row>
    <row r="3854" spans="2:4" x14ac:dyDescent="0.25">
      <c r="B3854" s="4">
        <f t="shared" si="76"/>
        <v>608.479999999965</v>
      </c>
      <c r="C3854" s="199">
        <v>904.74625232249218</v>
      </c>
      <c r="D3854" s="7"/>
    </row>
    <row r="3855" spans="2:4" x14ac:dyDescent="0.25">
      <c r="B3855" s="4">
        <f t="shared" si="76"/>
        <v>608.48999999996499</v>
      </c>
      <c r="C3855" s="199">
        <v>904.95883855796546</v>
      </c>
      <c r="D3855" s="7"/>
    </row>
    <row r="3856" spans="2:4" x14ac:dyDescent="0.25">
      <c r="B3856" s="4">
        <f t="shared" si="76"/>
        <v>608.49999999996498</v>
      </c>
      <c r="C3856" s="199">
        <v>905.17142479344</v>
      </c>
      <c r="D3856" s="7"/>
    </row>
    <row r="3857" spans="2:4" x14ac:dyDescent="0.25">
      <c r="B3857" s="4">
        <f t="shared" si="76"/>
        <v>608.50999999996498</v>
      </c>
      <c r="C3857" s="199">
        <v>905.38401102891294</v>
      </c>
      <c r="D3857" s="7"/>
    </row>
    <row r="3858" spans="2:4" x14ac:dyDescent="0.25">
      <c r="B3858" s="4">
        <f t="shared" si="76"/>
        <v>608.51999999996497</v>
      </c>
      <c r="C3858" s="199">
        <v>905.59683619025657</v>
      </c>
      <c r="D3858" s="7"/>
    </row>
    <row r="3859" spans="2:4" x14ac:dyDescent="0.25">
      <c r="B3859" s="4">
        <f t="shared" si="76"/>
        <v>608.52999999996496</v>
      </c>
      <c r="C3859" s="199">
        <v>905.80966135160543</v>
      </c>
      <c r="D3859" s="7"/>
    </row>
    <row r="3860" spans="2:4" x14ac:dyDescent="0.25">
      <c r="B3860" s="4">
        <f t="shared" si="76"/>
        <v>608.53999999996495</v>
      </c>
      <c r="C3860" s="199">
        <v>906.02248651295315</v>
      </c>
      <c r="D3860" s="7"/>
    </row>
    <row r="3861" spans="2:4" x14ac:dyDescent="0.25">
      <c r="B3861" s="4">
        <f t="shared" si="76"/>
        <v>608.54999999996494</v>
      </c>
      <c r="C3861" s="199">
        <v>906.23531167430076</v>
      </c>
      <c r="D3861" s="7"/>
    </row>
    <row r="3862" spans="2:4" x14ac:dyDescent="0.25">
      <c r="B3862" s="4">
        <f t="shared" si="76"/>
        <v>608.55999999996493</v>
      </c>
      <c r="C3862" s="199">
        <v>906.44813683564973</v>
      </c>
      <c r="D3862" s="7"/>
    </row>
    <row r="3863" spans="2:4" x14ac:dyDescent="0.25">
      <c r="B3863" s="4">
        <f t="shared" si="76"/>
        <v>608.56999999996492</v>
      </c>
      <c r="C3863" s="199">
        <v>906.66096199699768</v>
      </c>
      <c r="D3863" s="7"/>
    </row>
    <row r="3864" spans="2:4" x14ac:dyDescent="0.25">
      <c r="B3864" s="4">
        <f t="shared" si="76"/>
        <v>608.57999999996491</v>
      </c>
      <c r="C3864" s="199">
        <v>906.87378715834654</v>
      </c>
      <c r="D3864" s="7"/>
    </row>
    <row r="3865" spans="2:4" x14ac:dyDescent="0.25">
      <c r="B3865" s="4">
        <f t="shared" si="76"/>
        <v>608.5899999999649</v>
      </c>
      <c r="C3865" s="199">
        <v>907.08661231969438</v>
      </c>
      <c r="D3865" s="7"/>
    </row>
    <row r="3866" spans="2:4" x14ac:dyDescent="0.25">
      <c r="B3866" s="4">
        <f t="shared" si="76"/>
        <v>608.59999999996489</v>
      </c>
      <c r="C3866" s="199">
        <v>907.29943748104245</v>
      </c>
      <c r="D3866" s="7"/>
    </row>
    <row r="3867" spans="2:4" x14ac:dyDescent="0.25">
      <c r="B3867" s="4">
        <f t="shared" si="76"/>
        <v>608.60999999996488</v>
      </c>
      <c r="C3867" s="199">
        <v>907.51226264239131</v>
      </c>
      <c r="D3867" s="7"/>
    </row>
    <row r="3868" spans="2:4" x14ac:dyDescent="0.25">
      <c r="B3868" s="4">
        <f t="shared" si="76"/>
        <v>608.61999999996488</v>
      </c>
      <c r="C3868" s="199">
        <v>907.72532673325702</v>
      </c>
      <c r="D3868" s="7"/>
    </row>
    <row r="3869" spans="2:4" x14ac:dyDescent="0.25">
      <c r="B3869" s="4">
        <f t="shared" si="76"/>
        <v>608.62999999996487</v>
      </c>
      <c r="C3869" s="199">
        <v>907.93839082412308</v>
      </c>
      <c r="D3869" s="7"/>
    </row>
    <row r="3870" spans="2:4" x14ac:dyDescent="0.25">
      <c r="B3870" s="4">
        <f t="shared" si="76"/>
        <v>608.63999999996486</v>
      </c>
      <c r="C3870" s="199">
        <v>908.15145491498913</v>
      </c>
      <c r="D3870" s="7"/>
    </row>
    <row r="3871" spans="2:4" x14ac:dyDescent="0.25">
      <c r="B3871" s="4">
        <f t="shared" si="76"/>
        <v>608.64999999996485</v>
      </c>
      <c r="C3871" s="199">
        <v>908.36451900585621</v>
      </c>
      <c r="D3871" s="7"/>
    </row>
    <row r="3872" spans="2:4" x14ac:dyDescent="0.25">
      <c r="B3872" s="4">
        <f t="shared" si="76"/>
        <v>608.65999999996484</v>
      </c>
      <c r="C3872" s="199">
        <v>908.57758309672261</v>
      </c>
      <c r="D3872" s="7"/>
    </row>
    <row r="3873" spans="2:4" x14ac:dyDescent="0.25">
      <c r="B3873" s="4">
        <f t="shared" si="76"/>
        <v>608.66999999996483</v>
      </c>
      <c r="C3873" s="199">
        <v>908.79064718758957</v>
      </c>
      <c r="D3873" s="7"/>
    </row>
    <row r="3874" spans="2:4" x14ac:dyDescent="0.25">
      <c r="B3874" s="4">
        <f t="shared" si="76"/>
        <v>608.67999999996482</v>
      </c>
      <c r="C3874" s="199">
        <v>909.00371127845585</v>
      </c>
      <c r="D3874" s="7"/>
    </row>
    <row r="3875" spans="2:4" x14ac:dyDescent="0.25">
      <c r="B3875" s="4">
        <f t="shared" si="76"/>
        <v>608.68999999996481</v>
      </c>
      <c r="C3875" s="199">
        <v>909.21677536932179</v>
      </c>
      <c r="D3875" s="7"/>
    </row>
    <row r="3876" spans="2:4" x14ac:dyDescent="0.25">
      <c r="B3876" s="4">
        <f t="shared" si="76"/>
        <v>608.6999999999648</v>
      </c>
      <c r="C3876" s="199">
        <v>909.42983946018921</v>
      </c>
      <c r="D3876" s="7"/>
    </row>
    <row r="3877" spans="2:4" x14ac:dyDescent="0.25">
      <c r="B3877" s="4">
        <f t="shared" si="76"/>
        <v>608.70999999996479</v>
      </c>
      <c r="C3877" s="199">
        <v>909.64290355105504</v>
      </c>
      <c r="D3877" s="7"/>
    </row>
    <row r="3878" spans="2:4" x14ac:dyDescent="0.25">
      <c r="B3878" s="4">
        <f t="shared" si="76"/>
        <v>608.71999999996478</v>
      </c>
      <c r="C3878" s="199">
        <v>909.85621085964772</v>
      </c>
      <c r="D3878" s="7"/>
    </row>
    <row r="3879" spans="2:4" x14ac:dyDescent="0.25">
      <c r="B3879" s="4">
        <f t="shared" si="76"/>
        <v>608.72999999996478</v>
      </c>
      <c r="C3879" s="199">
        <v>910.0695181682438</v>
      </c>
      <c r="D3879" s="7"/>
    </row>
    <row r="3880" spans="2:4" x14ac:dyDescent="0.25">
      <c r="B3880" s="4">
        <f t="shared" si="76"/>
        <v>608.73999999996477</v>
      </c>
      <c r="C3880" s="199">
        <v>910.28282547683852</v>
      </c>
      <c r="D3880" s="7"/>
    </row>
    <row r="3881" spans="2:4" x14ac:dyDescent="0.25">
      <c r="B3881" s="4">
        <f t="shared" si="76"/>
        <v>608.74999999996476</v>
      </c>
      <c r="C3881" s="199">
        <v>910.4961327854345</v>
      </c>
      <c r="D3881" s="7"/>
    </row>
    <row r="3882" spans="2:4" x14ac:dyDescent="0.25">
      <c r="B3882" s="4">
        <f t="shared" si="76"/>
        <v>608.75999999996475</v>
      </c>
      <c r="C3882" s="199">
        <v>910.70944009403058</v>
      </c>
      <c r="D3882" s="7"/>
    </row>
    <row r="3883" spans="2:4" x14ac:dyDescent="0.25">
      <c r="B3883" s="4">
        <f t="shared" si="76"/>
        <v>608.76999999996474</v>
      </c>
      <c r="C3883" s="199">
        <v>910.92274740262644</v>
      </c>
      <c r="D3883" s="7"/>
    </row>
    <row r="3884" spans="2:4" x14ac:dyDescent="0.25">
      <c r="B3884" s="4">
        <f t="shared" si="76"/>
        <v>608.77999999996473</v>
      </c>
      <c r="C3884" s="199">
        <v>911.13605471122241</v>
      </c>
      <c r="D3884" s="7"/>
    </row>
    <row r="3885" spans="2:4" x14ac:dyDescent="0.25">
      <c r="B3885" s="4">
        <f t="shared" si="76"/>
        <v>608.78999999996472</v>
      </c>
      <c r="C3885" s="199">
        <v>911.34936201981714</v>
      </c>
      <c r="D3885" s="7"/>
    </row>
    <row r="3886" spans="2:4" x14ac:dyDescent="0.25">
      <c r="B3886" s="4">
        <f t="shared" si="76"/>
        <v>608.79999999996471</v>
      </c>
      <c r="C3886" s="199">
        <v>911.56266932841322</v>
      </c>
      <c r="D3886" s="7"/>
    </row>
    <row r="3887" spans="2:4" x14ac:dyDescent="0.25">
      <c r="B3887" s="4">
        <f t="shared" si="76"/>
        <v>608.8099999999647</v>
      </c>
      <c r="C3887" s="199">
        <v>911.77597663700919</v>
      </c>
      <c r="D3887" s="7"/>
    </row>
    <row r="3888" spans="2:4" x14ac:dyDescent="0.25">
      <c r="B3888" s="4">
        <f t="shared" si="76"/>
        <v>608.81999999996469</v>
      </c>
      <c r="C3888" s="199">
        <v>911.98952751145828</v>
      </c>
      <c r="D3888" s="7"/>
    </row>
    <row r="3889" spans="2:4" x14ac:dyDescent="0.25">
      <c r="B3889" s="4">
        <f t="shared" si="76"/>
        <v>608.82999999996468</v>
      </c>
      <c r="C3889" s="199">
        <v>912.20307838590873</v>
      </c>
      <c r="D3889" s="7"/>
    </row>
    <row r="3890" spans="2:4" x14ac:dyDescent="0.25">
      <c r="B3890" s="4">
        <f t="shared" si="76"/>
        <v>608.83999999996468</v>
      </c>
      <c r="C3890" s="199">
        <v>912.4166292603594</v>
      </c>
      <c r="D3890" s="7"/>
    </row>
    <row r="3891" spans="2:4" x14ac:dyDescent="0.25">
      <c r="B3891" s="4">
        <f t="shared" si="76"/>
        <v>608.84999999996467</v>
      </c>
      <c r="C3891" s="199">
        <v>912.63018013480996</v>
      </c>
      <c r="D3891" s="7"/>
    </row>
    <row r="3892" spans="2:4" x14ac:dyDescent="0.25">
      <c r="B3892" s="4">
        <f t="shared" si="76"/>
        <v>608.85999999996466</v>
      </c>
      <c r="C3892" s="199">
        <v>912.84373100925984</v>
      </c>
      <c r="D3892" s="7"/>
    </row>
    <row r="3893" spans="2:4" x14ac:dyDescent="0.25">
      <c r="B3893" s="4">
        <f t="shared" si="76"/>
        <v>608.86999999996465</v>
      </c>
      <c r="C3893" s="199">
        <v>913.0572818837112</v>
      </c>
      <c r="D3893" s="7"/>
    </row>
    <row r="3894" spans="2:4" x14ac:dyDescent="0.25">
      <c r="B3894" s="4">
        <f t="shared" si="76"/>
        <v>608.87999999996464</v>
      </c>
      <c r="C3894" s="199">
        <v>913.27083275816199</v>
      </c>
      <c r="D3894" s="7"/>
    </row>
    <row r="3895" spans="2:4" x14ac:dyDescent="0.25">
      <c r="B3895" s="4">
        <f t="shared" si="76"/>
        <v>608.88999999996463</v>
      </c>
      <c r="C3895" s="199">
        <v>913.48438363261243</v>
      </c>
      <c r="D3895" s="7"/>
    </row>
    <row r="3896" spans="2:4" x14ac:dyDescent="0.25">
      <c r="B3896" s="4">
        <f t="shared" si="76"/>
        <v>608.89999999996462</v>
      </c>
      <c r="C3896" s="199">
        <v>913.69793450706243</v>
      </c>
      <c r="D3896" s="7"/>
    </row>
    <row r="3897" spans="2:4" x14ac:dyDescent="0.25">
      <c r="B3897" s="4">
        <f t="shared" si="76"/>
        <v>608.90999999996461</v>
      </c>
      <c r="C3897" s="199">
        <v>913.91148538151288</v>
      </c>
      <c r="D3897" s="7"/>
    </row>
    <row r="3898" spans="2:4" x14ac:dyDescent="0.25">
      <c r="B3898" s="4">
        <f t="shared" si="76"/>
        <v>608.9199999999646</v>
      </c>
      <c r="C3898" s="199">
        <v>914.12527609551307</v>
      </c>
      <c r="D3898" s="7"/>
    </row>
    <row r="3899" spans="2:4" x14ac:dyDescent="0.25">
      <c r="B3899" s="4">
        <f t="shared" si="76"/>
        <v>608.92999999996459</v>
      </c>
      <c r="C3899" s="199">
        <v>914.33906680951623</v>
      </c>
      <c r="D3899" s="7"/>
    </row>
    <row r="3900" spans="2:4" x14ac:dyDescent="0.25">
      <c r="B3900" s="4">
        <f t="shared" si="76"/>
        <v>608.93999999996458</v>
      </c>
      <c r="C3900" s="199">
        <v>914.55285752352074</v>
      </c>
      <c r="D3900" s="7"/>
    </row>
    <row r="3901" spans="2:4" x14ac:dyDescent="0.25">
      <c r="B3901" s="4">
        <f t="shared" si="76"/>
        <v>608.94999999996458</v>
      </c>
      <c r="C3901" s="199">
        <v>914.76664823752412</v>
      </c>
      <c r="D3901" s="7"/>
    </row>
    <row r="3902" spans="2:4" x14ac:dyDescent="0.25">
      <c r="B3902" s="4">
        <f t="shared" si="76"/>
        <v>608.95999999996457</v>
      </c>
      <c r="C3902" s="199">
        <v>914.98043895152864</v>
      </c>
      <c r="D3902" s="7"/>
    </row>
    <row r="3903" spans="2:4" x14ac:dyDescent="0.25">
      <c r="B3903" s="4">
        <f t="shared" si="76"/>
        <v>608.96999999996456</v>
      </c>
      <c r="C3903" s="199">
        <v>915.19422966553202</v>
      </c>
      <c r="D3903" s="7"/>
    </row>
    <row r="3904" spans="2:4" x14ac:dyDescent="0.25">
      <c r="B3904" s="4">
        <f t="shared" si="76"/>
        <v>608.97999999996455</v>
      </c>
      <c r="C3904" s="199">
        <v>915.40802037953654</v>
      </c>
      <c r="D3904" s="7"/>
    </row>
    <row r="3905" spans="2:4" x14ac:dyDescent="0.25">
      <c r="B3905" s="4">
        <f t="shared" si="76"/>
        <v>608.98999999996454</v>
      </c>
      <c r="C3905" s="199">
        <v>915.62181109354106</v>
      </c>
      <c r="D3905" s="7"/>
    </row>
    <row r="3906" spans="2:4" x14ac:dyDescent="0.25">
      <c r="B3906" s="4">
        <f t="shared" si="76"/>
        <v>608.99999999996453</v>
      </c>
      <c r="C3906" s="199">
        <v>915.83560180754444</v>
      </c>
      <c r="D3906" s="7"/>
    </row>
    <row r="3907" spans="2:4" x14ac:dyDescent="0.25">
      <c r="B3907" s="4">
        <f t="shared" si="76"/>
        <v>609.00999999996452</v>
      </c>
      <c r="C3907" s="199">
        <v>916.04939252154907</v>
      </c>
      <c r="D3907" s="7"/>
    </row>
    <row r="3908" spans="2:4" x14ac:dyDescent="0.25">
      <c r="B3908" s="4">
        <f t="shared" si="76"/>
        <v>609.01999999996451</v>
      </c>
      <c r="C3908" s="199">
        <v>916.2634217668558</v>
      </c>
      <c r="D3908" s="7"/>
    </row>
    <row r="3909" spans="2:4" x14ac:dyDescent="0.25">
      <c r="B3909" s="4">
        <f t="shared" si="76"/>
        <v>609.0299999999645</v>
      </c>
      <c r="C3909" s="199">
        <v>916.47745101216424</v>
      </c>
      <c r="D3909" s="7"/>
    </row>
    <row r="3910" spans="2:4" x14ac:dyDescent="0.25">
      <c r="B3910" s="4">
        <f t="shared" si="76"/>
        <v>609.03999999996449</v>
      </c>
      <c r="C3910" s="199">
        <v>916.69148025747143</v>
      </c>
      <c r="D3910" s="7"/>
    </row>
    <row r="3911" spans="2:4" x14ac:dyDescent="0.25">
      <c r="B3911" s="4">
        <f t="shared" si="76"/>
        <v>609.04999999996448</v>
      </c>
      <c r="C3911" s="199">
        <v>916.90550950277975</v>
      </c>
      <c r="D3911" s="7"/>
    </row>
    <row r="3912" spans="2:4" x14ac:dyDescent="0.25">
      <c r="B3912" s="4">
        <f t="shared" ref="B3912:B3975" si="77">+B3911+0.01</f>
        <v>609.05999999996448</v>
      </c>
      <c r="C3912" s="199">
        <v>917.11953874808808</v>
      </c>
      <c r="D3912" s="7"/>
    </row>
    <row r="3913" spans="2:4" x14ac:dyDescent="0.25">
      <c r="B3913" s="4">
        <f t="shared" si="77"/>
        <v>609.06999999996447</v>
      </c>
      <c r="C3913" s="199">
        <v>917.33356799339526</v>
      </c>
      <c r="D3913" s="7"/>
    </row>
    <row r="3914" spans="2:4" x14ac:dyDescent="0.25">
      <c r="B3914" s="4">
        <f t="shared" si="77"/>
        <v>609.07999999996446</v>
      </c>
      <c r="C3914" s="199">
        <v>917.5475972387037</v>
      </c>
      <c r="D3914" s="7"/>
    </row>
    <row r="3915" spans="2:4" x14ac:dyDescent="0.25">
      <c r="B3915" s="4">
        <f t="shared" si="77"/>
        <v>609.08999999996445</v>
      </c>
      <c r="C3915" s="199">
        <v>917.76162648401078</v>
      </c>
      <c r="D3915" s="7"/>
    </row>
    <row r="3916" spans="2:4" x14ac:dyDescent="0.25">
      <c r="B3916" s="4">
        <f t="shared" si="77"/>
        <v>609.09999999996444</v>
      </c>
      <c r="C3916" s="199">
        <v>917.97565572931921</v>
      </c>
      <c r="D3916" s="7"/>
    </row>
    <row r="3917" spans="2:4" x14ac:dyDescent="0.25">
      <c r="B3917" s="4">
        <f t="shared" si="77"/>
        <v>609.10999999996443</v>
      </c>
      <c r="C3917" s="199">
        <v>918.1896849746264</v>
      </c>
      <c r="D3917" s="7"/>
    </row>
    <row r="3918" spans="2:4" x14ac:dyDescent="0.25">
      <c r="B3918" s="4">
        <f t="shared" si="77"/>
        <v>609.11999999996442</v>
      </c>
      <c r="C3918" s="199">
        <v>918.40394817487856</v>
      </c>
      <c r="D3918" s="7"/>
    </row>
    <row r="3919" spans="2:4" x14ac:dyDescent="0.25">
      <c r="B3919" s="4">
        <f t="shared" si="77"/>
        <v>609.12999999996441</v>
      </c>
      <c r="C3919" s="199">
        <v>918.61821137513425</v>
      </c>
      <c r="D3919" s="7"/>
    </row>
    <row r="3920" spans="2:4" x14ac:dyDescent="0.25">
      <c r="B3920" s="4">
        <f t="shared" si="77"/>
        <v>609.1399999999644</v>
      </c>
      <c r="C3920" s="199">
        <v>918.83247457539039</v>
      </c>
      <c r="D3920" s="7"/>
    </row>
    <row r="3921" spans="2:4" x14ac:dyDescent="0.25">
      <c r="B3921" s="4">
        <f t="shared" si="77"/>
        <v>609.14999999996439</v>
      </c>
      <c r="C3921" s="199">
        <v>919.04673777564744</v>
      </c>
      <c r="D3921" s="7"/>
    </row>
    <row r="3922" spans="2:4" x14ac:dyDescent="0.25">
      <c r="B3922" s="4">
        <f t="shared" si="77"/>
        <v>609.15999999996438</v>
      </c>
      <c r="C3922" s="199">
        <v>919.26100097590324</v>
      </c>
      <c r="D3922" s="7"/>
    </row>
    <row r="3923" spans="2:4" x14ac:dyDescent="0.25">
      <c r="B3923" s="4">
        <f t="shared" si="77"/>
        <v>609.16999999996438</v>
      </c>
      <c r="C3923" s="199">
        <v>919.47526417616029</v>
      </c>
      <c r="D3923" s="7"/>
    </row>
    <row r="3924" spans="2:4" x14ac:dyDescent="0.25">
      <c r="B3924" s="4">
        <f t="shared" si="77"/>
        <v>609.17999999996437</v>
      </c>
      <c r="C3924" s="199">
        <v>919.68952737641632</v>
      </c>
      <c r="D3924" s="7"/>
    </row>
    <row r="3925" spans="2:4" x14ac:dyDescent="0.25">
      <c r="B3925" s="4">
        <f t="shared" si="77"/>
        <v>609.18999999996436</v>
      </c>
      <c r="C3925" s="199">
        <v>919.90379057667315</v>
      </c>
      <c r="D3925" s="7"/>
    </row>
    <row r="3926" spans="2:4" x14ac:dyDescent="0.25">
      <c r="B3926" s="4">
        <f t="shared" si="77"/>
        <v>609.19999999996435</v>
      </c>
      <c r="C3926" s="199">
        <v>920.11805377692929</v>
      </c>
      <c r="D3926" s="7"/>
    </row>
    <row r="3927" spans="2:4" x14ac:dyDescent="0.25">
      <c r="B3927" s="4">
        <f t="shared" si="77"/>
        <v>609.20999999996434</v>
      </c>
      <c r="C3927" s="199">
        <v>920.332316977186</v>
      </c>
      <c r="D3927" s="7"/>
    </row>
    <row r="3928" spans="2:4" x14ac:dyDescent="0.25">
      <c r="B3928" s="4">
        <f t="shared" si="77"/>
        <v>609.21999999996433</v>
      </c>
      <c r="C3928" s="199">
        <v>920.54681445409403</v>
      </c>
      <c r="D3928" s="7"/>
    </row>
    <row r="3929" spans="2:4" x14ac:dyDescent="0.25">
      <c r="B3929" s="4">
        <f t="shared" si="77"/>
        <v>609.22999999996432</v>
      </c>
      <c r="C3929" s="199">
        <v>920.76131193100468</v>
      </c>
      <c r="D3929" s="7"/>
    </row>
    <row r="3930" spans="2:4" x14ac:dyDescent="0.25">
      <c r="B3930" s="4">
        <f t="shared" si="77"/>
        <v>609.23999999996431</v>
      </c>
      <c r="C3930" s="199">
        <v>920.97580940791477</v>
      </c>
      <c r="D3930" s="7"/>
    </row>
    <row r="3931" spans="2:4" x14ac:dyDescent="0.25">
      <c r="B3931" s="4">
        <f t="shared" si="77"/>
        <v>609.2499999999643</v>
      </c>
      <c r="C3931" s="199">
        <v>921.19030688482428</v>
      </c>
      <c r="D3931" s="7"/>
    </row>
    <row r="3932" spans="2:4" x14ac:dyDescent="0.25">
      <c r="B3932" s="4">
        <f t="shared" si="77"/>
        <v>609.25999999996429</v>
      </c>
      <c r="C3932" s="199">
        <v>921.40480436173448</v>
      </c>
      <c r="D3932" s="7"/>
    </row>
    <row r="3933" spans="2:4" x14ac:dyDescent="0.25">
      <c r="B3933" s="4">
        <f t="shared" si="77"/>
        <v>609.26999999996428</v>
      </c>
      <c r="C3933" s="199">
        <v>921.61930183864501</v>
      </c>
      <c r="D3933" s="7"/>
    </row>
    <row r="3934" spans="2:4" x14ac:dyDescent="0.25">
      <c r="B3934" s="4">
        <f t="shared" si="77"/>
        <v>609.27999999996428</v>
      </c>
      <c r="C3934" s="199">
        <v>921.83379931555419</v>
      </c>
      <c r="D3934" s="7"/>
    </row>
    <row r="3935" spans="2:4" x14ac:dyDescent="0.25">
      <c r="B3935" s="4">
        <f t="shared" si="77"/>
        <v>609.28999999996427</v>
      </c>
      <c r="C3935" s="199">
        <v>922.04829679246507</v>
      </c>
      <c r="D3935" s="7"/>
    </row>
    <row r="3936" spans="2:4" x14ac:dyDescent="0.25">
      <c r="B3936" s="4">
        <f t="shared" si="77"/>
        <v>609.29999999996426</v>
      </c>
      <c r="C3936" s="199">
        <v>922.26279426937515</v>
      </c>
      <c r="D3936" s="7"/>
    </row>
    <row r="3937" spans="2:4" x14ac:dyDescent="0.25">
      <c r="B3937" s="4">
        <f t="shared" si="77"/>
        <v>609.30999999996425</v>
      </c>
      <c r="C3937" s="199">
        <v>922.47729174628478</v>
      </c>
      <c r="D3937" s="7"/>
    </row>
    <row r="3938" spans="2:4" x14ac:dyDescent="0.25">
      <c r="B3938" s="4">
        <f t="shared" si="77"/>
        <v>609.31999999996424</v>
      </c>
      <c r="C3938" s="199">
        <v>922.69201923525782</v>
      </c>
      <c r="D3938" s="7"/>
    </row>
    <row r="3939" spans="2:4" x14ac:dyDescent="0.25">
      <c r="B3939" s="4">
        <f t="shared" si="77"/>
        <v>609.32999999996423</v>
      </c>
      <c r="C3939" s="199">
        <v>922.90674672423449</v>
      </c>
      <c r="D3939" s="7"/>
    </row>
    <row r="3940" spans="2:4" x14ac:dyDescent="0.25">
      <c r="B3940" s="4">
        <f t="shared" si="77"/>
        <v>609.33999999996422</v>
      </c>
      <c r="C3940" s="199">
        <v>923.12147421321094</v>
      </c>
      <c r="D3940" s="7"/>
    </row>
    <row r="3941" spans="2:4" x14ac:dyDescent="0.25">
      <c r="B3941" s="4">
        <f t="shared" si="77"/>
        <v>609.34999999996421</v>
      </c>
      <c r="C3941" s="199">
        <v>923.33620170218933</v>
      </c>
      <c r="D3941" s="7"/>
    </row>
    <row r="3942" spans="2:4" x14ac:dyDescent="0.25">
      <c r="B3942" s="4">
        <f t="shared" si="77"/>
        <v>609.3599999999642</v>
      </c>
      <c r="C3942" s="199">
        <v>923.55092919116555</v>
      </c>
      <c r="D3942" s="7"/>
    </row>
    <row r="3943" spans="2:4" x14ac:dyDescent="0.25">
      <c r="B3943" s="4">
        <f t="shared" si="77"/>
        <v>609.36999999996419</v>
      </c>
      <c r="C3943" s="199">
        <v>923.76565668014246</v>
      </c>
      <c r="D3943" s="7"/>
    </row>
    <row r="3944" spans="2:4" x14ac:dyDescent="0.25">
      <c r="B3944" s="4">
        <f t="shared" si="77"/>
        <v>609.37999999996418</v>
      </c>
      <c r="C3944" s="199">
        <v>923.98038416911936</v>
      </c>
      <c r="D3944" s="7"/>
    </row>
    <row r="3945" spans="2:4" x14ac:dyDescent="0.25">
      <c r="B3945" s="4">
        <f t="shared" si="77"/>
        <v>609.38999999996418</v>
      </c>
      <c r="C3945" s="199">
        <v>924.19511165809729</v>
      </c>
      <c r="D3945" s="7"/>
    </row>
    <row r="3946" spans="2:4" x14ac:dyDescent="0.25">
      <c r="B3946" s="4">
        <f t="shared" si="77"/>
        <v>609.39999999996417</v>
      </c>
      <c r="C3946" s="199">
        <v>924.40983914707419</v>
      </c>
      <c r="D3946" s="7"/>
    </row>
    <row r="3947" spans="2:4" x14ac:dyDescent="0.25">
      <c r="B3947" s="4">
        <f t="shared" si="77"/>
        <v>609.40999999996416</v>
      </c>
      <c r="C3947" s="199">
        <v>924.62456663605042</v>
      </c>
      <c r="D3947" s="7"/>
    </row>
    <row r="3948" spans="2:4" x14ac:dyDescent="0.25">
      <c r="B3948" s="4">
        <f t="shared" si="77"/>
        <v>609.41999999996415</v>
      </c>
      <c r="C3948" s="199">
        <v>924.83951994620293</v>
      </c>
      <c r="D3948" s="7"/>
    </row>
    <row r="3949" spans="2:4" x14ac:dyDescent="0.25">
      <c r="B3949" s="4">
        <f t="shared" si="77"/>
        <v>609.42999999996414</v>
      </c>
      <c r="C3949" s="199">
        <v>925.05447325635407</v>
      </c>
      <c r="D3949" s="7"/>
    </row>
    <row r="3950" spans="2:4" x14ac:dyDescent="0.25">
      <c r="B3950" s="4">
        <f t="shared" si="77"/>
        <v>609.43999999996413</v>
      </c>
      <c r="C3950" s="199">
        <v>925.26942656650544</v>
      </c>
      <c r="D3950" s="7"/>
    </row>
    <row r="3951" spans="2:4" x14ac:dyDescent="0.25">
      <c r="B3951" s="4">
        <f t="shared" si="77"/>
        <v>609.44999999996412</v>
      </c>
      <c r="C3951" s="199">
        <v>925.48437987665761</v>
      </c>
      <c r="D3951" s="7"/>
    </row>
    <row r="3952" spans="2:4" x14ac:dyDescent="0.25">
      <c r="B3952" s="4">
        <f t="shared" si="77"/>
        <v>609.45999999996411</v>
      </c>
      <c r="C3952" s="199">
        <v>925.69933318680853</v>
      </c>
      <c r="D3952" s="7"/>
    </row>
    <row r="3953" spans="2:4" x14ac:dyDescent="0.25">
      <c r="B3953" s="4">
        <f t="shared" si="77"/>
        <v>609.4699999999641</v>
      </c>
      <c r="C3953" s="199">
        <v>925.91428649695979</v>
      </c>
      <c r="D3953" s="7"/>
    </row>
    <row r="3954" spans="2:4" x14ac:dyDescent="0.25">
      <c r="B3954" s="4">
        <f t="shared" si="77"/>
        <v>609.47999999996409</v>
      </c>
      <c r="C3954" s="199">
        <v>926.12923980711059</v>
      </c>
      <c r="D3954" s="7"/>
    </row>
    <row r="3955" spans="2:4" x14ac:dyDescent="0.25">
      <c r="B3955" s="4">
        <f t="shared" si="77"/>
        <v>609.48999999996408</v>
      </c>
      <c r="C3955" s="199">
        <v>926.34419311726322</v>
      </c>
      <c r="D3955" s="7"/>
    </row>
    <row r="3956" spans="2:4" x14ac:dyDescent="0.25">
      <c r="B3956" s="4">
        <f t="shared" si="77"/>
        <v>609.49999999996407</v>
      </c>
      <c r="C3956" s="199">
        <v>926.55914642741413</v>
      </c>
      <c r="D3956" s="7"/>
    </row>
    <row r="3957" spans="2:4" x14ac:dyDescent="0.25">
      <c r="B3957" s="4">
        <f t="shared" si="77"/>
        <v>609.50999999996407</v>
      </c>
      <c r="C3957" s="199">
        <v>926.77409973756539</v>
      </c>
      <c r="D3957" s="7"/>
    </row>
    <row r="3958" spans="2:4" x14ac:dyDescent="0.25">
      <c r="B3958" s="4">
        <f t="shared" si="77"/>
        <v>609.51999999996406</v>
      </c>
      <c r="C3958" s="199">
        <v>926.98927866362726</v>
      </c>
      <c r="D3958" s="7"/>
    </row>
    <row r="3959" spans="2:4" x14ac:dyDescent="0.25">
      <c r="B3959" s="4">
        <f t="shared" si="77"/>
        <v>609.52999999996405</v>
      </c>
      <c r="C3959" s="199">
        <v>927.20445758969549</v>
      </c>
      <c r="D3959" s="7"/>
    </row>
    <row r="3960" spans="2:4" x14ac:dyDescent="0.25">
      <c r="B3960" s="4">
        <f t="shared" si="77"/>
        <v>609.53999999996404</v>
      </c>
      <c r="C3960" s="199">
        <v>927.41963651576407</v>
      </c>
      <c r="D3960" s="7"/>
    </row>
    <row r="3961" spans="2:4" x14ac:dyDescent="0.25">
      <c r="B3961" s="4">
        <f t="shared" si="77"/>
        <v>609.54999999996403</v>
      </c>
      <c r="C3961" s="199">
        <v>927.63481544183139</v>
      </c>
      <c r="D3961" s="7"/>
    </row>
    <row r="3962" spans="2:4" x14ac:dyDescent="0.25">
      <c r="B3962" s="4">
        <f t="shared" si="77"/>
        <v>609.55999999996402</v>
      </c>
      <c r="C3962" s="199">
        <v>927.84999436789963</v>
      </c>
      <c r="D3962" s="7"/>
    </row>
    <row r="3963" spans="2:4" x14ac:dyDescent="0.25">
      <c r="B3963" s="4">
        <f t="shared" si="77"/>
        <v>609.56999999996401</v>
      </c>
      <c r="C3963" s="199">
        <v>928.06517329396866</v>
      </c>
      <c r="D3963" s="7"/>
    </row>
    <row r="3964" spans="2:4" x14ac:dyDescent="0.25">
      <c r="B3964" s="4">
        <f t="shared" si="77"/>
        <v>609.579999999964</v>
      </c>
      <c r="C3964" s="199">
        <v>928.28035222003689</v>
      </c>
      <c r="D3964" s="7"/>
    </row>
    <row r="3965" spans="2:4" x14ac:dyDescent="0.25">
      <c r="B3965" s="4">
        <f t="shared" si="77"/>
        <v>609.58999999996399</v>
      </c>
      <c r="C3965" s="199">
        <v>928.49553114610421</v>
      </c>
      <c r="D3965" s="7"/>
    </row>
    <row r="3966" spans="2:4" x14ac:dyDescent="0.25">
      <c r="B3966" s="4">
        <f t="shared" si="77"/>
        <v>609.59999999996398</v>
      </c>
      <c r="C3966" s="199">
        <v>928.71071007217256</v>
      </c>
      <c r="D3966" s="7"/>
    </row>
    <row r="3967" spans="2:4" x14ac:dyDescent="0.25">
      <c r="B3967" s="4">
        <f t="shared" si="77"/>
        <v>609.60999999996397</v>
      </c>
      <c r="C3967" s="199">
        <v>928.92588899824057</v>
      </c>
      <c r="D3967" s="7"/>
    </row>
    <row r="3968" spans="2:4" x14ac:dyDescent="0.25">
      <c r="B3968" s="4">
        <f t="shared" si="77"/>
        <v>609.61999999996397</v>
      </c>
      <c r="C3968" s="199">
        <v>929.14129169638773</v>
      </c>
      <c r="D3968" s="7"/>
    </row>
    <row r="3969" spans="2:4" x14ac:dyDescent="0.25">
      <c r="B3969" s="4">
        <f t="shared" si="77"/>
        <v>609.62999999996396</v>
      </c>
      <c r="C3969" s="199">
        <v>929.35669439453284</v>
      </c>
      <c r="D3969" s="7"/>
    </row>
    <row r="3970" spans="2:4" x14ac:dyDescent="0.25">
      <c r="B3970" s="4">
        <f t="shared" si="77"/>
        <v>609.63999999996395</v>
      </c>
      <c r="C3970" s="199">
        <v>929.5720970926784</v>
      </c>
      <c r="D3970" s="7"/>
    </row>
    <row r="3971" spans="2:4" x14ac:dyDescent="0.25">
      <c r="B3971" s="4">
        <f t="shared" si="77"/>
        <v>609.64999999996394</v>
      </c>
      <c r="C3971" s="199">
        <v>929.787499790825</v>
      </c>
      <c r="D3971" s="7"/>
    </row>
    <row r="3972" spans="2:4" x14ac:dyDescent="0.25">
      <c r="B3972" s="4">
        <f t="shared" si="77"/>
        <v>609.65999999996393</v>
      </c>
      <c r="C3972" s="199">
        <v>930.00290248897102</v>
      </c>
      <c r="D3972" s="7"/>
    </row>
    <row r="3973" spans="2:4" x14ac:dyDescent="0.25">
      <c r="B3973" s="4">
        <f t="shared" si="77"/>
        <v>609.66999999996392</v>
      </c>
      <c r="C3973" s="199">
        <v>930.21830518711704</v>
      </c>
      <c r="D3973" s="7"/>
    </row>
    <row r="3974" spans="2:4" x14ac:dyDescent="0.25">
      <c r="B3974" s="4">
        <f t="shared" si="77"/>
        <v>609.67999999996391</v>
      </c>
      <c r="C3974" s="199">
        <v>930.43370788526363</v>
      </c>
      <c r="D3974" s="7"/>
    </row>
    <row r="3975" spans="2:4" x14ac:dyDescent="0.25">
      <c r="B3975" s="4">
        <f t="shared" si="77"/>
        <v>609.6899999999639</v>
      </c>
      <c r="C3975" s="199">
        <v>930.64911058340988</v>
      </c>
      <c r="D3975" s="7"/>
    </row>
    <row r="3976" spans="2:4" x14ac:dyDescent="0.25">
      <c r="B3976" s="4">
        <f t="shared" ref="B3976:B4039" si="78">+B3975+0.01</f>
        <v>609.69999999996389</v>
      </c>
      <c r="C3976" s="199">
        <v>930.86451328155556</v>
      </c>
      <c r="D3976" s="7"/>
    </row>
    <row r="3977" spans="2:4" x14ac:dyDescent="0.25">
      <c r="B3977" s="4">
        <f t="shared" si="78"/>
        <v>609.70999999996388</v>
      </c>
      <c r="C3977" s="199">
        <v>931.07991597970215</v>
      </c>
      <c r="D3977" s="7"/>
    </row>
    <row r="3978" spans="2:4" x14ac:dyDescent="0.25">
      <c r="B3978" s="4">
        <f t="shared" si="78"/>
        <v>609.71999999996387</v>
      </c>
      <c r="C3978" s="199">
        <v>931.29554039385187</v>
      </c>
      <c r="D3978" s="7"/>
    </row>
    <row r="3979" spans="2:4" x14ac:dyDescent="0.25">
      <c r="B3979" s="4">
        <f t="shared" si="78"/>
        <v>609.72999999996387</v>
      </c>
      <c r="C3979" s="199">
        <v>931.51116480800545</v>
      </c>
      <c r="D3979" s="7"/>
    </row>
    <row r="3980" spans="2:4" x14ac:dyDescent="0.25">
      <c r="B3980" s="4">
        <f t="shared" si="78"/>
        <v>609.73999999996386</v>
      </c>
      <c r="C3980" s="199">
        <v>931.72678922216005</v>
      </c>
      <c r="D3980" s="7"/>
    </row>
    <row r="3981" spans="2:4" x14ac:dyDescent="0.25">
      <c r="B3981" s="4">
        <f t="shared" si="78"/>
        <v>609.74999999996385</v>
      </c>
      <c r="C3981" s="199">
        <v>931.94241363631363</v>
      </c>
      <c r="D3981" s="7"/>
    </row>
    <row r="3982" spans="2:4" x14ac:dyDescent="0.25">
      <c r="B3982" s="4">
        <f t="shared" si="78"/>
        <v>609.75999999996384</v>
      </c>
      <c r="C3982" s="199">
        <v>932.15803805046869</v>
      </c>
      <c r="D3982" s="7"/>
    </row>
    <row r="3983" spans="2:4" x14ac:dyDescent="0.25">
      <c r="B3983" s="4">
        <f t="shared" si="78"/>
        <v>609.76999999996383</v>
      </c>
      <c r="C3983" s="199">
        <v>932.37366246462227</v>
      </c>
      <c r="D3983" s="7"/>
    </row>
    <row r="3984" spans="2:4" x14ac:dyDescent="0.25">
      <c r="B3984" s="4">
        <f t="shared" si="78"/>
        <v>609.77999999996382</v>
      </c>
      <c r="C3984" s="199">
        <v>932.58928687877687</v>
      </c>
      <c r="D3984" s="7"/>
    </row>
    <row r="3985" spans="2:4" x14ac:dyDescent="0.25">
      <c r="B3985" s="4">
        <f t="shared" si="78"/>
        <v>609.78999999996381</v>
      </c>
      <c r="C3985" s="199">
        <v>932.80491129293193</v>
      </c>
      <c r="D3985" s="7"/>
    </row>
    <row r="3986" spans="2:4" x14ac:dyDescent="0.25">
      <c r="B3986" s="4">
        <f t="shared" si="78"/>
        <v>609.7999999999638</v>
      </c>
      <c r="C3986" s="199">
        <v>933.02053570708551</v>
      </c>
      <c r="D3986" s="7"/>
    </row>
    <row r="3987" spans="2:4" x14ac:dyDescent="0.25">
      <c r="B3987" s="4">
        <f t="shared" si="78"/>
        <v>609.80999999996379</v>
      </c>
      <c r="C3987" s="199">
        <v>933.23616012124012</v>
      </c>
      <c r="D3987" s="7"/>
    </row>
    <row r="3988" spans="2:4" x14ac:dyDescent="0.25">
      <c r="B3988" s="4">
        <f t="shared" si="78"/>
        <v>609.81999999996378</v>
      </c>
      <c r="C3988" s="199">
        <v>933.4520037325035</v>
      </c>
      <c r="D3988" s="7"/>
    </row>
    <row r="3989" spans="2:4" x14ac:dyDescent="0.25">
      <c r="B3989" s="4">
        <f t="shared" si="78"/>
        <v>609.82999999996377</v>
      </c>
      <c r="C3989" s="199">
        <v>933.66784734376768</v>
      </c>
      <c r="D3989" s="7"/>
    </row>
    <row r="3990" spans="2:4" x14ac:dyDescent="0.25">
      <c r="B3990" s="4">
        <f t="shared" si="78"/>
        <v>609.83999999996377</v>
      </c>
      <c r="C3990" s="199">
        <v>933.88369095503026</v>
      </c>
      <c r="D3990" s="7"/>
    </row>
    <row r="3991" spans="2:4" x14ac:dyDescent="0.25">
      <c r="B3991" s="4">
        <f t="shared" si="78"/>
        <v>609.84999999996376</v>
      </c>
      <c r="C3991" s="199">
        <v>934.09953456629421</v>
      </c>
      <c r="D3991" s="7"/>
    </row>
    <row r="3992" spans="2:4" x14ac:dyDescent="0.25">
      <c r="B3992" s="4">
        <f t="shared" si="78"/>
        <v>609.85999999996375</v>
      </c>
      <c r="C3992" s="199">
        <v>934.31537817755725</v>
      </c>
      <c r="D3992" s="7"/>
    </row>
    <row r="3993" spans="2:4" x14ac:dyDescent="0.25">
      <c r="B3993" s="4">
        <f t="shared" si="78"/>
        <v>609.86999999996374</v>
      </c>
      <c r="C3993" s="199">
        <v>934.53122178882086</v>
      </c>
      <c r="D3993" s="7"/>
    </row>
    <row r="3994" spans="2:4" x14ac:dyDescent="0.25">
      <c r="B3994" s="4">
        <f t="shared" si="78"/>
        <v>609.87999999996373</v>
      </c>
      <c r="C3994" s="199">
        <v>934.74706540008401</v>
      </c>
      <c r="D3994" s="7"/>
    </row>
    <row r="3995" spans="2:4" x14ac:dyDescent="0.25">
      <c r="B3995" s="4">
        <f t="shared" si="78"/>
        <v>609.88999999996372</v>
      </c>
      <c r="C3995" s="199">
        <v>934.96290901134705</v>
      </c>
      <c r="D3995" s="7"/>
    </row>
    <row r="3996" spans="2:4" x14ac:dyDescent="0.25">
      <c r="B3996" s="4">
        <f t="shared" si="78"/>
        <v>609.89999999996371</v>
      </c>
      <c r="C3996" s="199">
        <v>935.17875262261055</v>
      </c>
      <c r="D3996" s="7"/>
    </row>
    <row r="3997" spans="2:4" x14ac:dyDescent="0.25">
      <c r="B3997" s="4">
        <f t="shared" si="78"/>
        <v>609.9099999999637</v>
      </c>
      <c r="C3997" s="199">
        <v>935.39459623387359</v>
      </c>
      <c r="D3997" s="7"/>
    </row>
    <row r="3998" spans="2:4" x14ac:dyDescent="0.25">
      <c r="B3998" s="4">
        <f t="shared" si="78"/>
        <v>609.91999999996369</v>
      </c>
      <c r="C3998" s="199">
        <v>935.61065682049821</v>
      </c>
      <c r="D3998" s="7"/>
    </row>
    <row r="3999" spans="2:4" x14ac:dyDescent="0.25">
      <c r="B3999" s="4">
        <f t="shared" si="78"/>
        <v>609.92999999996368</v>
      </c>
      <c r="C3999" s="199">
        <v>935.82671740712658</v>
      </c>
      <c r="D3999" s="7"/>
    </row>
    <row r="4000" spans="2:4" x14ac:dyDescent="0.25">
      <c r="B4000" s="4">
        <f t="shared" si="78"/>
        <v>609.93999999996367</v>
      </c>
      <c r="C4000" s="199">
        <v>936.04277799375586</v>
      </c>
      <c r="D4000" s="7"/>
    </row>
    <row r="4001" spans="2:4" x14ac:dyDescent="0.25">
      <c r="B4001" s="4">
        <f t="shared" si="78"/>
        <v>609.94999999996367</v>
      </c>
      <c r="C4001" s="199">
        <v>936.25883858038571</v>
      </c>
      <c r="D4001" s="7"/>
    </row>
    <row r="4002" spans="2:4" x14ac:dyDescent="0.25">
      <c r="B4002" s="4">
        <f t="shared" si="78"/>
        <v>609.95999999996366</v>
      </c>
      <c r="C4002" s="199">
        <v>936.474899167015</v>
      </c>
      <c r="D4002" s="7"/>
    </row>
    <row r="4003" spans="2:4" x14ac:dyDescent="0.25">
      <c r="B4003" s="4">
        <f t="shared" si="78"/>
        <v>609.96999999996365</v>
      </c>
      <c r="C4003" s="199">
        <v>936.69095975364394</v>
      </c>
      <c r="D4003" s="7"/>
    </row>
    <row r="4004" spans="2:4" x14ac:dyDescent="0.25">
      <c r="B4004" s="4">
        <f t="shared" si="78"/>
        <v>609.97999999996364</v>
      </c>
      <c r="C4004" s="199">
        <v>936.90702034027379</v>
      </c>
      <c r="D4004" s="7"/>
    </row>
    <row r="4005" spans="2:4" x14ac:dyDescent="0.25">
      <c r="B4005" s="4">
        <f t="shared" si="78"/>
        <v>609.98999999996363</v>
      </c>
      <c r="C4005" s="199">
        <v>937.12308092690262</v>
      </c>
      <c r="D4005" s="7"/>
    </row>
    <row r="4006" spans="2:4" x14ac:dyDescent="0.25">
      <c r="B4006" s="4">
        <f t="shared" si="78"/>
        <v>609.99999999996362</v>
      </c>
      <c r="C4006" s="199">
        <v>937.33914151353144</v>
      </c>
      <c r="D4006" s="7"/>
    </row>
    <row r="4007" spans="2:4" x14ac:dyDescent="0.25">
      <c r="B4007" s="4">
        <f t="shared" si="78"/>
        <v>610.00999999996361</v>
      </c>
      <c r="C4007" s="199">
        <v>937.55520210016073</v>
      </c>
      <c r="D4007" s="7"/>
    </row>
    <row r="4008" spans="2:4" x14ac:dyDescent="0.25">
      <c r="B4008" s="4">
        <f t="shared" si="78"/>
        <v>610.0199999999636</v>
      </c>
      <c r="C4008" s="199">
        <v>937.77148199503813</v>
      </c>
      <c r="D4008" s="7"/>
    </row>
    <row r="4009" spans="2:4" x14ac:dyDescent="0.25">
      <c r="B4009" s="4">
        <f t="shared" si="78"/>
        <v>610.02999999996359</v>
      </c>
      <c r="C4009" s="199">
        <v>937.98776188991462</v>
      </c>
      <c r="D4009" s="7"/>
    </row>
    <row r="4010" spans="2:4" x14ac:dyDescent="0.25">
      <c r="B4010" s="4">
        <f t="shared" si="78"/>
        <v>610.03999999996358</v>
      </c>
      <c r="C4010" s="199">
        <v>938.20404178479225</v>
      </c>
      <c r="D4010" s="7"/>
    </row>
    <row r="4011" spans="2:4" x14ac:dyDescent="0.25">
      <c r="B4011" s="4">
        <f t="shared" si="78"/>
        <v>610.04999999996357</v>
      </c>
      <c r="C4011" s="199">
        <v>938.42032167966784</v>
      </c>
      <c r="D4011" s="7"/>
    </row>
    <row r="4012" spans="2:4" x14ac:dyDescent="0.25">
      <c r="B4012" s="4">
        <f t="shared" si="78"/>
        <v>610.05999999996357</v>
      </c>
      <c r="C4012" s="199">
        <v>938.63660157454524</v>
      </c>
      <c r="D4012" s="7"/>
    </row>
    <row r="4013" spans="2:4" x14ac:dyDescent="0.25">
      <c r="B4013" s="4">
        <f t="shared" si="78"/>
        <v>610.06999999996356</v>
      </c>
      <c r="C4013" s="199">
        <v>938.85288146942207</v>
      </c>
      <c r="D4013" s="7"/>
    </row>
    <row r="4014" spans="2:4" x14ac:dyDescent="0.25">
      <c r="B4014" s="4">
        <f t="shared" si="78"/>
        <v>610.07999999996355</v>
      </c>
      <c r="C4014" s="199">
        <v>939.06916136429902</v>
      </c>
      <c r="D4014" s="7"/>
    </row>
    <row r="4015" spans="2:4" x14ac:dyDescent="0.25">
      <c r="B4015" s="4">
        <f t="shared" si="78"/>
        <v>610.08999999996354</v>
      </c>
      <c r="C4015" s="199">
        <v>939.28544125917608</v>
      </c>
      <c r="D4015" s="7"/>
    </row>
    <row r="4016" spans="2:4" x14ac:dyDescent="0.25">
      <c r="B4016" s="4">
        <f t="shared" si="78"/>
        <v>610.09999999996353</v>
      </c>
      <c r="C4016" s="199">
        <v>939.50172115405269</v>
      </c>
      <c r="D4016" s="7"/>
    </row>
    <row r="4017" spans="2:4" x14ac:dyDescent="0.25">
      <c r="B4017" s="4">
        <f t="shared" si="78"/>
        <v>610.10999999996352</v>
      </c>
      <c r="C4017" s="199">
        <v>939.71800104892964</v>
      </c>
      <c r="D4017" s="7"/>
    </row>
    <row r="4018" spans="2:4" x14ac:dyDescent="0.25">
      <c r="B4018" s="4">
        <f t="shared" si="78"/>
        <v>610.11999999996351</v>
      </c>
      <c r="C4018" s="199">
        <v>939.93449773119926</v>
      </c>
      <c r="D4018" s="7"/>
    </row>
    <row r="4019" spans="2:4" x14ac:dyDescent="0.25">
      <c r="B4019" s="4">
        <f t="shared" si="78"/>
        <v>610.1299999999635</v>
      </c>
      <c r="C4019" s="199">
        <v>940.15099441347411</v>
      </c>
      <c r="D4019" s="7"/>
    </row>
    <row r="4020" spans="2:4" x14ac:dyDescent="0.25">
      <c r="B4020" s="4">
        <f t="shared" si="78"/>
        <v>610.13999999996349</v>
      </c>
      <c r="C4020" s="199">
        <v>940.36749109574816</v>
      </c>
      <c r="D4020" s="7"/>
    </row>
    <row r="4021" spans="2:4" x14ac:dyDescent="0.25">
      <c r="B4021" s="4">
        <f t="shared" si="78"/>
        <v>610.14999999996348</v>
      </c>
      <c r="C4021" s="199">
        <v>940.58398777802302</v>
      </c>
      <c r="D4021" s="7"/>
    </row>
    <row r="4022" spans="2:4" x14ac:dyDescent="0.25">
      <c r="B4022" s="4">
        <f t="shared" si="78"/>
        <v>610.15999999996347</v>
      </c>
      <c r="C4022" s="199">
        <v>940.80048446029684</v>
      </c>
      <c r="D4022" s="7"/>
    </row>
    <row r="4023" spans="2:4" x14ac:dyDescent="0.25">
      <c r="B4023" s="4">
        <f t="shared" si="78"/>
        <v>610.16999999996347</v>
      </c>
      <c r="C4023" s="199">
        <v>941.01698114257169</v>
      </c>
      <c r="D4023" s="7"/>
    </row>
    <row r="4024" spans="2:4" x14ac:dyDescent="0.25">
      <c r="B4024" s="4">
        <f t="shared" si="78"/>
        <v>610.17999999996346</v>
      </c>
      <c r="C4024" s="199">
        <v>941.2334778248462</v>
      </c>
      <c r="D4024" s="7"/>
    </row>
    <row r="4025" spans="2:4" x14ac:dyDescent="0.25">
      <c r="B4025" s="4">
        <f t="shared" si="78"/>
        <v>610.18999999996345</v>
      </c>
      <c r="C4025" s="199">
        <v>941.4499745071206</v>
      </c>
      <c r="D4025" s="7"/>
    </row>
    <row r="4026" spans="2:4" x14ac:dyDescent="0.25">
      <c r="B4026" s="4">
        <f t="shared" si="78"/>
        <v>610.19999999996344</v>
      </c>
      <c r="C4026" s="199">
        <v>941.66647118939602</v>
      </c>
      <c r="D4026" s="7"/>
    </row>
    <row r="4027" spans="2:4" x14ac:dyDescent="0.25">
      <c r="B4027" s="4">
        <f t="shared" si="78"/>
        <v>610.20999999996343</v>
      </c>
      <c r="C4027" s="199">
        <v>941.88296787167087</v>
      </c>
      <c r="D4027" s="7"/>
    </row>
    <row r="4028" spans="2:4" x14ac:dyDescent="0.25">
      <c r="B4028" s="4">
        <f t="shared" si="78"/>
        <v>610.21999999996342</v>
      </c>
      <c r="C4028" s="199">
        <v>942.09968202091454</v>
      </c>
      <c r="D4028" s="7"/>
    </row>
    <row r="4029" spans="2:4" x14ac:dyDescent="0.25">
      <c r="B4029" s="4">
        <f t="shared" si="78"/>
        <v>610.22999999996341</v>
      </c>
      <c r="C4029" s="199">
        <v>942.31639617015753</v>
      </c>
      <c r="D4029" s="7"/>
    </row>
    <row r="4030" spans="2:4" x14ac:dyDescent="0.25">
      <c r="B4030" s="4">
        <f t="shared" si="78"/>
        <v>610.2399999999634</v>
      </c>
      <c r="C4030" s="199">
        <v>942.53311031940132</v>
      </c>
      <c r="D4030" s="7"/>
    </row>
    <row r="4031" spans="2:4" x14ac:dyDescent="0.25">
      <c r="B4031" s="4">
        <f t="shared" si="78"/>
        <v>610.24999999996339</v>
      </c>
      <c r="C4031" s="199">
        <v>942.74982446864522</v>
      </c>
      <c r="D4031" s="7"/>
    </row>
    <row r="4032" spans="2:4" x14ac:dyDescent="0.25">
      <c r="B4032" s="4">
        <f t="shared" si="78"/>
        <v>610.25999999996338</v>
      </c>
      <c r="C4032" s="199">
        <v>942.966538617889</v>
      </c>
      <c r="D4032" s="7"/>
    </row>
    <row r="4033" spans="2:4" x14ac:dyDescent="0.25">
      <c r="B4033" s="4">
        <f t="shared" si="78"/>
        <v>610.26999999996337</v>
      </c>
      <c r="C4033" s="199">
        <v>943.18325276713244</v>
      </c>
      <c r="D4033" s="7"/>
    </row>
    <row r="4034" spans="2:4" x14ac:dyDescent="0.25">
      <c r="B4034" s="4">
        <f t="shared" si="78"/>
        <v>610.27999999996337</v>
      </c>
      <c r="C4034" s="199">
        <v>943.39996691637634</v>
      </c>
      <c r="D4034" s="7"/>
    </row>
    <row r="4035" spans="2:4" x14ac:dyDescent="0.25">
      <c r="B4035" s="4">
        <f t="shared" si="78"/>
        <v>610.28999999996336</v>
      </c>
      <c r="C4035" s="199">
        <v>943.61668106562036</v>
      </c>
      <c r="D4035" s="7"/>
    </row>
    <row r="4036" spans="2:4" x14ac:dyDescent="0.25">
      <c r="B4036" s="4">
        <f t="shared" si="78"/>
        <v>610.29999999996335</v>
      </c>
      <c r="C4036" s="199">
        <v>943.83339521486334</v>
      </c>
      <c r="D4036" s="7"/>
    </row>
    <row r="4037" spans="2:4" x14ac:dyDescent="0.25">
      <c r="B4037" s="4">
        <f t="shared" si="78"/>
        <v>610.30999999996334</v>
      </c>
      <c r="C4037" s="199">
        <v>944.05010936410747</v>
      </c>
      <c r="D4037" s="7"/>
    </row>
    <row r="4038" spans="2:4" x14ac:dyDescent="0.25">
      <c r="B4038" s="4">
        <f t="shared" si="78"/>
        <v>610.31999999996333</v>
      </c>
      <c r="C4038" s="199">
        <v>944.26704226410357</v>
      </c>
      <c r="D4038" s="7"/>
    </row>
    <row r="4039" spans="2:4" x14ac:dyDescent="0.25">
      <c r="B4039" s="4">
        <f t="shared" si="78"/>
        <v>610.32999999996332</v>
      </c>
      <c r="C4039" s="199">
        <v>944.48397516410228</v>
      </c>
      <c r="D4039" s="7"/>
    </row>
    <row r="4040" spans="2:4" x14ac:dyDescent="0.25">
      <c r="B4040" s="4">
        <f t="shared" ref="B4040:B4103" si="79">+B4039+0.01</f>
        <v>610.33999999996331</v>
      </c>
      <c r="C4040" s="199">
        <v>944.70090806410167</v>
      </c>
      <c r="D4040" s="7"/>
    </row>
    <row r="4041" spans="2:4" x14ac:dyDescent="0.25">
      <c r="B4041" s="4">
        <f t="shared" si="79"/>
        <v>610.3499999999633</v>
      </c>
      <c r="C4041" s="199">
        <v>944.91784096410152</v>
      </c>
      <c r="D4041" s="7"/>
    </row>
    <row r="4042" spans="2:4" x14ac:dyDescent="0.25">
      <c r="B4042" s="4">
        <f t="shared" si="79"/>
        <v>610.35999999996329</v>
      </c>
      <c r="C4042" s="199">
        <v>945.13477386410091</v>
      </c>
      <c r="D4042" s="7"/>
    </row>
    <row r="4043" spans="2:4" x14ac:dyDescent="0.25">
      <c r="B4043" s="4">
        <f t="shared" si="79"/>
        <v>610.36999999996328</v>
      </c>
      <c r="C4043" s="199">
        <v>945.35170676409962</v>
      </c>
      <c r="D4043" s="7"/>
    </row>
    <row r="4044" spans="2:4" x14ac:dyDescent="0.25">
      <c r="B4044" s="4">
        <f t="shared" si="79"/>
        <v>610.37999999996327</v>
      </c>
      <c r="C4044" s="199">
        <v>945.56863966409912</v>
      </c>
      <c r="D4044" s="7"/>
    </row>
    <row r="4045" spans="2:4" x14ac:dyDescent="0.25">
      <c r="B4045" s="4">
        <f t="shared" si="79"/>
        <v>610.38999999996327</v>
      </c>
      <c r="C4045" s="199">
        <v>945.78557256409863</v>
      </c>
      <c r="D4045" s="7"/>
    </row>
    <row r="4046" spans="2:4" x14ac:dyDescent="0.25">
      <c r="B4046" s="4">
        <f t="shared" si="79"/>
        <v>610.39999999996326</v>
      </c>
      <c r="C4046" s="199">
        <v>946.00250546409734</v>
      </c>
      <c r="D4046" s="7"/>
    </row>
    <row r="4047" spans="2:4" x14ac:dyDescent="0.25">
      <c r="B4047" s="4">
        <f t="shared" si="79"/>
        <v>610.40999999996325</v>
      </c>
      <c r="C4047" s="199">
        <v>946.2194383640973</v>
      </c>
      <c r="D4047" s="7"/>
    </row>
    <row r="4048" spans="2:4" x14ac:dyDescent="0.25">
      <c r="B4048" s="4">
        <f t="shared" si="79"/>
        <v>610.41999999996324</v>
      </c>
      <c r="C4048" s="199">
        <v>946.43658821356019</v>
      </c>
      <c r="D4048" s="7"/>
    </row>
    <row r="4049" spans="2:4" x14ac:dyDescent="0.25">
      <c r="B4049" s="4">
        <f t="shared" si="79"/>
        <v>610.42999999996323</v>
      </c>
      <c r="C4049" s="199">
        <v>946.65373806302546</v>
      </c>
      <c r="D4049" s="7"/>
    </row>
    <row r="4050" spans="2:4" x14ac:dyDescent="0.25">
      <c r="B4050" s="4">
        <f t="shared" si="79"/>
        <v>610.43999999996322</v>
      </c>
      <c r="C4050" s="199">
        <v>946.8708879124905</v>
      </c>
      <c r="D4050" s="7"/>
    </row>
    <row r="4051" spans="2:4" x14ac:dyDescent="0.25">
      <c r="B4051" s="4">
        <f t="shared" si="79"/>
        <v>610.44999999996321</v>
      </c>
      <c r="C4051" s="199">
        <v>947.08803776195555</v>
      </c>
      <c r="D4051" s="7"/>
    </row>
    <row r="4052" spans="2:4" x14ac:dyDescent="0.25">
      <c r="B4052" s="4">
        <f t="shared" si="79"/>
        <v>610.4599999999632</v>
      </c>
      <c r="C4052" s="199">
        <v>947.30518761142037</v>
      </c>
      <c r="D4052" s="7"/>
    </row>
    <row r="4053" spans="2:4" x14ac:dyDescent="0.25">
      <c r="B4053" s="4">
        <f t="shared" si="79"/>
        <v>610.46999999996319</v>
      </c>
      <c r="C4053" s="199">
        <v>947.52233746088541</v>
      </c>
      <c r="D4053" s="7"/>
    </row>
    <row r="4054" spans="2:4" x14ac:dyDescent="0.25">
      <c r="B4054" s="4">
        <f t="shared" si="79"/>
        <v>610.47999999996318</v>
      </c>
      <c r="C4054" s="199">
        <v>947.73948731035011</v>
      </c>
      <c r="D4054" s="7"/>
    </row>
    <row r="4055" spans="2:4" x14ac:dyDescent="0.25">
      <c r="B4055" s="4">
        <f t="shared" si="79"/>
        <v>610.48999999996317</v>
      </c>
      <c r="C4055" s="199">
        <v>947.95663715981527</v>
      </c>
      <c r="D4055" s="7"/>
    </row>
    <row r="4056" spans="2:4" x14ac:dyDescent="0.25">
      <c r="B4056" s="4">
        <f t="shared" si="79"/>
        <v>610.49999999996317</v>
      </c>
      <c r="C4056" s="199">
        <v>948.17378700927998</v>
      </c>
      <c r="D4056" s="7"/>
    </row>
    <row r="4057" spans="2:4" x14ac:dyDescent="0.25">
      <c r="B4057" s="4">
        <f t="shared" si="79"/>
        <v>610.50999999996316</v>
      </c>
      <c r="C4057" s="199">
        <v>948.39093685874514</v>
      </c>
      <c r="D4057" s="7"/>
    </row>
    <row r="4058" spans="2:4" x14ac:dyDescent="0.25">
      <c r="B4058" s="4">
        <f t="shared" si="79"/>
        <v>610.51999999996315</v>
      </c>
      <c r="C4058" s="199">
        <v>948.60830375255034</v>
      </c>
      <c r="D4058" s="7"/>
    </row>
    <row r="4059" spans="2:4" x14ac:dyDescent="0.25">
      <c r="B4059" s="4">
        <f t="shared" si="79"/>
        <v>610.52999999996314</v>
      </c>
      <c r="C4059" s="199">
        <v>948.82567064635953</v>
      </c>
      <c r="D4059" s="7"/>
    </row>
    <row r="4060" spans="2:4" x14ac:dyDescent="0.25">
      <c r="B4060" s="4">
        <f t="shared" si="79"/>
        <v>610.53999999996313</v>
      </c>
      <c r="C4060" s="199">
        <v>949.04303754016837</v>
      </c>
      <c r="D4060" s="7"/>
    </row>
    <row r="4061" spans="2:4" x14ac:dyDescent="0.25">
      <c r="B4061" s="4">
        <f t="shared" si="79"/>
        <v>610.54999999996312</v>
      </c>
      <c r="C4061" s="199">
        <v>949.26040443397824</v>
      </c>
      <c r="D4061" s="7"/>
    </row>
    <row r="4062" spans="2:4" x14ac:dyDescent="0.25">
      <c r="B4062" s="4">
        <f t="shared" si="79"/>
        <v>610.55999999996311</v>
      </c>
      <c r="C4062" s="199">
        <v>949.47777132778708</v>
      </c>
      <c r="D4062" s="7"/>
    </row>
    <row r="4063" spans="2:4" x14ac:dyDescent="0.25">
      <c r="B4063" s="4">
        <f t="shared" si="79"/>
        <v>610.5699999999631</v>
      </c>
      <c r="C4063" s="199">
        <v>949.69513822159661</v>
      </c>
      <c r="D4063" s="7"/>
    </row>
    <row r="4064" spans="2:4" x14ac:dyDescent="0.25">
      <c r="B4064" s="4">
        <f t="shared" si="79"/>
        <v>610.57999999996309</v>
      </c>
      <c r="C4064" s="199">
        <v>949.91250511540534</v>
      </c>
      <c r="D4064" s="7"/>
    </row>
    <row r="4065" spans="2:4" x14ac:dyDescent="0.25">
      <c r="B4065" s="4">
        <f t="shared" si="79"/>
        <v>610.58999999996308</v>
      </c>
      <c r="C4065" s="199">
        <v>950.12987200921486</v>
      </c>
      <c r="D4065" s="7"/>
    </row>
    <row r="4066" spans="2:4" x14ac:dyDescent="0.25">
      <c r="B4066" s="4">
        <f t="shared" si="79"/>
        <v>610.59999999996307</v>
      </c>
      <c r="C4066" s="199">
        <v>950.34723890302416</v>
      </c>
      <c r="D4066" s="7"/>
    </row>
    <row r="4067" spans="2:4" x14ac:dyDescent="0.25">
      <c r="B4067" s="4">
        <f t="shared" si="79"/>
        <v>610.60999999996307</v>
      </c>
      <c r="C4067" s="199">
        <v>950.56460579683278</v>
      </c>
      <c r="D4067" s="7"/>
    </row>
    <row r="4068" spans="2:4" x14ac:dyDescent="0.25">
      <c r="B4068" s="4">
        <f t="shared" si="79"/>
        <v>610.61999999996306</v>
      </c>
      <c r="C4068" s="199">
        <v>950.78218560403798</v>
      </c>
      <c r="D4068" s="7"/>
    </row>
    <row r="4069" spans="2:4" x14ac:dyDescent="0.25">
      <c r="B4069" s="4">
        <f t="shared" si="79"/>
        <v>610.62999999996305</v>
      </c>
      <c r="C4069" s="199">
        <v>950.9997654112434</v>
      </c>
      <c r="D4069" s="7"/>
    </row>
    <row r="4070" spans="2:4" x14ac:dyDescent="0.25">
      <c r="B4070" s="4">
        <f t="shared" si="79"/>
        <v>610.63999999996304</v>
      </c>
      <c r="C4070" s="199">
        <v>951.21734521844985</v>
      </c>
      <c r="D4070" s="7"/>
    </row>
    <row r="4071" spans="2:4" x14ac:dyDescent="0.25">
      <c r="B4071" s="4">
        <f t="shared" si="79"/>
        <v>610.64999999996303</v>
      </c>
      <c r="C4071" s="199">
        <v>951.43492502565528</v>
      </c>
      <c r="D4071" s="7"/>
    </row>
    <row r="4072" spans="2:4" x14ac:dyDescent="0.25">
      <c r="B4072" s="4">
        <f t="shared" si="79"/>
        <v>610.65999999996302</v>
      </c>
      <c r="C4072" s="199">
        <v>951.65250483286138</v>
      </c>
      <c r="D4072" s="7"/>
    </row>
    <row r="4073" spans="2:4" x14ac:dyDescent="0.25">
      <c r="B4073" s="4">
        <f t="shared" si="79"/>
        <v>610.66999999996301</v>
      </c>
      <c r="C4073" s="199">
        <v>951.87008464006772</v>
      </c>
      <c r="D4073" s="7"/>
    </row>
    <row r="4074" spans="2:4" x14ac:dyDescent="0.25">
      <c r="B4074" s="4">
        <f t="shared" si="79"/>
        <v>610.679999999963</v>
      </c>
      <c r="C4074" s="199">
        <v>952.08766444727235</v>
      </c>
      <c r="D4074" s="7"/>
    </row>
    <row r="4075" spans="2:4" x14ac:dyDescent="0.25">
      <c r="B4075" s="4">
        <f t="shared" si="79"/>
        <v>610.68999999996299</v>
      </c>
      <c r="C4075" s="199">
        <v>952.30524425447868</v>
      </c>
      <c r="D4075" s="7"/>
    </row>
    <row r="4076" spans="2:4" x14ac:dyDescent="0.25">
      <c r="B4076" s="4">
        <f t="shared" si="79"/>
        <v>610.69999999996298</v>
      </c>
      <c r="C4076" s="199">
        <v>952.52282406168536</v>
      </c>
      <c r="D4076" s="7"/>
    </row>
    <row r="4077" spans="2:4" x14ac:dyDescent="0.25">
      <c r="B4077" s="4">
        <f t="shared" si="79"/>
        <v>610.70999999996297</v>
      </c>
      <c r="C4077" s="199">
        <v>952.74040386889033</v>
      </c>
      <c r="D4077" s="7"/>
    </row>
    <row r="4078" spans="2:4" x14ac:dyDescent="0.25">
      <c r="B4078" s="4">
        <f t="shared" si="79"/>
        <v>610.71999999996297</v>
      </c>
      <c r="C4078" s="199">
        <v>952.9581957434707</v>
      </c>
      <c r="D4078" s="7"/>
    </row>
    <row r="4079" spans="2:4" x14ac:dyDescent="0.25">
      <c r="B4079" s="4">
        <f t="shared" si="79"/>
        <v>610.72999999996296</v>
      </c>
      <c r="C4079" s="199">
        <v>953.17598761805402</v>
      </c>
      <c r="D4079" s="7"/>
    </row>
    <row r="4080" spans="2:4" x14ac:dyDescent="0.25">
      <c r="B4080" s="4">
        <f t="shared" si="79"/>
        <v>610.73999999996295</v>
      </c>
      <c r="C4080" s="199">
        <v>953.3937794926378</v>
      </c>
      <c r="D4080" s="7"/>
    </row>
    <row r="4081" spans="2:4" x14ac:dyDescent="0.25">
      <c r="B4081" s="4">
        <f t="shared" si="79"/>
        <v>610.74999999996294</v>
      </c>
      <c r="C4081" s="199">
        <v>953.61157136722193</v>
      </c>
      <c r="D4081" s="7"/>
    </row>
    <row r="4082" spans="2:4" x14ac:dyDescent="0.25">
      <c r="B4082" s="4">
        <f t="shared" si="79"/>
        <v>610.75999999996293</v>
      </c>
      <c r="C4082" s="199">
        <v>953.82936324180537</v>
      </c>
      <c r="D4082" s="7"/>
    </row>
    <row r="4083" spans="2:4" x14ac:dyDescent="0.25">
      <c r="B4083" s="4">
        <f t="shared" si="79"/>
        <v>610.76999999996292</v>
      </c>
      <c r="C4083" s="199">
        <v>954.04715511638915</v>
      </c>
      <c r="D4083" s="7"/>
    </row>
    <row r="4084" spans="2:4" x14ac:dyDescent="0.25">
      <c r="B4084" s="4">
        <f t="shared" si="79"/>
        <v>610.77999999996291</v>
      </c>
      <c r="C4084" s="199">
        <v>954.26494699097293</v>
      </c>
      <c r="D4084" s="7"/>
    </row>
    <row r="4085" spans="2:4" x14ac:dyDescent="0.25">
      <c r="B4085" s="4">
        <f t="shared" si="79"/>
        <v>610.7899999999629</v>
      </c>
      <c r="C4085" s="199">
        <v>954.4827388655566</v>
      </c>
      <c r="D4085" s="7"/>
    </row>
    <row r="4086" spans="2:4" x14ac:dyDescent="0.25">
      <c r="B4086" s="4">
        <f t="shared" si="79"/>
        <v>610.79999999996289</v>
      </c>
      <c r="C4086" s="199">
        <v>954.70053074014038</v>
      </c>
      <c r="D4086" s="7"/>
    </row>
    <row r="4087" spans="2:4" x14ac:dyDescent="0.25">
      <c r="B4087" s="4">
        <f t="shared" si="79"/>
        <v>610.80999999996288</v>
      </c>
      <c r="C4087" s="199">
        <v>954.91832261472416</v>
      </c>
      <c r="D4087" s="7"/>
    </row>
    <row r="4088" spans="2:4" x14ac:dyDescent="0.25">
      <c r="B4088" s="4">
        <f t="shared" si="79"/>
        <v>610.81999999996287</v>
      </c>
      <c r="C4088" s="199">
        <v>955.13632434660587</v>
      </c>
      <c r="D4088" s="7"/>
    </row>
    <row r="4089" spans="2:4" x14ac:dyDescent="0.25">
      <c r="B4089" s="4">
        <f t="shared" si="79"/>
        <v>610.82999999996287</v>
      </c>
      <c r="C4089" s="199">
        <v>955.35432607848816</v>
      </c>
      <c r="D4089" s="7"/>
    </row>
    <row r="4090" spans="2:4" x14ac:dyDescent="0.25">
      <c r="B4090" s="4">
        <f t="shared" si="79"/>
        <v>610.83999999996286</v>
      </c>
      <c r="C4090" s="199">
        <v>955.5723278103693</v>
      </c>
      <c r="D4090" s="7"/>
    </row>
    <row r="4091" spans="2:4" x14ac:dyDescent="0.25">
      <c r="B4091" s="4">
        <f t="shared" si="79"/>
        <v>610.84999999996285</v>
      </c>
      <c r="C4091" s="199">
        <v>955.79032954225113</v>
      </c>
      <c r="D4091" s="7"/>
    </row>
    <row r="4092" spans="2:4" x14ac:dyDescent="0.25">
      <c r="B4092" s="4">
        <f t="shared" si="79"/>
        <v>610.85999999996284</v>
      </c>
      <c r="C4092" s="199">
        <v>956.0083312741325</v>
      </c>
      <c r="D4092" s="7"/>
    </row>
    <row r="4093" spans="2:4" x14ac:dyDescent="0.25">
      <c r="B4093" s="4">
        <f t="shared" si="79"/>
        <v>610.86999999996283</v>
      </c>
      <c r="C4093" s="199">
        <v>956.22633300601478</v>
      </c>
      <c r="D4093" s="7"/>
    </row>
    <row r="4094" spans="2:4" x14ac:dyDescent="0.25">
      <c r="B4094" s="4">
        <f t="shared" si="79"/>
        <v>610.87999999996282</v>
      </c>
      <c r="C4094" s="199">
        <v>956.44433473789616</v>
      </c>
      <c r="D4094" s="7"/>
    </row>
    <row r="4095" spans="2:4" x14ac:dyDescent="0.25">
      <c r="B4095" s="4">
        <f t="shared" si="79"/>
        <v>610.88999999996281</v>
      </c>
      <c r="C4095" s="199">
        <v>956.66233646977776</v>
      </c>
      <c r="D4095" s="7"/>
    </row>
    <row r="4096" spans="2:4" x14ac:dyDescent="0.25">
      <c r="B4096" s="4">
        <f t="shared" si="79"/>
        <v>610.8999999999628</v>
      </c>
      <c r="C4096" s="199">
        <v>956.88033820165901</v>
      </c>
      <c r="D4096" s="7"/>
    </row>
    <row r="4097" spans="2:4" x14ac:dyDescent="0.25">
      <c r="B4097" s="4">
        <f t="shared" si="79"/>
        <v>610.90999999996279</v>
      </c>
      <c r="C4097" s="199">
        <v>957.09833993354141</v>
      </c>
      <c r="D4097" s="7"/>
    </row>
    <row r="4098" spans="2:4" x14ac:dyDescent="0.25">
      <c r="B4098" s="4">
        <f t="shared" si="79"/>
        <v>610.91999999996278</v>
      </c>
      <c r="C4098" s="199">
        <v>957.31655250714834</v>
      </c>
      <c r="D4098" s="7"/>
    </row>
    <row r="4099" spans="2:4" x14ac:dyDescent="0.25">
      <c r="B4099" s="4">
        <f t="shared" si="79"/>
        <v>610.92999999996277</v>
      </c>
      <c r="C4099" s="199">
        <v>957.53476508076187</v>
      </c>
      <c r="D4099" s="7"/>
    </row>
    <row r="4100" spans="2:4" x14ac:dyDescent="0.25">
      <c r="B4100" s="4">
        <f t="shared" si="79"/>
        <v>610.93999999996277</v>
      </c>
      <c r="C4100" s="199">
        <v>957.75297765437506</v>
      </c>
      <c r="D4100" s="7"/>
    </row>
    <row r="4101" spans="2:4" x14ac:dyDescent="0.25">
      <c r="B4101" s="4">
        <f t="shared" si="79"/>
        <v>610.94999999996276</v>
      </c>
      <c r="C4101" s="199">
        <v>957.97119022798779</v>
      </c>
      <c r="D4101" s="7"/>
    </row>
    <row r="4102" spans="2:4" x14ac:dyDescent="0.25">
      <c r="B4102" s="4">
        <f t="shared" si="79"/>
        <v>610.95999999996275</v>
      </c>
      <c r="C4102" s="199">
        <v>958.18940280160052</v>
      </c>
      <c r="D4102" s="7"/>
    </row>
    <row r="4103" spans="2:4" x14ac:dyDescent="0.25">
      <c r="B4103" s="4">
        <f t="shared" si="79"/>
        <v>610.96999999996274</v>
      </c>
      <c r="C4103" s="199">
        <v>958.4076153752145</v>
      </c>
      <c r="D4103" s="7"/>
    </row>
    <row r="4104" spans="2:4" x14ac:dyDescent="0.25">
      <c r="B4104" s="4">
        <f t="shared" ref="B4104:B4167" si="80">+B4103+0.01</f>
        <v>610.97999999996273</v>
      </c>
      <c r="C4104" s="199">
        <v>958.62582794882769</v>
      </c>
      <c r="D4104" s="7"/>
    </row>
    <row r="4105" spans="2:4" x14ac:dyDescent="0.25">
      <c r="B4105" s="4">
        <f t="shared" si="80"/>
        <v>610.98999999996272</v>
      </c>
      <c r="C4105" s="199">
        <v>958.84404052244088</v>
      </c>
      <c r="D4105" s="7"/>
    </row>
    <row r="4106" spans="2:4" x14ac:dyDescent="0.25">
      <c r="B4106" s="4">
        <f t="shared" si="80"/>
        <v>610.99999999996271</v>
      </c>
      <c r="C4106" s="199">
        <v>959.06225309605452</v>
      </c>
      <c r="D4106" s="7"/>
    </row>
    <row r="4107" spans="2:4" x14ac:dyDescent="0.25">
      <c r="B4107" s="4">
        <f t="shared" si="80"/>
        <v>611.0099999999627</v>
      </c>
      <c r="C4107" s="199">
        <v>959.28046566966714</v>
      </c>
      <c r="D4107" s="7"/>
    </row>
    <row r="4108" spans="2:4" x14ac:dyDescent="0.25">
      <c r="B4108" s="4">
        <f t="shared" si="80"/>
        <v>611.01999999996269</v>
      </c>
      <c r="C4108" s="199">
        <v>959.49889062361103</v>
      </c>
      <c r="D4108" s="7"/>
    </row>
    <row r="4109" spans="2:4" x14ac:dyDescent="0.25">
      <c r="B4109" s="4">
        <f t="shared" si="80"/>
        <v>611.02999999996268</v>
      </c>
      <c r="C4109" s="199">
        <v>959.71731557755481</v>
      </c>
      <c r="D4109" s="7"/>
    </row>
    <row r="4110" spans="2:4" x14ac:dyDescent="0.25">
      <c r="B4110" s="4">
        <f t="shared" si="80"/>
        <v>611.03999999996267</v>
      </c>
      <c r="C4110" s="199">
        <v>959.93574053149848</v>
      </c>
      <c r="D4110" s="7"/>
    </row>
    <row r="4111" spans="2:4" x14ac:dyDescent="0.25">
      <c r="B4111" s="4">
        <f t="shared" si="80"/>
        <v>611.04999999996267</v>
      </c>
      <c r="C4111" s="199">
        <v>960.15416548544181</v>
      </c>
      <c r="D4111" s="7"/>
    </row>
    <row r="4112" spans="2:4" x14ac:dyDescent="0.25">
      <c r="B4112" s="4">
        <f t="shared" si="80"/>
        <v>611.05999999996266</v>
      </c>
      <c r="C4112" s="199">
        <v>960.37259043938491</v>
      </c>
      <c r="D4112" s="7"/>
    </row>
    <row r="4113" spans="2:4" x14ac:dyDescent="0.25">
      <c r="B4113" s="4">
        <f t="shared" si="80"/>
        <v>611.06999999996265</v>
      </c>
      <c r="C4113" s="199">
        <v>960.59101539332823</v>
      </c>
      <c r="D4113" s="7"/>
    </row>
    <row r="4114" spans="2:4" x14ac:dyDescent="0.25">
      <c r="B4114" s="4">
        <f t="shared" si="80"/>
        <v>611.07999999996264</v>
      </c>
      <c r="C4114" s="199">
        <v>960.80944034727145</v>
      </c>
      <c r="D4114" s="7"/>
    </row>
    <row r="4115" spans="2:4" x14ac:dyDescent="0.25">
      <c r="B4115" s="4">
        <f t="shared" si="80"/>
        <v>611.08999999996263</v>
      </c>
      <c r="C4115" s="199">
        <v>961.02786530121477</v>
      </c>
      <c r="D4115" s="7"/>
    </row>
    <row r="4116" spans="2:4" x14ac:dyDescent="0.25">
      <c r="B4116" s="4">
        <f t="shared" si="80"/>
        <v>611.09999999996262</v>
      </c>
      <c r="C4116" s="199">
        <v>961.24629025515753</v>
      </c>
      <c r="D4116" s="7"/>
    </row>
    <row r="4117" spans="2:4" x14ac:dyDescent="0.25">
      <c r="B4117" s="4">
        <f t="shared" si="80"/>
        <v>611.10999999996261</v>
      </c>
      <c r="C4117" s="199">
        <v>961.46471520910086</v>
      </c>
      <c r="D4117" s="7"/>
    </row>
    <row r="4118" spans="2:4" x14ac:dyDescent="0.25">
      <c r="B4118" s="4">
        <f t="shared" si="80"/>
        <v>611.1199999999626</v>
      </c>
      <c r="C4118" s="199">
        <v>961.68335060046593</v>
      </c>
      <c r="D4118" s="7"/>
    </row>
    <row r="4119" spans="2:4" x14ac:dyDescent="0.25">
      <c r="B4119" s="4">
        <f t="shared" si="80"/>
        <v>611.12999999996259</v>
      </c>
      <c r="C4119" s="199">
        <v>961.90198599183691</v>
      </c>
      <c r="D4119" s="7"/>
    </row>
    <row r="4120" spans="2:4" x14ac:dyDescent="0.25">
      <c r="B4120" s="4">
        <f t="shared" si="80"/>
        <v>611.13999999996258</v>
      </c>
      <c r="C4120" s="199">
        <v>962.12062138320823</v>
      </c>
      <c r="D4120" s="7"/>
    </row>
    <row r="4121" spans="2:4" x14ac:dyDescent="0.25">
      <c r="B4121" s="4">
        <f t="shared" si="80"/>
        <v>611.14999999996257</v>
      </c>
      <c r="C4121" s="199">
        <v>962.3392567745791</v>
      </c>
      <c r="D4121" s="7"/>
    </row>
    <row r="4122" spans="2:4" x14ac:dyDescent="0.25">
      <c r="B4122" s="4">
        <f t="shared" si="80"/>
        <v>611.15999999996257</v>
      </c>
      <c r="C4122" s="199">
        <v>962.55789216594974</v>
      </c>
      <c r="D4122" s="7"/>
    </row>
    <row r="4123" spans="2:4" x14ac:dyDescent="0.25">
      <c r="B4123" s="4">
        <f t="shared" si="80"/>
        <v>611.16999999996256</v>
      </c>
      <c r="C4123" s="199">
        <v>962.77652755732117</v>
      </c>
      <c r="D4123" s="7"/>
    </row>
    <row r="4124" spans="2:4" x14ac:dyDescent="0.25">
      <c r="B4124" s="4">
        <f t="shared" si="80"/>
        <v>611.17999999996255</v>
      </c>
      <c r="C4124" s="199">
        <v>962.9951629486925</v>
      </c>
      <c r="D4124" s="7"/>
    </row>
    <row r="4125" spans="2:4" x14ac:dyDescent="0.25">
      <c r="B4125" s="4">
        <f t="shared" si="80"/>
        <v>611.18999999996254</v>
      </c>
      <c r="C4125" s="199">
        <v>963.21379834006314</v>
      </c>
      <c r="D4125" s="7"/>
    </row>
    <row r="4126" spans="2:4" x14ac:dyDescent="0.25">
      <c r="B4126" s="4">
        <f t="shared" si="80"/>
        <v>611.19999999996253</v>
      </c>
      <c r="C4126" s="199">
        <v>963.43243373143389</v>
      </c>
      <c r="D4126" s="7"/>
    </row>
    <row r="4127" spans="2:4" x14ac:dyDescent="0.25">
      <c r="B4127" s="4">
        <f t="shared" si="80"/>
        <v>611.20999999996252</v>
      </c>
      <c r="C4127" s="199">
        <v>963.6510691228043</v>
      </c>
      <c r="D4127" s="7"/>
    </row>
    <row r="4128" spans="2:4" x14ac:dyDescent="0.25">
      <c r="B4128" s="4">
        <f t="shared" si="80"/>
        <v>611.21999999996251</v>
      </c>
      <c r="C4128" s="199">
        <v>963.86991486859631</v>
      </c>
      <c r="D4128" s="7"/>
    </row>
    <row r="4129" spans="2:4" x14ac:dyDescent="0.25">
      <c r="B4129" s="4">
        <f t="shared" si="80"/>
        <v>611.2299999999625</v>
      </c>
      <c r="C4129" s="199">
        <v>964.08876061438582</v>
      </c>
      <c r="D4129" s="7"/>
    </row>
    <row r="4130" spans="2:4" x14ac:dyDescent="0.25">
      <c r="B4130" s="4">
        <f t="shared" si="80"/>
        <v>611.23999999996249</v>
      </c>
      <c r="C4130" s="199">
        <v>964.30760636017703</v>
      </c>
      <c r="D4130" s="7"/>
    </row>
    <row r="4131" spans="2:4" x14ac:dyDescent="0.25">
      <c r="B4131" s="4">
        <f t="shared" si="80"/>
        <v>611.24999999996248</v>
      </c>
      <c r="C4131" s="199">
        <v>964.52645210596791</v>
      </c>
      <c r="D4131" s="7"/>
    </row>
    <row r="4132" spans="2:4" x14ac:dyDescent="0.25">
      <c r="B4132" s="4">
        <f t="shared" si="80"/>
        <v>611.25999999996247</v>
      </c>
      <c r="C4132" s="199">
        <v>964.74529785175912</v>
      </c>
      <c r="D4132" s="7"/>
    </row>
    <row r="4133" spans="2:4" x14ac:dyDescent="0.25">
      <c r="B4133" s="4">
        <f t="shared" si="80"/>
        <v>611.26999999996247</v>
      </c>
      <c r="C4133" s="199">
        <v>964.96414359754908</v>
      </c>
      <c r="D4133" s="7"/>
    </row>
    <row r="4134" spans="2:4" x14ac:dyDescent="0.25">
      <c r="B4134" s="4">
        <f t="shared" si="80"/>
        <v>611.27999999996246</v>
      </c>
      <c r="C4134" s="199">
        <v>965.1829893433403</v>
      </c>
      <c r="D4134" s="7"/>
    </row>
    <row r="4135" spans="2:4" x14ac:dyDescent="0.25">
      <c r="B4135" s="4">
        <f t="shared" si="80"/>
        <v>611.28999999996245</v>
      </c>
      <c r="C4135" s="199">
        <v>965.40183508913117</v>
      </c>
      <c r="D4135" s="7"/>
    </row>
    <row r="4136" spans="2:4" x14ac:dyDescent="0.25">
      <c r="B4136" s="4">
        <f t="shared" si="80"/>
        <v>611.29999999996244</v>
      </c>
      <c r="C4136" s="199">
        <v>965.62068083492147</v>
      </c>
      <c r="D4136" s="7"/>
    </row>
    <row r="4137" spans="2:4" x14ac:dyDescent="0.25">
      <c r="B4137" s="4">
        <f t="shared" si="80"/>
        <v>611.30999999996243</v>
      </c>
      <c r="C4137" s="199">
        <v>965.83952658071235</v>
      </c>
      <c r="D4137" s="7"/>
    </row>
    <row r="4138" spans="2:4" x14ac:dyDescent="0.25">
      <c r="B4138" s="4">
        <f t="shared" si="80"/>
        <v>611.31999999996242</v>
      </c>
      <c r="C4138" s="199">
        <v>966.05858232024286</v>
      </c>
      <c r="D4138" s="7"/>
    </row>
    <row r="4139" spans="2:4" x14ac:dyDescent="0.25">
      <c r="B4139" s="4">
        <f t="shared" si="80"/>
        <v>611.32999999996241</v>
      </c>
      <c r="C4139" s="199">
        <v>966.27763805977713</v>
      </c>
      <c r="D4139" s="7"/>
    </row>
    <row r="4140" spans="2:4" x14ac:dyDescent="0.25">
      <c r="B4140" s="4">
        <f t="shared" si="80"/>
        <v>611.3399999999624</v>
      </c>
      <c r="C4140" s="199">
        <v>966.49669379931231</v>
      </c>
      <c r="D4140" s="7"/>
    </row>
    <row r="4141" spans="2:4" x14ac:dyDescent="0.25">
      <c r="B4141" s="4">
        <f t="shared" si="80"/>
        <v>611.34999999996239</v>
      </c>
      <c r="C4141" s="199">
        <v>966.71574953884704</v>
      </c>
      <c r="D4141" s="7"/>
    </row>
    <row r="4142" spans="2:4" x14ac:dyDescent="0.25">
      <c r="B4142" s="4">
        <f t="shared" si="80"/>
        <v>611.35999999996238</v>
      </c>
      <c r="C4142" s="199">
        <v>966.93480527838187</v>
      </c>
      <c r="D4142" s="7"/>
    </row>
    <row r="4143" spans="2:4" x14ac:dyDescent="0.25">
      <c r="B4143" s="4">
        <f t="shared" si="80"/>
        <v>611.36999999996237</v>
      </c>
      <c r="C4143" s="199">
        <v>967.1538610179166</v>
      </c>
      <c r="D4143" s="7"/>
    </row>
    <row r="4144" spans="2:4" x14ac:dyDescent="0.25">
      <c r="B4144" s="4">
        <f t="shared" si="80"/>
        <v>611.37999999996237</v>
      </c>
      <c r="C4144" s="199">
        <v>967.37291675745132</v>
      </c>
      <c r="D4144" s="7"/>
    </row>
    <row r="4145" spans="2:4" x14ac:dyDescent="0.25">
      <c r="B4145" s="4">
        <f t="shared" si="80"/>
        <v>611.38999999996236</v>
      </c>
      <c r="C4145" s="199">
        <v>967.59197249698559</v>
      </c>
      <c r="D4145" s="7"/>
    </row>
    <row r="4146" spans="2:4" x14ac:dyDescent="0.25">
      <c r="B4146" s="4">
        <f t="shared" si="80"/>
        <v>611.39999999996235</v>
      </c>
      <c r="C4146" s="199">
        <v>967.81102823652043</v>
      </c>
      <c r="D4146" s="7"/>
    </row>
    <row r="4147" spans="2:4" x14ac:dyDescent="0.25">
      <c r="B4147" s="4">
        <f t="shared" si="80"/>
        <v>611.40999999996234</v>
      </c>
      <c r="C4147" s="199">
        <v>968.03008397605561</v>
      </c>
      <c r="D4147" s="7"/>
    </row>
    <row r="4148" spans="2:4" x14ac:dyDescent="0.25">
      <c r="B4148" s="4">
        <f t="shared" si="80"/>
        <v>611.41999999996233</v>
      </c>
      <c r="C4148" s="199">
        <v>968.24934903687893</v>
      </c>
      <c r="D4148" s="7"/>
    </row>
    <row r="4149" spans="2:4" x14ac:dyDescent="0.25">
      <c r="B4149" s="4">
        <f t="shared" si="80"/>
        <v>611.42999999996232</v>
      </c>
      <c r="C4149" s="199">
        <v>968.46861409770236</v>
      </c>
      <c r="D4149" s="7"/>
    </row>
    <row r="4150" spans="2:4" x14ac:dyDescent="0.25">
      <c r="B4150" s="4">
        <f t="shared" si="80"/>
        <v>611.43999999996231</v>
      </c>
      <c r="C4150" s="199">
        <v>968.68787915852613</v>
      </c>
      <c r="D4150" s="7"/>
    </row>
    <row r="4151" spans="2:4" x14ac:dyDescent="0.25">
      <c r="B4151" s="4">
        <f t="shared" si="80"/>
        <v>611.4499999999623</v>
      </c>
      <c r="C4151" s="199">
        <v>968.90714421934945</v>
      </c>
      <c r="D4151" s="7"/>
    </row>
    <row r="4152" spans="2:4" x14ac:dyDescent="0.25">
      <c r="B4152" s="4">
        <f t="shared" si="80"/>
        <v>611.45999999996229</v>
      </c>
      <c r="C4152" s="199">
        <v>969.12640928017254</v>
      </c>
      <c r="D4152" s="7"/>
    </row>
    <row r="4153" spans="2:4" x14ac:dyDescent="0.25">
      <c r="B4153" s="4">
        <f t="shared" si="80"/>
        <v>611.46999999996228</v>
      </c>
      <c r="C4153" s="199">
        <v>969.34567434099688</v>
      </c>
      <c r="D4153" s="7"/>
    </row>
    <row r="4154" spans="2:4" x14ac:dyDescent="0.25">
      <c r="B4154" s="4">
        <f t="shared" si="80"/>
        <v>611.47999999996227</v>
      </c>
      <c r="C4154" s="199">
        <v>969.56493940182031</v>
      </c>
      <c r="D4154" s="7"/>
    </row>
    <row r="4155" spans="2:4" x14ac:dyDescent="0.25">
      <c r="B4155" s="4">
        <f t="shared" si="80"/>
        <v>611.48999999996227</v>
      </c>
      <c r="C4155" s="199">
        <v>969.78420446264329</v>
      </c>
      <c r="D4155" s="7"/>
    </row>
    <row r="4156" spans="2:4" x14ac:dyDescent="0.25">
      <c r="B4156" s="4">
        <f t="shared" si="80"/>
        <v>611.49999999996226</v>
      </c>
      <c r="C4156" s="199">
        <v>970.00346952346649</v>
      </c>
      <c r="D4156" s="7"/>
    </row>
    <row r="4157" spans="2:4" x14ac:dyDescent="0.25">
      <c r="B4157" s="4">
        <f t="shared" si="80"/>
        <v>611.50999999996225</v>
      </c>
      <c r="C4157" s="199">
        <v>970.22273458429061</v>
      </c>
      <c r="D4157" s="7"/>
    </row>
    <row r="4158" spans="2:4" x14ac:dyDescent="0.25">
      <c r="B4158" s="4">
        <f t="shared" si="80"/>
        <v>611.51999999996224</v>
      </c>
      <c r="C4158" s="199">
        <v>970.44221224408875</v>
      </c>
      <c r="D4158" s="7"/>
    </row>
    <row r="4159" spans="2:4" x14ac:dyDescent="0.25">
      <c r="B4159" s="4">
        <f t="shared" si="80"/>
        <v>611.52999999996223</v>
      </c>
      <c r="C4159" s="199">
        <v>970.66168990389167</v>
      </c>
      <c r="D4159" s="7"/>
    </row>
    <row r="4160" spans="2:4" x14ac:dyDescent="0.25">
      <c r="B4160" s="4">
        <f t="shared" si="80"/>
        <v>611.53999999996222</v>
      </c>
      <c r="C4160" s="199">
        <v>970.88116756369493</v>
      </c>
      <c r="D4160" s="7"/>
    </row>
    <row r="4161" spans="2:4" x14ac:dyDescent="0.25">
      <c r="B4161" s="4">
        <f t="shared" si="80"/>
        <v>611.54999999996221</v>
      </c>
      <c r="C4161" s="199">
        <v>971.10064522349774</v>
      </c>
      <c r="D4161" s="7"/>
    </row>
    <row r="4162" spans="2:4" x14ac:dyDescent="0.25">
      <c r="B4162" s="4">
        <f t="shared" si="80"/>
        <v>611.5599999999622</v>
      </c>
      <c r="C4162" s="199">
        <v>971.32012288330122</v>
      </c>
      <c r="D4162" s="7"/>
    </row>
    <row r="4163" spans="2:4" x14ac:dyDescent="0.25">
      <c r="B4163" s="4">
        <f t="shared" si="80"/>
        <v>611.56999999996219</v>
      </c>
      <c r="C4163" s="199">
        <v>971.5396005431046</v>
      </c>
      <c r="D4163" s="7"/>
    </row>
    <row r="4164" spans="2:4" x14ac:dyDescent="0.25">
      <c r="B4164" s="4">
        <f t="shared" si="80"/>
        <v>611.57999999996218</v>
      </c>
      <c r="C4164" s="199">
        <v>971.75907820290718</v>
      </c>
      <c r="D4164" s="7"/>
    </row>
    <row r="4165" spans="2:4" x14ac:dyDescent="0.25">
      <c r="B4165" s="4">
        <f t="shared" si="80"/>
        <v>611.58999999996217</v>
      </c>
      <c r="C4165" s="199">
        <v>971.97855586271021</v>
      </c>
      <c r="D4165" s="7"/>
    </row>
    <row r="4166" spans="2:4" x14ac:dyDescent="0.25">
      <c r="B4166" s="4">
        <f t="shared" si="80"/>
        <v>611.59999999996217</v>
      </c>
      <c r="C4166" s="199">
        <v>972.19803352251449</v>
      </c>
      <c r="D4166" s="7"/>
    </row>
    <row r="4167" spans="2:4" x14ac:dyDescent="0.25">
      <c r="B4167" s="4">
        <f t="shared" si="80"/>
        <v>611.60999999996216</v>
      </c>
      <c r="C4167" s="199">
        <v>972.41751118231753</v>
      </c>
      <c r="D4167" s="7"/>
    </row>
    <row r="4168" spans="2:4" x14ac:dyDescent="0.25">
      <c r="B4168" s="4">
        <f t="shared" ref="B4168:B4231" si="81">+B4167+0.01</f>
        <v>611.61999999996215</v>
      </c>
      <c r="C4168" s="199">
        <v>972.63725035175162</v>
      </c>
      <c r="D4168" s="7"/>
    </row>
    <row r="4169" spans="2:4" x14ac:dyDescent="0.25">
      <c r="B4169" s="4">
        <f t="shared" si="81"/>
        <v>611.62999999996214</v>
      </c>
      <c r="C4169" s="199">
        <v>972.85698952118355</v>
      </c>
      <c r="D4169" s="7"/>
    </row>
    <row r="4170" spans="2:4" x14ac:dyDescent="0.25">
      <c r="B4170" s="4">
        <f t="shared" si="81"/>
        <v>611.63999999996213</v>
      </c>
      <c r="C4170" s="199">
        <v>973.0767286906173</v>
      </c>
      <c r="D4170" s="7"/>
    </row>
    <row r="4171" spans="2:4" x14ac:dyDescent="0.25">
      <c r="B4171" s="4">
        <f t="shared" si="81"/>
        <v>611.64999999996212</v>
      </c>
      <c r="C4171" s="199">
        <v>973.29646786005026</v>
      </c>
      <c r="D4171" s="7"/>
    </row>
    <row r="4172" spans="2:4" x14ac:dyDescent="0.25">
      <c r="B4172" s="4">
        <f t="shared" si="81"/>
        <v>611.65999999996211</v>
      </c>
      <c r="C4172" s="199">
        <v>973.51620702948378</v>
      </c>
      <c r="D4172" s="7"/>
    </row>
    <row r="4173" spans="2:4" x14ac:dyDescent="0.25">
      <c r="B4173" s="4">
        <f t="shared" si="81"/>
        <v>611.6699999999621</v>
      </c>
      <c r="C4173" s="199">
        <v>973.73594619891605</v>
      </c>
      <c r="D4173" s="7"/>
    </row>
    <row r="4174" spans="2:4" x14ac:dyDescent="0.25">
      <c r="B4174" s="4">
        <f t="shared" si="81"/>
        <v>611.67999999996209</v>
      </c>
      <c r="C4174" s="199">
        <v>973.95568536834946</v>
      </c>
      <c r="D4174" s="7"/>
    </row>
    <row r="4175" spans="2:4" x14ac:dyDescent="0.25">
      <c r="B4175" s="4">
        <f t="shared" si="81"/>
        <v>611.68999999996208</v>
      </c>
      <c r="C4175" s="199">
        <v>974.17542453778287</v>
      </c>
      <c r="D4175" s="7"/>
    </row>
    <row r="4176" spans="2:4" x14ac:dyDescent="0.25">
      <c r="B4176" s="4">
        <f t="shared" si="81"/>
        <v>611.69999999996207</v>
      </c>
      <c r="C4176" s="199">
        <v>974.39516370721662</v>
      </c>
      <c r="D4176" s="7"/>
    </row>
    <row r="4177" spans="2:4" x14ac:dyDescent="0.25">
      <c r="B4177" s="4">
        <f t="shared" si="81"/>
        <v>611.70999999996206</v>
      </c>
      <c r="C4177" s="199">
        <v>974.61490287664856</v>
      </c>
      <c r="D4177" s="7"/>
    </row>
    <row r="4178" spans="2:4" x14ac:dyDescent="0.25">
      <c r="B4178" s="4">
        <f t="shared" si="81"/>
        <v>611.71999999996206</v>
      </c>
      <c r="C4178" s="199">
        <v>974.83485783620915</v>
      </c>
      <c r="D4178" s="7"/>
    </row>
    <row r="4179" spans="2:4" x14ac:dyDescent="0.25">
      <c r="B4179" s="4">
        <f t="shared" si="81"/>
        <v>611.72999999996205</v>
      </c>
      <c r="C4179" s="199">
        <v>975.0548127957735</v>
      </c>
      <c r="D4179" s="7"/>
    </row>
    <row r="4180" spans="2:4" x14ac:dyDescent="0.25">
      <c r="B4180" s="4">
        <f t="shared" si="81"/>
        <v>611.73999999996204</v>
      </c>
      <c r="C4180" s="199">
        <v>975.27476775533773</v>
      </c>
      <c r="D4180" s="7"/>
    </row>
    <row r="4181" spans="2:4" x14ac:dyDescent="0.25">
      <c r="B4181" s="4">
        <f t="shared" si="81"/>
        <v>611.74999999996203</v>
      </c>
      <c r="C4181" s="199">
        <v>975.49472271490242</v>
      </c>
      <c r="D4181" s="7"/>
    </row>
    <row r="4182" spans="2:4" x14ac:dyDescent="0.25">
      <c r="B4182" s="4">
        <f t="shared" si="81"/>
        <v>611.75999999996202</v>
      </c>
      <c r="C4182" s="199">
        <v>975.71467767446677</v>
      </c>
      <c r="D4182" s="7"/>
    </row>
    <row r="4183" spans="2:4" x14ac:dyDescent="0.25">
      <c r="B4183" s="4">
        <f t="shared" si="81"/>
        <v>611.76999999996201</v>
      </c>
      <c r="C4183" s="199">
        <v>975.93463263403112</v>
      </c>
      <c r="D4183" s="7"/>
    </row>
    <row r="4184" spans="2:4" x14ac:dyDescent="0.25">
      <c r="B4184" s="4">
        <f t="shared" si="81"/>
        <v>611.779999999962</v>
      </c>
      <c r="C4184" s="199">
        <v>976.15458759359694</v>
      </c>
      <c r="D4184" s="7"/>
    </row>
    <row r="4185" spans="2:4" x14ac:dyDescent="0.25">
      <c r="B4185" s="4">
        <f t="shared" si="81"/>
        <v>611.78999999996199</v>
      </c>
      <c r="C4185" s="199">
        <v>976.37454255316106</v>
      </c>
      <c r="D4185" s="7"/>
    </row>
    <row r="4186" spans="2:4" x14ac:dyDescent="0.25">
      <c r="B4186" s="4">
        <f t="shared" si="81"/>
        <v>611.79999999996198</v>
      </c>
      <c r="C4186" s="199">
        <v>976.5944975127253</v>
      </c>
      <c r="D4186" s="7"/>
    </row>
    <row r="4187" spans="2:4" x14ac:dyDescent="0.25">
      <c r="B4187" s="4">
        <f t="shared" si="81"/>
        <v>611.80999999996197</v>
      </c>
      <c r="C4187" s="199">
        <v>976.81445247228964</v>
      </c>
      <c r="D4187" s="7"/>
    </row>
    <row r="4188" spans="2:4" x14ac:dyDescent="0.25">
      <c r="B4188" s="4">
        <f t="shared" si="81"/>
        <v>611.81999999996196</v>
      </c>
      <c r="C4188" s="199">
        <v>977.03462159331559</v>
      </c>
      <c r="D4188" s="7"/>
    </row>
    <row r="4189" spans="2:4" x14ac:dyDescent="0.25">
      <c r="B4189" s="4">
        <f t="shared" si="81"/>
        <v>611.82999999996196</v>
      </c>
      <c r="C4189" s="199">
        <v>977.25479071434233</v>
      </c>
      <c r="D4189" s="7"/>
    </row>
    <row r="4190" spans="2:4" x14ac:dyDescent="0.25">
      <c r="B4190" s="4">
        <f t="shared" si="81"/>
        <v>611.83999999996195</v>
      </c>
      <c r="C4190" s="199">
        <v>977.47495983537044</v>
      </c>
      <c r="D4190" s="7"/>
    </row>
    <row r="4191" spans="2:4" x14ac:dyDescent="0.25">
      <c r="B4191" s="4">
        <f t="shared" si="81"/>
        <v>611.84999999996194</v>
      </c>
      <c r="C4191" s="199">
        <v>977.69512895639673</v>
      </c>
      <c r="D4191" s="7"/>
    </row>
    <row r="4192" spans="2:4" x14ac:dyDescent="0.25">
      <c r="B4192" s="4">
        <f t="shared" si="81"/>
        <v>611.85999999996193</v>
      </c>
      <c r="C4192" s="199">
        <v>977.91529807742393</v>
      </c>
      <c r="D4192" s="7"/>
    </row>
    <row r="4193" spans="2:4" x14ac:dyDescent="0.25">
      <c r="B4193" s="4">
        <f t="shared" si="81"/>
        <v>611.86999999996192</v>
      </c>
      <c r="C4193" s="199">
        <v>978.13546719845067</v>
      </c>
      <c r="D4193" s="7"/>
    </row>
    <row r="4194" spans="2:4" x14ac:dyDescent="0.25">
      <c r="B4194" s="4">
        <f t="shared" si="81"/>
        <v>611.87999999996191</v>
      </c>
      <c r="C4194" s="199">
        <v>978.3556363194773</v>
      </c>
      <c r="D4194" s="7"/>
    </row>
    <row r="4195" spans="2:4" x14ac:dyDescent="0.25">
      <c r="B4195" s="4">
        <f t="shared" si="81"/>
        <v>611.8899999999619</v>
      </c>
      <c r="C4195" s="199">
        <v>978.57580544050415</v>
      </c>
      <c r="D4195" s="7"/>
    </row>
    <row r="4196" spans="2:4" x14ac:dyDescent="0.25">
      <c r="B4196" s="4">
        <f t="shared" si="81"/>
        <v>611.89999999996189</v>
      </c>
      <c r="C4196" s="199">
        <v>978.7959745615309</v>
      </c>
      <c r="D4196" s="7"/>
    </row>
    <row r="4197" spans="2:4" x14ac:dyDescent="0.25">
      <c r="B4197" s="4">
        <f t="shared" si="81"/>
        <v>611.90999999996188</v>
      </c>
      <c r="C4197" s="199">
        <v>979.01614368255764</v>
      </c>
      <c r="D4197" s="7"/>
    </row>
    <row r="4198" spans="2:4" x14ac:dyDescent="0.25">
      <c r="B4198" s="4">
        <f t="shared" si="81"/>
        <v>611.91999999996187</v>
      </c>
      <c r="C4198" s="199">
        <v>979.23652631773803</v>
      </c>
      <c r="D4198" s="7"/>
    </row>
    <row r="4199" spans="2:4" x14ac:dyDescent="0.25">
      <c r="B4199" s="4">
        <f t="shared" si="81"/>
        <v>611.92999999996186</v>
      </c>
      <c r="C4199" s="199">
        <v>979.45690895292137</v>
      </c>
      <c r="D4199" s="7"/>
    </row>
    <row r="4200" spans="2:4" x14ac:dyDescent="0.25">
      <c r="B4200" s="4">
        <f t="shared" si="81"/>
        <v>611.93999999996186</v>
      </c>
      <c r="C4200" s="199">
        <v>979.67729158810573</v>
      </c>
      <c r="D4200" s="7"/>
    </row>
    <row r="4201" spans="2:4" x14ac:dyDescent="0.25">
      <c r="B4201" s="4">
        <f t="shared" si="81"/>
        <v>611.94999999996185</v>
      </c>
      <c r="C4201" s="199">
        <v>979.89767422328907</v>
      </c>
      <c r="D4201" s="7"/>
    </row>
    <row r="4202" spans="2:4" x14ac:dyDescent="0.25">
      <c r="B4202" s="4">
        <f t="shared" si="81"/>
        <v>611.95999999996184</v>
      </c>
      <c r="C4202" s="199">
        <v>980.11805685847344</v>
      </c>
      <c r="D4202" s="7"/>
    </row>
    <row r="4203" spans="2:4" x14ac:dyDescent="0.25">
      <c r="B4203" s="4">
        <f t="shared" si="81"/>
        <v>611.96999999996183</v>
      </c>
      <c r="C4203" s="199">
        <v>980.33843949365803</v>
      </c>
      <c r="D4203" s="7"/>
    </row>
    <row r="4204" spans="2:4" x14ac:dyDescent="0.25">
      <c r="B4204" s="4">
        <f t="shared" si="81"/>
        <v>611.97999999996182</v>
      </c>
      <c r="C4204" s="199">
        <v>980.55882212884137</v>
      </c>
      <c r="D4204" s="7"/>
    </row>
    <row r="4205" spans="2:4" x14ac:dyDescent="0.25">
      <c r="B4205" s="4">
        <f t="shared" si="81"/>
        <v>611.98999999996181</v>
      </c>
      <c r="C4205" s="199">
        <v>980.77920476402574</v>
      </c>
      <c r="D4205" s="7"/>
    </row>
    <row r="4206" spans="2:4" x14ac:dyDescent="0.25">
      <c r="B4206" s="4">
        <f t="shared" si="81"/>
        <v>611.9999999999618</v>
      </c>
      <c r="C4206" s="199">
        <v>980.99958739920953</v>
      </c>
      <c r="D4206" s="7"/>
    </row>
    <row r="4207" spans="2:4" x14ac:dyDescent="0.25">
      <c r="B4207" s="4">
        <f t="shared" si="81"/>
        <v>612.00999999996179</v>
      </c>
      <c r="C4207" s="199">
        <v>981.21997003439378</v>
      </c>
      <c r="D4207" s="7"/>
    </row>
    <row r="4208" spans="2:4" x14ac:dyDescent="0.25">
      <c r="B4208" s="4">
        <f t="shared" si="81"/>
        <v>612.01999999996178</v>
      </c>
      <c r="C4208" s="199">
        <v>981.44056492347863</v>
      </c>
      <c r="D4208" s="7"/>
    </row>
    <row r="4209" spans="2:4" x14ac:dyDescent="0.25">
      <c r="B4209" s="4">
        <f t="shared" si="81"/>
        <v>612.02999999996177</v>
      </c>
      <c r="C4209" s="199">
        <v>981.66115981256428</v>
      </c>
      <c r="D4209" s="7"/>
    </row>
    <row r="4210" spans="2:4" x14ac:dyDescent="0.25">
      <c r="B4210" s="4">
        <f t="shared" si="81"/>
        <v>612.03999999996176</v>
      </c>
      <c r="C4210" s="199">
        <v>981.88175470164924</v>
      </c>
      <c r="D4210" s="7"/>
    </row>
    <row r="4211" spans="2:4" x14ac:dyDescent="0.25">
      <c r="B4211" s="4">
        <f t="shared" si="81"/>
        <v>612.04999999996176</v>
      </c>
      <c r="C4211" s="199">
        <v>982.10234959073432</v>
      </c>
      <c r="D4211" s="7"/>
    </row>
    <row r="4212" spans="2:4" x14ac:dyDescent="0.25">
      <c r="B4212" s="4">
        <f t="shared" si="81"/>
        <v>612.05999999996175</v>
      </c>
      <c r="C4212" s="199">
        <v>982.32294447981883</v>
      </c>
      <c r="D4212" s="7"/>
    </row>
    <row r="4213" spans="2:4" x14ac:dyDescent="0.25">
      <c r="B4213" s="4">
        <f t="shared" si="81"/>
        <v>612.06999999996174</v>
      </c>
      <c r="C4213" s="199">
        <v>982.54353936890402</v>
      </c>
      <c r="D4213" s="7"/>
    </row>
    <row r="4214" spans="2:4" x14ac:dyDescent="0.25">
      <c r="B4214" s="4">
        <f t="shared" si="81"/>
        <v>612.07999999996173</v>
      </c>
      <c r="C4214" s="199">
        <v>982.76413425798933</v>
      </c>
      <c r="D4214" s="7"/>
    </row>
    <row r="4215" spans="2:4" x14ac:dyDescent="0.25">
      <c r="B4215" s="4">
        <f t="shared" si="81"/>
        <v>612.08999999996172</v>
      </c>
      <c r="C4215" s="199">
        <v>982.98472914707497</v>
      </c>
      <c r="D4215" s="7"/>
    </row>
    <row r="4216" spans="2:4" x14ac:dyDescent="0.25">
      <c r="B4216" s="4">
        <f t="shared" si="81"/>
        <v>612.09999999996171</v>
      </c>
      <c r="C4216" s="199">
        <v>983.20532403616005</v>
      </c>
      <c r="D4216" s="7"/>
    </row>
    <row r="4217" spans="2:4" x14ac:dyDescent="0.25">
      <c r="B4217" s="4">
        <f t="shared" si="81"/>
        <v>612.1099999999617</v>
      </c>
      <c r="C4217" s="199">
        <v>983.42591892524558</v>
      </c>
      <c r="D4217" s="7"/>
    </row>
    <row r="4218" spans="2:4" x14ac:dyDescent="0.25">
      <c r="B4218" s="4">
        <f t="shared" si="81"/>
        <v>612.11999999996169</v>
      </c>
      <c r="C4218" s="199">
        <v>983.64672499071196</v>
      </c>
      <c r="D4218" s="7"/>
    </row>
    <row r="4219" spans="2:4" x14ac:dyDescent="0.25">
      <c r="B4219" s="4">
        <f t="shared" si="81"/>
        <v>612.12999999996168</v>
      </c>
      <c r="C4219" s="199">
        <v>983.86753105618129</v>
      </c>
      <c r="D4219" s="7"/>
    </row>
    <row r="4220" spans="2:4" x14ac:dyDescent="0.25">
      <c r="B4220" s="4">
        <f t="shared" si="81"/>
        <v>612.13999999996167</v>
      </c>
      <c r="C4220" s="199">
        <v>984.08833712165142</v>
      </c>
      <c r="D4220" s="7"/>
    </row>
    <row r="4221" spans="2:4" x14ac:dyDescent="0.25">
      <c r="B4221" s="4">
        <f t="shared" si="81"/>
        <v>612.14999999996166</v>
      </c>
      <c r="C4221" s="199">
        <v>984.30914318712053</v>
      </c>
      <c r="D4221" s="7"/>
    </row>
    <row r="4222" spans="2:4" x14ac:dyDescent="0.25">
      <c r="B4222" s="4">
        <f t="shared" si="81"/>
        <v>612.15999999996166</v>
      </c>
      <c r="C4222" s="199">
        <v>984.52994925259088</v>
      </c>
      <c r="D4222" s="7"/>
    </row>
    <row r="4223" spans="2:4" x14ac:dyDescent="0.25">
      <c r="B4223" s="4">
        <f t="shared" si="81"/>
        <v>612.16999999996165</v>
      </c>
      <c r="C4223" s="199">
        <v>984.7507553180601</v>
      </c>
      <c r="D4223" s="7"/>
    </row>
    <row r="4224" spans="2:4" x14ac:dyDescent="0.25">
      <c r="B4224" s="4">
        <f t="shared" si="81"/>
        <v>612.17999999996164</v>
      </c>
      <c r="C4224" s="199">
        <v>984.97156138353046</v>
      </c>
      <c r="D4224" s="7"/>
    </row>
    <row r="4225" spans="2:4" x14ac:dyDescent="0.25">
      <c r="B4225" s="4">
        <f t="shared" si="81"/>
        <v>612.18999999996163</v>
      </c>
      <c r="C4225" s="199">
        <v>985.19236744900013</v>
      </c>
      <c r="D4225" s="7"/>
    </row>
    <row r="4226" spans="2:4" x14ac:dyDescent="0.25">
      <c r="B4226" s="4">
        <f t="shared" si="81"/>
        <v>612.19999999996162</v>
      </c>
      <c r="C4226" s="199">
        <v>985.41317351447003</v>
      </c>
      <c r="D4226" s="7"/>
    </row>
    <row r="4227" spans="2:4" x14ac:dyDescent="0.25">
      <c r="B4227" s="4">
        <f t="shared" si="81"/>
        <v>612.20999999996161</v>
      </c>
      <c r="C4227" s="199">
        <v>985.63397957993959</v>
      </c>
      <c r="D4227" s="7"/>
    </row>
    <row r="4228" spans="2:4" x14ac:dyDescent="0.25">
      <c r="B4228" s="4">
        <f t="shared" si="81"/>
        <v>612.2199999999616</v>
      </c>
      <c r="C4228" s="199">
        <v>985.85499727508727</v>
      </c>
      <c r="D4228" s="7"/>
    </row>
    <row r="4229" spans="2:4" x14ac:dyDescent="0.25">
      <c r="B4229" s="4">
        <f t="shared" si="81"/>
        <v>612.22999999996159</v>
      </c>
      <c r="C4229" s="199">
        <v>986.07601497023529</v>
      </c>
      <c r="D4229" s="7"/>
    </row>
    <row r="4230" spans="2:4" x14ac:dyDescent="0.25">
      <c r="B4230" s="4">
        <f t="shared" si="81"/>
        <v>612.23999999996158</v>
      </c>
      <c r="C4230" s="199">
        <v>986.29703266538274</v>
      </c>
      <c r="D4230" s="7"/>
    </row>
    <row r="4231" spans="2:4" x14ac:dyDescent="0.25">
      <c r="B4231" s="4">
        <f t="shared" si="81"/>
        <v>612.24999999996157</v>
      </c>
      <c r="C4231" s="199">
        <v>986.51805036053133</v>
      </c>
      <c r="D4231" s="7"/>
    </row>
    <row r="4232" spans="2:4" x14ac:dyDescent="0.25">
      <c r="B4232" s="4">
        <f t="shared" ref="B4232:B4295" si="82">+B4231+0.01</f>
        <v>612.25999999996156</v>
      </c>
      <c r="C4232" s="199">
        <v>986.73906805567867</v>
      </c>
      <c r="D4232" s="7"/>
    </row>
    <row r="4233" spans="2:4" x14ac:dyDescent="0.25">
      <c r="B4233" s="4">
        <f t="shared" si="82"/>
        <v>612.26999999996156</v>
      </c>
      <c r="C4233" s="199">
        <v>986.96008575082681</v>
      </c>
      <c r="D4233" s="7"/>
    </row>
    <row r="4234" spans="2:4" x14ac:dyDescent="0.25">
      <c r="B4234" s="4">
        <f t="shared" si="82"/>
        <v>612.27999999996155</v>
      </c>
      <c r="C4234" s="199">
        <v>987.18110344597403</v>
      </c>
      <c r="D4234" s="7"/>
    </row>
    <row r="4235" spans="2:4" x14ac:dyDescent="0.25">
      <c r="B4235" s="4">
        <f t="shared" si="82"/>
        <v>612.28999999996154</v>
      </c>
      <c r="C4235" s="199">
        <v>987.40212114112126</v>
      </c>
      <c r="D4235" s="7"/>
    </row>
    <row r="4236" spans="2:4" x14ac:dyDescent="0.25">
      <c r="B4236" s="4">
        <f t="shared" si="82"/>
        <v>612.29999999996153</v>
      </c>
      <c r="C4236" s="199">
        <v>987.6231388362695</v>
      </c>
      <c r="D4236" s="7"/>
    </row>
    <row r="4237" spans="2:4" x14ac:dyDescent="0.25">
      <c r="B4237" s="4">
        <f t="shared" si="82"/>
        <v>612.30999999996152</v>
      </c>
      <c r="C4237" s="199">
        <v>987.84415653141673</v>
      </c>
      <c r="D4237" s="7"/>
    </row>
    <row r="4238" spans="2:4" x14ac:dyDescent="0.25">
      <c r="B4238" s="4">
        <f t="shared" si="82"/>
        <v>612.31999999996151</v>
      </c>
      <c r="C4238" s="199">
        <v>988.06538429473324</v>
      </c>
      <c r="D4238" s="7"/>
    </row>
    <row r="4239" spans="2:4" x14ac:dyDescent="0.25">
      <c r="B4239" s="4">
        <f t="shared" si="82"/>
        <v>612.3299999999615</v>
      </c>
      <c r="C4239" s="199">
        <v>988.28661205805622</v>
      </c>
      <c r="D4239" s="7"/>
    </row>
    <row r="4240" spans="2:4" x14ac:dyDescent="0.25">
      <c r="B4240" s="4">
        <f t="shared" si="82"/>
        <v>612.33999999996149</v>
      </c>
      <c r="C4240" s="199">
        <v>988.50783982137864</v>
      </c>
      <c r="D4240" s="7"/>
    </row>
    <row r="4241" spans="2:4" x14ac:dyDescent="0.25">
      <c r="B4241" s="4">
        <f t="shared" si="82"/>
        <v>612.34999999996148</v>
      </c>
      <c r="C4241" s="199">
        <v>988.72906758470197</v>
      </c>
      <c r="D4241" s="7"/>
    </row>
    <row r="4242" spans="2:4" x14ac:dyDescent="0.25">
      <c r="B4242" s="4">
        <f t="shared" si="82"/>
        <v>612.35999999996147</v>
      </c>
      <c r="C4242" s="199">
        <v>988.95029534802393</v>
      </c>
      <c r="D4242" s="7"/>
    </row>
    <row r="4243" spans="2:4" x14ac:dyDescent="0.25">
      <c r="B4243" s="4">
        <f t="shared" si="82"/>
        <v>612.36999999996146</v>
      </c>
      <c r="C4243" s="199">
        <v>989.17152311134578</v>
      </c>
      <c r="D4243" s="7"/>
    </row>
    <row r="4244" spans="2:4" x14ac:dyDescent="0.25">
      <c r="B4244" s="4">
        <f t="shared" si="82"/>
        <v>612.37999999996146</v>
      </c>
      <c r="C4244" s="199">
        <v>989.39275087466922</v>
      </c>
      <c r="D4244" s="7"/>
    </row>
    <row r="4245" spans="2:4" x14ac:dyDescent="0.25">
      <c r="B4245" s="4">
        <f t="shared" si="82"/>
        <v>612.38999999996145</v>
      </c>
      <c r="C4245" s="199">
        <v>989.61397863799164</v>
      </c>
      <c r="D4245" s="7"/>
    </row>
    <row r="4246" spans="2:4" x14ac:dyDescent="0.25">
      <c r="B4246" s="4">
        <f t="shared" si="82"/>
        <v>612.39999999996144</v>
      </c>
      <c r="C4246" s="199">
        <v>989.83520640131428</v>
      </c>
      <c r="D4246" s="7"/>
    </row>
    <row r="4247" spans="2:4" x14ac:dyDescent="0.25">
      <c r="B4247" s="4">
        <f t="shared" si="82"/>
        <v>612.40999999996143</v>
      </c>
      <c r="C4247" s="199">
        <v>990.05643416463658</v>
      </c>
      <c r="D4247" s="7"/>
    </row>
    <row r="4248" spans="2:4" x14ac:dyDescent="0.25">
      <c r="B4248" s="4">
        <f t="shared" si="82"/>
        <v>612.41999999996142</v>
      </c>
      <c r="C4248" s="199">
        <v>990.27787231932825</v>
      </c>
      <c r="D4248" s="7"/>
    </row>
    <row r="4249" spans="2:4" x14ac:dyDescent="0.25">
      <c r="B4249" s="4">
        <f t="shared" si="82"/>
        <v>612.42999999996141</v>
      </c>
      <c r="C4249" s="199">
        <v>990.49931047401753</v>
      </c>
      <c r="D4249" s="7"/>
    </row>
    <row r="4250" spans="2:4" x14ac:dyDescent="0.25">
      <c r="B4250" s="4">
        <f t="shared" si="82"/>
        <v>612.4399999999614</v>
      </c>
      <c r="C4250" s="199">
        <v>990.72074862870772</v>
      </c>
      <c r="D4250" s="7"/>
    </row>
    <row r="4251" spans="2:4" x14ac:dyDescent="0.25">
      <c r="B4251" s="4">
        <f t="shared" si="82"/>
        <v>612.44999999996139</v>
      </c>
      <c r="C4251" s="199">
        <v>990.94218678339701</v>
      </c>
      <c r="D4251" s="7"/>
    </row>
    <row r="4252" spans="2:4" x14ac:dyDescent="0.25">
      <c r="B4252" s="4">
        <f t="shared" si="82"/>
        <v>612.45999999996138</v>
      </c>
      <c r="C4252" s="199">
        <v>991.1636249380872</v>
      </c>
      <c r="D4252" s="7"/>
    </row>
    <row r="4253" spans="2:4" x14ac:dyDescent="0.25">
      <c r="B4253" s="4">
        <f t="shared" si="82"/>
        <v>612.46999999996137</v>
      </c>
      <c r="C4253" s="199">
        <v>991.38506309277693</v>
      </c>
      <c r="D4253" s="7"/>
    </row>
    <row r="4254" spans="2:4" x14ac:dyDescent="0.25">
      <c r="B4254" s="4">
        <f t="shared" si="82"/>
        <v>612.47999999996136</v>
      </c>
      <c r="C4254" s="199">
        <v>991.60650124746712</v>
      </c>
      <c r="D4254" s="7"/>
    </row>
    <row r="4255" spans="2:4" x14ac:dyDescent="0.25">
      <c r="B4255" s="4">
        <f t="shared" si="82"/>
        <v>612.48999999996136</v>
      </c>
      <c r="C4255" s="199">
        <v>991.82793940215731</v>
      </c>
      <c r="D4255" s="7"/>
    </row>
    <row r="4256" spans="2:4" x14ac:dyDescent="0.25">
      <c r="B4256" s="4">
        <f t="shared" si="82"/>
        <v>612.49999999996135</v>
      </c>
      <c r="C4256" s="199">
        <v>992.04937755684659</v>
      </c>
      <c r="D4256" s="7"/>
    </row>
    <row r="4257" spans="2:4" x14ac:dyDescent="0.25">
      <c r="B4257" s="4">
        <f t="shared" si="82"/>
        <v>612.50999999996134</v>
      </c>
      <c r="C4257" s="199">
        <v>992.27081571153678</v>
      </c>
      <c r="D4257" s="7"/>
    </row>
    <row r="4258" spans="2:4" x14ac:dyDescent="0.25">
      <c r="B4258" s="4">
        <f t="shared" si="82"/>
        <v>612.51999999996133</v>
      </c>
      <c r="C4258" s="199">
        <v>992.49246523913894</v>
      </c>
      <c r="D4258" s="7"/>
    </row>
    <row r="4259" spans="2:4" x14ac:dyDescent="0.25">
      <c r="B4259" s="4">
        <f t="shared" si="82"/>
        <v>612.52999999996132</v>
      </c>
      <c r="C4259" s="199">
        <v>992.71411476674564</v>
      </c>
      <c r="D4259" s="7"/>
    </row>
    <row r="4260" spans="2:4" x14ac:dyDescent="0.25">
      <c r="B4260" s="4">
        <f t="shared" si="82"/>
        <v>612.53999999996131</v>
      </c>
      <c r="C4260" s="199">
        <v>992.93576429435211</v>
      </c>
      <c r="D4260" s="7"/>
    </row>
    <row r="4261" spans="2:4" x14ac:dyDescent="0.25">
      <c r="B4261" s="4">
        <f t="shared" si="82"/>
        <v>612.5499999999613</v>
      </c>
      <c r="C4261" s="199">
        <v>993.15741382195881</v>
      </c>
      <c r="D4261" s="7"/>
    </row>
    <row r="4262" spans="2:4" x14ac:dyDescent="0.25">
      <c r="B4262" s="4">
        <f t="shared" si="82"/>
        <v>612.55999999996129</v>
      </c>
      <c r="C4262" s="199">
        <v>993.37906334956551</v>
      </c>
      <c r="D4262" s="7"/>
    </row>
    <row r="4263" spans="2:4" x14ac:dyDescent="0.25">
      <c r="B4263" s="4">
        <f t="shared" si="82"/>
        <v>612.56999999996128</v>
      </c>
      <c r="C4263" s="199">
        <v>993.60071287717153</v>
      </c>
      <c r="D4263" s="7"/>
    </row>
    <row r="4264" spans="2:4" x14ac:dyDescent="0.25">
      <c r="B4264" s="4">
        <f t="shared" si="82"/>
        <v>612.57999999996127</v>
      </c>
      <c r="C4264" s="199">
        <v>993.82236240477926</v>
      </c>
      <c r="D4264" s="7"/>
    </row>
    <row r="4265" spans="2:4" x14ac:dyDescent="0.25">
      <c r="B4265" s="4">
        <f t="shared" si="82"/>
        <v>612.58999999996126</v>
      </c>
      <c r="C4265" s="199">
        <v>994.04401193238596</v>
      </c>
      <c r="D4265" s="7"/>
    </row>
    <row r="4266" spans="2:4" x14ac:dyDescent="0.25">
      <c r="B4266" s="4">
        <f t="shared" si="82"/>
        <v>612.59999999996126</v>
      </c>
      <c r="C4266" s="199">
        <v>994.26566145999288</v>
      </c>
      <c r="D4266" s="7"/>
    </row>
    <row r="4267" spans="2:4" x14ac:dyDescent="0.25">
      <c r="B4267" s="4">
        <f t="shared" si="82"/>
        <v>612.60999999996125</v>
      </c>
      <c r="C4267" s="199">
        <v>994.48731098759924</v>
      </c>
      <c r="D4267" s="7"/>
    </row>
    <row r="4268" spans="2:4" x14ac:dyDescent="0.25">
      <c r="B4268" s="4">
        <f t="shared" si="82"/>
        <v>612.61999999996124</v>
      </c>
      <c r="C4268" s="199">
        <v>994.70916909356492</v>
      </c>
      <c r="D4268" s="7"/>
    </row>
    <row r="4269" spans="2:4" x14ac:dyDescent="0.25">
      <c r="B4269" s="4">
        <f t="shared" si="82"/>
        <v>612.62999999996123</v>
      </c>
      <c r="C4269" s="199">
        <v>994.93102719953265</v>
      </c>
      <c r="D4269" s="7"/>
    </row>
    <row r="4270" spans="2:4" x14ac:dyDescent="0.25">
      <c r="B4270" s="4">
        <f t="shared" si="82"/>
        <v>612.63999999996122</v>
      </c>
      <c r="C4270" s="199">
        <v>995.15288530549981</v>
      </c>
      <c r="D4270" s="7"/>
    </row>
    <row r="4271" spans="2:4" x14ac:dyDescent="0.25">
      <c r="B4271" s="4">
        <f t="shared" si="82"/>
        <v>612.64999999996121</v>
      </c>
      <c r="C4271" s="199">
        <v>995.3747434114656</v>
      </c>
      <c r="D4271" s="7"/>
    </row>
    <row r="4272" spans="2:4" x14ac:dyDescent="0.25">
      <c r="B4272" s="4">
        <f t="shared" si="82"/>
        <v>612.6599999999612</v>
      </c>
      <c r="C4272" s="199">
        <v>995.59660151743253</v>
      </c>
      <c r="D4272" s="7"/>
    </row>
    <row r="4273" spans="2:4" x14ac:dyDescent="0.25">
      <c r="B4273" s="4">
        <f t="shared" si="82"/>
        <v>612.66999999996119</v>
      </c>
      <c r="C4273" s="199">
        <v>995.81845962339969</v>
      </c>
      <c r="D4273" s="7"/>
    </row>
    <row r="4274" spans="2:4" x14ac:dyDescent="0.25">
      <c r="B4274" s="4">
        <f t="shared" si="82"/>
        <v>612.67999999996118</v>
      </c>
      <c r="C4274" s="199">
        <v>996.04031772936582</v>
      </c>
      <c r="D4274" s="7"/>
    </row>
    <row r="4275" spans="2:4" x14ac:dyDescent="0.25">
      <c r="B4275" s="4">
        <f t="shared" si="82"/>
        <v>612.68999999996117</v>
      </c>
      <c r="C4275" s="199">
        <v>996.26217583533344</v>
      </c>
      <c r="D4275" s="7"/>
    </row>
    <row r="4276" spans="2:4" x14ac:dyDescent="0.25">
      <c r="B4276" s="4">
        <f t="shared" si="82"/>
        <v>612.69999999996116</v>
      </c>
      <c r="C4276" s="199">
        <v>996.48403394130059</v>
      </c>
      <c r="D4276" s="7"/>
    </row>
    <row r="4277" spans="2:4" x14ac:dyDescent="0.25">
      <c r="B4277" s="4">
        <f t="shared" si="82"/>
        <v>612.70999999996116</v>
      </c>
      <c r="C4277" s="199">
        <v>996.70589204726639</v>
      </c>
      <c r="D4277" s="7"/>
    </row>
    <row r="4278" spans="2:4" x14ac:dyDescent="0.25">
      <c r="B4278" s="4">
        <f t="shared" si="82"/>
        <v>612.71999999996115</v>
      </c>
      <c r="C4278" s="199">
        <v>996.92796066684775</v>
      </c>
      <c r="D4278" s="7"/>
    </row>
    <row r="4279" spans="2:4" x14ac:dyDescent="0.25">
      <c r="B4279" s="4">
        <f t="shared" si="82"/>
        <v>612.72999999996114</v>
      </c>
      <c r="C4279" s="199">
        <v>997.15002928643287</v>
      </c>
      <c r="D4279" s="7"/>
    </row>
    <row r="4280" spans="2:4" x14ac:dyDescent="0.25">
      <c r="B4280" s="4">
        <f t="shared" si="82"/>
        <v>612.73999999996113</v>
      </c>
      <c r="C4280" s="199">
        <v>997.37209790601798</v>
      </c>
      <c r="D4280" s="7"/>
    </row>
    <row r="4281" spans="2:4" x14ac:dyDescent="0.25">
      <c r="B4281" s="4">
        <f t="shared" si="82"/>
        <v>612.74999999996112</v>
      </c>
      <c r="C4281" s="199">
        <v>997.59416652560276</v>
      </c>
      <c r="D4281" s="7"/>
    </row>
    <row r="4282" spans="2:4" x14ac:dyDescent="0.25">
      <c r="B4282" s="4">
        <f t="shared" si="82"/>
        <v>612.75999999996111</v>
      </c>
      <c r="C4282" s="199">
        <v>997.81623514518844</v>
      </c>
      <c r="D4282" s="7"/>
    </row>
    <row r="4283" spans="2:4" x14ac:dyDescent="0.25">
      <c r="B4283" s="4">
        <f t="shared" si="82"/>
        <v>612.7699999999611</v>
      </c>
      <c r="C4283" s="199">
        <v>998.03830376477356</v>
      </c>
      <c r="D4283" s="7"/>
    </row>
    <row r="4284" spans="2:4" x14ac:dyDescent="0.25">
      <c r="B4284" s="4">
        <f t="shared" si="82"/>
        <v>612.77999999996109</v>
      </c>
      <c r="C4284" s="199">
        <v>998.26037238435867</v>
      </c>
      <c r="D4284" s="7"/>
    </row>
    <row r="4285" spans="2:4" x14ac:dyDescent="0.25">
      <c r="B4285" s="4">
        <f t="shared" si="82"/>
        <v>612.78999999996108</v>
      </c>
      <c r="C4285" s="199">
        <v>998.48244100394356</v>
      </c>
      <c r="D4285" s="7"/>
    </row>
    <row r="4286" spans="2:4" x14ac:dyDescent="0.25">
      <c r="B4286" s="4">
        <f t="shared" si="82"/>
        <v>612.79999999996107</v>
      </c>
      <c r="C4286" s="199">
        <v>998.70450962352868</v>
      </c>
      <c r="D4286" s="7"/>
    </row>
    <row r="4287" spans="2:4" x14ac:dyDescent="0.25">
      <c r="B4287" s="4">
        <f t="shared" si="82"/>
        <v>612.80999999996106</v>
      </c>
      <c r="C4287" s="199">
        <v>998.92657824311414</v>
      </c>
      <c r="D4287" s="7"/>
    </row>
    <row r="4288" spans="2:4" x14ac:dyDescent="0.25">
      <c r="B4288" s="4">
        <f t="shared" si="82"/>
        <v>612.81999999996106</v>
      </c>
      <c r="C4288" s="199">
        <v>999.14885562840345</v>
      </c>
      <c r="D4288" s="7"/>
    </row>
    <row r="4289" spans="2:4" x14ac:dyDescent="0.25">
      <c r="B4289" s="4">
        <f t="shared" si="82"/>
        <v>612.82999999996105</v>
      </c>
      <c r="C4289" s="199">
        <v>999.37113301369266</v>
      </c>
      <c r="D4289" s="7"/>
    </row>
    <row r="4290" spans="2:4" x14ac:dyDescent="0.25">
      <c r="B4290" s="4">
        <f t="shared" si="82"/>
        <v>612.83999999996104</v>
      </c>
      <c r="C4290" s="199">
        <v>999.59341039898061</v>
      </c>
      <c r="D4290" s="7"/>
    </row>
    <row r="4291" spans="2:4" x14ac:dyDescent="0.25">
      <c r="B4291" s="4">
        <f t="shared" si="82"/>
        <v>612.84999999996103</v>
      </c>
      <c r="C4291" s="199">
        <v>999.81568778426981</v>
      </c>
      <c r="D4291" s="7"/>
    </row>
    <row r="4292" spans="2:4" x14ac:dyDescent="0.25">
      <c r="B4292" s="4">
        <f t="shared" si="82"/>
        <v>612.85999999996102</v>
      </c>
      <c r="C4292" s="199">
        <v>1000.0379651695588</v>
      </c>
      <c r="D4292" s="7"/>
    </row>
    <row r="4293" spans="2:4" x14ac:dyDescent="0.25">
      <c r="B4293" s="4">
        <f t="shared" si="82"/>
        <v>612.86999999996101</v>
      </c>
      <c r="C4293" s="199">
        <v>1000.2602425548478</v>
      </c>
      <c r="D4293" s="7"/>
    </row>
    <row r="4294" spans="2:4" x14ac:dyDescent="0.25">
      <c r="B4294" s="4">
        <f t="shared" si="82"/>
        <v>612.879999999961</v>
      </c>
      <c r="C4294" s="199">
        <v>1000.4825199401355</v>
      </c>
      <c r="D4294" s="7"/>
    </row>
    <row r="4295" spans="2:4" x14ac:dyDescent="0.25">
      <c r="B4295" s="4">
        <f t="shared" si="82"/>
        <v>612.88999999996099</v>
      </c>
      <c r="C4295" s="199">
        <v>1000.7047973254244</v>
      </c>
      <c r="D4295" s="7"/>
    </row>
    <row r="4296" spans="2:4" x14ac:dyDescent="0.25">
      <c r="B4296" s="4">
        <f t="shared" ref="B4296:B4359" si="83">+B4295+0.01</f>
        <v>612.89999999996098</v>
      </c>
      <c r="C4296" s="199">
        <v>1000.9270747107136</v>
      </c>
      <c r="D4296" s="7"/>
    </row>
    <row r="4297" spans="2:4" x14ac:dyDescent="0.25">
      <c r="B4297" s="4">
        <f t="shared" si="83"/>
        <v>612.90999999996097</v>
      </c>
      <c r="C4297" s="199">
        <v>1001.1493520960021</v>
      </c>
      <c r="D4297" s="7"/>
    </row>
    <row r="4298" spans="2:4" x14ac:dyDescent="0.25">
      <c r="B4298" s="4">
        <f t="shared" si="83"/>
        <v>612.91999999996096</v>
      </c>
      <c r="C4298" s="199">
        <v>1001.3718386666511</v>
      </c>
      <c r="D4298" s="7"/>
    </row>
    <row r="4299" spans="2:4" x14ac:dyDescent="0.25">
      <c r="B4299" s="4">
        <f t="shared" si="83"/>
        <v>612.92999999996096</v>
      </c>
      <c r="C4299" s="199">
        <v>1001.5943252373032</v>
      </c>
      <c r="D4299" s="7"/>
    </row>
    <row r="4300" spans="2:4" x14ac:dyDescent="0.25">
      <c r="B4300" s="4">
        <f t="shared" si="83"/>
        <v>612.93999999996095</v>
      </c>
      <c r="C4300" s="199">
        <v>1001.8168118079559</v>
      </c>
      <c r="D4300" s="7"/>
    </row>
    <row r="4301" spans="2:4" x14ac:dyDescent="0.25">
      <c r="B4301" s="4">
        <f t="shared" si="83"/>
        <v>612.94999999996094</v>
      </c>
      <c r="C4301" s="199">
        <v>1002.0392983786097</v>
      </c>
      <c r="D4301" s="7"/>
    </row>
    <row r="4302" spans="2:4" x14ac:dyDescent="0.25">
      <c r="B4302" s="4">
        <f t="shared" si="83"/>
        <v>612.95999999996093</v>
      </c>
      <c r="C4302" s="199">
        <v>1002.2617849492618</v>
      </c>
      <c r="D4302" s="7"/>
    </row>
    <row r="4303" spans="2:4" x14ac:dyDescent="0.25">
      <c r="B4303" s="4">
        <f t="shared" si="83"/>
        <v>612.96999999996092</v>
      </c>
      <c r="C4303" s="199">
        <v>1002.4842715199139</v>
      </c>
      <c r="D4303" s="7"/>
    </row>
    <row r="4304" spans="2:4" x14ac:dyDescent="0.25">
      <c r="B4304" s="4">
        <f t="shared" si="83"/>
        <v>612.97999999996091</v>
      </c>
      <c r="C4304" s="199">
        <v>1002.7067580905667</v>
      </c>
      <c r="D4304" s="7"/>
    </row>
    <row r="4305" spans="2:4" x14ac:dyDescent="0.25">
      <c r="B4305" s="4">
        <f t="shared" si="83"/>
        <v>612.9899999999609</v>
      </c>
      <c r="C4305" s="199">
        <v>1002.9292446612197</v>
      </c>
      <c r="D4305" s="7"/>
    </row>
    <row r="4306" spans="2:4" x14ac:dyDescent="0.25">
      <c r="B4306" s="4">
        <f t="shared" si="83"/>
        <v>612.99999999996089</v>
      </c>
      <c r="C4306" s="199">
        <v>1003.1517312318724</v>
      </c>
      <c r="D4306" s="7"/>
    </row>
    <row r="4307" spans="2:4" x14ac:dyDescent="0.25">
      <c r="B4307" s="4">
        <f t="shared" si="83"/>
        <v>613.00999999996088</v>
      </c>
      <c r="C4307" s="199">
        <v>1003.3742178025248</v>
      </c>
      <c r="D4307" s="7"/>
    </row>
    <row r="4308" spans="2:4" x14ac:dyDescent="0.25">
      <c r="B4308" s="4">
        <f t="shared" si="83"/>
        <v>613.01999999996087</v>
      </c>
      <c r="C4308" s="199">
        <v>1003.5969143554747</v>
      </c>
      <c r="D4308" s="7"/>
    </row>
    <row r="4309" spans="2:4" x14ac:dyDescent="0.25">
      <c r="B4309" s="4">
        <f t="shared" si="83"/>
        <v>613.02999999996086</v>
      </c>
      <c r="C4309" s="199">
        <v>1003.8196109084237</v>
      </c>
      <c r="D4309" s="7"/>
    </row>
    <row r="4310" spans="2:4" x14ac:dyDescent="0.25">
      <c r="B4310" s="4">
        <f t="shared" si="83"/>
        <v>613.03999999996086</v>
      </c>
      <c r="C4310" s="199">
        <v>1004.0423074613735</v>
      </c>
      <c r="D4310" s="7"/>
    </row>
    <row r="4311" spans="2:4" x14ac:dyDescent="0.25">
      <c r="B4311" s="4">
        <f t="shared" si="83"/>
        <v>613.04999999996085</v>
      </c>
      <c r="C4311" s="199">
        <v>1004.2650040143224</v>
      </c>
      <c r="D4311" s="7"/>
    </row>
    <row r="4312" spans="2:4" x14ac:dyDescent="0.25">
      <c r="B4312" s="4">
        <f t="shared" si="83"/>
        <v>613.05999999996084</v>
      </c>
      <c r="C4312" s="199">
        <v>1004.4877005672716</v>
      </c>
      <c r="D4312" s="7"/>
    </row>
    <row r="4313" spans="2:4" x14ac:dyDescent="0.25">
      <c r="B4313" s="4">
        <f t="shared" si="83"/>
        <v>613.06999999996083</v>
      </c>
      <c r="C4313" s="199">
        <v>1004.7103971202215</v>
      </c>
      <c r="D4313" s="7"/>
    </row>
    <row r="4314" spans="2:4" x14ac:dyDescent="0.25">
      <c r="B4314" s="4">
        <f t="shared" si="83"/>
        <v>613.07999999996082</v>
      </c>
      <c r="C4314" s="199">
        <v>1004.933093673171</v>
      </c>
      <c r="D4314" s="7"/>
    </row>
    <row r="4315" spans="2:4" x14ac:dyDescent="0.25">
      <c r="B4315" s="4">
        <f t="shared" si="83"/>
        <v>613.08999999996081</v>
      </c>
      <c r="C4315" s="199">
        <v>1005.1557902261209</v>
      </c>
      <c r="D4315" s="7"/>
    </row>
    <row r="4316" spans="2:4" x14ac:dyDescent="0.25">
      <c r="B4316" s="4">
        <f t="shared" si="83"/>
        <v>613.0999999999608</v>
      </c>
      <c r="C4316" s="199">
        <v>1005.3784867790707</v>
      </c>
      <c r="D4316" s="7"/>
    </row>
    <row r="4317" spans="2:4" x14ac:dyDescent="0.25">
      <c r="B4317" s="4">
        <f t="shared" si="83"/>
        <v>613.10999999996079</v>
      </c>
      <c r="C4317" s="199">
        <v>1005.6011833320199</v>
      </c>
      <c r="D4317" s="7"/>
    </row>
    <row r="4318" spans="2:4" x14ac:dyDescent="0.25">
      <c r="B4318" s="4">
        <f t="shared" si="83"/>
        <v>613.11999999996078</v>
      </c>
      <c r="C4318" s="199">
        <v>1005.824086494734</v>
      </c>
      <c r="D4318" s="7"/>
    </row>
    <row r="4319" spans="2:4" x14ac:dyDescent="0.25">
      <c r="B4319" s="4">
        <f t="shared" si="83"/>
        <v>613.12999999996077</v>
      </c>
      <c r="C4319" s="199">
        <v>1006.0469896574531</v>
      </c>
      <c r="D4319" s="7"/>
    </row>
    <row r="4320" spans="2:4" x14ac:dyDescent="0.25">
      <c r="B4320" s="4">
        <f t="shared" si="83"/>
        <v>613.13999999996076</v>
      </c>
      <c r="C4320" s="199">
        <v>1006.2698928201723</v>
      </c>
      <c r="D4320" s="7"/>
    </row>
    <row r="4321" spans="2:4" x14ac:dyDescent="0.25">
      <c r="B4321" s="4">
        <f t="shared" si="83"/>
        <v>613.14999999996076</v>
      </c>
      <c r="C4321" s="199">
        <v>1006.4927959828912</v>
      </c>
      <c r="D4321" s="7"/>
    </row>
    <row r="4322" spans="2:4" x14ac:dyDescent="0.25">
      <c r="B4322" s="4">
        <f t="shared" si="83"/>
        <v>613.15999999996075</v>
      </c>
      <c r="C4322" s="199">
        <v>1006.7156991456101</v>
      </c>
      <c r="D4322" s="7"/>
    </row>
    <row r="4323" spans="2:4" x14ac:dyDescent="0.25">
      <c r="B4323" s="4">
        <f t="shared" si="83"/>
        <v>613.16999999996074</v>
      </c>
      <c r="C4323" s="199">
        <v>1006.9386023083298</v>
      </c>
      <c r="D4323" s="7"/>
    </row>
    <row r="4324" spans="2:4" x14ac:dyDescent="0.25">
      <c r="B4324" s="4">
        <f t="shared" si="83"/>
        <v>613.17999999996073</v>
      </c>
      <c r="C4324" s="199">
        <v>1007.1615054710493</v>
      </c>
      <c r="D4324" s="7"/>
    </row>
    <row r="4325" spans="2:4" x14ac:dyDescent="0.25">
      <c r="B4325" s="4">
        <f t="shared" si="83"/>
        <v>613.18999999996072</v>
      </c>
      <c r="C4325" s="199">
        <v>1007.3844086337682</v>
      </c>
      <c r="D4325" s="7"/>
    </row>
    <row r="4326" spans="2:4" x14ac:dyDescent="0.25">
      <c r="B4326" s="4">
        <f t="shared" si="83"/>
        <v>613.19999999996071</v>
      </c>
      <c r="C4326" s="199">
        <v>1007.6073117964879</v>
      </c>
      <c r="D4326" s="7"/>
    </row>
    <row r="4327" spans="2:4" x14ac:dyDescent="0.25">
      <c r="B4327" s="4">
        <f t="shared" si="83"/>
        <v>613.2099999999607</v>
      </c>
      <c r="C4327" s="199">
        <v>1007.8302149592072</v>
      </c>
      <c r="D4327" s="7"/>
    </row>
    <row r="4328" spans="2:4" x14ac:dyDescent="0.25">
      <c r="B4328" s="4">
        <f t="shared" si="83"/>
        <v>613.21999999996069</v>
      </c>
      <c r="C4328" s="199">
        <v>1008.0533282354916</v>
      </c>
      <c r="D4328" s="7"/>
    </row>
    <row r="4329" spans="2:4" x14ac:dyDescent="0.25">
      <c r="B4329" s="4">
        <f t="shared" si="83"/>
        <v>613.22999999996068</v>
      </c>
      <c r="C4329" s="199">
        <v>1008.276441511777</v>
      </c>
      <c r="D4329" s="7"/>
    </row>
    <row r="4330" spans="2:4" x14ac:dyDescent="0.25">
      <c r="B4330" s="4">
        <f t="shared" si="83"/>
        <v>613.23999999996067</v>
      </c>
      <c r="C4330" s="199">
        <v>1008.4995547880633</v>
      </c>
      <c r="D4330" s="7"/>
    </row>
    <row r="4331" spans="2:4" x14ac:dyDescent="0.25">
      <c r="B4331" s="4">
        <f t="shared" si="83"/>
        <v>613.24999999996066</v>
      </c>
      <c r="C4331" s="199">
        <v>1008.7226680643487</v>
      </c>
      <c r="D4331" s="7"/>
    </row>
    <row r="4332" spans="2:4" x14ac:dyDescent="0.25">
      <c r="B4332" s="4">
        <f t="shared" si="83"/>
        <v>613.25999999996066</v>
      </c>
      <c r="C4332" s="199">
        <v>1008.9457813406339</v>
      </c>
      <c r="D4332" s="7"/>
    </row>
    <row r="4333" spans="2:4" x14ac:dyDescent="0.25">
      <c r="B4333" s="4">
        <f t="shared" si="83"/>
        <v>613.26999999996065</v>
      </c>
      <c r="C4333" s="199">
        <v>1009.1688946169186</v>
      </c>
      <c r="D4333" s="7"/>
    </row>
    <row r="4334" spans="2:4" x14ac:dyDescent="0.25">
      <c r="B4334" s="4">
        <f t="shared" si="83"/>
        <v>613.27999999996064</v>
      </c>
      <c r="C4334" s="199">
        <v>1009.3920078932047</v>
      </c>
      <c r="D4334" s="7"/>
    </row>
    <row r="4335" spans="2:4" x14ac:dyDescent="0.25">
      <c r="B4335" s="4">
        <f t="shared" si="83"/>
        <v>613.28999999996063</v>
      </c>
      <c r="C4335" s="199">
        <v>1009.6151211694901</v>
      </c>
      <c r="D4335" s="7"/>
    </row>
    <row r="4336" spans="2:4" x14ac:dyDescent="0.25">
      <c r="B4336" s="4">
        <f t="shared" si="83"/>
        <v>613.29999999996062</v>
      </c>
      <c r="C4336" s="199">
        <v>1009.8382344457752</v>
      </c>
      <c r="D4336" s="7"/>
    </row>
    <row r="4337" spans="2:4" x14ac:dyDescent="0.25">
      <c r="B4337" s="4">
        <f t="shared" si="83"/>
        <v>613.30999999996061</v>
      </c>
      <c r="C4337" s="199">
        <v>1010.0613477220613</v>
      </c>
      <c r="D4337" s="7"/>
    </row>
    <row r="4338" spans="2:4" x14ac:dyDescent="0.25">
      <c r="B4338" s="4">
        <f t="shared" si="83"/>
        <v>613.3199999999606</v>
      </c>
      <c r="C4338" s="199">
        <v>1010.2846698962622</v>
      </c>
      <c r="D4338" s="7"/>
    </row>
    <row r="4339" spans="2:4" x14ac:dyDescent="0.25">
      <c r="B4339" s="4">
        <f t="shared" si="83"/>
        <v>613.32999999996059</v>
      </c>
      <c r="C4339" s="199">
        <v>1010.507992070468</v>
      </c>
      <c r="D4339" s="7"/>
    </row>
    <row r="4340" spans="2:4" x14ac:dyDescent="0.25">
      <c r="B4340" s="4">
        <f t="shared" si="83"/>
        <v>613.33999999996058</v>
      </c>
      <c r="C4340" s="199">
        <v>1010.7313142446741</v>
      </c>
      <c r="D4340" s="7"/>
    </row>
    <row r="4341" spans="2:4" x14ac:dyDescent="0.25">
      <c r="B4341" s="4">
        <f t="shared" si="83"/>
        <v>613.34999999996057</v>
      </c>
      <c r="C4341" s="199">
        <v>1010.9546364188794</v>
      </c>
      <c r="D4341" s="7"/>
    </row>
    <row r="4342" spans="2:4" x14ac:dyDescent="0.25">
      <c r="B4342" s="4">
        <f t="shared" si="83"/>
        <v>613.35999999996056</v>
      </c>
      <c r="C4342" s="199">
        <v>1011.1779585930843</v>
      </c>
      <c r="D4342" s="7"/>
    </row>
    <row r="4343" spans="2:4" x14ac:dyDescent="0.25">
      <c r="B4343" s="4">
        <f t="shared" si="83"/>
        <v>613.36999999996056</v>
      </c>
      <c r="C4343" s="199">
        <v>1011.4012807672908</v>
      </c>
      <c r="D4343" s="7"/>
    </row>
    <row r="4344" spans="2:4" x14ac:dyDescent="0.25">
      <c r="B4344" s="4">
        <f t="shared" si="83"/>
        <v>613.37999999996055</v>
      </c>
      <c r="C4344" s="199">
        <v>1011.6246029414964</v>
      </c>
      <c r="D4344" s="7"/>
    </row>
    <row r="4345" spans="2:4" x14ac:dyDescent="0.25">
      <c r="B4345" s="4">
        <f t="shared" si="83"/>
        <v>613.38999999996054</v>
      </c>
      <c r="C4345" s="199">
        <v>1011.8479251157013</v>
      </c>
      <c r="D4345" s="7"/>
    </row>
    <row r="4346" spans="2:4" x14ac:dyDescent="0.25">
      <c r="B4346" s="4">
        <f t="shared" si="83"/>
        <v>613.39999999996053</v>
      </c>
      <c r="C4346" s="199">
        <v>1012.0712472899082</v>
      </c>
      <c r="D4346" s="7"/>
    </row>
    <row r="4347" spans="2:4" x14ac:dyDescent="0.25">
      <c r="B4347" s="4">
        <f t="shared" si="83"/>
        <v>613.40999999996052</v>
      </c>
      <c r="C4347" s="199">
        <v>1012.2945694641131</v>
      </c>
      <c r="D4347" s="7"/>
    </row>
    <row r="4348" spans="2:4" x14ac:dyDescent="0.25">
      <c r="B4348" s="4">
        <f t="shared" si="83"/>
        <v>613.41999999996051</v>
      </c>
      <c r="C4348" s="199">
        <v>1012.5181014597578</v>
      </c>
      <c r="D4348" s="7"/>
    </row>
    <row r="4349" spans="2:4" x14ac:dyDescent="0.25">
      <c r="B4349" s="4">
        <f t="shared" si="83"/>
        <v>613.4299999999605</v>
      </c>
      <c r="C4349" s="199">
        <v>1012.7416334554026</v>
      </c>
      <c r="D4349" s="7"/>
    </row>
    <row r="4350" spans="2:4" x14ac:dyDescent="0.25">
      <c r="B4350" s="4">
        <f t="shared" si="83"/>
        <v>613.43999999996049</v>
      </c>
      <c r="C4350" s="199">
        <v>1012.9651654510473</v>
      </c>
      <c r="D4350" s="7"/>
    </row>
    <row r="4351" spans="2:4" x14ac:dyDescent="0.25">
      <c r="B4351" s="4">
        <f t="shared" si="83"/>
        <v>613.44999999996048</v>
      </c>
      <c r="C4351" s="199">
        <v>1013.1886974466912</v>
      </c>
      <c r="D4351" s="7"/>
    </row>
    <row r="4352" spans="2:4" x14ac:dyDescent="0.25">
      <c r="B4352" s="4">
        <f t="shared" si="83"/>
        <v>613.45999999996047</v>
      </c>
      <c r="C4352" s="199">
        <v>1013.4122294423365</v>
      </c>
      <c r="D4352" s="7"/>
    </row>
    <row r="4353" spans="2:4" x14ac:dyDescent="0.25">
      <c r="B4353" s="4">
        <f t="shared" si="83"/>
        <v>613.46999999996046</v>
      </c>
      <c r="C4353" s="199">
        <v>1013.6357614379805</v>
      </c>
      <c r="D4353" s="7"/>
    </row>
    <row r="4354" spans="2:4" x14ac:dyDescent="0.25">
      <c r="B4354" s="4">
        <f t="shared" si="83"/>
        <v>613.47999999996046</v>
      </c>
      <c r="C4354" s="199">
        <v>1013.859293433626</v>
      </c>
      <c r="D4354" s="7"/>
    </row>
    <row r="4355" spans="2:4" x14ac:dyDescent="0.25">
      <c r="B4355" s="4">
        <f t="shared" si="83"/>
        <v>613.48999999996045</v>
      </c>
      <c r="C4355" s="199">
        <v>1014.0828254292702</v>
      </c>
      <c r="D4355" s="7"/>
    </row>
    <row r="4356" spans="2:4" x14ac:dyDescent="0.25">
      <c r="B4356" s="4">
        <f t="shared" si="83"/>
        <v>613.49999999996044</v>
      </c>
      <c r="C4356" s="199">
        <v>1014.3063574249155</v>
      </c>
      <c r="D4356" s="7"/>
    </row>
    <row r="4357" spans="2:4" x14ac:dyDescent="0.25">
      <c r="B4357" s="4">
        <f t="shared" si="83"/>
        <v>613.50999999996043</v>
      </c>
      <c r="C4357" s="199">
        <v>1014.5298894205597</v>
      </c>
      <c r="D4357" s="7"/>
    </row>
    <row r="4358" spans="2:4" x14ac:dyDescent="0.25">
      <c r="B4358" s="4">
        <f t="shared" si="83"/>
        <v>613.51999999996042</v>
      </c>
      <c r="C4358" s="199">
        <v>1014.7536329977498</v>
      </c>
      <c r="D4358" s="7"/>
    </row>
    <row r="4359" spans="2:4" x14ac:dyDescent="0.25">
      <c r="B4359" s="4">
        <f t="shared" si="83"/>
        <v>613.52999999996041</v>
      </c>
      <c r="C4359" s="199">
        <v>1014.9773765749443</v>
      </c>
      <c r="D4359" s="7"/>
    </row>
    <row r="4360" spans="2:4" x14ac:dyDescent="0.25">
      <c r="B4360" s="4">
        <f t="shared" ref="B4360:B4423" si="84">+B4359+0.01</f>
        <v>613.5399999999604</v>
      </c>
      <c r="C4360" s="199">
        <v>1015.2011201521383</v>
      </c>
      <c r="D4360" s="7"/>
    </row>
    <row r="4361" spans="2:4" x14ac:dyDescent="0.25">
      <c r="B4361" s="4">
        <f t="shared" si="84"/>
        <v>613.54999999996039</v>
      </c>
      <c r="C4361" s="199">
        <v>1015.4248637293325</v>
      </c>
      <c r="D4361" s="7"/>
    </row>
    <row r="4362" spans="2:4" x14ac:dyDescent="0.25">
      <c r="B4362" s="4">
        <f t="shared" si="84"/>
        <v>613.55999999996038</v>
      </c>
      <c r="C4362" s="199">
        <v>1015.6486073065263</v>
      </c>
      <c r="D4362" s="7"/>
    </row>
    <row r="4363" spans="2:4" x14ac:dyDescent="0.25">
      <c r="B4363" s="4">
        <f t="shared" si="84"/>
        <v>613.56999999996037</v>
      </c>
      <c r="C4363" s="199">
        <v>1015.8723508837217</v>
      </c>
      <c r="D4363" s="7"/>
    </row>
    <row r="4364" spans="2:4" x14ac:dyDescent="0.25">
      <c r="B4364" s="4">
        <f t="shared" si="84"/>
        <v>613.57999999996036</v>
      </c>
      <c r="C4364" s="199">
        <v>1016.0960944609161</v>
      </c>
      <c r="D4364" s="7"/>
    </row>
    <row r="4365" spans="2:4" x14ac:dyDescent="0.25">
      <c r="B4365" s="4">
        <f t="shared" si="84"/>
        <v>613.58999999996036</v>
      </c>
      <c r="C4365" s="199">
        <v>1016.3198380381099</v>
      </c>
      <c r="D4365" s="7"/>
    </row>
    <row r="4366" spans="2:4" x14ac:dyDescent="0.25">
      <c r="B4366" s="4">
        <f t="shared" si="84"/>
        <v>613.59999999996035</v>
      </c>
      <c r="C4366" s="199">
        <v>1016.5435816153043</v>
      </c>
      <c r="D4366" s="7"/>
    </row>
    <row r="4367" spans="2:4" x14ac:dyDescent="0.25">
      <c r="B4367" s="4">
        <f t="shared" si="84"/>
        <v>613.60999999996034</v>
      </c>
      <c r="C4367" s="199">
        <v>1016.7673251924981</v>
      </c>
      <c r="D4367" s="7"/>
    </row>
    <row r="4368" spans="2:4" x14ac:dyDescent="0.25">
      <c r="B4368" s="4">
        <f t="shared" si="84"/>
        <v>613.61999999996033</v>
      </c>
      <c r="C4368" s="199">
        <v>1016.9912766431827</v>
      </c>
      <c r="D4368" s="7"/>
    </row>
    <row r="4369" spans="2:4" x14ac:dyDescent="0.25">
      <c r="B4369" s="4">
        <f t="shared" si="84"/>
        <v>613.62999999996032</v>
      </c>
      <c r="C4369" s="199">
        <v>1017.2152280938661</v>
      </c>
      <c r="D4369" s="7"/>
    </row>
    <row r="4370" spans="2:4" x14ac:dyDescent="0.25">
      <c r="B4370" s="4">
        <f t="shared" si="84"/>
        <v>613.63999999996031</v>
      </c>
      <c r="C4370" s="199">
        <v>1017.4391795445512</v>
      </c>
      <c r="D4370" s="7"/>
    </row>
    <row r="4371" spans="2:4" x14ac:dyDescent="0.25">
      <c r="B4371" s="4">
        <f t="shared" si="84"/>
        <v>613.6499999999603</v>
      </c>
      <c r="C4371" s="199">
        <v>1017.6631309952348</v>
      </c>
      <c r="D4371" s="7"/>
    </row>
    <row r="4372" spans="2:4" x14ac:dyDescent="0.25">
      <c r="B4372" s="4">
        <f t="shared" si="84"/>
        <v>613.65999999996029</v>
      </c>
      <c r="C4372" s="199">
        <v>1017.8870824459187</v>
      </c>
      <c r="D4372" s="7"/>
    </row>
    <row r="4373" spans="2:4" x14ac:dyDescent="0.25">
      <c r="B4373" s="4">
        <f t="shared" si="84"/>
        <v>613.66999999996028</v>
      </c>
      <c r="C4373" s="199">
        <v>1018.1110338966024</v>
      </c>
      <c r="D4373" s="7"/>
    </row>
    <row r="4374" spans="2:4" x14ac:dyDescent="0.25">
      <c r="B4374" s="4">
        <f t="shared" si="84"/>
        <v>613.67999999996027</v>
      </c>
      <c r="C4374" s="199">
        <v>1018.3349853472863</v>
      </c>
      <c r="D4374" s="7"/>
    </row>
    <row r="4375" spans="2:4" x14ac:dyDescent="0.25">
      <c r="B4375" s="4">
        <f t="shared" si="84"/>
        <v>613.68999999996026</v>
      </c>
      <c r="C4375" s="199">
        <v>1018.5589367979702</v>
      </c>
      <c r="D4375" s="7"/>
    </row>
    <row r="4376" spans="2:4" x14ac:dyDescent="0.25">
      <c r="B4376" s="4">
        <f t="shared" si="84"/>
        <v>613.69999999996026</v>
      </c>
      <c r="C4376" s="199">
        <v>1018.7828882486536</v>
      </c>
      <c r="D4376" s="7"/>
    </row>
    <row r="4377" spans="2:4" x14ac:dyDescent="0.25">
      <c r="B4377" s="4">
        <f t="shared" si="84"/>
        <v>613.70999999996025</v>
      </c>
      <c r="C4377" s="199">
        <v>1019.0068396993375</v>
      </c>
      <c r="D4377" s="7"/>
    </row>
    <row r="4378" spans="2:4" x14ac:dyDescent="0.25">
      <c r="B4378" s="4">
        <f t="shared" si="84"/>
        <v>613.71999999996024</v>
      </c>
      <c r="C4378" s="199">
        <v>1019.2309990708828</v>
      </c>
      <c r="D4378" s="7"/>
    </row>
    <row r="4379" spans="2:4" x14ac:dyDescent="0.25">
      <c r="B4379" s="4">
        <f t="shared" si="84"/>
        <v>613.72999999996023</v>
      </c>
      <c r="C4379" s="199">
        <v>1019.4551584424338</v>
      </c>
      <c r="D4379" s="7"/>
    </row>
    <row r="4380" spans="2:4" x14ac:dyDescent="0.25">
      <c r="B4380" s="4">
        <f t="shared" si="84"/>
        <v>613.73999999996022</v>
      </c>
      <c r="C4380" s="199">
        <v>1019.6793178139845</v>
      </c>
      <c r="D4380" s="7"/>
    </row>
    <row r="4381" spans="2:4" x14ac:dyDescent="0.25">
      <c r="B4381" s="4">
        <f t="shared" si="84"/>
        <v>613.74999999996021</v>
      </c>
      <c r="C4381" s="199">
        <v>1019.9034771855353</v>
      </c>
      <c r="D4381" s="7"/>
    </row>
    <row r="4382" spans="2:4" x14ac:dyDescent="0.25">
      <c r="B4382" s="4">
        <f t="shared" si="84"/>
        <v>613.7599999999602</v>
      </c>
      <c r="C4382" s="199">
        <v>1020.127636557086</v>
      </c>
      <c r="D4382" s="7"/>
    </row>
    <row r="4383" spans="2:4" x14ac:dyDescent="0.25">
      <c r="B4383" s="4">
        <f t="shared" si="84"/>
        <v>613.76999999996019</v>
      </c>
      <c r="C4383" s="199">
        <v>1020.3517959286368</v>
      </c>
      <c r="D4383" s="7"/>
    </row>
    <row r="4384" spans="2:4" x14ac:dyDescent="0.25">
      <c r="B4384" s="4">
        <f t="shared" si="84"/>
        <v>613.77999999996018</v>
      </c>
      <c r="C4384" s="199">
        <v>1020.5759553001875</v>
      </c>
      <c r="D4384" s="7"/>
    </row>
    <row r="4385" spans="2:4" x14ac:dyDescent="0.25">
      <c r="B4385" s="4">
        <f t="shared" si="84"/>
        <v>613.78999999996017</v>
      </c>
      <c r="C4385" s="199">
        <v>1020.8001146717382</v>
      </c>
      <c r="D4385" s="7"/>
    </row>
    <row r="4386" spans="2:4" x14ac:dyDescent="0.25">
      <c r="B4386" s="4">
        <f t="shared" si="84"/>
        <v>613.79999999996016</v>
      </c>
      <c r="C4386" s="199">
        <v>1021.0242740432888</v>
      </c>
      <c r="D4386" s="7"/>
    </row>
    <row r="4387" spans="2:4" x14ac:dyDescent="0.25">
      <c r="B4387" s="4">
        <f t="shared" si="84"/>
        <v>613.80999999996016</v>
      </c>
      <c r="C4387" s="199">
        <v>1021.248433414839</v>
      </c>
      <c r="D4387" s="7"/>
    </row>
    <row r="4388" spans="2:4" x14ac:dyDescent="0.25">
      <c r="B4388" s="4">
        <f t="shared" si="84"/>
        <v>613.81999999996015</v>
      </c>
      <c r="C4388" s="199">
        <v>1021.4728004300597</v>
      </c>
      <c r="D4388" s="7"/>
    </row>
    <row r="4389" spans="2:4" x14ac:dyDescent="0.25">
      <c r="B4389" s="4">
        <f t="shared" si="84"/>
        <v>613.82999999996014</v>
      </c>
      <c r="C4389" s="199">
        <v>1021.6971674452799</v>
      </c>
      <c r="D4389" s="7"/>
    </row>
    <row r="4390" spans="2:4" x14ac:dyDescent="0.25">
      <c r="B4390" s="4">
        <f t="shared" si="84"/>
        <v>613.83999999996013</v>
      </c>
      <c r="C4390" s="199">
        <v>1021.9215344604999</v>
      </c>
      <c r="D4390" s="7"/>
    </row>
    <row r="4391" spans="2:4" x14ac:dyDescent="0.25">
      <c r="B4391" s="4">
        <f t="shared" si="84"/>
        <v>613.84999999996012</v>
      </c>
      <c r="C4391" s="199">
        <v>1022.1459014757196</v>
      </c>
      <c r="D4391" s="7"/>
    </row>
    <row r="4392" spans="2:4" x14ac:dyDescent="0.25">
      <c r="B4392" s="4">
        <f t="shared" si="84"/>
        <v>613.85999999996011</v>
      </c>
      <c r="C4392" s="199">
        <v>1022.3702684909393</v>
      </c>
      <c r="D4392" s="7"/>
    </row>
    <row r="4393" spans="2:4" x14ac:dyDescent="0.25">
      <c r="B4393" s="4">
        <f t="shared" si="84"/>
        <v>613.8699999999601</v>
      </c>
      <c r="C4393" s="199">
        <v>1022.5946355061579</v>
      </c>
      <c r="D4393" s="7"/>
    </row>
    <row r="4394" spans="2:4" x14ac:dyDescent="0.25">
      <c r="B4394" s="4">
        <f t="shared" si="84"/>
        <v>613.87999999996009</v>
      </c>
      <c r="C4394" s="199">
        <v>1022.8190025213779</v>
      </c>
      <c r="D4394" s="7"/>
    </row>
    <row r="4395" spans="2:4" x14ac:dyDescent="0.25">
      <c r="B4395" s="4">
        <f t="shared" si="84"/>
        <v>613.88999999996008</v>
      </c>
      <c r="C4395" s="199">
        <v>1023.0433695365977</v>
      </c>
      <c r="D4395" s="7"/>
    </row>
    <row r="4396" spans="2:4" x14ac:dyDescent="0.25">
      <c r="B4396" s="4">
        <f t="shared" si="84"/>
        <v>613.89999999996007</v>
      </c>
      <c r="C4396" s="199">
        <v>1023.2677365518183</v>
      </c>
      <c r="D4396" s="7"/>
    </row>
    <row r="4397" spans="2:4" x14ac:dyDescent="0.25">
      <c r="B4397" s="4">
        <f t="shared" si="84"/>
        <v>613.90999999996006</v>
      </c>
      <c r="C4397" s="199">
        <v>1023.4921035670378</v>
      </c>
      <c r="D4397" s="7"/>
    </row>
    <row r="4398" spans="2:4" x14ac:dyDescent="0.25">
      <c r="B4398" s="4">
        <f t="shared" si="84"/>
        <v>613.91999999996005</v>
      </c>
      <c r="C4398" s="199">
        <v>1023.7166771262997</v>
      </c>
      <c r="D4398" s="7"/>
    </row>
    <row r="4399" spans="2:4" x14ac:dyDescent="0.25">
      <c r="B4399" s="4">
        <f t="shared" si="84"/>
        <v>613.92999999996005</v>
      </c>
      <c r="C4399" s="199">
        <v>1023.9412506855682</v>
      </c>
      <c r="D4399" s="7"/>
    </row>
    <row r="4400" spans="2:4" x14ac:dyDescent="0.25">
      <c r="B4400" s="4">
        <f t="shared" si="84"/>
        <v>613.93999999996004</v>
      </c>
      <c r="C4400" s="199">
        <v>1024.1658242448368</v>
      </c>
      <c r="D4400" s="7"/>
    </row>
    <row r="4401" spans="2:4" x14ac:dyDescent="0.25">
      <c r="B4401" s="4">
        <f t="shared" si="84"/>
        <v>613.94999999996003</v>
      </c>
      <c r="C4401" s="199">
        <v>1024.3903978041046</v>
      </c>
      <c r="D4401" s="7"/>
    </row>
    <row r="4402" spans="2:4" x14ac:dyDescent="0.25">
      <c r="B4402" s="4">
        <f t="shared" si="84"/>
        <v>613.95999999996002</v>
      </c>
      <c r="C4402" s="199">
        <v>1024.6149713633729</v>
      </c>
      <c r="D4402" s="7"/>
    </row>
    <row r="4403" spans="2:4" x14ac:dyDescent="0.25">
      <c r="B4403" s="4">
        <f t="shared" si="84"/>
        <v>613.96999999996001</v>
      </c>
      <c r="C4403" s="199">
        <v>1024.8395449226412</v>
      </c>
      <c r="D4403" s="7"/>
    </row>
    <row r="4404" spans="2:4" x14ac:dyDescent="0.25">
      <c r="B4404" s="4">
        <f t="shared" si="84"/>
        <v>613.97999999996</v>
      </c>
      <c r="C4404" s="199">
        <v>1025.0641184819094</v>
      </c>
      <c r="D4404" s="7"/>
    </row>
    <row r="4405" spans="2:4" x14ac:dyDescent="0.25">
      <c r="B4405" s="4">
        <f t="shared" si="84"/>
        <v>613.98999999995999</v>
      </c>
      <c r="C4405" s="199">
        <v>1025.2886920411772</v>
      </c>
      <c r="D4405" s="7"/>
    </row>
    <row r="4406" spans="2:4" x14ac:dyDescent="0.25">
      <c r="B4406" s="4">
        <f t="shared" si="84"/>
        <v>613.99999999995998</v>
      </c>
      <c r="C4406" s="199">
        <v>1025.5132656004459</v>
      </c>
      <c r="D4406" s="7"/>
    </row>
    <row r="4407" spans="2:4" x14ac:dyDescent="0.25">
      <c r="B4407" s="4">
        <f t="shared" si="84"/>
        <v>614.00999999995997</v>
      </c>
      <c r="C4407" s="199">
        <v>1025.7378391597138</v>
      </c>
      <c r="D4407" s="7"/>
    </row>
    <row r="4408" spans="2:4" x14ac:dyDescent="0.25">
      <c r="B4408" s="4">
        <f t="shared" si="84"/>
        <v>614.01999999995996</v>
      </c>
      <c r="C4408" s="199">
        <v>1025.9626221768053</v>
      </c>
      <c r="D4408" s="7"/>
    </row>
    <row r="4409" spans="2:4" x14ac:dyDescent="0.25">
      <c r="B4409" s="4">
        <f t="shared" si="84"/>
        <v>614.02999999995995</v>
      </c>
      <c r="C4409" s="199">
        <v>1026.1874051938953</v>
      </c>
      <c r="D4409" s="7"/>
    </row>
    <row r="4410" spans="2:4" x14ac:dyDescent="0.25">
      <c r="B4410" s="4">
        <f t="shared" si="84"/>
        <v>614.03999999995995</v>
      </c>
      <c r="C4410" s="199">
        <v>1026.4121882109857</v>
      </c>
      <c r="D4410" s="7"/>
    </row>
    <row r="4411" spans="2:4" x14ac:dyDescent="0.25">
      <c r="B4411" s="4">
        <f t="shared" si="84"/>
        <v>614.04999999995994</v>
      </c>
      <c r="C4411" s="199">
        <v>1026.6369712280753</v>
      </c>
      <c r="D4411" s="7"/>
    </row>
    <row r="4412" spans="2:4" x14ac:dyDescent="0.25">
      <c r="B4412" s="4">
        <f t="shared" si="84"/>
        <v>614.05999999995993</v>
      </c>
      <c r="C4412" s="199">
        <v>1026.8617542451666</v>
      </c>
      <c r="D4412" s="7"/>
    </row>
    <row r="4413" spans="2:4" x14ac:dyDescent="0.25">
      <c r="B4413" s="4">
        <f t="shared" si="84"/>
        <v>614.06999999995992</v>
      </c>
      <c r="C4413" s="199">
        <v>1027.0865372622568</v>
      </c>
      <c r="D4413" s="7"/>
    </row>
    <row r="4414" spans="2:4" x14ac:dyDescent="0.25">
      <c r="B4414" s="4">
        <f t="shared" si="84"/>
        <v>614.07999999995991</v>
      </c>
      <c r="C4414" s="199">
        <v>1027.3113202793465</v>
      </c>
      <c r="D4414" s="7"/>
    </row>
    <row r="4415" spans="2:4" x14ac:dyDescent="0.25">
      <c r="B4415" s="4">
        <f t="shared" si="84"/>
        <v>614.0899999999599</v>
      </c>
      <c r="C4415" s="199">
        <v>1027.5361032964372</v>
      </c>
      <c r="D4415" s="7"/>
    </row>
    <row r="4416" spans="2:4" x14ac:dyDescent="0.25">
      <c r="B4416" s="4">
        <f t="shared" si="84"/>
        <v>614.09999999995989</v>
      </c>
      <c r="C4416" s="199">
        <v>1027.7608863135283</v>
      </c>
      <c r="D4416" s="7"/>
    </row>
    <row r="4417" spans="2:4" x14ac:dyDescent="0.25">
      <c r="B4417" s="4">
        <f t="shared" si="84"/>
        <v>614.10999999995988</v>
      </c>
      <c r="C4417" s="199">
        <v>1027.9856693306181</v>
      </c>
      <c r="D4417" s="7"/>
    </row>
    <row r="4418" spans="2:4" x14ac:dyDescent="0.25">
      <c r="B4418" s="4">
        <f t="shared" si="84"/>
        <v>614.11999999995987</v>
      </c>
      <c r="C4418" s="199">
        <v>1028.2106568219554</v>
      </c>
      <c r="D4418" s="7"/>
    </row>
    <row r="4419" spans="2:4" x14ac:dyDescent="0.25">
      <c r="B4419" s="4">
        <f t="shared" si="84"/>
        <v>614.12999999995986</v>
      </c>
      <c r="C4419" s="199">
        <v>1028.4356443132986</v>
      </c>
      <c r="D4419" s="7"/>
    </row>
    <row r="4420" spans="2:4" x14ac:dyDescent="0.25">
      <c r="B4420" s="4">
        <f t="shared" si="84"/>
        <v>614.13999999995985</v>
      </c>
      <c r="C4420" s="199">
        <v>1028.6606318046408</v>
      </c>
      <c r="D4420" s="7"/>
    </row>
    <row r="4421" spans="2:4" x14ac:dyDescent="0.25">
      <c r="B4421" s="4">
        <f t="shared" si="84"/>
        <v>614.14999999995985</v>
      </c>
      <c r="C4421" s="199">
        <v>1028.885619295984</v>
      </c>
      <c r="D4421" s="7"/>
    </row>
    <row r="4422" spans="2:4" x14ac:dyDescent="0.25">
      <c r="B4422" s="4">
        <f t="shared" si="84"/>
        <v>614.15999999995984</v>
      </c>
      <c r="C4422" s="199">
        <v>1029.1106067873272</v>
      </c>
      <c r="D4422" s="7"/>
    </row>
    <row r="4423" spans="2:4" x14ac:dyDescent="0.25">
      <c r="B4423" s="4">
        <f t="shared" si="84"/>
        <v>614.16999999995983</v>
      </c>
      <c r="C4423" s="199">
        <v>1029.33559427867</v>
      </c>
      <c r="D4423" s="7"/>
    </row>
    <row r="4424" spans="2:4" x14ac:dyDescent="0.25">
      <c r="B4424" s="4">
        <f t="shared" ref="B4424:B4487" si="85">+B4423+0.01</f>
        <v>614.17999999995982</v>
      </c>
      <c r="C4424" s="199">
        <v>1029.5605817700127</v>
      </c>
      <c r="D4424" s="7"/>
    </row>
    <row r="4425" spans="2:4" x14ac:dyDescent="0.25">
      <c r="B4425" s="4">
        <f t="shared" si="85"/>
        <v>614.18999999995981</v>
      </c>
      <c r="C4425" s="199">
        <v>1029.7855692613559</v>
      </c>
      <c r="D4425" s="7"/>
    </row>
    <row r="4426" spans="2:4" x14ac:dyDescent="0.25">
      <c r="B4426" s="4">
        <f t="shared" si="85"/>
        <v>614.1999999999598</v>
      </c>
      <c r="C4426" s="199">
        <v>1030.0105567526987</v>
      </c>
      <c r="D4426" s="7"/>
    </row>
    <row r="4427" spans="2:4" x14ac:dyDescent="0.25">
      <c r="B4427" s="4">
        <f t="shared" si="85"/>
        <v>614.20999999995979</v>
      </c>
      <c r="C4427" s="199">
        <v>1030.2355442440421</v>
      </c>
      <c r="D4427" s="7"/>
    </row>
    <row r="4428" spans="2:4" x14ac:dyDescent="0.25">
      <c r="B4428" s="4">
        <f t="shared" si="85"/>
        <v>614.21999999995978</v>
      </c>
      <c r="C4428" s="199">
        <v>1030.4607394377877</v>
      </c>
      <c r="D4428" s="7"/>
    </row>
    <row r="4429" spans="2:4" x14ac:dyDescent="0.25">
      <c r="B4429" s="4">
        <f t="shared" si="85"/>
        <v>614.22999999995977</v>
      </c>
      <c r="C4429" s="199">
        <v>1030.6859346315323</v>
      </c>
      <c r="D4429" s="7"/>
    </row>
    <row r="4430" spans="2:4" x14ac:dyDescent="0.25">
      <c r="B4430" s="4">
        <f t="shared" si="85"/>
        <v>614.23999999995976</v>
      </c>
      <c r="C4430" s="199">
        <v>1030.9111298252767</v>
      </c>
      <c r="D4430" s="7"/>
    </row>
    <row r="4431" spans="2:4" x14ac:dyDescent="0.25">
      <c r="B4431" s="4">
        <f t="shared" si="85"/>
        <v>614.24999999995975</v>
      </c>
      <c r="C4431" s="199">
        <v>1031.1363250190216</v>
      </c>
      <c r="D4431" s="7"/>
    </row>
    <row r="4432" spans="2:4" x14ac:dyDescent="0.25">
      <c r="B4432" s="4">
        <f t="shared" si="85"/>
        <v>614.25999999995975</v>
      </c>
      <c r="C4432" s="199">
        <v>1031.3615202127669</v>
      </c>
      <c r="D4432" s="7"/>
    </row>
    <row r="4433" spans="2:4" x14ac:dyDescent="0.25">
      <c r="B4433" s="4">
        <f t="shared" si="85"/>
        <v>614.26999999995974</v>
      </c>
      <c r="C4433" s="199">
        <v>1031.5867154065118</v>
      </c>
      <c r="D4433" s="7"/>
    </row>
    <row r="4434" spans="2:4" x14ac:dyDescent="0.25">
      <c r="B4434" s="4">
        <f t="shared" si="85"/>
        <v>614.27999999995973</v>
      </c>
      <c r="C4434" s="199">
        <v>1031.8119106002573</v>
      </c>
      <c r="D4434" s="7"/>
    </row>
    <row r="4435" spans="2:4" x14ac:dyDescent="0.25">
      <c r="B4435" s="4">
        <f t="shared" si="85"/>
        <v>614.28999999995972</v>
      </c>
      <c r="C4435" s="199">
        <v>1032.0371057940015</v>
      </c>
      <c r="D4435" s="7"/>
    </row>
    <row r="4436" spans="2:4" x14ac:dyDescent="0.25">
      <c r="B4436" s="4">
        <f t="shared" si="85"/>
        <v>614.29999999995971</v>
      </c>
      <c r="C4436" s="199">
        <v>1032.2623009877466</v>
      </c>
      <c r="D4436" s="7"/>
    </row>
    <row r="4437" spans="2:4" x14ac:dyDescent="0.25">
      <c r="B4437" s="4">
        <f t="shared" si="85"/>
        <v>614.3099999999597</v>
      </c>
      <c r="C4437" s="199">
        <v>1032.4874961814917</v>
      </c>
      <c r="D4437" s="7"/>
    </row>
    <row r="4438" spans="2:4" x14ac:dyDescent="0.25">
      <c r="B4438" s="4">
        <f t="shared" si="85"/>
        <v>614.31999999995969</v>
      </c>
      <c r="C4438" s="199">
        <v>1032.7128975435894</v>
      </c>
      <c r="D4438" s="7"/>
    </row>
    <row r="4439" spans="2:4" x14ac:dyDescent="0.25">
      <c r="B4439" s="4">
        <f t="shared" si="85"/>
        <v>614.32999999995968</v>
      </c>
      <c r="C4439" s="199">
        <v>1032.9382989056917</v>
      </c>
      <c r="D4439" s="7"/>
    </row>
    <row r="4440" spans="2:4" x14ac:dyDescent="0.25">
      <c r="B4440" s="4">
        <f t="shared" si="85"/>
        <v>614.33999999995967</v>
      </c>
      <c r="C4440" s="199">
        <v>1033.1637002677955</v>
      </c>
      <c r="D4440" s="7"/>
    </row>
    <row r="4441" spans="2:4" x14ac:dyDescent="0.25">
      <c r="B4441" s="4">
        <f t="shared" si="85"/>
        <v>614.34999999995966</v>
      </c>
      <c r="C4441" s="199">
        <v>1033.3891016298983</v>
      </c>
      <c r="D4441" s="7"/>
    </row>
    <row r="4442" spans="2:4" x14ac:dyDescent="0.25">
      <c r="B4442" s="4">
        <f t="shared" si="85"/>
        <v>614.35999999995965</v>
      </c>
      <c r="C4442" s="199">
        <v>1033.614502992001</v>
      </c>
      <c r="D4442" s="7"/>
    </row>
    <row r="4443" spans="2:4" x14ac:dyDescent="0.25">
      <c r="B4443" s="4">
        <f t="shared" si="85"/>
        <v>614.36999999995965</v>
      </c>
      <c r="C4443" s="199">
        <v>1033.8399043541046</v>
      </c>
      <c r="D4443" s="7"/>
    </row>
    <row r="4444" spans="2:4" x14ac:dyDescent="0.25">
      <c r="B4444" s="4">
        <f t="shared" si="85"/>
        <v>614.37999999995964</v>
      </c>
      <c r="C4444" s="199">
        <v>1034.0653057162069</v>
      </c>
      <c r="D4444" s="7"/>
    </row>
    <row r="4445" spans="2:4" x14ac:dyDescent="0.25">
      <c r="B4445" s="4">
        <f t="shared" si="85"/>
        <v>614.38999999995963</v>
      </c>
      <c r="C4445" s="199">
        <v>1034.2907070783097</v>
      </c>
      <c r="D4445" s="7"/>
    </row>
    <row r="4446" spans="2:4" x14ac:dyDescent="0.25">
      <c r="B4446" s="4">
        <f t="shared" si="85"/>
        <v>614.39999999995962</v>
      </c>
      <c r="C4446" s="199">
        <v>1034.5161084404128</v>
      </c>
      <c r="D4446" s="7"/>
    </row>
    <row r="4447" spans="2:4" x14ac:dyDescent="0.25">
      <c r="B4447" s="4">
        <f t="shared" si="85"/>
        <v>614.40999999995961</v>
      </c>
      <c r="C4447" s="199">
        <v>1034.7415098025158</v>
      </c>
      <c r="D4447" s="7"/>
    </row>
    <row r="4448" spans="2:4" x14ac:dyDescent="0.25">
      <c r="B4448" s="4">
        <f t="shared" si="85"/>
        <v>614.4199999999596</v>
      </c>
      <c r="C4448" s="199">
        <v>1034.9671152817632</v>
      </c>
      <c r="D4448" s="7"/>
    </row>
    <row r="4449" spans="2:4" x14ac:dyDescent="0.25">
      <c r="B4449" s="4">
        <f t="shared" si="85"/>
        <v>614.42999999995959</v>
      </c>
      <c r="C4449" s="199">
        <v>1035.1927207610111</v>
      </c>
      <c r="D4449" s="7"/>
    </row>
    <row r="4450" spans="2:4" x14ac:dyDescent="0.25">
      <c r="B4450" s="4">
        <f t="shared" si="85"/>
        <v>614.43999999995958</v>
      </c>
      <c r="C4450" s="199">
        <v>1035.4183262402582</v>
      </c>
      <c r="D4450" s="7"/>
    </row>
    <row r="4451" spans="2:4" x14ac:dyDescent="0.25">
      <c r="B4451" s="4">
        <f t="shared" si="85"/>
        <v>614.44999999995957</v>
      </c>
      <c r="C4451" s="199">
        <v>1035.6439317195052</v>
      </c>
      <c r="D4451" s="7"/>
    </row>
    <row r="4452" spans="2:4" x14ac:dyDescent="0.25">
      <c r="B4452" s="4">
        <f t="shared" si="85"/>
        <v>614.45999999995956</v>
      </c>
      <c r="C4452" s="199">
        <v>1035.869537198754</v>
      </c>
      <c r="D4452" s="7"/>
    </row>
    <row r="4453" spans="2:4" x14ac:dyDescent="0.25">
      <c r="B4453" s="4">
        <f t="shared" si="85"/>
        <v>614.46999999995955</v>
      </c>
      <c r="C4453" s="199">
        <v>1036.0951426780011</v>
      </c>
      <c r="D4453" s="7"/>
    </row>
    <row r="4454" spans="2:4" x14ac:dyDescent="0.25">
      <c r="B4454" s="4">
        <f t="shared" si="85"/>
        <v>614.47999999995955</v>
      </c>
      <c r="C4454" s="199">
        <v>1036.3207481572483</v>
      </c>
      <c r="D4454" s="7"/>
    </row>
    <row r="4455" spans="2:4" x14ac:dyDescent="0.25">
      <c r="B4455" s="4">
        <f t="shared" si="85"/>
        <v>614.48999999995954</v>
      </c>
      <c r="C4455" s="199">
        <v>1036.5463536364955</v>
      </c>
      <c r="D4455" s="7"/>
    </row>
    <row r="4456" spans="2:4" x14ac:dyDescent="0.25">
      <c r="B4456" s="4">
        <f t="shared" si="85"/>
        <v>614.49999999995953</v>
      </c>
      <c r="C4456" s="199">
        <v>1036.771959115744</v>
      </c>
      <c r="D4456" s="7"/>
    </row>
    <row r="4457" spans="2:4" x14ac:dyDescent="0.25">
      <c r="B4457" s="4">
        <f t="shared" si="85"/>
        <v>614.50999999995952</v>
      </c>
      <c r="C4457" s="199">
        <v>1036.9975645949917</v>
      </c>
      <c r="D4457" s="7"/>
    </row>
    <row r="4458" spans="2:4" x14ac:dyDescent="0.25">
      <c r="B4458" s="4">
        <f t="shared" si="85"/>
        <v>614.51999999995951</v>
      </c>
      <c r="C4458" s="199">
        <v>1037.2233741532896</v>
      </c>
      <c r="D4458" s="7"/>
    </row>
    <row r="4459" spans="2:4" x14ac:dyDescent="0.25">
      <c r="B4459" s="4">
        <f t="shared" si="85"/>
        <v>614.5299999999595</v>
      </c>
      <c r="C4459" s="199">
        <v>1037.4491837115922</v>
      </c>
      <c r="D4459" s="7"/>
    </row>
    <row r="4460" spans="2:4" x14ac:dyDescent="0.25">
      <c r="B4460" s="4">
        <f t="shared" si="85"/>
        <v>614.53999999995949</v>
      </c>
      <c r="C4460" s="199">
        <v>1037.6749932698945</v>
      </c>
      <c r="D4460" s="7"/>
    </row>
    <row r="4461" spans="2:4" x14ac:dyDescent="0.25">
      <c r="B4461" s="4">
        <f t="shared" si="85"/>
        <v>614.54999999995948</v>
      </c>
      <c r="C4461" s="199">
        <v>1037.9008028281974</v>
      </c>
      <c r="D4461" s="7"/>
    </row>
    <row r="4462" spans="2:4" x14ac:dyDescent="0.25">
      <c r="B4462" s="4">
        <f t="shared" si="85"/>
        <v>614.55999999995947</v>
      </c>
      <c r="C4462" s="199">
        <v>1038.1266123864998</v>
      </c>
      <c r="D4462" s="7"/>
    </row>
    <row r="4463" spans="2:4" x14ac:dyDescent="0.25">
      <c r="B4463" s="4">
        <f t="shared" si="85"/>
        <v>614.56999999995946</v>
      </c>
      <c r="C4463" s="199">
        <v>1038.3524219448027</v>
      </c>
      <c r="D4463" s="7"/>
    </row>
    <row r="4464" spans="2:4" x14ac:dyDescent="0.25">
      <c r="B4464" s="4">
        <f t="shared" si="85"/>
        <v>614.57999999995945</v>
      </c>
      <c r="C4464" s="199">
        <v>1038.5782315031049</v>
      </c>
      <c r="D4464" s="7"/>
    </row>
    <row r="4465" spans="2:4" x14ac:dyDescent="0.25">
      <c r="B4465" s="4">
        <f t="shared" si="85"/>
        <v>614.58999999995945</v>
      </c>
      <c r="C4465" s="199">
        <v>1038.8040410614078</v>
      </c>
      <c r="D4465" s="7"/>
    </row>
    <row r="4466" spans="2:4" x14ac:dyDescent="0.25">
      <c r="B4466" s="4">
        <f t="shared" si="85"/>
        <v>614.59999999995944</v>
      </c>
      <c r="C4466" s="199">
        <v>1039.0298506197107</v>
      </c>
      <c r="D4466" s="7"/>
    </row>
    <row r="4467" spans="2:4" x14ac:dyDescent="0.25">
      <c r="B4467" s="4">
        <f t="shared" si="85"/>
        <v>614.60999999995943</v>
      </c>
      <c r="C4467" s="199">
        <v>1039.2556601780132</v>
      </c>
      <c r="D4467" s="7"/>
    </row>
    <row r="4468" spans="2:4" x14ac:dyDescent="0.25">
      <c r="B4468" s="4">
        <f t="shared" si="85"/>
        <v>614.61999999995942</v>
      </c>
      <c r="C4468" s="199">
        <v>1039.4816723240522</v>
      </c>
      <c r="D4468" s="7"/>
    </row>
    <row r="4469" spans="2:4" x14ac:dyDescent="0.25">
      <c r="B4469" s="4">
        <f t="shared" si="85"/>
        <v>614.62999999995941</v>
      </c>
      <c r="C4469" s="199">
        <v>1039.7076844700903</v>
      </c>
      <c r="D4469" s="7"/>
    </row>
    <row r="4470" spans="2:4" x14ac:dyDescent="0.25">
      <c r="B4470" s="4">
        <f t="shared" si="85"/>
        <v>614.6399999999594</v>
      </c>
      <c r="C4470" s="199">
        <v>1039.9336966161288</v>
      </c>
      <c r="D4470" s="7"/>
    </row>
    <row r="4471" spans="2:4" x14ac:dyDescent="0.25">
      <c r="B4471" s="4">
        <f t="shared" si="85"/>
        <v>614.64999999995939</v>
      </c>
      <c r="C4471" s="199">
        <v>1040.1597087621669</v>
      </c>
      <c r="D4471" s="7"/>
    </row>
    <row r="4472" spans="2:4" x14ac:dyDescent="0.25">
      <c r="B4472" s="4">
        <f t="shared" si="85"/>
        <v>614.65999999995938</v>
      </c>
      <c r="C4472" s="199">
        <v>1040.3857209082048</v>
      </c>
      <c r="D4472" s="7"/>
    </row>
    <row r="4473" spans="2:4" x14ac:dyDescent="0.25">
      <c r="B4473" s="4">
        <f t="shared" si="85"/>
        <v>614.66999999995937</v>
      </c>
      <c r="C4473" s="199">
        <v>1040.6117330542438</v>
      </c>
      <c r="D4473" s="7"/>
    </row>
    <row r="4474" spans="2:4" x14ac:dyDescent="0.25">
      <c r="B4474" s="4">
        <f t="shared" si="85"/>
        <v>614.67999999995936</v>
      </c>
      <c r="C4474" s="199">
        <v>1040.8377452002815</v>
      </c>
      <c r="D4474" s="7"/>
    </row>
    <row r="4475" spans="2:4" x14ac:dyDescent="0.25">
      <c r="B4475" s="4">
        <f t="shared" si="85"/>
        <v>614.68999999995935</v>
      </c>
      <c r="C4475" s="199">
        <v>1041.0637573463202</v>
      </c>
      <c r="D4475" s="7"/>
    </row>
    <row r="4476" spans="2:4" x14ac:dyDescent="0.25">
      <c r="B4476" s="4">
        <f t="shared" si="85"/>
        <v>614.69999999995935</v>
      </c>
      <c r="C4476" s="199">
        <v>1041.2897694923583</v>
      </c>
      <c r="D4476" s="7"/>
    </row>
    <row r="4477" spans="2:4" x14ac:dyDescent="0.25">
      <c r="B4477" s="4">
        <f t="shared" si="85"/>
        <v>614.70999999995934</v>
      </c>
      <c r="C4477" s="199">
        <v>1041.515781638396</v>
      </c>
      <c r="D4477" s="7"/>
    </row>
    <row r="4478" spans="2:4" x14ac:dyDescent="0.25">
      <c r="B4478" s="4">
        <f t="shared" si="85"/>
        <v>614.71999999995933</v>
      </c>
      <c r="C4478" s="199">
        <v>1041.7419958165913</v>
      </c>
      <c r="D4478" s="7"/>
    </row>
    <row r="4479" spans="2:4" x14ac:dyDescent="0.25">
      <c r="B4479" s="4">
        <f t="shared" si="85"/>
        <v>614.72999999995932</v>
      </c>
      <c r="C4479" s="199">
        <v>1041.96820999479</v>
      </c>
      <c r="D4479" s="7"/>
    </row>
    <row r="4480" spans="2:4" x14ac:dyDescent="0.25">
      <c r="B4480" s="4">
        <f t="shared" si="85"/>
        <v>614.73999999995931</v>
      </c>
      <c r="C4480" s="199">
        <v>1042.19442417299</v>
      </c>
      <c r="D4480" s="7"/>
    </row>
    <row r="4481" spans="2:4" x14ac:dyDescent="0.25">
      <c r="B4481" s="4">
        <f t="shared" si="85"/>
        <v>614.7499999999593</v>
      </c>
      <c r="C4481" s="199">
        <v>1042.4206383511885</v>
      </c>
      <c r="D4481" s="7"/>
    </row>
    <row r="4482" spans="2:4" x14ac:dyDescent="0.25">
      <c r="B4482" s="4">
        <f t="shared" si="85"/>
        <v>614.75999999995929</v>
      </c>
      <c r="C4482" s="199">
        <v>1042.6468525293883</v>
      </c>
      <c r="D4482" s="7"/>
    </row>
    <row r="4483" spans="2:4" x14ac:dyDescent="0.25">
      <c r="B4483" s="4">
        <f t="shared" si="85"/>
        <v>614.76999999995928</v>
      </c>
      <c r="C4483" s="199">
        <v>1042.873066707587</v>
      </c>
      <c r="D4483" s="7"/>
    </row>
    <row r="4484" spans="2:4" x14ac:dyDescent="0.25">
      <c r="B4484" s="4">
        <f t="shared" si="85"/>
        <v>614.77999999995927</v>
      </c>
      <c r="C4484" s="199">
        <v>1043.0992808857864</v>
      </c>
      <c r="D4484" s="7"/>
    </row>
    <row r="4485" spans="2:4" x14ac:dyDescent="0.25">
      <c r="B4485" s="4">
        <f t="shared" si="85"/>
        <v>614.78999999995926</v>
      </c>
      <c r="C4485" s="199">
        <v>1043.325495063986</v>
      </c>
      <c r="D4485" s="7"/>
    </row>
    <row r="4486" spans="2:4" x14ac:dyDescent="0.25">
      <c r="B4486" s="4">
        <f t="shared" si="85"/>
        <v>614.79999999995925</v>
      </c>
      <c r="C4486" s="199">
        <v>1043.5517092421851</v>
      </c>
      <c r="D4486" s="7"/>
    </row>
    <row r="4487" spans="2:4" x14ac:dyDescent="0.25">
      <c r="B4487" s="4">
        <f t="shared" si="85"/>
        <v>614.80999999995925</v>
      </c>
      <c r="C4487" s="199">
        <v>1043.7779234203849</v>
      </c>
      <c r="D4487" s="7"/>
    </row>
    <row r="4488" spans="2:4" x14ac:dyDescent="0.25">
      <c r="B4488" s="4">
        <f t="shared" ref="B4488:B4551" si="86">+B4487+0.01</f>
        <v>614.81999999995924</v>
      </c>
      <c r="C4488" s="199">
        <v>1044.0043396423714</v>
      </c>
      <c r="D4488" s="7"/>
    </row>
    <row r="4489" spans="2:4" x14ac:dyDescent="0.25">
      <c r="B4489" s="4">
        <f t="shared" si="86"/>
        <v>614.82999999995923</v>
      </c>
      <c r="C4489" s="199">
        <v>1044.2307558643581</v>
      </c>
      <c r="D4489" s="7"/>
    </row>
    <row r="4490" spans="2:4" x14ac:dyDescent="0.25">
      <c r="B4490" s="4">
        <f t="shared" si="86"/>
        <v>614.83999999995922</v>
      </c>
      <c r="C4490" s="199">
        <v>1044.4571720863439</v>
      </c>
      <c r="D4490" s="7"/>
    </row>
    <row r="4491" spans="2:4" x14ac:dyDescent="0.25">
      <c r="B4491" s="4">
        <f t="shared" si="86"/>
        <v>614.84999999995921</v>
      </c>
      <c r="C4491" s="199">
        <v>1044.6835883083311</v>
      </c>
      <c r="D4491" s="7"/>
    </row>
    <row r="4492" spans="2:4" x14ac:dyDescent="0.25">
      <c r="B4492" s="4">
        <f t="shared" si="86"/>
        <v>614.8599999999592</v>
      </c>
      <c r="C4492" s="199">
        <v>1044.9100045303169</v>
      </c>
      <c r="D4492" s="7"/>
    </row>
    <row r="4493" spans="2:4" x14ac:dyDescent="0.25">
      <c r="B4493" s="4">
        <f t="shared" si="86"/>
        <v>614.86999999995919</v>
      </c>
      <c r="C4493" s="199">
        <v>1045.1364207523038</v>
      </c>
      <c r="D4493" s="7"/>
    </row>
    <row r="4494" spans="2:4" x14ac:dyDescent="0.25">
      <c r="B4494" s="4">
        <f t="shared" si="86"/>
        <v>614.87999999995918</v>
      </c>
      <c r="C4494" s="199">
        <v>1045.3628369742896</v>
      </c>
      <c r="D4494" s="7"/>
    </row>
    <row r="4495" spans="2:4" x14ac:dyDescent="0.25">
      <c r="B4495" s="4">
        <f t="shared" si="86"/>
        <v>614.88999999995917</v>
      </c>
      <c r="C4495" s="199">
        <v>1045.5892531962763</v>
      </c>
      <c r="D4495" s="7"/>
    </row>
    <row r="4496" spans="2:4" x14ac:dyDescent="0.25">
      <c r="B4496" s="4">
        <f t="shared" si="86"/>
        <v>614.89999999995916</v>
      </c>
      <c r="C4496" s="199">
        <v>1045.8156694182619</v>
      </c>
      <c r="D4496" s="7"/>
    </row>
    <row r="4497" spans="2:4" x14ac:dyDescent="0.25">
      <c r="B4497" s="4">
        <f t="shared" si="86"/>
        <v>614.90999999995915</v>
      </c>
      <c r="C4497" s="199">
        <v>1046.0420856402493</v>
      </c>
      <c r="D4497" s="7"/>
    </row>
    <row r="4498" spans="2:4" x14ac:dyDescent="0.25">
      <c r="B4498" s="4">
        <f t="shared" si="86"/>
        <v>614.91999999995915</v>
      </c>
      <c r="C4498" s="199">
        <v>1046.2687023921756</v>
      </c>
      <c r="D4498" s="7"/>
    </row>
    <row r="4499" spans="2:4" x14ac:dyDescent="0.25">
      <c r="B4499" s="4">
        <f t="shared" si="86"/>
        <v>614.92999999995914</v>
      </c>
      <c r="C4499" s="199">
        <v>1046.4953191441073</v>
      </c>
      <c r="D4499" s="7"/>
    </row>
    <row r="4500" spans="2:4" x14ac:dyDescent="0.25">
      <c r="B4500" s="4">
        <f t="shared" si="86"/>
        <v>614.93999999995913</v>
      </c>
      <c r="C4500" s="199">
        <v>1046.7219358960381</v>
      </c>
      <c r="D4500" s="7"/>
    </row>
    <row r="4501" spans="2:4" x14ac:dyDescent="0.25">
      <c r="B4501" s="4">
        <f t="shared" si="86"/>
        <v>614.94999999995912</v>
      </c>
      <c r="C4501" s="199">
        <v>1046.9485526479705</v>
      </c>
      <c r="D4501" s="7"/>
    </row>
    <row r="4502" spans="2:4" x14ac:dyDescent="0.25">
      <c r="B4502" s="4">
        <f t="shared" si="86"/>
        <v>614.95999999995911</v>
      </c>
      <c r="C4502" s="199">
        <v>1047.1751693999013</v>
      </c>
      <c r="D4502" s="7"/>
    </row>
    <row r="4503" spans="2:4" x14ac:dyDescent="0.25">
      <c r="B4503" s="4">
        <f t="shared" si="86"/>
        <v>614.9699999999591</v>
      </c>
      <c r="C4503" s="199">
        <v>1047.401786151833</v>
      </c>
      <c r="D4503" s="7"/>
    </row>
    <row r="4504" spans="2:4" x14ac:dyDescent="0.25">
      <c r="B4504" s="4">
        <f t="shared" si="86"/>
        <v>614.97999999995909</v>
      </c>
      <c r="C4504" s="199">
        <v>1047.6284029037643</v>
      </c>
      <c r="D4504" s="7"/>
    </row>
    <row r="4505" spans="2:4" x14ac:dyDescent="0.25">
      <c r="B4505" s="4">
        <f t="shared" si="86"/>
        <v>614.98999999995908</v>
      </c>
      <c r="C4505" s="199">
        <v>1047.8550196556948</v>
      </c>
      <c r="D4505" s="7"/>
    </row>
    <row r="4506" spans="2:4" x14ac:dyDescent="0.25">
      <c r="B4506" s="4">
        <f t="shared" si="86"/>
        <v>614.99999999995907</v>
      </c>
      <c r="C4506" s="199">
        <v>1048.081636407627</v>
      </c>
      <c r="D4506" s="7"/>
    </row>
    <row r="4507" spans="2:4" x14ac:dyDescent="0.25">
      <c r="B4507" s="4">
        <f t="shared" si="86"/>
        <v>615.00999999995906</v>
      </c>
      <c r="C4507" s="199">
        <v>1048.3082531595578</v>
      </c>
      <c r="D4507" s="7"/>
    </row>
    <row r="4508" spans="2:4" x14ac:dyDescent="0.25">
      <c r="B4508" s="4">
        <f t="shared" si="86"/>
        <v>615.01999999995905</v>
      </c>
      <c r="C4508" s="199">
        <v>1048.53507335676</v>
      </c>
      <c r="D4508" s="7"/>
    </row>
    <row r="4509" spans="2:4" x14ac:dyDescent="0.25">
      <c r="B4509" s="4">
        <f t="shared" si="86"/>
        <v>615.02999999995905</v>
      </c>
      <c r="C4509" s="199">
        <v>1048.7618935539629</v>
      </c>
      <c r="D4509" s="7"/>
    </row>
    <row r="4510" spans="2:4" x14ac:dyDescent="0.25">
      <c r="B4510" s="4">
        <f t="shared" si="86"/>
        <v>615.03999999995904</v>
      </c>
      <c r="C4510" s="199">
        <v>1048.988713751166</v>
      </c>
      <c r="D4510" s="7"/>
    </row>
    <row r="4511" spans="2:4" x14ac:dyDescent="0.25">
      <c r="B4511" s="4">
        <f t="shared" si="86"/>
        <v>615.04999999995903</v>
      </c>
      <c r="C4511" s="199">
        <v>1049.2155339483679</v>
      </c>
      <c r="D4511" s="7"/>
    </row>
    <row r="4512" spans="2:4" x14ac:dyDescent="0.25">
      <c r="B4512" s="4">
        <f t="shared" si="86"/>
        <v>615.05999999995902</v>
      </c>
      <c r="C4512" s="199">
        <v>1049.442354145571</v>
      </c>
      <c r="D4512" s="7"/>
    </row>
    <row r="4513" spans="2:4" x14ac:dyDescent="0.25">
      <c r="B4513" s="4">
        <f t="shared" si="86"/>
        <v>615.06999999995901</v>
      </c>
      <c r="C4513" s="199">
        <v>1049.6691743427732</v>
      </c>
      <c r="D4513" s="7"/>
    </row>
    <row r="4514" spans="2:4" x14ac:dyDescent="0.25">
      <c r="B4514" s="4">
        <f t="shared" si="86"/>
        <v>615.079999999959</v>
      </c>
      <c r="C4514" s="199">
        <v>1049.8959945399749</v>
      </c>
      <c r="D4514" s="7"/>
    </row>
    <row r="4515" spans="2:4" x14ac:dyDescent="0.25">
      <c r="B4515" s="4">
        <f t="shared" si="86"/>
        <v>615.08999999995899</v>
      </c>
      <c r="C4515" s="199">
        <v>1050.1228147371778</v>
      </c>
      <c r="D4515" s="7"/>
    </row>
    <row r="4516" spans="2:4" x14ac:dyDescent="0.25">
      <c r="B4516" s="4">
        <f t="shared" si="86"/>
        <v>615.09999999995898</v>
      </c>
      <c r="C4516" s="199">
        <v>1050.3496349343798</v>
      </c>
      <c r="D4516" s="7"/>
    </row>
    <row r="4517" spans="2:4" x14ac:dyDescent="0.25">
      <c r="B4517" s="4">
        <f t="shared" si="86"/>
        <v>615.10999999995897</v>
      </c>
      <c r="C4517" s="199">
        <v>1050.5764551315822</v>
      </c>
      <c r="D4517" s="7"/>
    </row>
    <row r="4518" spans="2:4" x14ac:dyDescent="0.25">
      <c r="B4518" s="4">
        <f t="shared" si="86"/>
        <v>615.11999999995896</v>
      </c>
      <c r="C4518" s="199">
        <v>1050.8034752117248</v>
      </c>
      <c r="D4518" s="7"/>
    </row>
    <row r="4519" spans="2:4" x14ac:dyDescent="0.25">
      <c r="B4519" s="4">
        <f t="shared" si="86"/>
        <v>615.12999999995895</v>
      </c>
      <c r="C4519" s="199">
        <v>1051.0304952918714</v>
      </c>
      <c r="D4519" s="7"/>
    </row>
    <row r="4520" spans="2:4" x14ac:dyDescent="0.25">
      <c r="B4520" s="4">
        <f t="shared" si="86"/>
        <v>615.13999999995895</v>
      </c>
      <c r="C4520" s="199">
        <v>1051.2575153720181</v>
      </c>
      <c r="D4520" s="7"/>
    </row>
    <row r="4521" spans="2:4" x14ac:dyDescent="0.25">
      <c r="B4521" s="4">
        <f t="shared" si="86"/>
        <v>615.14999999995894</v>
      </c>
      <c r="C4521" s="199">
        <v>1051.4845354521642</v>
      </c>
      <c r="D4521" s="7"/>
    </row>
    <row r="4522" spans="2:4" x14ac:dyDescent="0.25">
      <c r="B4522" s="4">
        <f t="shared" si="86"/>
        <v>615.15999999995893</v>
      </c>
      <c r="C4522" s="199">
        <v>1051.7115555323112</v>
      </c>
      <c r="D4522" s="7"/>
    </row>
    <row r="4523" spans="2:4" x14ac:dyDescent="0.25">
      <c r="B4523" s="4">
        <f t="shared" si="86"/>
        <v>615.16999999995892</v>
      </c>
      <c r="C4523" s="199">
        <v>1051.9385756124577</v>
      </c>
      <c r="D4523" s="7"/>
    </row>
    <row r="4524" spans="2:4" x14ac:dyDescent="0.25">
      <c r="B4524" s="4">
        <f t="shared" si="86"/>
        <v>615.17999999995891</v>
      </c>
      <c r="C4524" s="199">
        <v>1052.1655956926054</v>
      </c>
      <c r="D4524" s="7"/>
    </row>
    <row r="4525" spans="2:4" x14ac:dyDescent="0.25">
      <c r="B4525" s="4">
        <f t="shared" si="86"/>
        <v>615.1899999999589</v>
      </c>
      <c r="C4525" s="199">
        <v>1052.3926157727524</v>
      </c>
      <c r="D4525" s="7"/>
    </row>
    <row r="4526" spans="2:4" x14ac:dyDescent="0.25">
      <c r="B4526" s="4">
        <f t="shared" si="86"/>
        <v>615.19999999995889</v>
      </c>
      <c r="C4526" s="199">
        <v>1052.6196358528985</v>
      </c>
      <c r="D4526" s="7"/>
    </row>
    <row r="4527" spans="2:4" x14ac:dyDescent="0.25">
      <c r="B4527" s="4">
        <f t="shared" si="86"/>
        <v>615.20999999995888</v>
      </c>
      <c r="C4527" s="199">
        <v>1052.8466559330454</v>
      </c>
      <c r="D4527" s="7"/>
    </row>
    <row r="4528" spans="2:4" x14ac:dyDescent="0.25">
      <c r="B4528" s="4">
        <f t="shared" si="86"/>
        <v>615.21999999995887</v>
      </c>
      <c r="C4528" s="199">
        <v>1053.0738763727684</v>
      </c>
      <c r="D4528" s="7"/>
    </row>
    <row r="4529" spans="2:4" x14ac:dyDescent="0.25">
      <c r="B4529" s="4">
        <f t="shared" si="86"/>
        <v>615.22999999995886</v>
      </c>
      <c r="C4529" s="199">
        <v>1053.3010968124927</v>
      </c>
      <c r="D4529" s="7"/>
    </row>
    <row r="4530" spans="2:4" x14ac:dyDescent="0.25">
      <c r="B4530" s="4">
        <f t="shared" si="86"/>
        <v>615.23999999995885</v>
      </c>
      <c r="C4530" s="199">
        <v>1053.5283172522163</v>
      </c>
      <c r="D4530" s="7"/>
    </row>
    <row r="4531" spans="2:4" x14ac:dyDescent="0.25">
      <c r="B4531" s="4">
        <f t="shared" si="86"/>
        <v>615.24999999995885</v>
      </c>
      <c r="C4531" s="199">
        <v>1053.7555376919393</v>
      </c>
      <c r="D4531" s="7"/>
    </row>
    <row r="4532" spans="2:4" x14ac:dyDescent="0.25">
      <c r="B4532" s="4">
        <f t="shared" si="86"/>
        <v>615.25999999995884</v>
      </c>
      <c r="C4532" s="199">
        <v>1053.9827581316633</v>
      </c>
      <c r="D4532" s="7"/>
    </row>
    <row r="4533" spans="2:4" x14ac:dyDescent="0.25">
      <c r="B4533" s="4">
        <f t="shared" si="86"/>
        <v>615.26999999995883</v>
      </c>
      <c r="C4533" s="199">
        <v>1054.2099785713867</v>
      </c>
      <c r="D4533" s="7"/>
    </row>
    <row r="4534" spans="2:4" x14ac:dyDescent="0.25">
      <c r="B4534" s="4">
        <f t="shared" si="86"/>
        <v>615.27999999995882</v>
      </c>
      <c r="C4534" s="199">
        <v>1054.4371990111113</v>
      </c>
      <c r="D4534" s="7"/>
    </row>
    <row r="4535" spans="2:4" x14ac:dyDescent="0.25">
      <c r="B4535" s="4">
        <f t="shared" si="86"/>
        <v>615.28999999995881</v>
      </c>
      <c r="C4535" s="199">
        <v>1054.6644194508349</v>
      </c>
      <c r="D4535" s="7"/>
    </row>
    <row r="4536" spans="2:4" x14ac:dyDescent="0.25">
      <c r="B4536" s="4">
        <f t="shared" si="86"/>
        <v>615.2999999999588</v>
      </c>
      <c r="C4536" s="199">
        <v>1054.8916398905585</v>
      </c>
      <c r="D4536" s="7"/>
    </row>
    <row r="4537" spans="2:4" x14ac:dyDescent="0.25">
      <c r="B4537" s="4">
        <f t="shared" si="86"/>
        <v>615.30999999995879</v>
      </c>
      <c r="C4537" s="199">
        <v>1055.118860330283</v>
      </c>
      <c r="D4537" s="7"/>
    </row>
    <row r="4538" spans="2:4" x14ac:dyDescent="0.25">
      <c r="B4538" s="4">
        <f t="shared" si="86"/>
        <v>615.31999999995878</v>
      </c>
      <c r="C4538" s="199">
        <v>1055.346281761392</v>
      </c>
      <c r="D4538" s="7"/>
    </row>
    <row r="4539" spans="2:4" x14ac:dyDescent="0.25">
      <c r="B4539" s="4">
        <f t="shared" si="86"/>
        <v>615.32999999995877</v>
      </c>
      <c r="C4539" s="199">
        <v>1055.5737031925039</v>
      </c>
      <c r="D4539" s="7"/>
    </row>
    <row r="4540" spans="2:4" x14ac:dyDescent="0.25">
      <c r="B4540" s="4">
        <f t="shared" si="86"/>
        <v>615.33999999995876</v>
      </c>
      <c r="C4540" s="199">
        <v>1055.8011246236156</v>
      </c>
      <c r="D4540" s="7"/>
    </row>
    <row r="4541" spans="2:4" x14ac:dyDescent="0.25">
      <c r="B4541" s="4">
        <f t="shared" si="86"/>
        <v>615.34999999995875</v>
      </c>
      <c r="C4541" s="199">
        <v>1056.0285460547277</v>
      </c>
      <c r="D4541" s="7"/>
    </row>
    <row r="4542" spans="2:4" x14ac:dyDescent="0.25">
      <c r="B4542" s="4">
        <f t="shared" si="86"/>
        <v>615.35999999995875</v>
      </c>
      <c r="C4542" s="199">
        <v>1056.2559674858403</v>
      </c>
      <c r="D4542" s="7"/>
    </row>
    <row r="4543" spans="2:4" x14ac:dyDescent="0.25">
      <c r="B4543" s="4">
        <f t="shared" si="86"/>
        <v>615.36999999995874</v>
      </c>
      <c r="C4543" s="199">
        <v>1056.4833889169524</v>
      </c>
      <c r="D4543" s="7"/>
    </row>
    <row r="4544" spans="2:4" x14ac:dyDescent="0.25">
      <c r="B4544" s="4">
        <f t="shared" si="86"/>
        <v>615.37999999995873</v>
      </c>
      <c r="C4544" s="199">
        <v>1056.7108103480655</v>
      </c>
      <c r="D4544" s="7"/>
    </row>
    <row r="4545" spans="2:4" x14ac:dyDescent="0.25">
      <c r="B4545" s="4">
        <f t="shared" si="86"/>
        <v>615.38999999995872</v>
      </c>
      <c r="C4545" s="199">
        <v>1056.9382317791776</v>
      </c>
      <c r="D4545" s="7"/>
    </row>
    <row r="4546" spans="2:4" x14ac:dyDescent="0.25">
      <c r="B4546" s="4">
        <f t="shared" si="86"/>
        <v>615.39999999995871</v>
      </c>
      <c r="C4546" s="199">
        <v>1057.1656532102895</v>
      </c>
      <c r="D4546" s="7"/>
    </row>
    <row r="4547" spans="2:4" x14ac:dyDescent="0.25">
      <c r="B4547" s="4">
        <f t="shared" si="86"/>
        <v>615.4099999999587</v>
      </c>
      <c r="C4547" s="199">
        <v>1057.3930746414021</v>
      </c>
      <c r="D4547" s="7"/>
    </row>
    <row r="4548" spans="2:4" x14ac:dyDescent="0.25">
      <c r="B4548" s="4">
        <f t="shared" si="86"/>
        <v>615.41999999995869</v>
      </c>
      <c r="C4548" s="199">
        <v>1057.6206961837977</v>
      </c>
      <c r="D4548" s="7"/>
    </row>
    <row r="4549" spans="2:4" x14ac:dyDescent="0.25">
      <c r="B4549" s="4">
        <f t="shared" si="86"/>
        <v>615.42999999995868</v>
      </c>
      <c r="C4549" s="199">
        <v>1057.8483177261937</v>
      </c>
      <c r="D4549" s="7"/>
    </row>
    <row r="4550" spans="2:4" x14ac:dyDescent="0.25">
      <c r="B4550" s="4">
        <f t="shared" si="86"/>
        <v>615.43999999995867</v>
      </c>
      <c r="C4550" s="199">
        <v>1058.0759392685907</v>
      </c>
      <c r="D4550" s="7"/>
    </row>
    <row r="4551" spans="2:4" x14ac:dyDescent="0.25">
      <c r="B4551" s="4">
        <f t="shared" si="86"/>
        <v>615.44999999995866</v>
      </c>
      <c r="C4551" s="199">
        <v>1058.3035608109856</v>
      </c>
      <c r="D4551" s="7"/>
    </row>
    <row r="4552" spans="2:4" x14ac:dyDescent="0.25">
      <c r="B4552" s="4">
        <f t="shared" ref="B4552:B4615" si="87">+B4551+0.01</f>
        <v>615.45999999995865</v>
      </c>
      <c r="C4552" s="199">
        <v>1058.5311823533818</v>
      </c>
      <c r="D4552" s="7"/>
    </row>
    <row r="4553" spans="2:4" x14ac:dyDescent="0.25">
      <c r="B4553" s="4">
        <f t="shared" si="87"/>
        <v>615.46999999995865</v>
      </c>
      <c r="C4553" s="199">
        <v>1058.7588038957774</v>
      </c>
      <c r="D4553" s="7"/>
    </row>
    <row r="4554" spans="2:4" x14ac:dyDescent="0.25">
      <c r="B4554" s="4">
        <f t="shared" si="87"/>
        <v>615.47999999995864</v>
      </c>
      <c r="C4554" s="199">
        <v>1058.9864254381735</v>
      </c>
      <c r="D4554" s="7"/>
    </row>
    <row r="4555" spans="2:4" x14ac:dyDescent="0.25">
      <c r="B4555" s="4">
        <f t="shared" si="87"/>
        <v>615.48999999995863</v>
      </c>
      <c r="C4555" s="199">
        <v>1059.2140469805699</v>
      </c>
      <c r="D4555" s="7"/>
    </row>
    <row r="4556" spans="2:4" x14ac:dyDescent="0.25">
      <c r="B4556" s="4">
        <f t="shared" si="87"/>
        <v>615.49999999995862</v>
      </c>
      <c r="C4556" s="199">
        <v>1059.4416685229655</v>
      </c>
      <c r="D4556" s="7"/>
    </row>
    <row r="4557" spans="2:4" x14ac:dyDescent="0.25">
      <c r="B4557" s="4">
        <f t="shared" si="87"/>
        <v>615.50999999995861</v>
      </c>
      <c r="C4557" s="199">
        <v>1059.669290065362</v>
      </c>
      <c r="D4557" s="7"/>
    </row>
    <row r="4558" spans="2:4" x14ac:dyDescent="0.25">
      <c r="B4558" s="4">
        <f t="shared" si="87"/>
        <v>615.5199999999586</v>
      </c>
      <c r="C4558" s="199">
        <v>1059.8971119110679</v>
      </c>
      <c r="D4558" s="7"/>
    </row>
    <row r="4559" spans="2:4" x14ac:dyDescent="0.25">
      <c r="B4559" s="4">
        <f t="shared" si="87"/>
        <v>615.52999999995859</v>
      </c>
      <c r="C4559" s="199">
        <v>1060.1249337567783</v>
      </c>
      <c r="D4559" s="7"/>
    </row>
    <row r="4560" spans="2:4" x14ac:dyDescent="0.25">
      <c r="B4560" s="4">
        <f t="shared" si="87"/>
        <v>615.53999999995858</v>
      </c>
      <c r="C4560" s="199">
        <v>1060.3527556024892</v>
      </c>
      <c r="D4560" s="7"/>
    </row>
    <row r="4561" spans="2:4" x14ac:dyDescent="0.25">
      <c r="B4561" s="4">
        <f t="shared" si="87"/>
        <v>615.54999999995857</v>
      </c>
      <c r="C4561" s="199">
        <v>1060.5805774482003</v>
      </c>
      <c r="D4561" s="7"/>
    </row>
    <row r="4562" spans="2:4" x14ac:dyDescent="0.25">
      <c r="B4562" s="4">
        <f t="shared" si="87"/>
        <v>615.55999999995856</v>
      </c>
      <c r="C4562" s="199">
        <v>1060.8083992939103</v>
      </c>
      <c r="D4562" s="7"/>
    </row>
    <row r="4563" spans="2:4" x14ac:dyDescent="0.25">
      <c r="B4563" s="4">
        <f t="shared" si="87"/>
        <v>615.56999999995855</v>
      </c>
      <c r="C4563" s="199">
        <v>1061.0362211396214</v>
      </c>
      <c r="D4563" s="7"/>
    </row>
    <row r="4564" spans="2:4" x14ac:dyDescent="0.25">
      <c r="B4564" s="4">
        <f t="shared" si="87"/>
        <v>615.57999999995855</v>
      </c>
      <c r="C4564" s="199">
        <v>1061.2640429853327</v>
      </c>
      <c r="D4564" s="7"/>
    </row>
    <row r="4565" spans="2:4" x14ac:dyDescent="0.25">
      <c r="B4565" s="4">
        <f t="shared" si="87"/>
        <v>615.58999999995854</v>
      </c>
      <c r="C4565" s="199">
        <v>1061.4918648310431</v>
      </c>
      <c r="D4565" s="7"/>
    </row>
    <row r="4566" spans="2:4" x14ac:dyDescent="0.25">
      <c r="B4566" s="4">
        <f t="shared" si="87"/>
        <v>615.59999999995853</v>
      </c>
      <c r="C4566" s="199">
        <v>1061.7196866767538</v>
      </c>
      <c r="D4566" s="7"/>
    </row>
    <row r="4567" spans="2:4" x14ac:dyDescent="0.25">
      <c r="B4567" s="4">
        <f t="shared" si="87"/>
        <v>615.60999999995852</v>
      </c>
      <c r="C4567" s="199">
        <v>1061.9475085224653</v>
      </c>
      <c r="D4567" s="7"/>
    </row>
    <row r="4568" spans="2:4" x14ac:dyDescent="0.25">
      <c r="B4568" s="4">
        <f t="shared" si="87"/>
        <v>615.61999999995851</v>
      </c>
      <c r="C4568" s="199">
        <v>1062.1755281584774</v>
      </c>
      <c r="D4568" s="7"/>
    </row>
    <row r="4569" spans="2:4" x14ac:dyDescent="0.25">
      <c r="B4569" s="4">
        <f t="shared" si="87"/>
        <v>615.6299999999585</v>
      </c>
      <c r="C4569" s="199">
        <v>1062.4035477944885</v>
      </c>
      <c r="D4569" s="7"/>
    </row>
    <row r="4570" spans="2:4" x14ac:dyDescent="0.25">
      <c r="B4570" s="4">
        <f t="shared" si="87"/>
        <v>615.63999999995849</v>
      </c>
      <c r="C4570" s="199">
        <v>1062.6315674305013</v>
      </c>
      <c r="D4570" s="7"/>
    </row>
    <row r="4571" spans="2:4" x14ac:dyDescent="0.25">
      <c r="B4571" s="4">
        <f t="shared" si="87"/>
        <v>615.64999999995848</v>
      </c>
      <c r="C4571" s="199">
        <v>1062.8595870665126</v>
      </c>
      <c r="D4571" s="7"/>
    </row>
    <row r="4572" spans="2:4" x14ac:dyDescent="0.25">
      <c r="B4572" s="4">
        <f t="shared" si="87"/>
        <v>615.65999999995847</v>
      </c>
      <c r="C4572" s="199">
        <v>1063.0876067025254</v>
      </c>
      <c r="D4572" s="7"/>
    </row>
    <row r="4573" spans="2:4" x14ac:dyDescent="0.25">
      <c r="B4573" s="4">
        <f t="shared" si="87"/>
        <v>615.66999999995846</v>
      </c>
      <c r="C4573" s="199">
        <v>1063.3156263385365</v>
      </c>
      <c r="D4573" s="7"/>
    </row>
    <row r="4574" spans="2:4" x14ac:dyDescent="0.25">
      <c r="B4574" s="4">
        <f t="shared" si="87"/>
        <v>615.67999999995845</v>
      </c>
      <c r="C4574" s="199">
        <v>1063.5436459745479</v>
      </c>
      <c r="D4574" s="7"/>
    </row>
    <row r="4575" spans="2:4" x14ac:dyDescent="0.25">
      <c r="B4575" s="4">
        <f t="shared" si="87"/>
        <v>615.68999999995845</v>
      </c>
      <c r="C4575" s="199">
        <v>1063.7716656105606</v>
      </c>
      <c r="D4575" s="7"/>
    </row>
    <row r="4576" spans="2:4" x14ac:dyDescent="0.25">
      <c r="B4576" s="4">
        <f t="shared" si="87"/>
        <v>615.69999999995844</v>
      </c>
      <c r="C4576" s="199">
        <v>1063.9996852465724</v>
      </c>
      <c r="D4576" s="7"/>
    </row>
    <row r="4577" spans="2:4" x14ac:dyDescent="0.25">
      <c r="B4577" s="4">
        <f t="shared" si="87"/>
        <v>615.70999999995843</v>
      </c>
      <c r="C4577" s="199">
        <v>1064.2277048825842</v>
      </c>
      <c r="D4577" s="7"/>
    </row>
    <row r="4578" spans="2:4" x14ac:dyDescent="0.25">
      <c r="B4578" s="4">
        <f t="shared" si="87"/>
        <v>615.71999999995842</v>
      </c>
      <c r="C4578" s="199">
        <v>1064.4559223456074</v>
      </c>
      <c r="D4578" s="7"/>
    </row>
    <row r="4579" spans="2:4" x14ac:dyDescent="0.25">
      <c r="B4579" s="4">
        <f t="shared" si="87"/>
        <v>615.72999999995841</v>
      </c>
      <c r="C4579" s="199">
        <v>1064.6841398086374</v>
      </c>
      <c r="D4579" s="7"/>
    </row>
    <row r="4580" spans="2:4" x14ac:dyDescent="0.25">
      <c r="B4580" s="4">
        <f t="shared" si="87"/>
        <v>615.7399999999584</v>
      </c>
      <c r="C4580" s="199">
        <v>1064.912357271666</v>
      </c>
      <c r="D4580" s="7"/>
    </row>
    <row r="4581" spans="2:4" x14ac:dyDescent="0.25">
      <c r="B4581" s="4">
        <f t="shared" si="87"/>
        <v>615.74999999995839</v>
      </c>
      <c r="C4581" s="199">
        <v>1065.1405747346944</v>
      </c>
      <c r="D4581" s="7"/>
    </row>
    <row r="4582" spans="2:4" x14ac:dyDescent="0.25">
      <c r="B4582" s="4">
        <f t="shared" si="87"/>
        <v>615.75999999995838</v>
      </c>
      <c r="C4582" s="199">
        <v>1065.368792197723</v>
      </c>
      <c r="D4582" s="7"/>
    </row>
    <row r="4583" spans="2:4" x14ac:dyDescent="0.25">
      <c r="B4583" s="4">
        <f t="shared" si="87"/>
        <v>615.76999999995837</v>
      </c>
      <c r="C4583" s="199">
        <v>1065.5970096607521</v>
      </c>
      <c r="D4583" s="7"/>
    </row>
    <row r="4584" spans="2:4" x14ac:dyDescent="0.25">
      <c r="B4584" s="4">
        <f t="shared" si="87"/>
        <v>615.77999999995836</v>
      </c>
      <c r="C4584" s="199">
        <v>1065.8252271237814</v>
      </c>
      <c r="D4584" s="7"/>
    </row>
    <row r="4585" spans="2:4" x14ac:dyDescent="0.25">
      <c r="B4585" s="4">
        <f t="shared" si="87"/>
        <v>615.78999999995835</v>
      </c>
      <c r="C4585" s="199">
        <v>1066.0534445868102</v>
      </c>
      <c r="D4585" s="7"/>
    </row>
    <row r="4586" spans="2:4" x14ac:dyDescent="0.25">
      <c r="B4586" s="4">
        <f t="shared" si="87"/>
        <v>615.79999999995835</v>
      </c>
      <c r="C4586" s="199">
        <v>1066.2816620498384</v>
      </c>
      <c r="D4586" s="7"/>
    </row>
    <row r="4587" spans="2:4" x14ac:dyDescent="0.25">
      <c r="B4587" s="4">
        <f t="shared" si="87"/>
        <v>615.80999999995834</v>
      </c>
      <c r="C4587" s="199">
        <v>1066.509879512867</v>
      </c>
      <c r="D4587" s="7"/>
    </row>
    <row r="4588" spans="2:4" x14ac:dyDescent="0.25">
      <c r="B4588" s="4">
        <f t="shared" si="87"/>
        <v>615.81999999995833</v>
      </c>
      <c r="C4588" s="199">
        <v>1066.7382952667515</v>
      </c>
      <c r="D4588" s="7"/>
    </row>
    <row r="4589" spans="2:4" x14ac:dyDescent="0.25">
      <c r="B4589" s="4">
        <f t="shared" si="87"/>
        <v>615.82999999995832</v>
      </c>
      <c r="C4589" s="199">
        <v>1066.9667110206353</v>
      </c>
      <c r="D4589" s="7"/>
    </row>
    <row r="4590" spans="2:4" x14ac:dyDescent="0.25">
      <c r="B4590" s="4">
        <f t="shared" si="87"/>
        <v>615.83999999995831</v>
      </c>
      <c r="C4590" s="199">
        <v>1067.1951267745187</v>
      </c>
      <c r="D4590" s="7"/>
    </row>
    <row r="4591" spans="2:4" x14ac:dyDescent="0.25">
      <c r="B4591" s="4">
        <f t="shared" si="87"/>
        <v>615.8499999999583</v>
      </c>
      <c r="C4591" s="199">
        <v>1067.4235425284014</v>
      </c>
      <c r="D4591" s="7"/>
    </row>
    <row r="4592" spans="2:4" x14ac:dyDescent="0.25">
      <c r="B4592" s="4">
        <f t="shared" si="87"/>
        <v>615.85999999995829</v>
      </c>
      <c r="C4592" s="199">
        <v>1067.6519582822843</v>
      </c>
      <c r="D4592" s="7"/>
    </row>
    <row r="4593" spans="2:4" x14ac:dyDescent="0.25">
      <c r="B4593" s="4">
        <f t="shared" si="87"/>
        <v>615.86999999995828</v>
      </c>
      <c r="C4593" s="199">
        <v>1067.8803740361673</v>
      </c>
      <c r="D4593" s="7"/>
    </row>
    <row r="4594" spans="2:4" x14ac:dyDescent="0.25">
      <c r="B4594" s="4">
        <f t="shared" si="87"/>
        <v>615.87999999995827</v>
      </c>
      <c r="C4594" s="199">
        <v>1068.1087897900513</v>
      </c>
      <c r="D4594" s="7"/>
    </row>
    <row r="4595" spans="2:4" x14ac:dyDescent="0.25">
      <c r="B4595" s="4">
        <f t="shared" si="87"/>
        <v>615.88999999995826</v>
      </c>
      <c r="C4595" s="199">
        <v>1068.3372055439338</v>
      </c>
      <c r="D4595" s="7"/>
    </row>
    <row r="4596" spans="2:4" x14ac:dyDescent="0.25">
      <c r="B4596" s="4">
        <f t="shared" si="87"/>
        <v>615.89999999995825</v>
      </c>
      <c r="C4596" s="199">
        <v>1068.5656212978174</v>
      </c>
      <c r="D4596" s="7"/>
    </row>
    <row r="4597" spans="2:4" x14ac:dyDescent="0.25">
      <c r="B4597" s="4">
        <f t="shared" si="87"/>
        <v>615.90999999995825</v>
      </c>
      <c r="C4597" s="199">
        <v>1068.7940370517006</v>
      </c>
      <c r="D4597" s="7"/>
    </row>
    <row r="4598" spans="2:4" x14ac:dyDescent="0.25">
      <c r="B4598" s="4">
        <f t="shared" si="87"/>
        <v>615.91999999995824</v>
      </c>
      <c r="C4598" s="199">
        <v>1069.0226493167402</v>
      </c>
      <c r="D4598" s="7"/>
    </row>
    <row r="4599" spans="2:4" x14ac:dyDescent="0.25">
      <c r="B4599" s="4">
        <f t="shared" si="87"/>
        <v>615.92999999995823</v>
      </c>
      <c r="C4599" s="199">
        <v>1069.251261581785</v>
      </c>
      <c r="D4599" s="7"/>
    </row>
    <row r="4600" spans="2:4" x14ac:dyDescent="0.25">
      <c r="B4600" s="4">
        <f t="shared" si="87"/>
        <v>615.93999999995822</v>
      </c>
      <c r="C4600" s="199">
        <v>1069.4798738468294</v>
      </c>
      <c r="D4600" s="7"/>
    </row>
    <row r="4601" spans="2:4" x14ac:dyDescent="0.25">
      <c r="B4601" s="4">
        <f t="shared" si="87"/>
        <v>615.94999999995821</v>
      </c>
      <c r="C4601" s="199">
        <v>1069.7084861118738</v>
      </c>
      <c r="D4601" s="7"/>
    </row>
    <row r="4602" spans="2:4" x14ac:dyDescent="0.25">
      <c r="B4602" s="4">
        <f t="shared" si="87"/>
        <v>615.9599999999582</v>
      </c>
      <c r="C4602" s="199">
        <v>1069.937098376919</v>
      </c>
      <c r="D4602" s="7"/>
    </row>
    <row r="4603" spans="2:4" x14ac:dyDescent="0.25">
      <c r="B4603" s="4">
        <f t="shared" si="87"/>
        <v>615.96999999995819</v>
      </c>
      <c r="C4603" s="199">
        <v>1070.1657106419632</v>
      </c>
      <c r="D4603" s="7"/>
    </row>
    <row r="4604" spans="2:4" x14ac:dyDescent="0.25">
      <c r="B4604" s="4">
        <f t="shared" si="87"/>
        <v>615.97999999995818</v>
      </c>
      <c r="C4604" s="199">
        <v>1070.3943229070073</v>
      </c>
      <c r="D4604" s="7"/>
    </row>
    <row r="4605" spans="2:4" x14ac:dyDescent="0.25">
      <c r="B4605" s="4">
        <f t="shared" si="87"/>
        <v>615.98999999995817</v>
      </c>
      <c r="C4605" s="199">
        <v>1070.6229351720517</v>
      </c>
      <c r="D4605" s="7"/>
    </row>
    <row r="4606" spans="2:4" x14ac:dyDescent="0.25">
      <c r="B4606" s="4">
        <f t="shared" si="87"/>
        <v>615.99999999995816</v>
      </c>
      <c r="C4606" s="199">
        <v>1070.851547437097</v>
      </c>
      <c r="D4606" s="7"/>
    </row>
    <row r="4607" spans="2:4" x14ac:dyDescent="0.25">
      <c r="B4607" s="4">
        <f t="shared" si="87"/>
        <v>616.00999999995815</v>
      </c>
      <c r="C4607" s="199">
        <v>1071.0801597021409</v>
      </c>
      <c r="D4607" s="7"/>
    </row>
    <row r="4608" spans="2:4" x14ac:dyDescent="0.25">
      <c r="B4608" s="4">
        <f t="shared" si="87"/>
        <v>616.01999999995815</v>
      </c>
      <c r="C4608" s="199">
        <v>1071.3089681153388</v>
      </c>
      <c r="D4608" s="7"/>
    </row>
    <row r="4609" spans="2:4" x14ac:dyDescent="0.25">
      <c r="B4609" s="4">
        <f t="shared" si="87"/>
        <v>616.02999999995814</v>
      </c>
      <c r="C4609" s="199">
        <v>1071.537776528535</v>
      </c>
      <c r="D4609" s="7"/>
    </row>
    <row r="4610" spans="2:4" x14ac:dyDescent="0.25">
      <c r="B4610" s="4">
        <f t="shared" si="87"/>
        <v>616.03999999995813</v>
      </c>
      <c r="C4610" s="199">
        <v>1071.7665849417315</v>
      </c>
      <c r="D4610" s="7"/>
    </row>
    <row r="4611" spans="2:4" x14ac:dyDescent="0.25">
      <c r="B4611" s="4">
        <f t="shared" si="87"/>
        <v>616.04999999995812</v>
      </c>
      <c r="C4611" s="199">
        <v>1071.9953933549277</v>
      </c>
      <c r="D4611" s="7"/>
    </row>
    <row r="4612" spans="2:4" x14ac:dyDescent="0.25">
      <c r="B4612" s="4">
        <f t="shared" si="87"/>
        <v>616.05999999995811</v>
      </c>
      <c r="C4612" s="199">
        <v>1072.224201768124</v>
      </c>
      <c r="D4612" s="7"/>
    </row>
    <row r="4613" spans="2:4" x14ac:dyDescent="0.25">
      <c r="B4613" s="4">
        <f t="shared" si="87"/>
        <v>616.0699999999581</v>
      </c>
      <c r="C4613" s="199">
        <v>1072.4530101813198</v>
      </c>
      <c r="D4613" s="7"/>
    </row>
    <row r="4614" spans="2:4" x14ac:dyDescent="0.25">
      <c r="B4614" s="4">
        <f t="shared" si="87"/>
        <v>616.07999999995809</v>
      </c>
      <c r="C4614" s="199">
        <v>1072.6818185945167</v>
      </c>
      <c r="D4614" s="7"/>
    </row>
    <row r="4615" spans="2:4" x14ac:dyDescent="0.25">
      <c r="B4615" s="4">
        <f t="shared" si="87"/>
        <v>616.08999999995808</v>
      </c>
      <c r="C4615" s="199">
        <v>1072.910627007712</v>
      </c>
      <c r="D4615" s="7"/>
    </row>
    <row r="4616" spans="2:4" x14ac:dyDescent="0.25">
      <c r="B4616" s="4">
        <f t="shared" ref="B4616:B4679" si="88">+B4615+0.01</f>
        <v>616.09999999995807</v>
      </c>
      <c r="C4616" s="199">
        <v>1073.1394354209083</v>
      </c>
      <c r="D4616" s="7"/>
    </row>
    <row r="4617" spans="2:4" x14ac:dyDescent="0.25">
      <c r="B4617" s="4">
        <f t="shared" si="88"/>
        <v>616.10999999995806</v>
      </c>
      <c r="C4617" s="199">
        <v>1073.3682438341052</v>
      </c>
      <c r="D4617" s="7"/>
    </row>
    <row r="4618" spans="2:4" x14ac:dyDescent="0.25">
      <c r="B4618" s="4">
        <f t="shared" si="88"/>
        <v>616.11999999995805</v>
      </c>
      <c r="C4618" s="199">
        <v>1073.5972467714985</v>
      </c>
      <c r="D4618" s="7"/>
    </row>
    <row r="4619" spans="2:4" x14ac:dyDescent="0.25">
      <c r="B4619" s="4">
        <f t="shared" si="88"/>
        <v>616.12999999995805</v>
      </c>
      <c r="C4619" s="199">
        <v>1073.8262497088981</v>
      </c>
      <c r="D4619" s="7"/>
    </row>
    <row r="4620" spans="2:4" x14ac:dyDescent="0.25">
      <c r="B4620" s="4">
        <f t="shared" si="88"/>
        <v>616.13999999995804</v>
      </c>
      <c r="C4620" s="199">
        <v>1074.0552526462977</v>
      </c>
      <c r="D4620" s="7"/>
    </row>
    <row r="4621" spans="2:4" x14ac:dyDescent="0.25">
      <c r="B4621" s="4">
        <f t="shared" si="88"/>
        <v>616.14999999995803</v>
      </c>
      <c r="C4621" s="199">
        <v>1074.2842555836978</v>
      </c>
      <c r="D4621" s="7"/>
    </row>
    <row r="4622" spans="2:4" x14ac:dyDescent="0.25">
      <c r="B4622" s="4">
        <f t="shared" si="88"/>
        <v>616.15999999995802</v>
      </c>
      <c r="C4622" s="199">
        <v>1074.5132585210979</v>
      </c>
      <c r="D4622" s="7"/>
    </row>
    <row r="4623" spans="2:4" x14ac:dyDescent="0.25">
      <c r="B4623" s="4">
        <f t="shared" si="88"/>
        <v>616.16999999995801</v>
      </c>
      <c r="C4623" s="199">
        <v>1074.7422614584966</v>
      </c>
      <c r="D4623" s="7"/>
    </row>
    <row r="4624" spans="2:4" x14ac:dyDescent="0.25">
      <c r="B4624" s="4">
        <f t="shared" si="88"/>
        <v>616.179999999958</v>
      </c>
      <c r="C4624" s="199">
        <v>1074.9712643958962</v>
      </c>
      <c r="D4624" s="7"/>
    </row>
    <row r="4625" spans="2:4" x14ac:dyDescent="0.25">
      <c r="B4625" s="4">
        <f t="shared" si="88"/>
        <v>616.18999999995799</v>
      </c>
      <c r="C4625" s="199">
        <v>1075.2002673332968</v>
      </c>
      <c r="D4625" s="7"/>
    </row>
    <row r="4626" spans="2:4" x14ac:dyDescent="0.25">
      <c r="B4626" s="4">
        <f t="shared" si="88"/>
        <v>616.19999999995798</v>
      </c>
      <c r="C4626" s="199">
        <v>1075.429270270696</v>
      </c>
      <c r="D4626" s="7"/>
    </row>
    <row r="4627" spans="2:4" x14ac:dyDescent="0.25">
      <c r="B4627" s="4">
        <f t="shared" si="88"/>
        <v>616.20999999995797</v>
      </c>
      <c r="C4627" s="199">
        <v>1075.658273208096</v>
      </c>
      <c r="D4627" s="7"/>
    </row>
    <row r="4628" spans="2:4" x14ac:dyDescent="0.25">
      <c r="B4628" s="4">
        <f t="shared" si="88"/>
        <v>616.21999999995796</v>
      </c>
      <c r="C4628" s="199">
        <v>1075.8874706613808</v>
      </c>
      <c r="D4628" s="7"/>
    </row>
    <row r="4629" spans="2:4" x14ac:dyDescent="0.25">
      <c r="B4629" s="4">
        <f t="shared" si="88"/>
        <v>616.22999999995795</v>
      </c>
      <c r="C4629" s="199">
        <v>1076.1166681146663</v>
      </c>
      <c r="D4629" s="7"/>
    </row>
    <row r="4630" spans="2:4" x14ac:dyDescent="0.25">
      <c r="B4630" s="4">
        <f t="shared" si="88"/>
        <v>616.23999999995794</v>
      </c>
      <c r="C4630" s="199">
        <v>1076.3458655679508</v>
      </c>
      <c r="D4630" s="7"/>
    </row>
    <row r="4631" spans="2:4" x14ac:dyDescent="0.25">
      <c r="B4631" s="4">
        <f t="shared" si="88"/>
        <v>616.24999999995794</v>
      </c>
      <c r="C4631" s="199">
        <v>1076.575063021236</v>
      </c>
      <c r="D4631" s="7"/>
    </row>
    <row r="4632" spans="2:4" x14ac:dyDescent="0.25">
      <c r="B4632" s="4">
        <f t="shared" si="88"/>
        <v>616.25999999995793</v>
      </c>
      <c r="C4632" s="199">
        <v>1076.8042604745203</v>
      </c>
      <c r="D4632" s="7"/>
    </row>
    <row r="4633" spans="2:4" x14ac:dyDescent="0.25">
      <c r="B4633" s="4">
        <f t="shared" si="88"/>
        <v>616.26999999995792</v>
      </c>
      <c r="C4633" s="199">
        <v>1077.0334579278051</v>
      </c>
      <c r="D4633" s="7"/>
    </row>
    <row r="4634" spans="2:4" x14ac:dyDescent="0.25">
      <c r="B4634" s="4">
        <f t="shared" si="88"/>
        <v>616.27999999995791</v>
      </c>
      <c r="C4634" s="199">
        <v>1077.2626553810903</v>
      </c>
      <c r="D4634" s="7"/>
    </row>
    <row r="4635" spans="2:4" x14ac:dyDescent="0.25">
      <c r="B4635" s="4">
        <f t="shared" si="88"/>
        <v>616.2899999999579</v>
      </c>
      <c r="C4635" s="199">
        <v>1077.4918528343751</v>
      </c>
      <c r="D4635" s="7"/>
    </row>
    <row r="4636" spans="2:4" x14ac:dyDescent="0.25">
      <c r="B4636" s="4">
        <f t="shared" si="88"/>
        <v>616.29999999995789</v>
      </c>
      <c r="C4636" s="199">
        <v>1077.7210502876601</v>
      </c>
      <c r="D4636" s="7"/>
    </row>
    <row r="4637" spans="2:4" x14ac:dyDescent="0.25">
      <c r="B4637" s="4">
        <f t="shared" si="88"/>
        <v>616.30999999995788</v>
      </c>
      <c r="C4637" s="199">
        <v>1077.9502477409449</v>
      </c>
      <c r="D4637" s="7"/>
    </row>
    <row r="4638" spans="2:4" x14ac:dyDescent="0.25">
      <c r="B4638" s="4">
        <f t="shared" si="88"/>
        <v>616.31999999995787</v>
      </c>
      <c r="C4638" s="199">
        <v>1078.1796382472926</v>
      </c>
      <c r="D4638" s="7"/>
    </row>
    <row r="4639" spans="2:4" x14ac:dyDescent="0.25">
      <c r="B4639" s="4">
        <f t="shared" si="88"/>
        <v>616.32999999995786</v>
      </c>
      <c r="C4639" s="199">
        <v>1078.4090287536458</v>
      </c>
      <c r="D4639" s="7"/>
    </row>
    <row r="4640" spans="2:4" x14ac:dyDescent="0.25">
      <c r="B4640" s="4">
        <f t="shared" si="88"/>
        <v>616.33999999995785</v>
      </c>
      <c r="C4640" s="199">
        <v>1078.6384192599996</v>
      </c>
      <c r="D4640" s="7"/>
    </row>
    <row r="4641" spans="2:4" x14ac:dyDescent="0.25">
      <c r="B4641" s="4">
        <f t="shared" si="88"/>
        <v>616.34999999995784</v>
      </c>
      <c r="C4641" s="199">
        <v>1078.867809766353</v>
      </c>
      <c r="D4641" s="7"/>
    </row>
    <row r="4642" spans="2:4" x14ac:dyDescent="0.25">
      <c r="B4642" s="4">
        <f t="shared" si="88"/>
        <v>616.35999999995784</v>
      </c>
      <c r="C4642" s="199">
        <v>1079.0972002727067</v>
      </c>
      <c r="D4642" s="7"/>
    </row>
    <row r="4643" spans="2:4" x14ac:dyDescent="0.25">
      <c r="B4643" s="4">
        <f t="shared" si="88"/>
        <v>616.36999999995783</v>
      </c>
      <c r="C4643" s="199">
        <v>1079.3265907790599</v>
      </c>
      <c r="D4643" s="7"/>
    </row>
    <row r="4644" spans="2:4" x14ac:dyDescent="0.25">
      <c r="B4644" s="4">
        <f t="shared" si="88"/>
        <v>616.37999999995782</v>
      </c>
      <c r="C4644" s="199">
        <v>1079.5559812854135</v>
      </c>
      <c r="D4644" s="7"/>
    </row>
    <row r="4645" spans="2:4" x14ac:dyDescent="0.25">
      <c r="B4645" s="4">
        <f t="shared" si="88"/>
        <v>616.38999999995781</v>
      </c>
      <c r="C4645" s="199">
        <v>1079.7853717917669</v>
      </c>
      <c r="D4645" s="7"/>
    </row>
    <row r="4646" spans="2:4" x14ac:dyDescent="0.25">
      <c r="B4646" s="4">
        <f t="shared" si="88"/>
        <v>616.3999999999578</v>
      </c>
      <c r="C4646" s="199">
        <v>1080.0147622981206</v>
      </c>
      <c r="D4646" s="7"/>
    </row>
    <row r="4647" spans="2:4" x14ac:dyDescent="0.25">
      <c r="B4647" s="4">
        <f t="shared" si="88"/>
        <v>616.40999999995779</v>
      </c>
      <c r="C4647" s="199">
        <v>1080.2441528044737</v>
      </c>
      <c r="D4647" s="7"/>
    </row>
    <row r="4648" spans="2:4" x14ac:dyDescent="0.25">
      <c r="B4648" s="4">
        <f t="shared" si="88"/>
        <v>616.41999999995778</v>
      </c>
      <c r="C4648" s="199">
        <v>1080.4737359848098</v>
      </c>
      <c r="D4648" s="7"/>
    </row>
    <row r="4649" spans="2:4" x14ac:dyDescent="0.25">
      <c r="B4649" s="4">
        <f t="shared" si="88"/>
        <v>616.42999999995777</v>
      </c>
      <c r="C4649" s="199">
        <v>1080.7033191651446</v>
      </c>
      <c r="D4649" s="7"/>
    </row>
    <row r="4650" spans="2:4" x14ac:dyDescent="0.25">
      <c r="B4650" s="4">
        <f t="shared" si="88"/>
        <v>616.43999999995776</v>
      </c>
      <c r="C4650" s="199">
        <v>1080.9329023454793</v>
      </c>
      <c r="D4650" s="7"/>
    </row>
    <row r="4651" spans="2:4" x14ac:dyDescent="0.25">
      <c r="B4651" s="4">
        <f t="shared" si="88"/>
        <v>616.44999999995775</v>
      </c>
      <c r="C4651" s="199">
        <v>1081.1624855258144</v>
      </c>
      <c r="D4651" s="7"/>
    </row>
    <row r="4652" spans="2:4" x14ac:dyDescent="0.25">
      <c r="B4652" s="4">
        <f t="shared" si="88"/>
        <v>616.45999999995774</v>
      </c>
      <c r="C4652" s="199">
        <v>1081.3920687061486</v>
      </c>
      <c r="D4652" s="7"/>
    </row>
    <row r="4653" spans="2:4" x14ac:dyDescent="0.25">
      <c r="B4653" s="4">
        <f t="shared" si="88"/>
        <v>616.46999999995774</v>
      </c>
      <c r="C4653" s="199">
        <v>1081.6216518864846</v>
      </c>
      <c r="D4653" s="7"/>
    </row>
    <row r="4654" spans="2:4" x14ac:dyDescent="0.25">
      <c r="B4654" s="4">
        <f t="shared" si="88"/>
        <v>616.47999999995773</v>
      </c>
      <c r="C4654" s="199">
        <v>1081.8512350668193</v>
      </c>
      <c r="D4654" s="7"/>
    </row>
    <row r="4655" spans="2:4" x14ac:dyDescent="0.25">
      <c r="B4655" s="4">
        <f t="shared" si="88"/>
        <v>616.48999999995772</v>
      </c>
      <c r="C4655" s="199">
        <v>1082.0808182471535</v>
      </c>
      <c r="D4655" s="7"/>
    </row>
    <row r="4656" spans="2:4" x14ac:dyDescent="0.25">
      <c r="B4656" s="4">
        <f t="shared" si="88"/>
        <v>616.49999999995771</v>
      </c>
      <c r="C4656" s="199">
        <v>1082.3104014274891</v>
      </c>
      <c r="D4656" s="7"/>
    </row>
    <row r="4657" spans="2:4" x14ac:dyDescent="0.25">
      <c r="B4657" s="4">
        <f t="shared" si="88"/>
        <v>616.5099999999577</v>
      </c>
      <c r="C4657" s="199">
        <v>1082.5399846078237</v>
      </c>
      <c r="D4657" s="7"/>
    </row>
    <row r="4658" spans="2:4" x14ac:dyDescent="0.25">
      <c r="B4658" s="4">
        <f t="shared" si="88"/>
        <v>616.51999999995769</v>
      </c>
      <c r="C4658" s="199">
        <v>1082.769762359851</v>
      </c>
      <c r="D4658" s="7"/>
    </row>
    <row r="4659" spans="2:4" x14ac:dyDescent="0.25">
      <c r="B4659" s="4">
        <f t="shared" si="88"/>
        <v>616.52999999995768</v>
      </c>
      <c r="C4659" s="199">
        <v>1082.9995401118838</v>
      </c>
      <c r="D4659" s="7"/>
    </row>
    <row r="4660" spans="2:4" x14ac:dyDescent="0.25">
      <c r="B4660" s="4">
        <f t="shared" si="88"/>
        <v>616.53999999995767</v>
      </c>
      <c r="C4660" s="199">
        <v>1083.2293178639159</v>
      </c>
      <c r="D4660" s="7"/>
    </row>
    <row r="4661" spans="2:4" x14ac:dyDescent="0.25">
      <c r="B4661" s="4">
        <f t="shared" si="88"/>
        <v>616.54999999995766</v>
      </c>
      <c r="C4661" s="199">
        <v>1083.4590956159484</v>
      </c>
      <c r="D4661" s="7"/>
    </row>
    <row r="4662" spans="2:4" x14ac:dyDescent="0.25">
      <c r="B4662" s="4">
        <f t="shared" si="88"/>
        <v>616.55999999995765</v>
      </c>
      <c r="C4662" s="199">
        <v>1083.6888733679809</v>
      </c>
      <c r="D4662" s="7"/>
    </row>
    <row r="4663" spans="2:4" x14ac:dyDescent="0.25">
      <c r="B4663" s="4">
        <f t="shared" si="88"/>
        <v>616.56999999995764</v>
      </c>
      <c r="C4663" s="199">
        <v>1083.918651120013</v>
      </c>
      <c r="D4663" s="7"/>
    </row>
    <row r="4664" spans="2:4" x14ac:dyDescent="0.25">
      <c r="B4664" s="4">
        <f t="shared" si="88"/>
        <v>616.57999999995764</v>
      </c>
      <c r="C4664" s="199">
        <v>1084.1484288720455</v>
      </c>
      <c r="D4664" s="7"/>
    </row>
    <row r="4665" spans="2:4" x14ac:dyDescent="0.25">
      <c r="B4665" s="4">
        <f t="shared" si="88"/>
        <v>616.58999999995763</v>
      </c>
      <c r="C4665" s="199">
        <v>1084.3782066240781</v>
      </c>
      <c r="D4665" s="7"/>
    </row>
    <row r="4666" spans="2:4" x14ac:dyDescent="0.25">
      <c r="B4666" s="4">
        <f t="shared" si="88"/>
        <v>616.59999999995762</v>
      </c>
      <c r="C4666" s="199">
        <v>1084.6079843761104</v>
      </c>
      <c r="D4666" s="7"/>
    </row>
    <row r="4667" spans="2:4" x14ac:dyDescent="0.25">
      <c r="B4667" s="4">
        <f t="shared" si="88"/>
        <v>616.60999999995761</v>
      </c>
      <c r="C4667" s="199">
        <v>1084.8377621281425</v>
      </c>
      <c r="D4667" s="7"/>
    </row>
    <row r="4668" spans="2:4" x14ac:dyDescent="0.25">
      <c r="B4668" s="4">
        <f t="shared" si="88"/>
        <v>616.6199999999576</v>
      </c>
      <c r="C4668" s="199">
        <v>1085.0677320845514</v>
      </c>
      <c r="D4668" s="7"/>
    </row>
    <row r="4669" spans="2:4" x14ac:dyDescent="0.25">
      <c r="B4669" s="4">
        <f t="shared" si="88"/>
        <v>616.62999999995759</v>
      </c>
      <c r="C4669" s="199">
        <v>1085.2977020409608</v>
      </c>
      <c r="D4669" s="7"/>
    </row>
    <row r="4670" spans="2:4" x14ac:dyDescent="0.25">
      <c r="B4670" s="4">
        <f t="shared" si="88"/>
        <v>616.63999999995758</v>
      </c>
      <c r="C4670" s="199">
        <v>1085.5276719973692</v>
      </c>
      <c r="D4670" s="7"/>
    </row>
    <row r="4671" spans="2:4" x14ac:dyDescent="0.25">
      <c r="B4671" s="4">
        <f t="shared" si="88"/>
        <v>616.64999999995757</v>
      </c>
      <c r="C4671" s="199">
        <v>1085.7576419537781</v>
      </c>
      <c r="D4671" s="7"/>
    </row>
    <row r="4672" spans="2:4" x14ac:dyDescent="0.25">
      <c r="B4672" s="4">
        <f t="shared" si="88"/>
        <v>616.65999999995756</v>
      </c>
      <c r="C4672" s="199">
        <v>1085.9876119101868</v>
      </c>
      <c r="D4672" s="7"/>
    </row>
    <row r="4673" spans="2:4" x14ac:dyDescent="0.25">
      <c r="B4673" s="4">
        <f t="shared" si="88"/>
        <v>616.66999999995755</v>
      </c>
      <c r="C4673" s="199">
        <v>1086.2175818665951</v>
      </c>
      <c r="D4673" s="7"/>
    </row>
    <row r="4674" spans="2:4" x14ac:dyDescent="0.25">
      <c r="B4674" s="4">
        <f t="shared" si="88"/>
        <v>616.67999999995754</v>
      </c>
      <c r="C4674" s="199">
        <v>1086.4475518230047</v>
      </c>
      <c r="D4674" s="7"/>
    </row>
    <row r="4675" spans="2:4" x14ac:dyDescent="0.25">
      <c r="B4675" s="4">
        <f t="shared" si="88"/>
        <v>616.68999999995754</v>
      </c>
      <c r="C4675" s="199">
        <v>1086.6775217794132</v>
      </c>
      <c r="D4675" s="7"/>
    </row>
    <row r="4676" spans="2:4" x14ac:dyDescent="0.25">
      <c r="B4676" s="4">
        <f t="shared" si="88"/>
        <v>616.69999999995753</v>
      </c>
      <c r="C4676" s="199">
        <v>1086.9074917358218</v>
      </c>
      <c r="D4676" s="7"/>
    </row>
    <row r="4677" spans="2:4" x14ac:dyDescent="0.25">
      <c r="B4677" s="4">
        <f t="shared" si="88"/>
        <v>616.70999999995752</v>
      </c>
      <c r="C4677" s="199">
        <v>1087.1374616922312</v>
      </c>
      <c r="D4677" s="7"/>
    </row>
    <row r="4678" spans="2:4" x14ac:dyDescent="0.25">
      <c r="B4678" s="4">
        <f t="shared" si="88"/>
        <v>616.71999999995751</v>
      </c>
      <c r="C4678" s="199">
        <v>1087.3676269950345</v>
      </c>
      <c r="D4678" s="7"/>
    </row>
    <row r="4679" spans="2:4" x14ac:dyDescent="0.25">
      <c r="B4679" s="4">
        <f t="shared" si="88"/>
        <v>616.7299999999575</v>
      </c>
      <c r="C4679" s="199">
        <v>1087.5977922978418</v>
      </c>
      <c r="D4679" s="7"/>
    </row>
    <row r="4680" spans="2:4" x14ac:dyDescent="0.25">
      <c r="B4680" s="4">
        <f t="shared" ref="B4680:B4743" si="89">+B4679+0.01</f>
        <v>616.73999999995749</v>
      </c>
      <c r="C4680" s="199">
        <v>1087.8279576006498</v>
      </c>
      <c r="D4680" s="7"/>
    </row>
    <row r="4681" spans="2:4" x14ac:dyDescent="0.25">
      <c r="B4681" s="4">
        <f t="shared" si="89"/>
        <v>616.74999999995748</v>
      </c>
      <c r="C4681" s="199">
        <v>1088.0581229034574</v>
      </c>
      <c r="D4681" s="7"/>
    </row>
    <row r="4682" spans="2:4" x14ac:dyDescent="0.25">
      <c r="B4682" s="4">
        <f t="shared" si="89"/>
        <v>616.75999999995747</v>
      </c>
      <c r="C4682" s="199">
        <v>1088.2882882062665</v>
      </c>
      <c r="D4682" s="7"/>
    </row>
    <row r="4683" spans="2:4" x14ac:dyDescent="0.25">
      <c r="B4683" s="4">
        <f t="shared" si="89"/>
        <v>616.76999999995746</v>
      </c>
      <c r="C4683" s="199">
        <v>1088.5184535090748</v>
      </c>
      <c r="D4683" s="7"/>
    </row>
    <row r="4684" spans="2:4" x14ac:dyDescent="0.25">
      <c r="B4684" s="4">
        <f t="shared" si="89"/>
        <v>616.77999999995745</v>
      </c>
      <c r="C4684" s="199">
        <v>1088.7486188118826</v>
      </c>
      <c r="D4684" s="7"/>
    </row>
    <row r="4685" spans="2:4" x14ac:dyDescent="0.25">
      <c r="B4685" s="4">
        <f t="shared" si="89"/>
        <v>616.78999999995744</v>
      </c>
      <c r="C4685" s="199">
        <v>1088.9787841146901</v>
      </c>
      <c r="D4685" s="7"/>
    </row>
    <row r="4686" spans="2:4" x14ac:dyDescent="0.25">
      <c r="B4686" s="4">
        <f t="shared" si="89"/>
        <v>616.79999999995744</v>
      </c>
      <c r="C4686" s="199">
        <v>1089.2089494174995</v>
      </c>
      <c r="D4686" s="7"/>
    </row>
    <row r="4687" spans="2:4" x14ac:dyDescent="0.25">
      <c r="B4687" s="4">
        <f t="shared" si="89"/>
        <v>616.80999999995743</v>
      </c>
      <c r="C4687" s="199">
        <v>1089.4391147203073</v>
      </c>
      <c r="D4687" s="7"/>
    </row>
    <row r="4688" spans="2:4" x14ac:dyDescent="0.25">
      <c r="B4688" s="4">
        <f t="shared" si="89"/>
        <v>616.81999999995742</v>
      </c>
      <c r="C4688" s="199">
        <v>1089.6694744276215</v>
      </c>
      <c r="D4688" s="7"/>
    </row>
    <row r="4689" spans="2:4" x14ac:dyDescent="0.25">
      <c r="B4689" s="4">
        <f t="shared" si="89"/>
        <v>616.82999999995741</v>
      </c>
      <c r="C4689" s="199">
        <v>1089.8998341349347</v>
      </c>
      <c r="D4689" s="7"/>
    </row>
    <row r="4690" spans="2:4" x14ac:dyDescent="0.25">
      <c r="B4690" s="4">
        <f t="shared" si="89"/>
        <v>616.8399999999574</v>
      </c>
      <c r="C4690" s="199">
        <v>1090.1301938422487</v>
      </c>
      <c r="D4690" s="7"/>
    </row>
    <row r="4691" spans="2:4" x14ac:dyDescent="0.25">
      <c r="B4691" s="4">
        <f t="shared" si="89"/>
        <v>616.84999999995739</v>
      </c>
      <c r="C4691" s="199">
        <v>1090.3605535495626</v>
      </c>
      <c r="D4691" s="7"/>
    </row>
    <row r="4692" spans="2:4" x14ac:dyDescent="0.25">
      <c r="B4692" s="4">
        <f t="shared" si="89"/>
        <v>616.85999999995738</v>
      </c>
      <c r="C4692" s="199">
        <v>1090.5909132568752</v>
      </c>
      <c r="D4692" s="7"/>
    </row>
    <row r="4693" spans="2:4" x14ac:dyDescent="0.25">
      <c r="B4693" s="4">
        <f t="shared" si="89"/>
        <v>616.86999999995737</v>
      </c>
      <c r="C4693" s="199">
        <v>1090.8212729641889</v>
      </c>
      <c r="D4693" s="7"/>
    </row>
    <row r="4694" spans="2:4" x14ac:dyDescent="0.25">
      <c r="B4694" s="4">
        <f t="shared" si="89"/>
        <v>616.87999999995736</v>
      </c>
      <c r="C4694" s="199">
        <v>1091.0516326715026</v>
      </c>
      <c r="D4694" s="7"/>
    </row>
    <row r="4695" spans="2:4" x14ac:dyDescent="0.25">
      <c r="B4695" s="4">
        <f t="shared" si="89"/>
        <v>616.88999999995735</v>
      </c>
      <c r="C4695" s="199">
        <v>1091.2819923788159</v>
      </c>
      <c r="D4695" s="7"/>
    </row>
    <row r="4696" spans="2:4" x14ac:dyDescent="0.25">
      <c r="B4696" s="4">
        <f t="shared" si="89"/>
        <v>616.89999999995734</v>
      </c>
      <c r="C4696" s="199">
        <v>1091.5123520861287</v>
      </c>
      <c r="D4696" s="7"/>
    </row>
    <row r="4697" spans="2:4" x14ac:dyDescent="0.25">
      <c r="B4697" s="4">
        <f t="shared" si="89"/>
        <v>616.90999999995734</v>
      </c>
      <c r="C4697" s="199">
        <v>1091.7427117934424</v>
      </c>
      <c r="D4697" s="7"/>
    </row>
    <row r="4698" spans="2:4" x14ac:dyDescent="0.25">
      <c r="B4698" s="4">
        <f t="shared" si="89"/>
        <v>616.91999999995733</v>
      </c>
      <c r="C4698" s="199">
        <v>1091.9732660125721</v>
      </c>
      <c r="D4698" s="7"/>
    </row>
    <row r="4699" spans="2:4" x14ac:dyDescent="0.25">
      <c r="B4699" s="4">
        <f t="shared" si="89"/>
        <v>616.92999999995732</v>
      </c>
      <c r="C4699" s="199">
        <v>1092.2038202317071</v>
      </c>
      <c r="D4699" s="7"/>
    </row>
    <row r="4700" spans="2:4" x14ac:dyDescent="0.25">
      <c r="B4700" s="4">
        <f t="shared" si="89"/>
        <v>616.93999999995731</v>
      </c>
      <c r="C4700" s="199">
        <v>1092.4343744508419</v>
      </c>
      <c r="D4700" s="7"/>
    </row>
    <row r="4701" spans="2:4" x14ac:dyDescent="0.25">
      <c r="B4701" s="4">
        <f t="shared" si="89"/>
        <v>616.9499999999573</v>
      </c>
      <c r="C4701" s="199">
        <v>1092.6649286699765</v>
      </c>
      <c r="D4701" s="7"/>
    </row>
    <row r="4702" spans="2:4" x14ac:dyDescent="0.25">
      <c r="B4702" s="4">
        <f t="shared" si="89"/>
        <v>616.95999999995729</v>
      </c>
      <c r="C4702" s="199">
        <v>1092.8954828891117</v>
      </c>
      <c r="D4702" s="7"/>
    </row>
    <row r="4703" spans="2:4" x14ac:dyDescent="0.25">
      <c r="B4703" s="4">
        <f t="shared" si="89"/>
        <v>616.96999999995728</v>
      </c>
      <c r="C4703" s="199">
        <v>1093.1260371082465</v>
      </c>
      <c r="D4703" s="7"/>
    </row>
    <row r="4704" spans="2:4" x14ac:dyDescent="0.25">
      <c r="B4704" s="4">
        <f t="shared" si="89"/>
        <v>616.97999999995727</v>
      </c>
      <c r="C4704" s="199">
        <v>1093.3565913273815</v>
      </c>
      <c r="D4704" s="7"/>
    </row>
    <row r="4705" spans="2:4" x14ac:dyDescent="0.25">
      <c r="B4705" s="4">
        <f t="shared" si="89"/>
        <v>616.98999999995726</v>
      </c>
      <c r="C4705" s="199">
        <v>1093.587145546516</v>
      </c>
      <c r="D4705" s="7"/>
    </row>
    <row r="4706" spans="2:4" x14ac:dyDescent="0.25">
      <c r="B4706" s="4">
        <f t="shared" si="89"/>
        <v>616.99999999995725</v>
      </c>
      <c r="C4706" s="199">
        <v>1093.8176997656508</v>
      </c>
      <c r="D4706" s="7"/>
    </row>
    <row r="4707" spans="2:4" x14ac:dyDescent="0.25">
      <c r="B4707" s="4">
        <f t="shared" si="89"/>
        <v>617.00999999995724</v>
      </c>
      <c r="C4707" s="199">
        <v>1094.0482539847849</v>
      </c>
      <c r="D4707" s="7"/>
    </row>
    <row r="4708" spans="2:4" x14ac:dyDescent="0.25">
      <c r="B4708" s="4">
        <f t="shared" si="89"/>
        <v>617.01999999995724</v>
      </c>
      <c r="C4708" s="199">
        <v>1094.2790028919392</v>
      </c>
      <c r="D4708" s="7"/>
    </row>
    <row r="4709" spans="2:4" x14ac:dyDescent="0.25">
      <c r="B4709" s="4">
        <f t="shared" si="89"/>
        <v>617.02999999995723</v>
      </c>
      <c r="C4709" s="199">
        <v>1094.5097517990926</v>
      </c>
      <c r="D4709" s="7"/>
    </row>
    <row r="4710" spans="2:4" x14ac:dyDescent="0.25">
      <c r="B4710" s="4">
        <f t="shared" si="89"/>
        <v>617.03999999995722</v>
      </c>
      <c r="C4710" s="199">
        <v>1094.7405007062462</v>
      </c>
      <c r="D4710" s="7"/>
    </row>
    <row r="4711" spans="2:4" x14ac:dyDescent="0.25">
      <c r="B4711" s="4">
        <f t="shared" si="89"/>
        <v>617.04999999995721</v>
      </c>
      <c r="C4711" s="199">
        <v>1094.9712496134005</v>
      </c>
      <c r="D4711" s="7"/>
    </row>
    <row r="4712" spans="2:4" x14ac:dyDescent="0.25">
      <c r="B4712" s="4">
        <f t="shared" si="89"/>
        <v>617.0599999999572</v>
      </c>
      <c r="C4712" s="199">
        <v>1095.2019985205536</v>
      </c>
      <c r="D4712" s="7"/>
    </row>
    <row r="4713" spans="2:4" x14ac:dyDescent="0.25">
      <c r="B4713" s="4">
        <f t="shared" si="89"/>
        <v>617.06999999995719</v>
      </c>
      <c r="C4713" s="199">
        <v>1095.4327474277079</v>
      </c>
      <c r="D4713" s="7"/>
    </row>
    <row r="4714" spans="2:4" x14ac:dyDescent="0.25">
      <c r="B4714" s="4">
        <f t="shared" si="89"/>
        <v>617.07999999995718</v>
      </c>
      <c r="C4714" s="199">
        <v>1095.6634963348615</v>
      </c>
      <c r="D4714" s="7"/>
    </row>
    <row r="4715" spans="2:4" x14ac:dyDescent="0.25">
      <c r="B4715" s="4">
        <f t="shared" si="89"/>
        <v>617.08999999995717</v>
      </c>
      <c r="C4715" s="199">
        <v>1095.8942452420149</v>
      </c>
      <c r="D4715" s="7"/>
    </row>
    <row r="4716" spans="2:4" x14ac:dyDescent="0.25">
      <c r="B4716" s="4">
        <f t="shared" si="89"/>
        <v>617.09999999995716</v>
      </c>
      <c r="C4716" s="199">
        <v>1096.124994149169</v>
      </c>
      <c r="D4716" s="7"/>
    </row>
    <row r="4717" spans="2:4" x14ac:dyDescent="0.25">
      <c r="B4717" s="4">
        <f t="shared" si="89"/>
        <v>617.10999999995715</v>
      </c>
      <c r="C4717" s="199">
        <v>1096.3557430563224</v>
      </c>
      <c r="D4717" s="7"/>
    </row>
    <row r="4718" spans="2:4" x14ac:dyDescent="0.25">
      <c r="B4718" s="4">
        <f t="shared" si="89"/>
        <v>617.11999999995714</v>
      </c>
      <c r="C4718" s="199">
        <v>1096.5866846532717</v>
      </c>
      <c r="D4718" s="7"/>
    </row>
    <row r="4719" spans="2:4" x14ac:dyDescent="0.25">
      <c r="B4719" s="4">
        <f t="shared" si="89"/>
        <v>617.12999999995714</v>
      </c>
      <c r="C4719" s="199">
        <v>1096.8176262502272</v>
      </c>
      <c r="D4719" s="7"/>
    </row>
    <row r="4720" spans="2:4" x14ac:dyDescent="0.25">
      <c r="B4720" s="4">
        <f t="shared" si="89"/>
        <v>617.13999999995713</v>
      </c>
      <c r="C4720" s="199">
        <v>1097.0485678471812</v>
      </c>
      <c r="D4720" s="7"/>
    </row>
    <row r="4721" spans="2:4" x14ac:dyDescent="0.25">
      <c r="B4721" s="4">
        <f t="shared" si="89"/>
        <v>617.14999999995712</v>
      </c>
      <c r="C4721" s="199">
        <v>1097.2795094441349</v>
      </c>
      <c r="D4721" s="7"/>
    </row>
    <row r="4722" spans="2:4" x14ac:dyDescent="0.25">
      <c r="B4722" s="4">
        <f t="shared" si="89"/>
        <v>617.15999999995711</v>
      </c>
      <c r="C4722" s="199">
        <v>1097.5104510410895</v>
      </c>
      <c r="D4722" s="7"/>
    </row>
    <row r="4723" spans="2:4" x14ac:dyDescent="0.25">
      <c r="B4723" s="4">
        <f t="shared" si="89"/>
        <v>617.1699999999571</v>
      </c>
      <c r="C4723" s="199">
        <v>1097.7413926380436</v>
      </c>
      <c r="D4723" s="7"/>
    </row>
    <row r="4724" spans="2:4" x14ac:dyDescent="0.25">
      <c r="B4724" s="4">
        <f t="shared" si="89"/>
        <v>617.17999999995709</v>
      </c>
      <c r="C4724" s="199">
        <v>1097.9723342349987</v>
      </c>
      <c r="D4724" s="7"/>
    </row>
    <row r="4725" spans="2:4" x14ac:dyDescent="0.25">
      <c r="B4725" s="4">
        <f t="shared" si="89"/>
        <v>617.18999999995708</v>
      </c>
      <c r="C4725" s="199">
        <v>1098.2032758319533</v>
      </c>
      <c r="D4725" s="7"/>
    </row>
    <row r="4726" spans="2:4" x14ac:dyDescent="0.25">
      <c r="B4726" s="4">
        <f t="shared" si="89"/>
        <v>617.19999999995707</v>
      </c>
      <c r="C4726" s="199">
        <v>1098.4342174289068</v>
      </c>
      <c r="D4726" s="7"/>
    </row>
    <row r="4727" spans="2:4" x14ac:dyDescent="0.25">
      <c r="B4727" s="4">
        <f t="shared" si="89"/>
        <v>617.20999999995706</v>
      </c>
      <c r="C4727" s="199">
        <v>1098.6651590258609</v>
      </c>
      <c r="D4727" s="7"/>
    </row>
    <row r="4728" spans="2:4" x14ac:dyDescent="0.25">
      <c r="B4728" s="4">
        <f t="shared" si="89"/>
        <v>617.21999999995705</v>
      </c>
      <c r="C4728" s="199">
        <v>1098.8962952398849</v>
      </c>
      <c r="D4728" s="7"/>
    </row>
    <row r="4729" spans="2:4" x14ac:dyDescent="0.25">
      <c r="B4729" s="4">
        <f t="shared" si="89"/>
        <v>617.22999999995704</v>
      </c>
      <c r="C4729" s="199">
        <v>1099.1274314539089</v>
      </c>
      <c r="D4729" s="7"/>
    </row>
    <row r="4730" spans="2:4" x14ac:dyDescent="0.25">
      <c r="B4730" s="4">
        <f t="shared" si="89"/>
        <v>617.23999999995704</v>
      </c>
      <c r="C4730" s="199">
        <v>1099.3585676679322</v>
      </c>
      <c r="D4730" s="7"/>
    </row>
    <row r="4731" spans="2:4" x14ac:dyDescent="0.25">
      <c r="B4731" s="4">
        <f t="shared" si="89"/>
        <v>617.24999999995703</v>
      </c>
      <c r="C4731" s="199">
        <v>1099.5897038819555</v>
      </c>
      <c r="D4731" s="7"/>
    </row>
    <row r="4732" spans="2:4" x14ac:dyDescent="0.25">
      <c r="B4732" s="4">
        <f t="shared" si="89"/>
        <v>617.25999999995702</v>
      </c>
      <c r="C4732" s="199">
        <v>1099.8208400959786</v>
      </c>
      <c r="D4732" s="7"/>
    </row>
    <row r="4733" spans="2:4" x14ac:dyDescent="0.25">
      <c r="B4733" s="4">
        <f t="shared" si="89"/>
        <v>617.26999999995701</v>
      </c>
      <c r="C4733" s="199">
        <v>1100.0519763100021</v>
      </c>
      <c r="D4733" s="7"/>
    </row>
    <row r="4734" spans="2:4" x14ac:dyDescent="0.25">
      <c r="B4734" s="4">
        <f t="shared" si="89"/>
        <v>617.279999999957</v>
      </c>
      <c r="C4734" s="199">
        <v>1100.2831125240255</v>
      </c>
      <c r="D4734" s="7"/>
    </row>
    <row r="4735" spans="2:4" x14ac:dyDescent="0.25">
      <c r="B4735" s="4">
        <f t="shared" si="89"/>
        <v>617.28999999995699</v>
      </c>
      <c r="C4735" s="199">
        <v>1100.5142487380492</v>
      </c>
      <c r="D4735" s="7"/>
    </row>
    <row r="4736" spans="2:4" x14ac:dyDescent="0.25">
      <c r="B4736" s="4">
        <f t="shared" si="89"/>
        <v>617.29999999995698</v>
      </c>
      <c r="C4736" s="199">
        <v>1100.7453849520721</v>
      </c>
      <c r="D4736" s="7"/>
    </row>
    <row r="4737" spans="2:4" x14ac:dyDescent="0.25">
      <c r="B4737" s="4">
        <f t="shared" si="89"/>
        <v>617.30999999995697</v>
      </c>
      <c r="C4737" s="199">
        <v>1100.9765211660958</v>
      </c>
      <c r="D4737" s="7"/>
    </row>
    <row r="4738" spans="2:4" x14ac:dyDescent="0.25">
      <c r="B4738" s="4">
        <f t="shared" si="89"/>
        <v>617.31999999995696</v>
      </c>
      <c r="C4738" s="199">
        <v>1101.2078503992077</v>
      </c>
      <c r="D4738" s="7"/>
    </row>
    <row r="4739" spans="2:4" x14ac:dyDescent="0.25">
      <c r="B4739" s="4">
        <f t="shared" si="89"/>
        <v>617.32999999995695</v>
      </c>
      <c r="C4739" s="199">
        <v>1101.4391796323257</v>
      </c>
      <c r="D4739" s="7"/>
    </row>
    <row r="4740" spans="2:4" x14ac:dyDescent="0.25">
      <c r="B4740" s="4">
        <f t="shared" si="89"/>
        <v>617.33999999995694</v>
      </c>
      <c r="C4740" s="199">
        <v>1101.6705088654437</v>
      </c>
      <c r="D4740" s="7"/>
    </row>
    <row r="4741" spans="2:4" x14ac:dyDescent="0.25">
      <c r="B4741" s="4">
        <f t="shared" si="89"/>
        <v>617.34999999995694</v>
      </c>
      <c r="C4741" s="199">
        <v>1101.9018380985601</v>
      </c>
      <c r="D4741" s="7"/>
    </row>
    <row r="4742" spans="2:4" x14ac:dyDescent="0.25">
      <c r="B4742" s="4">
        <f t="shared" si="89"/>
        <v>617.35999999995693</v>
      </c>
      <c r="C4742" s="199">
        <v>1102.1331673316777</v>
      </c>
      <c r="D4742" s="7"/>
    </row>
    <row r="4743" spans="2:4" x14ac:dyDescent="0.25">
      <c r="B4743" s="4">
        <f t="shared" si="89"/>
        <v>617.36999999995692</v>
      </c>
      <c r="C4743" s="199">
        <v>1102.3644965647957</v>
      </c>
      <c r="D4743" s="7"/>
    </row>
    <row r="4744" spans="2:4" x14ac:dyDescent="0.25">
      <c r="B4744" s="4">
        <f t="shared" ref="B4744:B4807" si="90">+B4743+0.01</f>
        <v>617.37999999995691</v>
      </c>
      <c r="C4744" s="199">
        <v>1102.595825797913</v>
      </c>
      <c r="D4744" s="7"/>
    </row>
    <row r="4745" spans="2:4" x14ac:dyDescent="0.25">
      <c r="B4745" s="4">
        <f t="shared" si="90"/>
        <v>617.3899999999569</v>
      </c>
      <c r="C4745" s="199">
        <v>1102.8271550310305</v>
      </c>
      <c r="D4745" s="7"/>
    </row>
    <row r="4746" spans="2:4" x14ac:dyDescent="0.25">
      <c r="B4746" s="4">
        <f t="shared" si="90"/>
        <v>617.39999999995689</v>
      </c>
      <c r="C4746" s="199">
        <v>1103.0584842641481</v>
      </c>
      <c r="D4746" s="7"/>
    </row>
    <row r="4747" spans="2:4" x14ac:dyDescent="0.25">
      <c r="B4747" s="4">
        <f t="shared" si="90"/>
        <v>617.40999999995688</v>
      </c>
      <c r="C4747" s="199">
        <v>1103.2898134972663</v>
      </c>
      <c r="D4747" s="7"/>
    </row>
    <row r="4748" spans="2:4" x14ac:dyDescent="0.25">
      <c r="B4748" s="4">
        <f t="shared" si="90"/>
        <v>617.41999999995687</v>
      </c>
      <c r="C4748" s="199">
        <v>1103.5213342628833</v>
      </c>
      <c r="D4748" s="7"/>
    </row>
    <row r="4749" spans="2:4" x14ac:dyDescent="0.25">
      <c r="B4749" s="4">
        <f t="shared" si="90"/>
        <v>617.42999999995686</v>
      </c>
      <c r="C4749" s="199">
        <v>1103.752855028499</v>
      </c>
      <c r="D4749" s="7"/>
    </row>
    <row r="4750" spans="2:4" x14ac:dyDescent="0.25">
      <c r="B4750" s="4">
        <f t="shared" si="90"/>
        <v>617.43999999995685</v>
      </c>
      <c r="C4750" s="199">
        <v>1103.9843757941153</v>
      </c>
      <c r="D4750" s="7"/>
    </row>
    <row r="4751" spans="2:4" x14ac:dyDescent="0.25">
      <c r="B4751" s="4">
        <f t="shared" si="90"/>
        <v>617.44999999995684</v>
      </c>
      <c r="C4751" s="199">
        <v>1104.2158965597309</v>
      </c>
      <c r="D4751" s="7"/>
    </row>
    <row r="4752" spans="2:4" x14ac:dyDescent="0.25">
      <c r="B4752" s="4">
        <f t="shared" si="90"/>
        <v>617.45999999995684</v>
      </c>
      <c r="C4752" s="199">
        <v>1104.447417325347</v>
      </c>
      <c r="D4752" s="7"/>
    </row>
    <row r="4753" spans="2:4" x14ac:dyDescent="0.25">
      <c r="B4753" s="4">
        <f t="shared" si="90"/>
        <v>617.46999999995683</v>
      </c>
      <c r="C4753" s="199">
        <v>1104.6789380909636</v>
      </c>
      <c r="D4753" s="7"/>
    </row>
    <row r="4754" spans="2:4" x14ac:dyDescent="0.25">
      <c r="B4754" s="4">
        <f t="shared" si="90"/>
        <v>617.47999999995682</v>
      </c>
      <c r="C4754" s="199">
        <v>1104.9104588565795</v>
      </c>
      <c r="D4754" s="7"/>
    </row>
    <row r="4755" spans="2:4" x14ac:dyDescent="0.25">
      <c r="B4755" s="4">
        <f t="shared" si="90"/>
        <v>617.48999999995681</v>
      </c>
      <c r="C4755" s="199">
        <v>1105.1419796221955</v>
      </c>
      <c r="D4755" s="7"/>
    </row>
    <row r="4756" spans="2:4" x14ac:dyDescent="0.25">
      <c r="B4756" s="4">
        <f t="shared" si="90"/>
        <v>617.4999999999568</v>
      </c>
      <c r="C4756" s="199">
        <v>1105.3735003878112</v>
      </c>
      <c r="D4756" s="7"/>
    </row>
    <row r="4757" spans="2:4" x14ac:dyDescent="0.25">
      <c r="B4757" s="4">
        <f t="shared" si="90"/>
        <v>617.50999999995679</v>
      </c>
      <c r="C4757" s="199">
        <v>1105.605021153428</v>
      </c>
      <c r="D4757" s="7"/>
    </row>
    <row r="4758" spans="2:4" x14ac:dyDescent="0.25">
      <c r="B4758" s="4">
        <f t="shared" si="90"/>
        <v>617.51999999995678</v>
      </c>
      <c r="C4758" s="199">
        <v>1105.8367364255828</v>
      </c>
      <c r="D4758" s="7"/>
    </row>
    <row r="4759" spans="2:4" x14ac:dyDescent="0.25">
      <c r="B4759" s="4">
        <f t="shared" si="90"/>
        <v>617.52999999995677</v>
      </c>
      <c r="C4759" s="199">
        <v>1106.0684516977428</v>
      </c>
      <c r="D4759" s="7"/>
    </row>
    <row r="4760" spans="2:4" x14ac:dyDescent="0.25">
      <c r="B4760" s="4">
        <f t="shared" si="90"/>
        <v>617.53999999995676</v>
      </c>
      <c r="C4760" s="199">
        <v>1106.3001669699042</v>
      </c>
      <c r="D4760" s="7"/>
    </row>
    <row r="4761" spans="2:4" x14ac:dyDescent="0.25">
      <c r="B4761" s="4">
        <f t="shared" si="90"/>
        <v>617.54999999995675</v>
      </c>
      <c r="C4761" s="199">
        <v>1106.5318822420645</v>
      </c>
      <c r="D4761" s="7"/>
    </row>
    <row r="4762" spans="2:4" x14ac:dyDescent="0.25">
      <c r="B4762" s="4">
        <f t="shared" si="90"/>
        <v>617.55999999995674</v>
      </c>
      <c r="C4762" s="199">
        <v>1106.7635975142246</v>
      </c>
      <c r="D4762" s="7"/>
    </row>
    <row r="4763" spans="2:4" x14ac:dyDescent="0.25">
      <c r="B4763" s="4">
        <f t="shared" si="90"/>
        <v>617.56999999995674</v>
      </c>
      <c r="C4763" s="199">
        <v>1106.9953127863857</v>
      </c>
      <c r="D4763" s="7"/>
    </row>
    <row r="4764" spans="2:4" x14ac:dyDescent="0.25">
      <c r="B4764" s="4">
        <f t="shared" si="90"/>
        <v>617.57999999995673</v>
      </c>
      <c r="C4764" s="199">
        <v>1107.2270280585456</v>
      </c>
      <c r="D4764" s="7"/>
    </row>
    <row r="4765" spans="2:4" x14ac:dyDescent="0.25">
      <c r="B4765" s="4">
        <f t="shared" si="90"/>
        <v>617.58999999995672</v>
      </c>
      <c r="C4765" s="199">
        <v>1107.4587433307067</v>
      </c>
      <c r="D4765" s="7"/>
    </row>
    <row r="4766" spans="2:4" x14ac:dyDescent="0.25">
      <c r="B4766" s="4">
        <f t="shared" si="90"/>
        <v>617.59999999995671</v>
      </c>
      <c r="C4766" s="199">
        <v>1107.690458602867</v>
      </c>
      <c r="D4766" s="7"/>
    </row>
    <row r="4767" spans="2:4" x14ac:dyDescent="0.25">
      <c r="B4767" s="4">
        <f t="shared" si="90"/>
        <v>617.6099999999567</v>
      </c>
      <c r="C4767" s="199">
        <v>1107.9221738750273</v>
      </c>
      <c r="D4767" s="7"/>
    </row>
    <row r="4768" spans="2:4" x14ac:dyDescent="0.25">
      <c r="B4768" s="4">
        <f t="shared" si="90"/>
        <v>617.61999999995669</v>
      </c>
      <c r="C4768" s="199">
        <v>1108.1540800366811</v>
      </c>
      <c r="D4768" s="7"/>
    </row>
    <row r="4769" spans="2:4" x14ac:dyDescent="0.25">
      <c r="B4769" s="4">
        <f t="shared" si="90"/>
        <v>617.62999999995668</v>
      </c>
      <c r="C4769" s="199">
        <v>1108.3859861983349</v>
      </c>
      <c r="D4769" s="7"/>
    </row>
    <row r="4770" spans="2:4" x14ac:dyDescent="0.25">
      <c r="B4770" s="4">
        <f t="shared" si="90"/>
        <v>617.63999999995667</v>
      </c>
      <c r="C4770" s="199">
        <v>1108.6178923599887</v>
      </c>
      <c r="D4770" s="7"/>
    </row>
    <row r="4771" spans="2:4" x14ac:dyDescent="0.25">
      <c r="B4771" s="4">
        <f t="shared" si="90"/>
        <v>617.64999999995666</v>
      </c>
      <c r="C4771" s="199">
        <v>1108.8497985216422</v>
      </c>
      <c r="D4771" s="7"/>
    </row>
    <row r="4772" spans="2:4" x14ac:dyDescent="0.25">
      <c r="B4772" s="4">
        <f t="shared" si="90"/>
        <v>617.65999999995665</v>
      </c>
      <c r="C4772" s="199">
        <v>1109.0817046832956</v>
      </c>
      <c r="D4772" s="7"/>
    </row>
    <row r="4773" spans="2:4" x14ac:dyDescent="0.25">
      <c r="B4773" s="4">
        <f t="shared" si="90"/>
        <v>617.66999999995664</v>
      </c>
      <c r="C4773" s="199">
        <v>1109.3136108449492</v>
      </c>
      <c r="D4773" s="7"/>
    </row>
    <row r="4774" spans="2:4" x14ac:dyDescent="0.25">
      <c r="B4774" s="4">
        <f t="shared" si="90"/>
        <v>617.67999999995664</v>
      </c>
      <c r="C4774" s="199">
        <v>1109.5455170066025</v>
      </c>
      <c r="D4774" s="7"/>
    </row>
    <row r="4775" spans="2:4" x14ac:dyDescent="0.25">
      <c r="B4775" s="4">
        <f t="shared" si="90"/>
        <v>617.68999999995663</v>
      </c>
      <c r="C4775" s="199">
        <v>1109.7774231682558</v>
      </c>
      <c r="D4775" s="7"/>
    </row>
    <row r="4776" spans="2:4" x14ac:dyDescent="0.25">
      <c r="B4776" s="4">
        <f t="shared" si="90"/>
        <v>617.69999999995662</v>
      </c>
      <c r="C4776" s="199">
        <v>1110.0093293299096</v>
      </c>
      <c r="D4776" s="7"/>
    </row>
    <row r="4777" spans="2:4" x14ac:dyDescent="0.25">
      <c r="B4777" s="4">
        <f t="shared" si="90"/>
        <v>617.70999999995661</v>
      </c>
      <c r="C4777" s="199">
        <v>1110.2412354915632</v>
      </c>
      <c r="D4777" s="7"/>
    </row>
    <row r="4778" spans="2:4" x14ac:dyDescent="0.25">
      <c r="B4778" s="4">
        <f t="shared" si="90"/>
        <v>617.7199999999566</v>
      </c>
      <c r="C4778" s="199">
        <v>1110.4733348996833</v>
      </c>
      <c r="D4778" s="7"/>
    </row>
    <row r="4779" spans="2:4" x14ac:dyDescent="0.25">
      <c r="B4779" s="4">
        <f t="shared" si="90"/>
        <v>617.72999999995659</v>
      </c>
      <c r="C4779" s="199">
        <v>1110.7054343078073</v>
      </c>
      <c r="D4779" s="7"/>
    </row>
    <row r="4780" spans="2:4" x14ac:dyDescent="0.25">
      <c r="B4780" s="4">
        <f t="shared" si="90"/>
        <v>617.73999999995658</v>
      </c>
      <c r="C4780" s="199">
        <v>1110.9375337159313</v>
      </c>
      <c r="D4780" s="7"/>
    </row>
    <row r="4781" spans="2:4" x14ac:dyDescent="0.25">
      <c r="B4781" s="4">
        <f t="shared" si="90"/>
        <v>617.74999999995657</v>
      </c>
      <c r="C4781" s="199">
        <v>1111.1696331240553</v>
      </c>
      <c r="D4781" s="7"/>
    </row>
    <row r="4782" spans="2:4" x14ac:dyDescent="0.25">
      <c r="B4782" s="4">
        <f t="shared" si="90"/>
        <v>617.75999999995656</v>
      </c>
      <c r="C4782" s="199">
        <v>1111.4017325321788</v>
      </c>
      <c r="D4782" s="7"/>
    </row>
    <row r="4783" spans="2:4" x14ac:dyDescent="0.25">
      <c r="B4783" s="4">
        <f t="shared" si="90"/>
        <v>617.76999999995655</v>
      </c>
      <c r="C4783" s="199">
        <v>1111.6338319403035</v>
      </c>
      <c r="D4783" s="7"/>
    </row>
    <row r="4784" spans="2:4" x14ac:dyDescent="0.25">
      <c r="B4784" s="4">
        <f t="shared" si="90"/>
        <v>617.77999999995654</v>
      </c>
      <c r="C4784" s="199">
        <v>1111.8659313484268</v>
      </c>
      <c r="D4784" s="7"/>
    </row>
    <row r="4785" spans="2:4" x14ac:dyDescent="0.25">
      <c r="B4785" s="4">
        <f t="shared" si="90"/>
        <v>617.78999999995654</v>
      </c>
      <c r="C4785" s="199">
        <v>1112.0980307565515</v>
      </c>
      <c r="D4785" s="7"/>
    </row>
    <row r="4786" spans="2:4" x14ac:dyDescent="0.25">
      <c r="B4786" s="4">
        <f t="shared" si="90"/>
        <v>617.79999999995653</v>
      </c>
      <c r="C4786" s="199">
        <v>1112.330130164675</v>
      </c>
      <c r="D4786" s="7"/>
    </row>
    <row r="4787" spans="2:4" x14ac:dyDescent="0.25">
      <c r="B4787" s="4">
        <f t="shared" si="90"/>
        <v>617.80999999995652</v>
      </c>
      <c r="C4787" s="199">
        <v>1112.562229572799</v>
      </c>
      <c r="D4787" s="7"/>
    </row>
    <row r="4788" spans="2:4" x14ac:dyDescent="0.25">
      <c r="B4788" s="4">
        <f t="shared" si="90"/>
        <v>617.81999999995651</v>
      </c>
      <c r="C4788" s="199">
        <v>1112.7945210383148</v>
      </c>
      <c r="D4788" s="7"/>
    </row>
    <row r="4789" spans="2:4" x14ac:dyDescent="0.25">
      <c r="B4789" s="4">
        <f t="shared" si="90"/>
        <v>617.8299999999565</v>
      </c>
      <c r="C4789" s="199">
        <v>1113.026812503829</v>
      </c>
      <c r="D4789" s="7"/>
    </row>
    <row r="4790" spans="2:4" x14ac:dyDescent="0.25">
      <c r="B4790" s="4">
        <f t="shared" si="90"/>
        <v>617.83999999995649</v>
      </c>
      <c r="C4790" s="199">
        <v>1113.2591039693432</v>
      </c>
      <c r="D4790" s="7"/>
    </row>
    <row r="4791" spans="2:4" x14ac:dyDescent="0.25">
      <c r="B4791" s="4">
        <f t="shared" si="90"/>
        <v>617.84999999995648</v>
      </c>
      <c r="C4791" s="199">
        <v>1113.4913954348583</v>
      </c>
      <c r="D4791" s="7"/>
    </row>
    <row r="4792" spans="2:4" x14ac:dyDescent="0.25">
      <c r="B4792" s="4">
        <f t="shared" si="90"/>
        <v>617.85999999995647</v>
      </c>
      <c r="C4792" s="199">
        <v>1113.7236869003725</v>
      </c>
      <c r="D4792" s="7"/>
    </row>
    <row r="4793" spans="2:4" x14ac:dyDescent="0.25">
      <c r="B4793" s="4">
        <f t="shared" si="90"/>
        <v>617.86999999995646</v>
      </c>
      <c r="C4793" s="199">
        <v>1113.9559783658867</v>
      </c>
      <c r="D4793" s="7"/>
    </row>
    <row r="4794" spans="2:4" x14ac:dyDescent="0.25">
      <c r="B4794" s="4">
        <f t="shared" si="90"/>
        <v>617.87999999995645</v>
      </c>
      <c r="C4794" s="199">
        <v>1114.1882698314016</v>
      </c>
      <c r="D4794" s="7"/>
    </row>
    <row r="4795" spans="2:4" x14ac:dyDescent="0.25">
      <c r="B4795" s="4">
        <f t="shared" si="90"/>
        <v>617.88999999995644</v>
      </c>
      <c r="C4795" s="199">
        <v>1114.420561296916</v>
      </c>
      <c r="D4795" s="7"/>
    </row>
    <row r="4796" spans="2:4" x14ac:dyDescent="0.25">
      <c r="B4796" s="4">
        <f t="shared" si="90"/>
        <v>617.89999999995644</v>
      </c>
      <c r="C4796" s="199">
        <v>1114.65285276243</v>
      </c>
      <c r="D4796" s="7"/>
    </row>
    <row r="4797" spans="2:4" x14ac:dyDescent="0.25">
      <c r="B4797" s="4">
        <f t="shared" si="90"/>
        <v>617.90999999995643</v>
      </c>
      <c r="C4797" s="199">
        <v>1114.8851442279445</v>
      </c>
      <c r="D4797" s="7"/>
    </row>
    <row r="4798" spans="2:4" x14ac:dyDescent="0.25">
      <c r="B4798" s="4">
        <f t="shared" si="90"/>
        <v>617.91999999995642</v>
      </c>
      <c r="C4798" s="199">
        <v>1115.1176261277558</v>
      </c>
      <c r="D4798" s="7"/>
    </row>
    <row r="4799" spans="2:4" x14ac:dyDescent="0.25">
      <c r="B4799" s="4">
        <f t="shared" si="90"/>
        <v>617.92999999995641</v>
      </c>
      <c r="C4799" s="199">
        <v>1115.350108027571</v>
      </c>
      <c r="D4799" s="7"/>
    </row>
    <row r="4800" spans="2:4" x14ac:dyDescent="0.25">
      <c r="B4800" s="4">
        <f t="shared" si="90"/>
        <v>617.9399999999564</v>
      </c>
      <c r="C4800" s="199">
        <v>1115.5825899273873</v>
      </c>
      <c r="D4800" s="7"/>
    </row>
    <row r="4801" spans="2:4" x14ac:dyDescent="0.25">
      <c r="B4801" s="4">
        <f t="shared" si="90"/>
        <v>617.94999999995639</v>
      </c>
      <c r="C4801" s="199">
        <v>1115.8150718272027</v>
      </c>
      <c r="D4801" s="7"/>
    </row>
    <row r="4802" spans="2:4" x14ac:dyDescent="0.25">
      <c r="B4802" s="4">
        <f t="shared" si="90"/>
        <v>617.95999999995638</v>
      </c>
      <c r="C4802" s="199">
        <v>1116.0475537270181</v>
      </c>
      <c r="D4802" s="7"/>
    </row>
    <row r="4803" spans="2:4" x14ac:dyDescent="0.25">
      <c r="B4803" s="4">
        <f t="shared" si="90"/>
        <v>617.96999999995637</v>
      </c>
      <c r="C4803" s="199">
        <v>1116.2800356268342</v>
      </c>
      <c r="D4803" s="7"/>
    </row>
    <row r="4804" spans="2:4" x14ac:dyDescent="0.25">
      <c r="B4804" s="4">
        <f t="shared" si="90"/>
        <v>617.97999999995636</v>
      </c>
      <c r="C4804" s="199">
        <v>1116.5125175266494</v>
      </c>
      <c r="D4804" s="7"/>
    </row>
    <row r="4805" spans="2:4" x14ac:dyDescent="0.25">
      <c r="B4805" s="4">
        <f t="shared" si="90"/>
        <v>617.98999999995635</v>
      </c>
      <c r="C4805" s="199">
        <v>1116.7449994264662</v>
      </c>
      <c r="D4805" s="7"/>
    </row>
    <row r="4806" spans="2:4" x14ac:dyDescent="0.25">
      <c r="B4806" s="4">
        <f t="shared" si="90"/>
        <v>617.99999999995634</v>
      </c>
      <c r="C4806" s="199">
        <v>1116.9774813262809</v>
      </c>
      <c r="D4806" s="7"/>
    </row>
    <row r="4807" spans="2:4" x14ac:dyDescent="0.25">
      <c r="B4807" s="4">
        <f t="shared" si="90"/>
        <v>618.00999999995634</v>
      </c>
      <c r="C4807" s="199">
        <v>1117.2099632260963</v>
      </c>
      <c r="D4807" s="7"/>
    </row>
    <row r="4808" spans="2:4" x14ac:dyDescent="0.25">
      <c r="B4808" s="4">
        <f t="shared" ref="B4808:B4871" si="91">+B4807+0.01</f>
        <v>618.01999999995633</v>
      </c>
      <c r="C4808" s="199">
        <v>1117.4426372296475</v>
      </c>
      <c r="D4808" s="7"/>
    </row>
    <row r="4809" spans="2:4" x14ac:dyDescent="0.25">
      <c r="B4809" s="4">
        <f t="shared" si="91"/>
        <v>618.02999999995632</v>
      </c>
      <c r="C4809" s="199">
        <v>1117.6753112331974</v>
      </c>
      <c r="D4809" s="7"/>
    </row>
    <row r="4810" spans="2:4" x14ac:dyDescent="0.25">
      <c r="B4810" s="4">
        <f t="shared" si="91"/>
        <v>618.03999999995631</v>
      </c>
      <c r="C4810" s="199">
        <v>1117.9079852367483</v>
      </c>
      <c r="D4810" s="7"/>
    </row>
    <row r="4811" spans="2:4" x14ac:dyDescent="0.25">
      <c r="B4811" s="4">
        <f t="shared" si="91"/>
        <v>618.0499999999563</v>
      </c>
      <c r="C4811" s="199">
        <v>1118.1406592402998</v>
      </c>
      <c r="D4811" s="7"/>
    </row>
    <row r="4812" spans="2:4" x14ac:dyDescent="0.25">
      <c r="B4812" s="4">
        <f t="shared" si="91"/>
        <v>618.05999999995629</v>
      </c>
      <c r="C4812" s="199">
        <v>1118.3733332438499</v>
      </c>
      <c r="D4812" s="7"/>
    </row>
    <row r="4813" spans="2:4" x14ac:dyDescent="0.25">
      <c r="B4813" s="4">
        <f t="shared" si="91"/>
        <v>618.06999999995628</v>
      </c>
      <c r="C4813" s="199">
        <v>1118.6060072474008</v>
      </c>
      <c r="D4813" s="7"/>
    </row>
    <row r="4814" spans="2:4" x14ac:dyDescent="0.25">
      <c r="B4814" s="4">
        <f t="shared" si="91"/>
        <v>618.07999999995627</v>
      </c>
      <c r="C4814" s="199">
        <v>1118.8386812509507</v>
      </c>
      <c r="D4814" s="7"/>
    </row>
    <row r="4815" spans="2:4" x14ac:dyDescent="0.25">
      <c r="B4815" s="4">
        <f t="shared" si="91"/>
        <v>618.08999999995626</v>
      </c>
      <c r="C4815" s="199">
        <v>1119.0713552545017</v>
      </c>
      <c r="D4815" s="7"/>
    </row>
    <row r="4816" spans="2:4" x14ac:dyDescent="0.25">
      <c r="B4816" s="4">
        <f t="shared" si="91"/>
        <v>618.09999999995625</v>
      </c>
      <c r="C4816" s="199">
        <v>1119.3040292580517</v>
      </c>
      <c r="D4816" s="7"/>
    </row>
    <row r="4817" spans="2:4" x14ac:dyDescent="0.25">
      <c r="B4817" s="4">
        <f t="shared" si="91"/>
        <v>618.10999999995624</v>
      </c>
      <c r="C4817" s="199">
        <v>1119.5367032616025</v>
      </c>
      <c r="D4817" s="7"/>
    </row>
    <row r="4818" spans="2:4" x14ac:dyDescent="0.25">
      <c r="B4818" s="4">
        <f t="shared" si="91"/>
        <v>618.11999999995624</v>
      </c>
      <c r="C4818" s="199">
        <v>1119.7695656179355</v>
      </c>
      <c r="D4818" s="7"/>
    </row>
    <row r="4819" spans="2:4" x14ac:dyDescent="0.25">
      <c r="B4819" s="4">
        <f t="shared" si="91"/>
        <v>618.12999999995623</v>
      </c>
      <c r="C4819" s="199">
        <v>1120.002427974274</v>
      </c>
      <c r="D4819" s="7"/>
    </row>
    <row r="4820" spans="2:4" x14ac:dyDescent="0.25">
      <c r="B4820" s="4">
        <f t="shared" si="91"/>
        <v>618.13999999995622</v>
      </c>
      <c r="C4820" s="199">
        <v>1120.2352903306119</v>
      </c>
      <c r="D4820" s="7"/>
    </row>
    <row r="4821" spans="2:4" x14ac:dyDescent="0.25">
      <c r="B4821" s="4">
        <f t="shared" si="91"/>
        <v>618.14999999995621</v>
      </c>
      <c r="C4821" s="199">
        <v>1120.4681526869488</v>
      </c>
      <c r="D4821" s="7"/>
    </row>
    <row r="4822" spans="2:4" x14ac:dyDescent="0.25">
      <c r="B4822" s="4">
        <f t="shared" si="91"/>
        <v>618.1599999999562</v>
      </c>
      <c r="C4822" s="199">
        <v>1120.7010150432877</v>
      </c>
      <c r="D4822" s="7"/>
    </row>
    <row r="4823" spans="2:4" x14ac:dyDescent="0.25">
      <c r="B4823" s="4">
        <f t="shared" si="91"/>
        <v>618.16999999995619</v>
      </c>
      <c r="C4823" s="199">
        <v>1120.9338773996258</v>
      </c>
      <c r="D4823" s="7"/>
    </row>
    <row r="4824" spans="2:4" x14ac:dyDescent="0.25">
      <c r="B4824" s="4">
        <f t="shared" si="91"/>
        <v>618.17999999995618</v>
      </c>
      <c r="C4824" s="199">
        <v>1121.1667397559625</v>
      </c>
      <c r="D4824" s="7"/>
    </row>
    <row r="4825" spans="2:4" x14ac:dyDescent="0.25">
      <c r="B4825" s="4">
        <f t="shared" si="91"/>
        <v>618.18999999995617</v>
      </c>
      <c r="C4825" s="199">
        <v>1121.399602112301</v>
      </c>
      <c r="D4825" s="7"/>
    </row>
    <row r="4826" spans="2:4" x14ac:dyDescent="0.25">
      <c r="B4826" s="4">
        <f t="shared" si="91"/>
        <v>618.19999999995616</v>
      </c>
      <c r="C4826" s="199">
        <v>1121.6324644686392</v>
      </c>
      <c r="D4826" s="7"/>
    </row>
    <row r="4827" spans="2:4" x14ac:dyDescent="0.25">
      <c r="B4827" s="4">
        <f t="shared" si="91"/>
        <v>618.20999999995615</v>
      </c>
      <c r="C4827" s="199">
        <v>1121.8653268249766</v>
      </c>
      <c r="D4827" s="7"/>
    </row>
    <row r="4828" spans="2:4" x14ac:dyDescent="0.25">
      <c r="B4828" s="4">
        <f t="shared" si="91"/>
        <v>618.21999999995614</v>
      </c>
      <c r="C4828" s="199">
        <v>1122.0983803883119</v>
      </c>
      <c r="D4828" s="7"/>
    </row>
    <row r="4829" spans="2:4" x14ac:dyDescent="0.25">
      <c r="B4829" s="4">
        <f t="shared" si="91"/>
        <v>618.22999999995614</v>
      </c>
      <c r="C4829" s="199">
        <v>1122.3314339516464</v>
      </c>
      <c r="D4829" s="7"/>
    </row>
    <row r="4830" spans="2:4" x14ac:dyDescent="0.25">
      <c r="B4830" s="4">
        <f t="shared" si="91"/>
        <v>618.23999999995613</v>
      </c>
      <c r="C4830" s="199">
        <v>1122.5644875149815</v>
      </c>
      <c r="D4830" s="7"/>
    </row>
    <row r="4831" spans="2:4" x14ac:dyDescent="0.25">
      <c r="B4831" s="4">
        <f t="shared" si="91"/>
        <v>618.24999999995612</v>
      </c>
      <c r="C4831" s="199">
        <v>1122.797541078316</v>
      </c>
      <c r="D4831" s="7"/>
    </row>
    <row r="4832" spans="2:4" x14ac:dyDescent="0.25">
      <c r="B4832" s="4">
        <f t="shared" si="91"/>
        <v>618.25999999995611</v>
      </c>
      <c r="C4832" s="199">
        <v>1123.0305946416515</v>
      </c>
      <c r="D4832" s="7"/>
    </row>
    <row r="4833" spans="2:4" x14ac:dyDescent="0.25">
      <c r="B4833" s="4">
        <f t="shared" si="91"/>
        <v>618.2699999999561</v>
      </c>
      <c r="C4833" s="199">
        <v>1123.2636482049861</v>
      </c>
      <c r="D4833" s="7"/>
    </row>
    <row r="4834" spans="2:4" x14ac:dyDescent="0.25">
      <c r="B4834" s="4">
        <f t="shared" si="91"/>
        <v>618.27999999995609</v>
      </c>
      <c r="C4834" s="199">
        <v>1123.4967017683209</v>
      </c>
      <c r="D4834" s="7"/>
    </row>
    <row r="4835" spans="2:4" x14ac:dyDescent="0.25">
      <c r="B4835" s="4">
        <f t="shared" si="91"/>
        <v>618.28999999995608</v>
      </c>
      <c r="C4835" s="199">
        <v>1123.729755331656</v>
      </c>
      <c r="D4835" s="7"/>
    </row>
    <row r="4836" spans="2:4" x14ac:dyDescent="0.25">
      <c r="B4836" s="4">
        <f t="shared" si="91"/>
        <v>618.29999999995607</v>
      </c>
      <c r="C4836" s="199">
        <v>1123.9628088949908</v>
      </c>
      <c r="D4836" s="7"/>
    </row>
    <row r="4837" spans="2:4" x14ac:dyDescent="0.25">
      <c r="B4837" s="4">
        <f t="shared" si="91"/>
        <v>618.30999999995606</v>
      </c>
      <c r="C4837" s="199">
        <v>1124.1958624583258</v>
      </c>
      <c r="D4837" s="7"/>
    </row>
    <row r="4838" spans="2:4" x14ac:dyDescent="0.25">
      <c r="B4838" s="4">
        <f t="shared" si="91"/>
        <v>618.31999999995605</v>
      </c>
      <c r="C4838" s="199">
        <v>1124.4291058808967</v>
      </c>
      <c r="D4838" s="7"/>
    </row>
    <row r="4839" spans="2:4" x14ac:dyDescent="0.25">
      <c r="B4839" s="4">
        <f t="shared" si="91"/>
        <v>618.32999999995604</v>
      </c>
      <c r="C4839" s="199">
        <v>1124.6623493034722</v>
      </c>
      <c r="D4839" s="7"/>
    </row>
    <row r="4840" spans="2:4" x14ac:dyDescent="0.25">
      <c r="B4840" s="4">
        <f t="shared" si="91"/>
        <v>618.33999999995604</v>
      </c>
      <c r="C4840" s="199">
        <v>1124.8955927260481</v>
      </c>
      <c r="D4840" s="7"/>
    </row>
    <row r="4841" spans="2:4" x14ac:dyDescent="0.25">
      <c r="B4841" s="4">
        <f t="shared" si="91"/>
        <v>618.34999999995603</v>
      </c>
      <c r="C4841" s="199">
        <v>1125.1288361486236</v>
      </c>
      <c r="D4841" s="7"/>
    </row>
    <row r="4842" spans="2:4" x14ac:dyDescent="0.25">
      <c r="B4842" s="4">
        <f t="shared" si="91"/>
        <v>618.35999999995602</v>
      </c>
      <c r="C4842" s="199">
        <v>1125.3620795712</v>
      </c>
      <c r="D4842" s="7"/>
    </row>
    <row r="4843" spans="2:4" x14ac:dyDescent="0.25">
      <c r="B4843" s="4">
        <f t="shared" si="91"/>
        <v>618.36999999995601</v>
      </c>
      <c r="C4843" s="199">
        <v>1125.5953229937759</v>
      </c>
      <c r="D4843" s="7"/>
    </row>
    <row r="4844" spans="2:4" x14ac:dyDescent="0.25">
      <c r="B4844" s="4">
        <f t="shared" si="91"/>
        <v>618.379999999956</v>
      </c>
      <c r="C4844" s="199">
        <v>1125.8285664163514</v>
      </c>
      <c r="D4844" s="7"/>
    </row>
    <row r="4845" spans="2:4" x14ac:dyDescent="0.25">
      <c r="B4845" s="4">
        <f t="shared" si="91"/>
        <v>618.38999999995599</v>
      </c>
      <c r="C4845" s="199">
        <v>1126.0618098389268</v>
      </c>
      <c r="D4845" s="7"/>
    </row>
    <row r="4846" spans="2:4" x14ac:dyDescent="0.25">
      <c r="B4846" s="4">
        <f t="shared" si="91"/>
        <v>618.39999999995598</v>
      </c>
      <c r="C4846" s="199">
        <v>1126.2950532615027</v>
      </c>
      <c r="D4846" s="7"/>
    </row>
    <row r="4847" spans="2:4" x14ac:dyDescent="0.25">
      <c r="B4847" s="4">
        <f t="shared" si="91"/>
        <v>618.40999999995597</v>
      </c>
      <c r="C4847" s="199">
        <v>1126.5282966840787</v>
      </c>
      <c r="D4847" s="7"/>
    </row>
    <row r="4848" spans="2:4" x14ac:dyDescent="0.25">
      <c r="B4848" s="4">
        <f t="shared" si="91"/>
        <v>618.41999999995596</v>
      </c>
      <c r="C4848" s="199">
        <v>1126.7617283862132</v>
      </c>
      <c r="D4848" s="7"/>
    </row>
    <row r="4849" spans="2:4" x14ac:dyDescent="0.25">
      <c r="B4849" s="4">
        <f t="shared" si="91"/>
        <v>618.42999999995595</v>
      </c>
      <c r="C4849" s="199">
        <v>1126.9951600883483</v>
      </c>
      <c r="D4849" s="7"/>
    </row>
    <row r="4850" spans="2:4" x14ac:dyDescent="0.25">
      <c r="B4850" s="4">
        <f t="shared" si="91"/>
        <v>618.43999999995594</v>
      </c>
      <c r="C4850" s="199">
        <v>1127.2285917904826</v>
      </c>
      <c r="D4850" s="7"/>
    </row>
    <row r="4851" spans="2:4" x14ac:dyDescent="0.25">
      <c r="B4851" s="4">
        <f t="shared" si="91"/>
        <v>618.44999999995593</v>
      </c>
      <c r="C4851" s="199">
        <v>1127.4620234926174</v>
      </c>
      <c r="D4851" s="7"/>
    </row>
    <row r="4852" spans="2:4" x14ac:dyDescent="0.25">
      <c r="B4852" s="4">
        <f t="shared" si="91"/>
        <v>618.45999999995593</v>
      </c>
      <c r="C4852" s="199">
        <v>1127.6954551947517</v>
      </c>
      <c r="D4852" s="7"/>
    </row>
    <row r="4853" spans="2:4" x14ac:dyDescent="0.25">
      <c r="B4853" s="4">
        <f t="shared" si="91"/>
        <v>618.46999999995592</v>
      </c>
      <c r="C4853" s="199">
        <v>1127.9288868968863</v>
      </c>
      <c r="D4853" s="7"/>
    </row>
    <row r="4854" spans="2:4" x14ac:dyDescent="0.25">
      <c r="B4854" s="4">
        <f t="shared" si="91"/>
        <v>618.47999999995591</v>
      </c>
      <c r="C4854" s="199">
        <v>1128.1623185990204</v>
      </c>
      <c r="D4854" s="7"/>
    </row>
    <row r="4855" spans="2:4" x14ac:dyDescent="0.25">
      <c r="B4855" s="4">
        <f t="shared" si="91"/>
        <v>618.4899999999559</v>
      </c>
      <c r="C4855" s="199">
        <v>1128.3957503011552</v>
      </c>
      <c r="D4855" s="7"/>
    </row>
    <row r="4856" spans="2:4" x14ac:dyDescent="0.25">
      <c r="B4856" s="4">
        <f t="shared" si="91"/>
        <v>618.49999999995589</v>
      </c>
      <c r="C4856" s="199">
        <v>1128.6291820032893</v>
      </c>
      <c r="D4856" s="7"/>
    </row>
    <row r="4857" spans="2:4" x14ac:dyDescent="0.25">
      <c r="B4857" s="4">
        <f t="shared" si="91"/>
        <v>618.50999999995588</v>
      </c>
      <c r="C4857" s="199">
        <v>1128.8626137054246</v>
      </c>
      <c r="D4857" s="7"/>
    </row>
    <row r="4858" spans="2:4" x14ac:dyDescent="0.25">
      <c r="B4858" s="4">
        <f t="shared" si="91"/>
        <v>618.51999999995587</v>
      </c>
      <c r="C4858" s="199">
        <v>1129.0962358298393</v>
      </c>
      <c r="D4858" s="7"/>
    </row>
    <row r="4859" spans="2:4" x14ac:dyDescent="0.25">
      <c r="B4859" s="4">
        <f t="shared" si="91"/>
        <v>618.52999999995586</v>
      </c>
      <c r="C4859" s="199">
        <v>1129.3298579542572</v>
      </c>
      <c r="D4859" s="7"/>
    </row>
    <row r="4860" spans="2:4" x14ac:dyDescent="0.25">
      <c r="B4860" s="4">
        <f t="shared" si="91"/>
        <v>618.53999999995585</v>
      </c>
      <c r="C4860" s="199">
        <v>1129.5634800786759</v>
      </c>
      <c r="D4860" s="7"/>
    </row>
    <row r="4861" spans="2:4" x14ac:dyDescent="0.25">
      <c r="B4861" s="4">
        <f t="shared" si="91"/>
        <v>618.54999999995584</v>
      </c>
      <c r="C4861" s="199">
        <v>1129.7971022030947</v>
      </c>
      <c r="D4861" s="7"/>
    </row>
    <row r="4862" spans="2:4" x14ac:dyDescent="0.25">
      <c r="B4862" s="4">
        <f t="shared" si="91"/>
        <v>618.55999999995583</v>
      </c>
      <c r="C4862" s="199">
        <v>1130.0307243275133</v>
      </c>
      <c r="D4862" s="7"/>
    </row>
    <row r="4863" spans="2:4" x14ac:dyDescent="0.25">
      <c r="B4863" s="4">
        <f t="shared" si="91"/>
        <v>618.56999999995583</v>
      </c>
      <c r="C4863" s="199">
        <v>1130.2643464519322</v>
      </c>
      <c r="D4863" s="7"/>
    </row>
    <row r="4864" spans="2:4" x14ac:dyDescent="0.25">
      <c r="B4864" s="4">
        <f t="shared" si="91"/>
        <v>618.57999999995582</v>
      </c>
      <c r="C4864" s="199">
        <v>1130.4979685763506</v>
      </c>
      <c r="D4864" s="7"/>
    </row>
    <row r="4865" spans="2:4" x14ac:dyDescent="0.25">
      <c r="B4865" s="4">
        <f t="shared" si="91"/>
        <v>618.58999999995581</v>
      </c>
      <c r="C4865" s="199">
        <v>1130.7315907007699</v>
      </c>
      <c r="D4865" s="7"/>
    </row>
    <row r="4866" spans="2:4" x14ac:dyDescent="0.25">
      <c r="B4866" s="4">
        <f t="shared" si="91"/>
        <v>618.5999999999558</v>
      </c>
      <c r="C4866" s="199">
        <v>1130.9652128251882</v>
      </c>
      <c r="D4866" s="7"/>
    </row>
    <row r="4867" spans="2:4" x14ac:dyDescent="0.25">
      <c r="B4867" s="4">
        <f t="shared" si="91"/>
        <v>618.60999999995579</v>
      </c>
      <c r="C4867" s="199">
        <v>1131.1988349496073</v>
      </c>
      <c r="D4867" s="7"/>
    </row>
    <row r="4868" spans="2:4" x14ac:dyDescent="0.25">
      <c r="B4868" s="4">
        <f t="shared" si="91"/>
        <v>618.61999999995578</v>
      </c>
      <c r="C4868" s="199">
        <v>1131.4326465313761</v>
      </c>
      <c r="D4868" s="7"/>
    </row>
    <row r="4869" spans="2:4" x14ac:dyDescent="0.25">
      <c r="B4869" s="4">
        <f t="shared" si="91"/>
        <v>618.62999999995577</v>
      </c>
      <c r="C4869" s="199">
        <v>1131.6664581131461</v>
      </c>
      <c r="D4869" s="7"/>
    </row>
    <row r="4870" spans="2:4" x14ac:dyDescent="0.25">
      <c r="B4870" s="4">
        <f t="shared" si="91"/>
        <v>618.63999999995576</v>
      </c>
      <c r="C4870" s="199">
        <v>1131.9002696949167</v>
      </c>
      <c r="D4870" s="7"/>
    </row>
    <row r="4871" spans="2:4" x14ac:dyDescent="0.25">
      <c r="B4871" s="4">
        <f t="shared" si="91"/>
        <v>618.64999999995575</v>
      </c>
      <c r="C4871" s="199">
        <v>1132.1340812766878</v>
      </c>
      <c r="D4871" s="7"/>
    </row>
    <row r="4872" spans="2:4" x14ac:dyDescent="0.25">
      <c r="B4872" s="4">
        <f t="shared" ref="B4872:B4935" si="92">+B4871+0.01</f>
        <v>618.65999999995574</v>
      </c>
      <c r="C4872" s="199">
        <v>1132.3678928584579</v>
      </c>
      <c r="D4872" s="7"/>
    </row>
    <row r="4873" spans="2:4" x14ac:dyDescent="0.25">
      <c r="B4873" s="4">
        <f t="shared" si="92"/>
        <v>618.66999999995573</v>
      </c>
      <c r="C4873" s="199">
        <v>1132.6017044402279</v>
      </c>
      <c r="D4873" s="7"/>
    </row>
    <row r="4874" spans="2:4" x14ac:dyDescent="0.25">
      <c r="B4874" s="4">
        <f t="shared" si="92"/>
        <v>618.67999999995573</v>
      </c>
      <c r="C4874" s="199">
        <v>1132.835516021999</v>
      </c>
      <c r="D4874" s="7"/>
    </row>
    <row r="4875" spans="2:4" x14ac:dyDescent="0.25">
      <c r="B4875" s="4">
        <f t="shared" si="92"/>
        <v>618.68999999995572</v>
      </c>
      <c r="C4875" s="199">
        <v>1133.0693276037691</v>
      </c>
      <c r="D4875" s="7"/>
    </row>
    <row r="4876" spans="2:4" x14ac:dyDescent="0.25">
      <c r="B4876" s="4">
        <f t="shared" si="92"/>
        <v>618.69999999995571</v>
      </c>
      <c r="C4876" s="199">
        <v>1133.3031391855391</v>
      </c>
      <c r="D4876" s="7"/>
    </row>
    <row r="4877" spans="2:4" x14ac:dyDescent="0.25">
      <c r="B4877" s="4">
        <f t="shared" si="92"/>
        <v>618.7099999999557</v>
      </c>
      <c r="C4877" s="199">
        <v>1133.5369507673092</v>
      </c>
      <c r="D4877" s="7"/>
    </row>
    <row r="4878" spans="2:4" x14ac:dyDescent="0.25">
      <c r="B4878" s="4">
        <f t="shared" si="92"/>
        <v>618.71999999995569</v>
      </c>
      <c r="C4878" s="199">
        <v>1133.7709529158133</v>
      </c>
      <c r="D4878" s="7"/>
    </row>
    <row r="4879" spans="2:4" x14ac:dyDescent="0.25">
      <c r="B4879" s="4">
        <f t="shared" si="92"/>
        <v>618.72999999995568</v>
      </c>
      <c r="C4879" s="199">
        <v>1134.0049550643198</v>
      </c>
      <c r="D4879" s="7"/>
    </row>
    <row r="4880" spans="2:4" x14ac:dyDescent="0.25">
      <c r="B4880" s="4">
        <f t="shared" si="92"/>
        <v>618.73999999995567</v>
      </c>
      <c r="C4880" s="199">
        <v>1134.2389572128272</v>
      </c>
      <c r="D4880" s="7"/>
    </row>
    <row r="4881" spans="2:4" x14ac:dyDescent="0.25">
      <c r="B4881" s="4">
        <f t="shared" si="92"/>
        <v>618.74999999995566</v>
      </c>
      <c r="C4881" s="199">
        <v>1134.4729593613338</v>
      </c>
      <c r="D4881" s="7"/>
    </row>
    <row r="4882" spans="2:4" x14ac:dyDescent="0.25">
      <c r="B4882" s="4">
        <f t="shared" si="92"/>
        <v>618.75999999995565</v>
      </c>
      <c r="C4882" s="199">
        <v>1134.706961509841</v>
      </c>
      <c r="D4882" s="7"/>
    </row>
    <row r="4883" spans="2:4" x14ac:dyDescent="0.25">
      <c r="B4883" s="4">
        <f t="shared" si="92"/>
        <v>618.76999999995564</v>
      </c>
      <c r="C4883" s="199">
        <v>1134.9409636583473</v>
      </c>
      <c r="D4883" s="7"/>
    </row>
    <row r="4884" spans="2:4" x14ac:dyDescent="0.25">
      <c r="B4884" s="4">
        <f t="shared" si="92"/>
        <v>618.77999999995563</v>
      </c>
      <c r="C4884" s="199">
        <v>1135.1749658068554</v>
      </c>
      <c r="D4884" s="7"/>
    </row>
    <row r="4885" spans="2:4" x14ac:dyDescent="0.25">
      <c r="B4885" s="4">
        <f t="shared" si="92"/>
        <v>618.78999999995563</v>
      </c>
      <c r="C4885" s="199">
        <v>1135.4089679553617</v>
      </c>
      <c r="D4885" s="7"/>
    </row>
    <row r="4886" spans="2:4" x14ac:dyDescent="0.25">
      <c r="B4886" s="4">
        <f t="shared" si="92"/>
        <v>618.79999999995562</v>
      </c>
      <c r="C4886" s="199">
        <v>1135.6429701038692</v>
      </c>
      <c r="D4886" s="7"/>
    </row>
    <row r="4887" spans="2:4" x14ac:dyDescent="0.25">
      <c r="B4887" s="4">
        <f t="shared" si="92"/>
        <v>618.80999999995561</v>
      </c>
      <c r="C4887" s="199">
        <v>1135.876972252375</v>
      </c>
      <c r="D4887" s="7"/>
    </row>
    <row r="4888" spans="2:4" x14ac:dyDescent="0.25">
      <c r="B4888" s="4">
        <f t="shared" si="92"/>
        <v>618.8199999999556</v>
      </c>
      <c r="C4888" s="199">
        <v>1136.1111658945158</v>
      </c>
      <c r="D4888" s="7"/>
    </row>
    <row r="4889" spans="2:4" x14ac:dyDescent="0.25">
      <c r="B4889" s="4">
        <f t="shared" si="92"/>
        <v>618.82999999995559</v>
      </c>
      <c r="C4889" s="199">
        <v>1136.3453595366568</v>
      </c>
      <c r="D4889" s="7"/>
    </row>
    <row r="4890" spans="2:4" x14ac:dyDescent="0.25">
      <c r="B4890" s="4">
        <f t="shared" si="92"/>
        <v>618.83999999995558</v>
      </c>
      <c r="C4890" s="199">
        <v>1136.5795531787981</v>
      </c>
      <c r="D4890" s="7"/>
    </row>
    <row r="4891" spans="2:4" x14ac:dyDescent="0.25">
      <c r="B4891" s="4">
        <f t="shared" si="92"/>
        <v>618.84999999995557</v>
      </c>
      <c r="C4891" s="199">
        <v>1136.8137468209386</v>
      </c>
      <c r="D4891" s="7"/>
    </row>
    <row r="4892" spans="2:4" x14ac:dyDescent="0.25">
      <c r="B4892" s="4">
        <f t="shared" si="92"/>
        <v>618.85999999995556</v>
      </c>
      <c r="C4892" s="199">
        <v>1137.0479404630798</v>
      </c>
      <c r="D4892" s="7"/>
    </row>
    <row r="4893" spans="2:4" x14ac:dyDescent="0.25">
      <c r="B4893" s="4">
        <f t="shared" si="92"/>
        <v>618.86999999995555</v>
      </c>
      <c r="C4893" s="199">
        <v>1137.2821341052211</v>
      </c>
      <c r="D4893" s="7"/>
    </row>
    <row r="4894" spans="2:4" x14ac:dyDescent="0.25">
      <c r="B4894" s="4">
        <f t="shared" si="92"/>
        <v>618.87999999995554</v>
      </c>
      <c r="C4894" s="199">
        <v>1137.5163277473619</v>
      </c>
      <c r="D4894" s="7"/>
    </row>
    <row r="4895" spans="2:4" x14ac:dyDescent="0.25">
      <c r="B4895" s="4">
        <f t="shared" si="92"/>
        <v>618.88999999995553</v>
      </c>
      <c r="C4895" s="199">
        <v>1137.7505213895029</v>
      </c>
      <c r="D4895" s="7"/>
    </row>
    <row r="4896" spans="2:4" x14ac:dyDescent="0.25">
      <c r="B4896" s="4">
        <f t="shared" si="92"/>
        <v>618.89999999995553</v>
      </c>
      <c r="C4896" s="199">
        <v>1137.984715031643</v>
      </c>
      <c r="D4896" s="7"/>
    </row>
    <row r="4897" spans="2:4" x14ac:dyDescent="0.25">
      <c r="B4897" s="4">
        <f t="shared" si="92"/>
        <v>618.90999999995552</v>
      </c>
      <c r="C4897" s="199">
        <v>1138.2189086737844</v>
      </c>
      <c r="D4897" s="7"/>
    </row>
    <row r="4898" spans="2:4" x14ac:dyDescent="0.25">
      <c r="B4898" s="4">
        <f t="shared" si="92"/>
        <v>618.91999999995551</v>
      </c>
      <c r="C4898" s="199">
        <v>1138.4532906810034</v>
      </c>
      <c r="D4898" s="7"/>
    </row>
    <row r="4899" spans="2:4" x14ac:dyDescent="0.25">
      <c r="B4899" s="4">
        <f t="shared" si="92"/>
        <v>618.9299999999555</v>
      </c>
      <c r="C4899" s="199">
        <v>1138.687672688226</v>
      </c>
      <c r="D4899" s="7"/>
    </row>
    <row r="4900" spans="2:4" x14ac:dyDescent="0.25">
      <c r="B4900" s="4">
        <f t="shared" si="92"/>
        <v>618.93999999995549</v>
      </c>
      <c r="C4900" s="199">
        <v>1138.922054695448</v>
      </c>
      <c r="D4900" s="7"/>
    </row>
    <row r="4901" spans="2:4" x14ac:dyDescent="0.25">
      <c r="B4901" s="4">
        <f t="shared" si="92"/>
        <v>618.94999999995548</v>
      </c>
      <c r="C4901" s="199">
        <v>1139.156436702671</v>
      </c>
      <c r="D4901" s="7"/>
    </row>
    <row r="4902" spans="2:4" x14ac:dyDescent="0.25">
      <c r="B4902" s="4">
        <f t="shared" si="92"/>
        <v>618.95999999995547</v>
      </c>
      <c r="C4902" s="199">
        <v>1139.3908187098937</v>
      </c>
      <c r="D4902" s="7"/>
    </row>
    <row r="4903" spans="2:4" x14ac:dyDescent="0.25">
      <c r="B4903" s="4">
        <f t="shared" si="92"/>
        <v>618.96999999995546</v>
      </c>
      <c r="C4903" s="199">
        <v>1139.6252007171156</v>
      </c>
      <c r="D4903" s="7"/>
    </row>
    <row r="4904" spans="2:4" x14ac:dyDescent="0.25">
      <c r="B4904" s="4">
        <f t="shared" si="92"/>
        <v>618.97999999995545</v>
      </c>
      <c r="C4904" s="199">
        <v>1139.8595827243387</v>
      </c>
      <c r="D4904" s="7"/>
    </row>
    <row r="4905" spans="2:4" x14ac:dyDescent="0.25">
      <c r="B4905" s="4">
        <f t="shared" si="92"/>
        <v>618.98999999995544</v>
      </c>
      <c r="C4905" s="199">
        <v>1140.0939647315604</v>
      </c>
      <c r="D4905" s="7"/>
    </row>
    <row r="4906" spans="2:4" x14ac:dyDescent="0.25">
      <c r="B4906" s="4">
        <f t="shared" si="92"/>
        <v>618.99999999995543</v>
      </c>
      <c r="C4906" s="199">
        <v>1140.328346738783</v>
      </c>
      <c r="D4906" s="7"/>
    </row>
    <row r="4907" spans="2:4" x14ac:dyDescent="0.25">
      <c r="B4907" s="4">
        <f t="shared" si="92"/>
        <v>619.00999999995543</v>
      </c>
      <c r="C4907" s="199">
        <v>1140.5627287460063</v>
      </c>
      <c r="D4907" s="7"/>
    </row>
    <row r="4908" spans="2:4" x14ac:dyDescent="0.25">
      <c r="B4908" s="4">
        <f t="shared" si="92"/>
        <v>619.01999999995542</v>
      </c>
      <c r="C4908" s="199">
        <v>1140.7973028256238</v>
      </c>
      <c r="D4908" s="7"/>
    </row>
    <row r="4909" spans="2:4" x14ac:dyDescent="0.25">
      <c r="B4909" s="4">
        <f t="shared" si="92"/>
        <v>619.02999999995541</v>
      </c>
      <c r="C4909" s="199">
        <v>1141.0318769052424</v>
      </c>
      <c r="D4909" s="7"/>
    </row>
    <row r="4910" spans="2:4" x14ac:dyDescent="0.25">
      <c r="B4910" s="4">
        <f t="shared" si="92"/>
        <v>619.0399999999554</v>
      </c>
      <c r="C4910" s="199">
        <v>1141.2664509848612</v>
      </c>
      <c r="D4910" s="7"/>
    </row>
    <row r="4911" spans="2:4" x14ac:dyDescent="0.25">
      <c r="B4911" s="4">
        <f t="shared" si="92"/>
        <v>619.04999999995539</v>
      </c>
      <c r="C4911" s="199">
        <v>1141.5010250644798</v>
      </c>
      <c r="D4911" s="7"/>
    </row>
    <row r="4912" spans="2:4" x14ac:dyDescent="0.25">
      <c r="B4912" s="4">
        <f t="shared" si="92"/>
        <v>619.05999999995538</v>
      </c>
      <c r="C4912" s="199">
        <v>1141.7355991440982</v>
      </c>
      <c r="D4912" s="7"/>
    </row>
    <row r="4913" spans="2:4" x14ac:dyDescent="0.25">
      <c r="B4913" s="4">
        <f t="shared" si="92"/>
        <v>619.06999999995537</v>
      </c>
      <c r="C4913" s="199">
        <v>1141.9701732237174</v>
      </c>
      <c r="D4913" s="7"/>
    </row>
    <row r="4914" spans="2:4" x14ac:dyDescent="0.25">
      <c r="B4914" s="4">
        <f t="shared" si="92"/>
        <v>619.07999999995536</v>
      </c>
      <c r="C4914" s="199">
        <v>1142.204747303336</v>
      </c>
      <c r="D4914" s="7"/>
    </row>
    <row r="4915" spans="2:4" x14ac:dyDescent="0.25">
      <c r="B4915" s="4">
        <f t="shared" si="92"/>
        <v>619.08999999995535</v>
      </c>
      <c r="C4915" s="199">
        <v>1142.4393213829546</v>
      </c>
      <c r="D4915" s="7"/>
    </row>
    <row r="4916" spans="2:4" x14ac:dyDescent="0.25">
      <c r="B4916" s="4">
        <f t="shared" si="92"/>
        <v>619.09999999995534</v>
      </c>
      <c r="C4916" s="199">
        <v>1142.6738954625735</v>
      </c>
      <c r="D4916" s="7"/>
    </row>
    <row r="4917" spans="2:4" x14ac:dyDescent="0.25">
      <c r="B4917" s="4">
        <f t="shared" si="92"/>
        <v>619.10999999995533</v>
      </c>
      <c r="C4917" s="199">
        <v>1142.9084695421921</v>
      </c>
      <c r="D4917" s="7"/>
    </row>
    <row r="4918" spans="2:4" x14ac:dyDescent="0.25">
      <c r="B4918" s="4">
        <f t="shared" si="92"/>
        <v>619.11999999995533</v>
      </c>
      <c r="C4918" s="199">
        <v>1143.1432326644999</v>
      </c>
      <c r="D4918" s="7"/>
    </row>
    <row r="4919" spans="2:4" x14ac:dyDescent="0.25">
      <c r="B4919" s="4">
        <f t="shared" si="92"/>
        <v>619.12999999995532</v>
      </c>
      <c r="C4919" s="199">
        <v>1143.3779957868137</v>
      </c>
      <c r="D4919" s="7"/>
    </row>
    <row r="4920" spans="2:4" x14ac:dyDescent="0.25">
      <c r="B4920" s="4">
        <f t="shared" si="92"/>
        <v>619.13999999995531</v>
      </c>
      <c r="C4920" s="199">
        <v>1143.6127589091273</v>
      </c>
      <c r="D4920" s="7"/>
    </row>
    <row r="4921" spans="2:4" x14ac:dyDescent="0.25">
      <c r="B4921" s="4">
        <f t="shared" si="92"/>
        <v>619.1499999999553</v>
      </c>
      <c r="C4921" s="199">
        <v>1143.8475220314408</v>
      </c>
      <c r="D4921" s="7"/>
    </row>
    <row r="4922" spans="2:4" x14ac:dyDescent="0.25">
      <c r="B4922" s="4">
        <f t="shared" si="92"/>
        <v>619.15999999995529</v>
      </c>
      <c r="C4922" s="199">
        <v>1144.0822851537534</v>
      </c>
      <c r="D4922" s="7"/>
    </row>
    <row r="4923" spans="2:4" x14ac:dyDescent="0.25">
      <c r="B4923" s="4">
        <f t="shared" si="92"/>
        <v>619.16999999995528</v>
      </c>
      <c r="C4923" s="199">
        <v>1144.3170482760668</v>
      </c>
      <c r="D4923" s="7"/>
    </row>
    <row r="4924" spans="2:4" x14ac:dyDescent="0.25">
      <c r="B4924" s="4">
        <f t="shared" si="92"/>
        <v>619.17999999995527</v>
      </c>
      <c r="C4924" s="199">
        <v>1144.5518113983796</v>
      </c>
      <c r="D4924" s="7"/>
    </row>
    <row r="4925" spans="2:4" x14ac:dyDescent="0.25">
      <c r="B4925" s="4">
        <f t="shared" si="92"/>
        <v>619.18999999995526</v>
      </c>
      <c r="C4925" s="199">
        <v>1144.7865745206939</v>
      </c>
      <c r="D4925" s="7"/>
    </row>
    <row r="4926" spans="2:4" x14ac:dyDescent="0.25">
      <c r="B4926" s="4">
        <f t="shared" si="92"/>
        <v>619.19999999995525</v>
      </c>
      <c r="C4926" s="199">
        <v>1145.021337643007</v>
      </c>
      <c r="D4926" s="7"/>
    </row>
    <row r="4927" spans="2:4" x14ac:dyDescent="0.25">
      <c r="B4927" s="4">
        <f t="shared" si="92"/>
        <v>619.20999999995524</v>
      </c>
      <c r="C4927" s="199">
        <v>1145.2561007653201</v>
      </c>
      <c r="D4927" s="7"/>
    </row>
    <row r="4928" spans="2:4" x14ac:dyDescent="0.25">
      <c r="B4928" s="4">
        <f t="shared" si="92"/>
        <v>619.21999999995523</v>
      </c>
      <c r="C4928" s="199">
        <v>1145.4910535792355</v>
      </c>
      <c r="D4928" s="7"/>
    </row>
    <row r="4929" spans="2:4" x14ac:dyDescent="0.25">
      <c r="B4929" s="4">
        <f t="shared" si="92"/>
        <v>619.22999999995523</v>
      </c>
      <c r="C4929" s="199">
        <v>1145.7260063931499</v>
      </c>
      <c r="D4929" s="7"/>
    </row>
    <row r="4930" spans="2:4" x14ac:dyDescent="0.25">
      <c r="B4930" s="4">
        <f t="shared" si="92"/>
        <v>619.23999999995522</v>
      </c>
      <c r="C4930" s="199">
        <v>1145.9609592070651</v>
      </c>
      <c r="D4930" s="7"/>
    </row>
    <row r="4931" spans="2:4" x14ac:dyDescent="0.25">
      <c r="B4931" s="4">
        <f t="shared" si="92"/>
        <v>619.24999999995521</v>
      </c>
      <c r="C4931" s="199">
        <v>1146.1959120209794</v>
      </c>
      <c r="D4931" s="7"/>
    </row>
    <row r="4932" spans="2:4" x14ac:dyDescent="0.25">
      <c r="B4932" s="4">
        <f t="shared" si="92"/>
        <v>619.2599999999552</v>
      </c>
      <c r="C4932" s="199">
        <v>1146.4308648348945</v>
      </c>
      <c r="D4932" s="7"/>
    </row>
    <row r="4933" spans="2:4" x14ac:dyDescent="0.25">
      <c r="B4933" s="4">
        <f t="shared" si="92"/>
        <v>619.26999999995519</v>
      </c>
      <c r="C4933" s="199">
        <v>1146.6658176488088</v>
      </c>
      <c r="D4933" s="7"/>
    </row>
    <row r="4934" spans="2:4" x14ac:dyDescent="0.25">
      <c r="B4934" s="4">
        <f t="shared" si="92"/>
        <v>619.27999999995518</v>
      </c>
      <c r="C4934" s="199">
        <v>1146.9007704627234</v>
      </c>
      <c r="D4934" s="7"/>
    </row>
    <row r="4935" spans="2:4" x14ac:dyDescent="0.25">
      <c r="B4935" s="4">
        <f t="shared" si="92"/>
        <v>619.28999999995517</v>
      </c>
      <c r="C4935" s="199">
        <v>1147.1357232766388</v>
      </c>
      <c r="D4935" s="7"/>
    </row>
    <row r="4936" spans="2:4" x14ac:dyDescent="0.25">
      <c r="B4936" s="4">
        <f t="shared" ref="B4936:B4999" si="93">+B4935+0.01</f>
        <v>619.29999999995516</v>
      </c>
      <c r="C4936" s="199">
        <v>1147.3706760905532</v>
      </c>
      <c r="D4936" s="7"/>
    </row>
    <row r="4937" spans="2:4" x14ac:dyDescent="0.25">
      <c r="B4937" s="4">
        <f t="shared" si="93"/>
        <v>619.30999999995515</v>
      </c>
      <c r="C4937" s="199">
        <v>1147.6056289044673</v>
      </c>
      <c r="D4937" s="7"/>
    </row>
    <row r="4938" spans="2:4" x14ac:dyDescent="0.25">
      <c r="B4938" s="4">
        <f t="shared" si="93"/>
        <v>619.31999999995514</v>
      </c>
      <c r="C4938" s="199">
        <v>1147.8407691947739</v>
      </c>
      <c r="D4938" s="7"/>
    </row>
    <row r="4939" spans="2:4" x14ac:dyDescent="0.25">
      <c r="B4939" s="4">
        <f t="shared" si="93"/>
        <v>619.32999999995513</v>
      </c>
      <c r="C4939" s="199">
        <v>1148.0759094850848</v>
      </c>
      <c r="D4939" s="7"/>
    </row>
    <row r="4940" spans="2:4" x14ac:dyDescent="0.25">
      <c r="B4940" s="4">
        <f t="shared" si="93"/>
        <v>619.33999999995513</v>
      </c>
      <c r="C4940" s="199">
        <v>1148.311049775396</v>
      </c>
      <c r="D4940" s="7"/>
    </row>
    <row r="4941" spans="2:4" x14ac:dyDescent="0.25">
      <c r="B4941" s="4">
        <f t="shared" si="93"/>
        <v>619.34999999995512</v>
      </c>
      <c r="C4941" s="199">
        <v>1148.5461900657065</v>
      </c>
      <c r="D4941" s="7"/>
    </row>
    <row r="4942" spans="2:4" x14ac:dyDescent="0.25">
      <c r="B4942" s="4">
        <f t="shared" si="93"/>
        <v>619.35999999995511</v>
      </c>
      <c r="C4942" s="199">
        <v>1148.7813303560176</v>
      </c>
      <c r="D4942" s="7"/>
    </row>
    <row r="4943" spans="2:4" x14ac:dyDescent="0.25">
      <c r="B4943" s="4">
        <f t="shared" si="93"/>
        <v>619.3699999999551</v>
      </c>
      <c r="C4943" s="199">
        <v>1149.0164706463295</v>
      </c>
      <c r="D4943" s="7"/>
    </row>
    <row r="4944" spans="2:4" x14ac:dyDescent="0.25">
      <c r="B4944" s="4">
        <f t="shared" si="93"/>
        <v>619.37999999995509</v>
      </c>
      <c r="C4944" s="199">
        <v>1149.2516109366402</v>
      </c>
      <c r="D4944" s="7"/>
    </row>
    <row r="4945" spans="2:4" x14ac:dyDescent="0.25">
      <c r="B4945" s="4">
        <f t="shared" si="93"/>
        <v>619.38999999995508</v>
      </c>
      <c r="C4945" s="199">
        <v>1149.4867512269516</v>
      </c>
      <c r="D4945" s="7"/>
    </row>
    <row r="4946" spans="2:4" x14ac:dyDescent="0.25">
      <c r="B4946" s="4">
        <f t="shared" si="93"/>
        <v>619.39999999995507</v>
      </c>
      <c r="C4946" s="199">
        <v>1149.7218915172621</v>
      </c>
      <c r="D4946" s="7"/>
    </row>
    <row r="4947" spans="2:4" x14ac:dyDescent="0.25">
      <c r="B4947" s="4">
        <f t="shared" si="93"/>
        <v>619.40999999995506</v>
      </c>
      <c r="C4947" s="199">
        <v>1149.9570318075741</v>
      </c>
      <c r="D4947" s="7"/>
    </row>
    <row r="4948" spans="2:4" x14ac:dyDescent="0.25">
      <c r="B4948" s="4">
        <f t="shared" si="93"/>
        <v>619.41999999995505</v>
      </c>
      <c r="C4948" s="199">
        <v>1150.1923602026345</v>
      </c>
      <c r="D4948" s="7"/>
    </row>
    <row r="4949" spans="2:4" x14ac:dyDescent="0.25">
      <c r="B4949" s="4">
        <f t="shared" si="93"/>
        <v>619.42999999995504</v>
      </c>
      <c r="C4949" s="199">
        <v>1150.4276885976963</v>
      </c>
      <c r="D4949" s="7"/>
    </row>
    <row r="4950" spans="2:4" x14ac:dyDescent="0.25">
      <c r="B4950" s="4">
        <f t="shared" si="93"/>
        <v>619.43999999995503</v>
      </c>
      <c r="C4950" s="199">
        <v>1150.663016992756</v>
      </c>
      <c r="D4950" s="7"/>
    </row>
    <row r="4951" spans="2:4" x14ac:dyDescent="0.25">
      <c r="B4951" s="4">
        <f t="shared" si="93"/>
        <v>619.44999999995503</v>
      </c>
      <c r="C4951" s="199">
        <v>1150.8983453878175</v>
      </c>
      <c r="D4951" s="7"/>
    </row>
    <row r="4952" spans="2:4" x14ac:dyDescent="0.25">
      <c r="B4952" s="4">
        <f t="shared" si="93"/>
        <v>619.45999999995502</v>
      </c>
      <c r="C4952" s="199">
        <v>1151.1336737828783</v>
      </c>
      <c r="D4952" s="7"/>
    </row>
    <row r="4953" spans="2:4" x14ac:dyDescent="0.25">
      <c r="B4953" s="4">
        <f t="shared" si="93"/>
        <v>619.46999999995501</v>
      </c>
      <c r="C4953" s="199">
        <v>1151.3690021779389</v>
      </c>
      <c r="D4953" s="7"/>
    </row>
    <row r="4954" spans="2:4" x14ac:dyDescent="0.25">
      <c r="B4954" s="4">
        <f t="shared" si="93"/>
        <v>619.479999999955</v>
      </c>
      <c r="C4954" s="199">
        <v>1151.6043305729995</v>
      </c>
      <c r="D4954" s="7"/>
    </row>
    <row r="4955" spans="2:4" x14ac:dyDescent="0.25">
      <c r="B4955" s="4">
        <f t="shared" si="93"/>
        <v>619.48999999995499</v>
      </c>
      <c r="C4955" s="199">
        <v>1151.8396589680592</v>
      </c>
      <c r="D4955" s="7"/>
    </row>
    <row r="4956" spans="2:4" x14ac:dyDescent="0.25">
      <c r="B4956" s="4">
        <f t="shared" si="93"/>
        <v>619.49999999995498</v>
      </c>
      <c r="C4956" s="199">
        <v>1152.0749873631207</v>
      </c>
      <c r="D4956" s="7"/>
    </row>
    <row r="4957" spans="2:4" x14ac:dyDescent="0.25">
      <c r="B4957" s="4">
        <f t="shared" si="93"/>
        <v>619.50999999995497</v>
      </c>
      <c r="C4957" s="199">
        <v>1152.3103157581811</v>
      </c>
      <c r="D4957" s="7"/>
    </row>
    <row r="4958" spans="2:4" x14ac:dyDescent="0.25">
      <c r="B4958" s="4">
        <f t="shared" si="93"/>
        <v>619.51999999995496</v>
      </c>
      <c r="C4958" s="199">
        <v>1152.5458329798707</v>
      </c>
      <c r="D4958" s="7"/>
    </row>
    <row r="4959" spans="2:4" x14ac:dyDescent="0.25">
      <c r="B4959" s="4">
        <f t="shared" si="93"/>
        <v>619.52999999995495</v>
      </c>
      <c r="C4959" s="199">
        <v>1152.7813502015665</v>
      </c>
      <c r="D4959" s="7"/>
    </row>
    <row r="4960" spans="2:4" x14ac:dyDescent="0.25">
      <c r="B4960" s="4">
        <f t="shared" si="93"/>
        <v>619.53999999995494</v>
      </c>
      <c r="C4960" s="199">
        <v>1153.0168674232621</v>
      </c>
      <c r="D4960" s="7"/>
    </row>
    <row r="4961" spans="2:4" x14ac:dyDescent="0.25">
      <c r="B4961" s="4">
        <f t="shared" si="93"/>
        <v>619.54999999995493</v>
      </c>
      <c r="C4961" s="199">
        <v>1153.2523846449585</v>
      </c>
      <c r="D4961" s="7"/>
    </row>
    <row r="4962" spans="2:4" x14ac:dyDescent="0.25">
      <c r="B4962" s="4">
        <f t="shared" si="93"/>
        <v>619.55999999995493</v>
      </c>
      <c r="C4962" s="199">
        <v>1153.4879018666547</v>
      </c>
      <c r="D4962" s="7"/>
    </row>
    <row r="4963" spans="2:4" x14ac:dyDescent="0.25">
      <c r="B4963" s="4">
        <f t="shared" si="93"/>
        <v>619.56999999995492</v>
      </c>
      <c r="C4963" s="199">
        <v>1153.7234190883503</v>
      </c>
      <c r="D4963" s="7"/>
    </row>
    <row r="4964" spans="2:4" x14ac:dyDescent="0.25">
      <c r="B4964" s="4">
        <f t="shared" si="93"/>
        <v>619.57999999995491</v>
      </c>
      <c r="C4964" s="199">
        <v>1153.9589363100465</v>
      </c>
      <c r="D4964" s="7"/>
    </row>
    <row r="4965" spans="2:4" x14ac:dyDescent="0.25">
      <c r="B4965" s="4">
        <f t="shared" si="93"/>
        <v>619.5899999999549</v>
      </c>
      <c r="C4965" s="199">
        <v>1154.1944535317421</v>
      </c>
      <c r="D4965" s="7"/>
    </row>
    <row r="4966" spans="2:4" x14ac:dyDescent="0.25">
      <c r="B4966" s="4">
        <f t="shared" si="93"/>
        <v>619.59999999995489</v>
      </c>
      <c r="C4966" s="199">
        <v>1154.4299707534378</v>
      </c>
      <c r="D4966" s="7"/>
    </row>
    <row r="4967" spans="2:4" x14ac:dyDescent="0.25">
      <c r="B4967" s="4">
        <f t="shared" si="93"/>
        <v>619.60999999995488</v>
      </c>
      <c r="C4967" s="199">
        <v>1154.6654879751329</v>
      </c>
      <c r="D4967" s="7"/>
    </row>
    <row r="4968" spans="2:4" x14ac:dyDescent="0.25">
      <c r="B4968" s="4">
        <f t="shared" si="93"/>
        <v>619.61999999995487</v>
      </c>
      <c r="C4968" s="199">
        <v>1154.9011924822564</v>
      </c>
      <c r="D4968" s="7"/>
    </row>
    <row r="4969" spans="2:4" x14ac:dyDescent="0.25">
      <c r="B4969" s="4">
        <f t="shared" si="93"/>
        <v>619.62999999995486</v>
      </c>
      <c r="C4969" s="199">
        <v>1155.1368969893792</v>
      </c>
      <c r="D4969" s="7"/>
    </row>
    <row r="4970" spans="2:4" x14ac:dyDescent="0.25">
      <c r="B4970" s="4">
        <f t="shared" si="93"/>
        <v>619.63999999995485</v>
      </c>
      <c r="C4970" s="199">
        <v>1155.372601496503</v>
      </c>
      <c r="D4970" s="7"/>
    </row>
    <row r="4971" spans="2:4" x14ac:dyDescent="0.25">
      <c r="B4971" s="4">
        <f t="shared" si="93"/>
        <v>619.64999999995484</v>
      </c>
      <c r="C4971" s="199">
        <v>1155.608306003626</v>
      </c>
      <c r="D4971" s="7"/>
    </row>
    <row r="4972" spans="2:4" x14ac:dyDescent="0.25">
      <c r="B4972" s="4">
        <f t="shared" si="93"/>
        <v>619.65999999995483</v>
      </c>
      <c r="C4972" s="199">
        <v>1155.8440105107491</v>
      </c>
      <c r="D4972" s="7"/>
    </row>
    <row r="4973" spans="2:4" x14ac:dyDescent="0.25">
      <c r="B4973" s="4">
        <f t="shared" si="93"/>
        <v>619.66999999995483</v>
      </c>
      <c r="C4973" s="199">
        <v>1156.0797150178721</v>
      </c>
      <c r="D4973" s="7"/>
    </row>
    <row r="4974" spans="2:4" x14ac:dyDescent="0.25">
      <c r="B4974" s="4">
        <f t="shared" si="93"/>
        <v>619.67999999995482</v>
      </c>
      <c r="C4974" s="199">
        <v>1156.3154195249954</v>
      </c>
      <c r="D4974" s="7"/>
    </row>
    <row r="4975" spans="2:4" x14ac:dyDescent="0.25">
      <c r="B4975" s="4">
        <f t="shared" si="93"/>
        <v>619.68999999995481</v>
      </c>
      <c r="C4975" s="199">
        <v>1156.5511240321187</v>
      </c>
      <c r="D4975" s="7"/>
    </row>
    <row r="4976" spans="2:4" x14ac:dyDescent="0.25">
      <c r="B4976" s="4">
        <f t="shared" si="93"/>
        <v>619.6999999999548</v>
      </c>
      <c r="C4976" s="199">
        <v>1156.7868285392419</v>
      </c>
      <c r="D4976" s="7"/>
    </row>
    <row r="4977" spans="2:4" x14ac:dyDescent="0.25">
      <c r="B4977" s="4">
        <f t="shared" si="93"/>
        <v>619.70999999995479</v>
      </c>
      <c r="C4977" s="199">
        <v>1157.0225330463652</v>
      </c>
      <c r="D4977" s="7"/>
    </row>
    <row r="4978" spans="2:4" x14ac:dyDescent="0.25">
      <c r="B4978" s="4">
        <f t="shared" si="93"/>
        <v>619.71999999995478</v>
      </c>
      <c r="C4978" s="199">
        <v>1157.2584253829493</v>
      </c>
      <c r="D4978" s="7"/>
    </row>
    <row r="4979" spans="2:4" x14ac:dyDescent="0.25">
      <c r="B4979" s="4">
        <f t="shared" si="93"/>
        <v>619.72999999995477</v>
      </c>
      <c r="C4979" s="199">
        <v>1157.4943177195371</v>
      </c>
      <c r="D4979" s="7"/>
    </row>
    <row r="4980" spans="2:4" x14ac:dyDescent="0.25">
      <c r="B4980" s="4">
        <f t="shared" si="93"/>
        <v>619.73999999995476</v>
      </c>
      <c r="C4980" s="199">
        <v>1157.7302100561249</v>
      </c>
      <c r="D4980" s="7"/>
    </row>
    <row r="4981" spans="2:4" x14ac:dyDescent="0.25">
      <c r="B4981" s="4">
        <f t="shared" si="93"/>
        <v>619.74999999995475</v>
      </c>
      <c r="C4981" s="199">
        <v>1157.9661023927135</v>
      </c>
      <c r="D4981" s="7"/>
    </row>
    <row r="4982" spans="2:4" x14ac:dyDescent="0.25">
      <c r="B4982" s="4">
        <f t="shared" si="93"/>
        <v>619.75999999995474</v>
      </c>
      <c r="C4982" s="199">
        <v>1158.2019947293004</v>
      </c>
      <c r="D4982" s="7"/>
    </row>
    <row r="4983" spans="2:4" x14ac:dyDescent="0.25">
      <c r="B4983" s="4">
        <f t="shared" si="93"/>
        <v>619.76999999995473</v>
      </c>
      <c r="C4983" s="199">
        <v>1158.4378870658898</v>
      </c>
      <c r="D4983" s="7"/>
    </row>
    <row r="4984" spans="2:4" x14ac:dyDescent="0.25">
      <c r="B4984" s="4">
        <f t="shared" si="93"/>
        <v>619.77999999995473</v>
      </c>
      <c r="C4984" s="199">
        <v>1158.6737794024766</v>
      </c>
      <c r="D4984" s="7"/>
    </row>
    <row r="4985" spans="2:4" x14ac:dyDescent="0.25">
      <c r="B4985" s="4">
        <f t="shared" si="93"/>
        <v>619.78999999995472</v>
      </c>
      <c r="C4985" s="199">
        <v>1158.9096717390648</v>
      </c>
      <c r="D4985" s="7"/>
    </row>
    <row r="4986" spans="2:4" x14ac:dyDescent="0.25">
      <c r="B4986" s="4">
        <f t="shared" si="93"/>
        <v>619.79999999995471</v>
      </c>
      <c r="C4986" s="199">
        <v>1159.145564075654</v>
      </c>
      <c r="D4986" s="7"/>
    </row>
    <row r="4987" spans="2:4" x14ac:dyDescent="0.25">
      <c r="B4987" s="4">
        <f t="shared" si="93"/>
        <v>619.8099999999547</v>
      </c>
      <c r="C4987" s="199">
        <v>1159.3814564122411</v>
      </c>
      <c r="D4987" s="7"/>
    </row>
    <row r="4988" spans="2:4" x14ac:dyDescent="0.25">
      <c r="B4988" s="4">
        <f t="shared" si="93"/>
        <v>619.81999999995469</v>
      </c>
      <c r="C4988" s="199">
        <v>1159.6175363957529</v>
      </c>
      <c r="D4988" s="7"/>
    </row>
    <row r="4989" spans="2:4" x14ac:dyDescent="0.25">
      <c r="B4989" s="4">
        <f t="shared" si="93"/>
        <v>619.82999999995468</v>
      </c>
      <c r="C4989" s="199">
        <v>1159.8536163792655</v>
      </c>
      <c r="D4989" s="7"/>
    </row>
    <row r="4990" spans="2:4" x14ac:dyDescent="0.25">
      <c r="B4990" s="4">
        <f t="shared" si="93"/>
        <v>619.83999999995467</v>
      </c>
      <c r="C4990" s="199">
        <v>1160.089696362777</v>
      </c>
      <c r="D4990" s="7"/>
    </row>
    <row r="4991" spans="2:4" x14ac:dyDescent="0.25">
      <c r="B4991" s="4">
        <f t="shared" si="93"/>
        <v>619.84999999995466</v>
      </c>
      <c r="C4991" s="199">
        <v>1160.3257763462893</v>
      </c>
      <c r="D4991" s="7"/>
    </row>
    <row r="4992" spans="2:4" x14ac:dyDescent="0.25">
      <c r="B4992" s="4">
        <f t="shared" si="93"/>
        <v>619.85999999995465</v>
      </c>
      <c r="C4992" s="199">
        <v>1160.5618563298021</v>
      </c>
      <c r="D4992" s="7"/>
    </row>
    <row r="4993" spans="2:4" x14ac:dyDescent="0.25">
      <c r="B4993" s="4">
        <f t="shared" si="93"/>
        <v>619.86999999995464</v>
      </c>
      <c r="C4993" s="199">
        <v>1160.7979363133136</v>
      </c>
      <c r="D4993" s="7"/>
    </row>
    <row r="4994" spans="2:4" x14ac:dyDescent="0.25">
      <c r="B4994" s="4">
        <f t="shared" si="93"/>
        <v>619.87999999995463</v>
      </c>
      <c r="C4994" s="199">
        <v>1161.0340162968262</v>
      </c>
      <c r="D4994" s="7"/>
    </row>
    <row r="4995" spans="2:4" x14ac:dyDescent="0.25">
      <c r="B4995" s="4">
        <f t="shared" si="93"/>
        <v>619.88999999995463</v>
      </c>
      <c r="C4995" s="199">
        <v>1161.2700962803387</v>
      </c>
      <c r="D4995" s="7"/>
    </row>
    <row r="4996" spans="2:4" x14ac:dyDescent="0.25">
      <c r="B4996" s="4">
        <f t="shared" si="93"/>
        <v>619.89999999995462</v>
      </c>
      <c r="C4996" s="199">
        <v>1161.50617626385</v>
      </c>
      <c r="D4996" s="7"/>
    </row>
    <row r="4997" spans="2:4" x14ac:dyDescent="0.25">
      <c r="B4997" s="4">
        <f t="shared" si="93"/>
        <v>619.90999999995461</v>
      </c>
      <c r="C4997" s="199">
        <v>1161.7422562473628</v>
      </c>
      <c r="D4997" s="7"/>
    </row>
    <row r="4998" spans="2:4" x14ac:dyDescent="0.25">
      <c r="B4998" s="4">
        <f t="shared" si="93"/>
        <v>619.9199999999546</v>
      </c>
      <c r="C4998" s="199">
        <v>1161.9785235316754</v>
      </c>
      <c r="D4998" s="7"/>
    </row>
    <row r="4999" spans="2:4" x14ac:dyDescent="0.25">
      <c r="B4999" s="4">
        <f t="shared" si="93"/>
        <v>619.92999999995459</v>
      </c>
      <c r="C4999" s="199">
        <v>1162.2147908159934</v>
      </c>
      <c r="D4999" s="7"/>
    </row>
    <row r="5000" spans="2:4" x14ac:dyDescent="0.25">
      <c r="B5000" s="4">
        <f t="shared" ref="B5000:B5063" si="94">+B4999+0.01</f>
        <v>619.93999999995458</v>
      </c>
      <c r="C5000" s="199">
        <v>1162.4510581003119</v>
      </c>
      <c r="D5000" s="7"/>
    </row>
    <row r="5001" spans="2:4" x14ac:dyDescent="0.25">
      <c r="B5001" s="4">
        <f t="shared" si="94"/>
        <v>619.94999999995457</v>
      </c>
      <c r="C5001" s="199">
        <v>1162.68732538463</v>
      </c>
      <c r="D5001" s="7"/>
    </row>
    <row r="5002" spans="2:4" x14ac:dyDescent="0.25">
      <c r="B5002" s="4">
        <f t="shared" si="94"/>
        <v>619.95999999995456</v>
      </c>
      <c r="C5002" s="199">
        <v>1162.9235926689482</v>
      </c>
      <c r="D5002" s="7"/>
    </row>
    <row r="5003" spans="2:4" x14ac:dyDescent="0.25">
      <c r="B5003" s="4">
        <f t="shared" si="94"/>
        <v>619.96999999995455</v>
      </c>
      <c r="C5003" s="199">
        <v>1163.1598599532661</v>
      </c>
      <c r="D5003" s="7"/>
    </row>
    <row r="5004" spans="2:4" x14ac:dyDescent="0.25">
      <c r="B5004" s="4">
        <f t="shared" si="94"/>
        <v>619.97999999995454</v>
      </c>
      <c r="C5004" s="199">
        <v>1163.3961272375836</v>
      </c>
      <c r="D5004" s="7"/>
    </row>
    <row r="5005" spans="2:4" x14ac:dyDescent="0.25">
      <c r="B5005" s="4">
        <f t="shared" si="94"/>
        <v>619.98999999995453</v>
      </c>
      <c r="C5005" s="199">
        <v>1163.6323945219031</v>
      </c>
      <c r="D5005" s="7"/>
    </row>
    <row r="5006" spans="2:4" x14ac:dyDescent="0.25">
      <c r="B5006" s="4">
        <f t="shared" si="94"/>
        <v>619.99999999995453</v>
      </c>
      <c r="C5006" s="199">
        <v>1163.8686618062209</v>
      </c>
      <c r="D5006" s="7"/>
    </row>
    <row r="5007" spans="2:4" x14ac:dyDescent="0.25">
      <c r="B5007" s="4">
        <f t="shared" si="94"/>
        <v>620.00999999995452</v>
      </c>
      <c r="C5007" s="199">
        <v>1164.1049290905389</v>
      </c>
      <c r="D5007" s="7"/>
    </row>
    <row r="5008" spans="2:4" x14ac:dyDescent="0.25">
      <c r="B5008" s="4">
        <f t="shared" si="94"/>
        <v>620.01999999995451</v>
      </c>
      <c r="C5008" s="199">
        <v>1164.3413850413838</v>
      </c>
      <c r="D5008" s="7"/>
    </row>
    <row r="5009" spans="2:4" x14ac:dyDescent="0.25">
      <c r="B5009" s="4">
        <f t="shared" si="94"/>
        <v>620.0299999999545</v>
      </c>
      <c r="C5009" s="199">
        <v>1164.5778409922295</v>
      </c>
      <c r="D5009" s="7"/>
    </row>
    <row r="5010" spans="2:4" x14ac:dyDescent="0.25">
      <c r="B5010" s="4">
        <f t="shared" si="94"/>
        <v>620.03999999995449</v>
      </c>
      <c r="C5010" s="199">
        <v>1164.8142969430755</v>
      </c>
      <c r="D5010" s="7"/>
    </row>
    <row r="5011" spans="2:4" x14ac:dyDescent="0.25">
      <c r="B5011" s="4">
        <f t="shared" si="94"/>
        <v>620.04999999995448</v>
      </c>
      <c r="C5011" s="199">
        <v>1165.0507528939215</v>
      </c>
      <c r="D5011" s="7"/>
    </row>
    <row r="5012" spans="2:4" x14ac:dyDescent="0.25">
      <c r="B5012" s="4">
        <f t="shared" si="94"/>
        <v>620.05999999995447</v>
      </c>
      <c r="C5012" s="199">
        <v>1165.2872088447671</v>
      </c>
      <c r="D5012" s="7"/>
    </row>
    <row r="5013" spans="2:4" x14ac:dyDescent="0.25">
      <c r="B5013" s="4">
        <f t="shared" si="94"/>
        <v>620.06999999995446</v>
      </c>
      <c r="C5013" s="199">
        <v>1165.5236647956126</v>
      </c>
      <c r="D5013" s="7"/>
    </row>
    <row r="5014" spans="2:4" x14ac:dyDescent="0.25">
      <c r="B5014" s="4">
        <f t="shared" si="94"/>
        <v>620.07999999995445</v>
      </c>
      <c r="C5014" s="199">
        <v>1165.7601207464581</v>
      </c>
      <c r="D5014" s="7"/>
    </row>
    <row r="5015" spans="2:4" x14ac:dyDescent="0.25">
      <c r="B5015" s="4">
        <f t="shared" si="94"/>
        <v>620.08999999995444</v>
      </c>
      <c r="C5015" s="199">
        <v>1165.9965766973041</v>
      </c>
      <c r="D5015" s="7"/>
    </row>
    <row r="5016" spans="2:4" x14ac:dyDescent="0.25">
      <c r="B5016" s="4">
        <f t="shared" si="94"/>
        <v>620.09999999995443</v>
      </c>
      <c r="C5016" s="199">
        <v>1166.2330326481499</v>
      </c>
      <c r="D5016" s="7"/>
    </row>
    <row r="5017" spans="2:4" x14ac:dyDescent="0.25">
      <c r="B5017" s="4">
        <f t="shared" si="94"/>
        <v>620.10999999995443</v>
      </c>
      <c r="C5017" s="199">
        <v>1166.4694885989952</v>
      </c>
      <c r="D5017" s="7"/>
    </row>
    <row r="5018" spans="2:4" x14ac:dyDescent="0.25">
      <c r="B5018" s="4">
        <f t="shared" si="94"/>
        <v>620.11999999995442</v>
      </c>
      <c r="C5018" s="199">
        <v>1166.706132852669</v>
      </c>
      <c r="D5018" s="7"/>
    </row>
    <row r="5019" spans="2:4" x14ac:dyDescent="0.25">
      <c r="B5019" s="4">
        <f t="shared" si="94"/>
        <v>620.12999999995441</v>
      </c>
      <c r="C5019" s="199">
        <v>1166.9427771063465</v>
      </c>
      <c r="D5019" s="7"/>
    </row>
    <row r="5020" spans="2:4" x14ac:dyDescent="0.25">
      <c r="B5020" s="4">
        <f t="shared" si="94"/>
        <v>620.1399999999544</v>
      </c>
      <c r="C5020" s="199">
        <v>1167.1794213600238</v>
      </c>
      <c r="D5020" s="7"/>
    </row>
    <row r="5021" spans="2:4" x14ac:dyDescent="0.25">
      <c r="B5021" s="4">
        <f t="shared" si="94"/>
        <v>620.14999999995439</v>
      </c>
      <c r="C5021" s="199">
        <v>1167.4160656137003</v>
      </c>
      <c r="D5021" s="7"/>
    </row>
    <row r="5022" spans="2:4" x14ac:dyDescent="0.25">
      <c r="B5022" s="4">
        <f t="shared" si="94"/>
        <v>620.15999999995438</v>
      </c>
      <c r="C5022" s="199">
        <v>1167.6527098673776</v>
      </c>
      <c r="D5022" s="7"/>
    </row>
    <row r="5023" spans="2:4" x14ac:dyDescent="0.25">
      <c r="B5023" s="4">
        <f t="shared" si="94"/>
        <v>620.16999999995437</v>
      </c>
      <c r="C5023" s="199">
        <v>1167.8893541210552</v>
      </c>
      <c r="D5023" s="7"/>
    </row>
    <row r="5024" spans="2:4" x14ac:dyDescent="0.25">
      <c r="B5024" s="4">
        <f t="shared" si="94"/>
        <v>620.17999999995436</v>
      </c>
      <c r="C5024" s="199">
        <v>1168.1259983747334</v>
      </c>
      <c r="D5024" s="7"/>
    </row>
    <row r="5025" spans="2:4" x14ac:dyDescent="0.25">
      <c r="B5025" s="4">
        <f t="shared" si="94"/>
        <v>620.18999999995435</v>
      </c>
      <c r="C5025" s="199">
        <v>1168.3626426284095</v>
      </c>
      <c r="D5025" s="7"/>
    </row>
    <row r="5026" spans="2:4" x14ac:dyDescent="0.25">
      <c r="B5026" s="4">
        <f t="shared" si="94"/>
        <v>620.19999999995434</v>
      </c>
      <c r="C5026" s="199">
        <v>1168.599286882087</v>
      </c>
      <c r="D5026" s="7"/>
    </row>
    <row r="5027" spans="2:4" x14ac:dyDescent="0.25">
      <c r="B5027" s="4">
        <f t="shared" si="94"/>
        <v>620.20999999995433</v>
      </c>
      <c r="C5027" s="199">
        <v>1168.8359311357644</v>
      </c>
      <c r="D5027" s="7"/>
    </row>
    <row r="5028" spans="2:4" x14ac:dyDescent="0.25">
      <c r="B5028" s="4">
        <f t="shared" si="94"/>
        <v>620.21999999995433</v>
      </c>
      <c r="C5028" s="199">
        <v>1169.0727663769194</v>
      </c>
      <c r="D5028" s="7"/>
    </row>
    <row r="5029" spans="2:4" x14ac:dyDescent="0.25">
      <c r="B5029" s="4">
        <f t="shared" si="94"/>
        <v>620.22999999995432</v>
      </c>
      <c r="C5029" s="199">
        <v>1169.3096016180734</v>
      </c>
      <c r="D5029" s="7"/>
    </row>
    <row r="5030" spans="2:4" x14ac:dyDescent="0.25">
      <c r="B5030" s="4">
        <f t="shared" si="94"/>
        <v>620.23999999995431</v>
      </c>
      <c r="C5030" s="199">
        <v>1169.5464368592286</v>
      </c>
      <c r="D5030" s="7"/>
    </row>
    <row r="5031" spans="2:4" x14ac:dyDescent="0.25">
      <c r="B5031" s="4">
        <f t="shared" si="94"/>
        <v>620.2499999999543</v>
      </c>
      <c r="C5031" s="199">
        <v>1169.7832721003836</v>
      </c>
      <c r="D5031" s="7"/>
    </row>
    <row r="5032" spans="2:4" x14ac:dyDescent="0.25">
      <c r="B5032" s="4">
        <f t="shared" si="94"/>
        <v>620.25999999995429</v>
      </c>
      <c r="C5032" s="199">
        <v>1170.0201073415381</v>
      </c>
      <c r="D5032" s="7"/>
    </row>
    <row r="5033" spans="2:4" x14ac:dyDescent="0.25">
      <c r="B5033" s="4">
        <f t="shared" si="94"/>
        <v>620.26999999995428</v>
      </c>
      <c r="C5033" s="199">
        <v>1170.2569425826923</v>
      </c>
      <c r="D5033" s="7"/>
    </row>
    <row r="5034" spans="2:4" x14ac:dyDescent="0.25">
      <c r="B5034" s="4">
        <f t="shared" si="94"/>
        <v>620.27999999995427</v>
      </c>
      <c r="C5034" s="199">
        <v>1170.4937778238479</v>
      </c>
      <c r="D5034" s="7"/>
    </row>
    <row r="5035" spans="2:4" x14ac:dyDescent="0.25">
      <c r="B5035" s="4">
        <f t="shared" si="94"/>
        <v>620.28999999995426</v>
      </c>
      <c r="C5035" s="199">
        <v>1170.7306130650022</v>
      </c>
      <c r="D5035" s="7"/>
    </row>
    <row r="5036" spans="2:4" x14ac:dyDescent="0.25">
      <c r="B5036" s="4">
        <f t="shared" si="94"/>
        <v>620.29999999995425</v>
      </c>
      <c r="C5036" s="199">
        <v>1170.9674483061567</v>
      </c>
      <c r="D5036" s="7"/>
    </row>
    <row r="5037" spans="2:4" x14ac:dyDescent="0.25">
      <c r="B5037" s="4">
        <f t="shared" si="94"/>
        <v>620.30999999995424</v>
      </c>
      <c r="C5037" s="199">
        <v>1171.2042835473119</v>
      </c>
      <c r="D5037" s="7"/>
    </row>
    <row r="5038" spans="2:4" x14ac:dyDescent="0.25">
      <c r="B5038" s="4">
        <f t="shared" si="94"/>
        <v>620.31999999995423</v>
      </c>
      <c r="C5038" s="199">
        <v>1171.4413069785064</v>
      </c>
      <c r="D5038" s="7"/>
    </row>
    <row r="5039" spans="2:4" x14ac:dyDescent="0.25">
      <c r="B5039" s="4">
        <f t="shared" si="94"/>
        <v>620.32999999995423</v>
      </c>
      <c r="C5039" s="199">
        <v>1171.678330409708</v>
      </c>
      <c r="D5039" s="7"/>
    </row>
    <row r="5040" spans="2:4" x14ac:dyDescent="0.25">
      <c r="B5040" s="4">
        <f t="shared" si="94"/>
        <v>620.33999999995422</v>
      </c>
      <c r="C5040" s="199">
        <v>1171.9153538409089</v>
      </c>
      <c r="D5040" s="7"/>
    </row>
    <row r="5041" spans="2:4" x14ac:dyDescent="0.25">
      <c r="B5041" s="4">
        <f t="shared" si="94"/>
        <v>620.34999999995421</v>
      </c>
      <c r="C5041" s="199">
        <v>1172.1523772721096</v>
      </c>
      <c r="D5041" s="7"/>
    </row>
    <row r="5042" spans="2:4" x14ac:dyDescent="0.25">
      <c r="B5042" s="4">
        <f t="shared" si="94"/>
        <v>620.3599999999542</v>
      </c>
      <c r="C5042" s="199">
        <v>1172.3894007033109</v>
      </c>
      <c r="D5042" s="7"/>
    </row>
    <row r="5043" spans="2:4" x14ac:dyDescent="0.25">
      <c r="B5043" s="4">
        <f t="shared" si="94"/>
        <v>620.36999999995419</v>
      </c>
      <c r="C5043" s="199">
        <v>1172.6264241345116</v>
      </c>
      <c r="D5043" s="7"/>
    </row>
    <row r="5044" spans="2:4" x14ac:dyDescent="0.25">
      <c r="B5044" s="4">
        <f t="shared" si="94"/>
        <v>620.37999999995418</v>
      </c>
      <c r="C5044" s="199">
        <v>1172.8634475657136</v>
      </c>
      <c r="D5044" s="7"/>
    </row>
    <row r="5045" spans="2:4" x14ac:dyDescent="0.25">
      <c r="B5045" s="4">
        <f t="shared" si="94"/>
        <v>620.38999999995417</v>
      </c>
      <c r="C5045" s="199">
        <v>1173.1004709969141</v>
      </c>
      <c r="D5045" s="7"/>
    </row>
    <row r="5046" spans="2:4" x14ac:dyDescent="0.25">
      <c r="B5046" s="4">
        <f t="shared" si="94"/>
        <v>620.39999999995416</v>
      </c>
      <c r="C5046" s="199">
        <v>1173.337494428115</v>
      </c>
      <c r="D5046" s="7"/>
    </row>
    <row r="5047" spans="2:4" x14ac:dyDescent="0.25">
      <c r="B5047" s="4">
        <f t="shared" si="94"/>
        <v>620.40999999995415</v>
      </c>
      <c r="C5047" s="199">
        <v>1173.5745178593158</v>
      </c>
      <c r="D5047" s="7"/>
    </row>
    <row r="5048" spans="2:4" x14ac:dyDescent="0.25">
      <c r="B5048" s="4">
        <f t="shared" si="94"/>
        <v>620.41999999995414</v>
      </c>
      <c r="C5048" s="199">
        <v>1173.8117294454</v>
      </c>
      <c r="D5048" s="7"/>
    </row>
    <row r="5049" spans="2:4" x14ac:dyDescent="0.25">
      <c r="B5049" s="4">
        <f t="shared" si="94"/>
        <v>620.42999999995413</v>
      </c>
      <c r="C5049" s="199">
        <v>1174.0489410314824</v>
      </c>
      <c r="D5049" s="7"/>
    </row>
    <row r="5050" spans="2:4" x14ac:dyDescent="0.25">
      <c r="B5050" s="4">
        <f t="shared" si="94"/>
        <v>620.43999999995413</v>
      </c>
      <c r="C5050" s="199">
        <v>1174.286152617565</v>
      </c>
      <c r="D5050" s="7"/>
    </row>
    <row r="5051" spans="2:4" x14ac:dyDescent="0.25">
      <c r="B5051" s="4">
        <f t="shared" si="94"/>
        <v>620.44999999995412</v>
      </c>
      <c r="C5051" s="199">
        <v>1174.5233642036478</v>
      </c>
      <c r="D5051" s="7"/>
    </row>
    <row r="5052" spans="2:4" x14ac:dyDescent="0.25">
      <c r="B5052" s="4">
        <f t="shared" si="94"/>
        <v>620.45999999995411</v>
      </c>
      <c r="C5052" s="199">
        <v>1174.7605757897306</v>
      </c>
      <c r="D5052" s="7"/>
    </row>
    <row r="5053" spans="2:4" x14ac:dyDescent="0.25">
      <c r="B5053" s="4">
        <f t="shared" si="94"/>
        <v>620.4699999999541</v>
      </c>
      <c r="C5053" s="199">
        <v>1174.9977873758139</v>
      </c>
      <c r="D5053" s="7"/>
    </row>
    <row r="5054" spans="2:4" x14ac:dyDescent="0.25">
      <c r="B5054" s="4">
        <f t="shared" si="94"/>
        <v>620.47999999995409</v>
      </c>
      <c r="C5054" s="199">
        <v>1175.2349989618961</v>
      </c>
      <c r="D5054" s="7"/>
    </row>
    <row r="5055" spans="2:4" x14ac:dyDescent="0.25">
      <c r="B5055" s="4">
        <f t="shared" si="94"/>
        <v>620.48999999995408</v>
      </c>
      <c r="C5055" s="199">
        <v>1175.4722105479789</v>
      </c>
      <c r="D5055" s="7"/>
    </row>
    <row r="5056" spans="2:4" x14ac:dyDescent="0.25">
      <c r="B5056" s="4">
        <f t="shared" si="94"/>
        <v>620.49999999995407</v>
      </c>
      <c r="C5056" s="199">
        <v>1175.7094221340612</v>
      </c>
      <c r="D5056" s="7"/>
    </row>
    <row r="5057" spans="2:4" x14ac:dyDescent="0.25">
      <c r="B5057" s="4">
        <f t="shared" si="94"/>
        <v>620.50999999995406</v>
      </c>
      <c r="C5057" s="199">
        <v>1175.9466337201443</v>
      </c>
      <c r="D5057" s="7"/>
    </row>
    <row r="5058" spans="2:4" x14ac:dyDescent="0.25">
      <c r="B5058" s="4">
        <f t="shared" si="94"/>
        <v>620.51999999995405</v>
      </c>
      <c r="C5058" s="199">
        <v>1176.184035634602</v>
      </c>
      <c r="D5058" s="7"/>
    </row>
    <row r="5059" spans="2:4" x14ac:dyDescent="0.25">
      <c r="B5059" s="4">
        <f t="shared" si="94"/>
        <v>620.52999999995404</v>
      </c>
      <c r="C5059" s="199">
        <v>1176.4214375490642</v>
      </c>
      <c r="D5059" s="7"/>
    </row>
    <row r="5060" spans="2:4" x14ac:dyDescent="0.25">
      <c r="B5060" s="4">
        <f t="shared" si="94"/>
        <v>620.53999999995403</v>
      </c>
      <c r="C5060" s="199">
        <v>1176.6588394635266</v>
      </c>
      <c r="D5060" s="7"/>
    </row>
    <row r="5061" spans="2:4" x14ac:dyDescent="0.25">
      <c r="B5061" s="4">
        <f t="shared" si="94"/>
        <v>620.54999999995403</v>
      </c>
      <c r="C5061" s="199">
        <v>1176.8962413779884</v>
      </c>
      <c r="D5061" s="7"/>
    </row>
    <row r="5062" spans="2:4" x14ac:dyDescent="0.25">
      <c r="B5062" s="4">
        <f t="shared" si="94"/>
        <v>620.55999999995402</v>
      </c>
      <c r="C5062" s="199">
        <v>1177.1336432924509</v>
      </c>
      <c r="D5062" s="7"/>
    </row>
    <row r="5063" spans="2:4" x14ac:dyDescent="0.25">
      <c r="B5063" s="4">
        <f t="shared" si="94"/>
        <v>620.56999999995401</v>
      </c>
      <c r="C5063" s="199">
        <v>1177.3710452069135</v>
      </c>
      <c r="D5063" s="7"/>
    </row>
    <row r="5064" spans="2:4" x14ac:dyDescent="0.25">
      <c r="B5064" s="4">
        <f t="shared" ref="B5064:B5127" si="95">+B5063+0.01</f>
        <v>620.579999999954</v>
      </c>
      <c r="C5064" s="199">
        <v>1177.6084471213751</v>
      </c>
      <c r="D5064" s="7"/>
    </row>
    <row r="5065" spans="2:4" x14ac:dyDescent="0.25">
      <c r="B5065" s="4">
        <f t="shared" si="95"/>
        <v>620.58999999995399</v>
      </c>
      <c r="C5065" s="199">
        <v>1177.8458490358373</v>
      </c>
      <c r="D5065" s="7"/>
    </row>
    <row r="5066" spans="2:4" x14ac:dyDescent="0.25">
      <c r="B5066" s="4">
        <f t="shared" si="95"/>
        <v>620.59999999995398</v>
      </c>
      <c r="C5066" s="199">
        <v>1178.0832509503005</v>
      </c>
      <c r="D5066" s="7"/>
    </row>
    <row r="5067" spans="2:4" x14ac:dyDescent="0.25">
      <c r="B5067" s="4">
        <f t="shared" si="95"/>
        <v>620.60999999995397</v>
      </c>
      <c r="C5067" s="199">
        <v>1178.320652864762</v>
      </c>
      <c r="D5067" s="7"/>
    </row>
    <row r="5068" spans="2:4" x14ac:dyDescent="0.25">
      <c r="B5068" s="4">
        <f t="shared" si="95"/>
        <v>620.61999999995396</v>
      </c>
      <c r="C5068" s="199">
        <v>1178.558243052074</v>
      </c>
      <c r="D5068" s="7"/>
    </row>
    <row r="5069" spans="2:4" x14ac:dyDescent="0.25">
      <c r="B5069" s="4">
        <f t="shared" si="95"/>
        <v>620.62999999995395</v>
      </c>
      <c r="C5069" s="199">
        <v>1178.7958332393853</v>
      </c>
      <c r="D5069" s="7"/>
    </row>
    <row r="5070" spans="2:4" x14ac:dyDescent="0.25">
      <c r="B5070" s="4">
        <f t="shared" si="95"/>
        <v>620.63999999995394</v>
      </c>
      <c r="C5070" s="199">
        <v>1179.0334234266975</v>
      </c>
      <c r="D5070" s="7"/>
    </row>
    <row r="5071" spans="2:4" x14ac:dyDescent="0.25">
      <c r="B5071" s="4">
        <f t="shared" si="95"/>
        <v>620.64999999995393</v>
      </c>
      <c r="C5071" s="199">
        <v>1179.271013614009</v>
      </c>
      <c r="D5071" s="7"/>
    </row>
    <row r="5072" spans="2:4" x14ac:dyDescent="0.25">
      <c r="B5072" s="4">
        <f t="shared" si="95"/>
        <v>620.65999999995392</v>
      </c>
      <c r="C5072" s="199">
        <v>1179.5086038013208</v>
      </c>
      <c r="D5072" s="7"/>
    </row>
    <row r="5073" spans="2:4" x14ac:dyDescent="0.25">
      <c r="B5073" s="4">
        <f t="shared" si="95"/>
        <v>620.66999999995392</v>
      </c>
      <c r="C5073" s="199">
        <v>1179.746193988633</v>
      </c>
      <c r="D5073" s="7"/>
    </row>
    <row r="5074" spans="2:4" x14ac:dyDescent="0.25">
      <c r="B5074" s="4">
        <f t="shared" si="95"/>
        <v>620.67999999995391</v>
      </c>
      <c r="C5074" s="199">
        <v>1179.9837841759438</v>
      </c>
      <c r="D5074" s="7"/>
    </row>
    <row r="5075" spans="2:4" x14ac:dyDescent="0.25">
      <c r="B5075" s="4">
        <f t="shared" si="95"/>
        <v>620.6899999999539</v>
      </c>
      <c r="C5075" s="199">
        <v>1180.2213743632562</v>
      </c>
      <c r="D5075" s="7"/>
    </row>
    <row r="5076" spans="2:4" x14ac:dyDescent="0.25">
      <c r="B5076" s="4">
        <f t="shared" si="95"/>
        <v>620.69999999995389</v>
      </c>
      <c r="C5076" s="199">
        <v>1180.458964550568</v>
      </c>
      <c r="D5076" s="7"/>
    </row>
    <row r="5077" spans="2:4" x14ac:dyDescent="0.25">
      <c r="B5077" s="4">
        <f t="shared" si="95"/>
        <v>620.70999999995388</v>
      </c>
      <c r="C5077" s="199">
        <v>1180.6965547378793</v>
      </c>
      <c r="D5077" s="7"/>
    </row>
    <row r="5078" spans="2:4" x14ac:dyDescent="0.25">
      <c r="B5078" s="4">
        <f t="shared" si="95"/>
        <v>620.71999999995387</v>
      </c>
      <c r="C5078" s="199">
        <v>1180.9343365212987</v>
      </c>
      <c r="D5078" s="7"/>
    </row>
    <row r="5079" spans="2:4" x14ac:dyDescent="0.25">
      <c r="B5079" s="4">
        <f t="shared" si="95"/>
        <v>620.72999999995386</v>
      </c>
      <c r="C5079" s="199">
        <v>1181.1721183047237</v>
      </c>
      <c r="D5079" s="7"/>
    </row>
    <row r="5080" spans="2:4" x14ac:dyDescent="0.25">
      <c r="B5080" s="4">
        <f t="shared" si="95"/>
        <v>620.73999999995385</v>
      </c>
      <c r="C5080" s="199">
        <v>1181.4099000881474</v>
      </c>
      <c r="D5080" s="7"/>
    </row>
    <row r="5081" spans="2:4" x14ac:dyDescent="0.25">
      <c r="B5081" s="4">
        <f t="shared" si="95"/>
        <v>620.74999999995384</v>
      </c>
      <c r="C5081" s="199">
        <v>1181.6476818715719</v>
      </c>
      <c r="D5081" s="7"/>
    </row>
    <row r="5082" spans="2:4" x14ac:dyDescent="0.25">
      <c r="B5082" s="4">
        <f t="shared" si="95"/>
        <v>620.75999999995383</v>
      </c>
      <c r="C5082" s="199">
        <v>1181.8854636549968</v>
      </c>
      <c r="D5082" s="7"/>
    </row>
    <row r="5083" spans="2:4" x14ac:dyDescent="0.25">
      <c r="B5083" s="4">
        <f t="shared" si="95"/>
        <v>620.76999999995382</v>
      </c>
      <c r="C5083" s="199">
        <v>1182.1232454384206</v>
      </c>
      <c r="D5083" s="7"/>
    </row>
    <row r="5084" spans="2:4" x14ac:dyDescent="0.25">
      <c r="B5084" s="4">
        <f t="shared" si="95"/>
        <v>620.77999999995382</v>
      </c>
      <c r="C5084" s="199">
        <v>1182.361027221845</v>
      </c>
      <c r="D5084" s="7"/>
    </row>
    <row r="5085" spans="2:4" x14ac:dyDescent="0.25">
      <c r="B5085" s="4">
        <f t="shared" si="95"/>
        <v>620.78999999995381</v>
      </c>
      <c r="C5085" s="199">
        <v>1182.5988090052692</v>
      </c>
      <c r="D5085" s="7"/>
    </row>
    <row r="5086" spans="2:4" x14ac:dyDescent="0.25">
      <c r="B5086" s="4">
        <f t="shared" si="95"/>
        <v>620.7999999999538</v>
      </c>
      <c r="C5086" s="199">
        <v>1182.8365907886937</v>
      </c>
      <c r="D5086" s="7"/>
    </row>
    <row r="5087" spans="2:4" x14ac:dyDescent="0.25">
      <c r="B5087" s="4">
        <f t="shared" si="95"/>
        <v>620.80999999995379</v>
      </c>
      <c r="C5087" s="199">
        <v>1183.0743725721175</v>
      </c>
      <c r="D5087" s="7"/>
    </row>
    <row r="5088" spans="2:4" x14ac:dyDescent="0.25">
      <c r="B5088" s="4">
        <f t="shared" si="95"/>
        <v>620.81999999995378</v>
      </c>
      <c r="C5088" s="199">
        <v>1183.31234458574</v>
      </c>
      <c r="D5088" s="7"/>
    </row>
    <row r="5089" spans="2:4" x14ac:dyDescent="0.25">
      <c r="B5089" s="4">
        <f t="shared" si="95"/>
        <v>620.82999999995377</v>
      </c>
      <c r="C5089" s="199">
        <v>1183.5503165993618</v>
      </c>
      <c r="D5089" s="7"/>
    </row>
    <row r="5090" spans="2:4" x14ac:dyDescent="0.25">
      <c r="B5090" s="4">
        <f t="shared" si="95"/>
        <v>620.83999999995376</v>
      </c>
      <c r="C5090" s="199">
        <v>1183.7882886129839</v>
      </c>
      <c r="D5090" s="7"/>
    </row>
    <row r="5091" spans="2:4" x14ac:dyDescent="0.25">
      <c r="B5091" s="4">
        <f t="shared" si="95"/>
        <v>620.84999999995375</v>
      </c>
      <c r="C5091" s="199">
        <v>1184.0262606266062</v>
      </c>
      <c r="D5091" s="7"/>
    </row>
    <row r="5092" spans="2:4" x14ac:dyDescent="0.25">
      <c r="B5092" s="4">
        <f t="shared" si="95"/>
        <v>620.85999999995374</v>
      </c>
      <c r="C5092" s="199">
        <v>1184.2642326402276</v>
      </c>
      <c r="D5092" s="7"/>
    </row>
    <row r="5093" spans="2:4" x14ac:dyDescent="0.25">
      <c r="B5093" s="4">
        <f t="shared" si="95"/>
        <v>620.86999999995373</v>
      </c>
      <c r="C5093" s="199">
        <v>1184.5022046538493</v>
      </c>
      <c r="D5093" s="7"/>
    </row>
    <row r="5094" spans="2:4" x14ac:dyDescent="0.25">
      <c r="B5094" s="4">
        <f t="shared" si="95"/>
        <v>620.87999999995372</v>
      </c>
      <c r="C5094" s="199">
        <v>1184.7401766674711</v>
      </c>
      <c r="D5094" s="7"/>
    </row>
    <row r="5095" spans="2:4" x14ac:dyDescent="0.25">
      <c r="B5095" s="4">
        <f t="shared" si="95"/>
        <v>620.88999999995372</v>
      </c>
      <c r="C5095" s="199">
        <v>1184.9781486810932</v>
      </c>
      <c r="D5095" s="7"/>
    </row>
    <row r="5096" spans="2:4" x14ac:dyDescent="0.25">
      <c r="B5096" s="4">
        <f t="shared" si="95"/>
        <v>620.89999999995371</v>
      </c>
      <c r="C5096" s="199">
        <v>1185.2161206947148</v>
      </c>
      <c r="D5096" s="7"/>
    </row>
    <row r="5097" spans="2:4" x14ac:dyDescent="0.25">
      <c r="B5097" s="4">
        <f t="shared" si="95"/>
        <v>620.9099999999537</v>
      </c>
      <c r="C5097" s="199">
        <v>1185.4540927083372</v>
      </c>
      <c r="D5097" s="7"/>
    </row>
    <row r="5098" spans="2:4" x14ac:dyDescent="0.25">
      <c r="B5098" s="4">
        <f t="shared" si="95"/>
        <v>620.91999999995369</v>
      </c>
      <c r="C5098" s="199">
        <v>1185.6922574366258</v>
      </c>
      <c r="D5098" s="7"/>
    </row>
    <row r="5099" spans="2:4" x14ac:dyDescent="0.25">
      <c r="B5099" s="4">
        <f t="shared" si="95"/>
        <v>620.92999999995368</v>
      </c>
      <c r="C5099" s="199">
        <v>1185.9304221649202</v>
      </c>
      <c r="D5099" s="7"/>
    </row>
    <row r="5100" spans="2:4" x14ac:dyDescent="0.25">
      <c r="B5100" s="4">
        <f t="shared" si="95"/>
        <v>620.93999999995367</v>
      </c>
      <c r="C5100" s="199">
        <v>1186.1685868932141</v>
      </c>
      <c r="D5100" s="7"/>
    </row>
    <row r="5101" spans="2:4" x14ac:dyDescent="0.25">
      <c r="B5101" s="4">
        <f t="shared" si="95"/>
        <v>620.94999999995366</v>
      </c>
      <c r="C5101" s="199">
        <v>1186.4067516215091</v>
      </c>
      <c r="D5101" s="7"/>
    </row>
    <row r="5102" spans="2:4" x14ac:dyDescent="0.25">
      <c r="B5102" s="4">
        <f t="shared" si="95"/>
        <v>620.95999999995365</v>
      </c>
      <c r="C5102" s="199">
        <v>1186.6449163498028</v>
      </c>
      <c r="D5102" s="7"/>
    </row>
    <row r="5103" spans="2:4" x14ac:dyDescent="0.25">
      <c r="B5103" s="4">
        <f t="shared" si="95"/>
        <v>620.96999999995364</v>
      </c>
      <c r="C5103" s="199">
        <v>1186.8830810780973</v>
      </c>
      <c r="D5103" s="7"/>
    </row>
    <row r="5104" spans="2:4" x14ac:dyDescent="0.25">
      <c r="B5104" s="4">
        <f t="shared" si="95"/>
        <v>620.97999999995363</v>
      </c>
      <c r="C5104" s="199">
        <v>1187.1212458063912</v>
      </c>
      <c r="D5104" s="7"/>
    </row>
    <row r="5105" spans="2:4" x14ac:dyDescent="0.25">
      <c r="B5105" s="4">
        <f t="shared" si="95"/>
        <v>620.98999999995362</v>
      </c>
      <c r="C5105" s="199">
        <v>1187.359410534686</v>
      </c>
      <c r="D5105" s="7"/>
    </row>
    <row r="5106" spans="2:4" x14ac:dyDescent="0.25">
      <c r="B5106" s="4">
        <f t="shared" si="95"/>
        <v>620.99999999995362</v>
      </c>
      <c r="C5106" s="199">
        <v>1187.5975752629799</v>
      </c>
      <c r="D5106" s="7"/>
    </row>
    <row r="5107" spans="2:4" x14ac:dyDescent="0.25">
      <c r="B5107" s="4">
        <f t="shared" si="95"/>
        <v>621.00999999995361</v>
      </c>
      <c r="C5107" s="199">
        <v>1187.8357399912743</v>
      </c>
      <c r="D5107" s="7"/>
    </row>
    <row r="5108" spans="2:4" x14ac:dyDescent="0.25">
      <c r="B5108" s="4">
        <f t="shared" si="95"/>
        <v>621.0199999999536</v>
      </c>
      <c r="C5108" s="199">
        <v>1188.0740985658772</v>
      </c>
      <c r="D5108" s="7"/>
    </row>
    <row r="5109" spans="2:4" x14ac:dyDescent="0.25">
      <c r="B5109" s="4">
        <f t="shared" si="95"/>
        <v>621.02999999995359</v>
      </c>
      <c r="C5109" s="199">
        <v>1188.3124571404808</v>
      </c>
      <c r="D5109" s="7"/>
    </row>
    <row r="5110" spans="2:4" x14ac:dyDescent="0.25">
      <c r="B5110" s="4">
        <f t="shared" si="95"/>
        <v>621.03999999995358</v>
      </c>
      <c r="C5110" s="199">
        <v>1188.5508157150848</v>
      </c>
      <c r="D5110" s="7"/>
    </row>
    <row r="5111" spans="2:4" x14ac:dyDescent="0.25">
      <c r="B5111" s="4">
        <f t="shared" si="95"/>
        <v>621.04999999995357</v>
      </c>
      <c r="C5111" s="199">
        <v>1188.7891742896882</v>
      </c>
      <c r="D5111" s="7"/>
    </row>
    <row r="5112" spans="2:4" x14ac:dyDescent="0.25">
      <c r="B5112" s="4">
        <f t="shared" si="95"/>
        <v>621.05999999995356</v>
      </c>
      <c r="C5112" s="199">
        <v>1189.0275328642913</v>
      </c>
      <c r="D5112" s="7"/>
    </row>
    <row r="5113" spans="2:4" x14ac:dyDescent="0.25">
      <c r="B5113" s="4">
        <f t="shared" si="95"/>
        <v>621.06999999995355</v>
      </c>
      <c r="C5113" s="199">
        <v>1189.2658914388958</v>
      </c>
      <c r="D5113" s="7"/>
    </row>
    <row r="5114" spans="2:4" x14ac:dyDescent="0.25">
      <c r="B5114" s="4">
        <f t="shared" si="95"/>
        <v>621.07999999995354</v>
      </c>
      <c r="C5114" s="199">
        <v>1189.5042500134984</v>
      </c>
      <c r="D5114" s="7"/>
    </row>
    <row r="5115" spans="2:4" x14ac:dyDescent="0.25">
      <c r="B5115" s="4">
        <f t="shared" si="95"/>
        <v>621.08999999995353</v>
      </c>
      <c r="C5115" s="199">
        <v>1189.7426085881023</v>
      </c>
      <c r="D5115" s="7"/>
    </row>
    <row r="5116" spans="2:4" x14ac:dyDescent="0.25">
      <c r="B5116" s="4">
        <f t="shared" si="95"/>
        <v>621.09999999995352</v>
      </c>
      <c r="C5116" s="199">
        <v>1189.9809671627054</v>
      </c>
      <c r="D5116" s="7"/>
    </row>
    <row r="5117" spans="2:4" x14ac:dyDescent="0.25">
      <c r="B5117" s="4">
        <f t="shared" si="95"/>
        <v>621.10999999995352</v>
      </c>
      <c r="C5117" s="199">
        <v>1190.2193257373094</v>
      </c>
      <c r="D5117" s="7"/>
    </row>
    <row r="5118" spans="2:4" x14ac:dyDescent="0.25">
      <c r="B5118" s="4">
        <f t="shared" si="95"/>
        <v>621.11999999995351</v>
      </c>
      <c r="C5118" s="199">
        <v>1190.4578787845394</v>
      </c>
      <c r="D5118" s="7"/>
    </row>
    <row r="5119" spans="2:4" x14ac:dyDescent="0.25">
      <c r="B5119" s="4">
        <f t="shared" si="95"/>
        <v>621.1299999999535</v>
      </c>
      <c r="C5119" s="199">
        <v>1190.6964318317728</v>
      </c>
      <c r="D5119" s="7"/>
    </row>
    <row r="5120" spans="2:4" x14ac:dyDescent="0.25">
      <c r="B5120" s="4">
        <f t="shared" si="95"/>
        <v>621.13999999995349</v>
      </c>
      <c r="C5120" s="199">
        <v>1190.9349848790077</v>
      </c>
      <c r="D5120" s="7"/>
    </row>
    <row r="5121" spans="2:4" x14ac:dyDescent="0.25">
      <c r="B5121" s="4">
        <f t="shared" si="95"/>
        <v>621.14999999995348</v>
      </c>
      <c r="C5121" s="199">
        <v>1191.173537926242</v>
      </c>
      <c r="D5121" s="7"/>
    </row>
    <row r="5122" spans="2:4" x14ac:dyDescent="0.25">
      <c r="B5122" s="4">
        <f t="shared" si="95"/>
        <v>621.15999999995347</v>
      </c>
      <c r="C5122" s="199">
        <v>1191.412090973477</v>
      </c>
      <c r="D5122" s="7"/>
    </row>
    <row r="5123" spans="2:4" x14ac:dyDescent="0.25">
      <c r="B5123" s="4">
        <f t="shared" si="95"/>
        <v>621.16999999995346</v>
      </c>
      <c r="C5123" s="199">
        <v>1191.6506440207111</v>
      </c>
      <c r="D5123" s="7"/>
    </row>
    <row r="5124" spans="2:4" x14ac:dyDescent="0.25">
      <c r="B5124" s="4">
        <f t="shared" si="95"/>
        <v>621.17999999995345</v>
      </c>
      <c r="C5124" s="199">
        <v>1191.8891970679449</v>
      </c>
      <c r="D5124" s="7"/>
    </row>
    <row r="5125" spans="2:4" x14ac:dyDescent="0.25">
      <c r="B5125" s="4">
        <f t="shared" si="95"/>
        <v>621.18999999995344</v>
      </c>
      <c r="C5125" s="199">
        <v>1192.1277501151799</v>
      </c>
      <c r="D5125" s="7"/>
    </row>
    <row r="5126" spans="2:4" x14ac:dyDescent="0.25">
      <c r="B5126" s="4">
        <f t="shared" si="95"/>
        <v>621.19999999995343</v>
      </c>
      <c r="C5126" s="199">
        <v>1192.3663031624149</v>
      </c>
      <c r="D5126" s="7"/>
    </row>
    <row r="5127" spans="2:4" x14ac:dyDescent="0.25">
      <c r="B5127" s="4">
        <f t="shared" si="95"/>
        <v>621.20999999995342</v>
      </c>
      <c r="C5127" s="199">
        <v>1192.6048562096496</v>
      </c>
      <c r="D5127" s="7"/>
    </row>
    <row r="5128" spans="2:4" x14ac:dyDescent="0.25">
      <c r="B5128" s="4">
        <f t="shared" ref="B5128:B5191" si="96">+B5127+0.01</f>
        <v>621.21999999995342</v>
      </c>
      <c r="C5128" s="199">
        <v>1192.8436065518099</v>
      </c>
      <c r="D5128" s="7"/>
    </row>
    <row r="5129" spans="2:4" x14ac:dyDescent="0.25">
      <c r="B5129" s="4">
        <f t="shared" si="96"/>
        <v>621.22999999995341</v>
      </c>
      <c r="C5129" s="199">
        <v>1193.0823568939704</v>
      </c>
      <c r="D5129" s="7"/>
    </row>
    <row r="5130" spans="2:4" x14ac:dyDescent="0.25">
      <c r="B5130" s="4">
        <f t="shared" si="96"/>
        <v>621.2399999999534</v>
      </c>
      <c r="C5130" s="199">
        <v>1193.3211072361312</v>
      </c>
      <c r="D5130" s="7"/>
    </row>
    <row r="5131" spans="2:4" x14ac:dyDescent="0.25">
      <c r="B5131" s="4">
        <f t="shared" si="96"/>
        <v>621.24999999995339</v>
      </c>
      <c r="C5131" s="199">
        <v>1193.5598575782924</v>
      </c>
      <c r="D5131" s="7"/>
    </row>
    <row r="5132" spans="2:4" x14ac:dyDescent="0.25">
      <c r="B5132" s="4">
        <f t="shared" si="96"/>
        <v>621.25999999995338</v>
      </c>
      <c r="C5132" s="199">
        <v>1193.7986079204529</v>
      </c>
      <c r="D5132" s="7"/>
    </row>
    <row r="5133" spans="2:4" x14ac:dyDescent="0.25">
      <c r="B5133" s="4">
        <f t="shared" si="96"/>
        <v>621.26999999995337</v>
      </c>
      <c r="C5133" s="199">
        <v>1194.0373582626128</v>
      </c>
      <c r="D5133" s="7"/>
    </row>
    <row r="5134" spans="2:4" x14ac:dyDescent="0.25">
      <c r="B5134" s="4">
        <f t="shared" si="96"/>
        <v>621.27999999995336</v>
      </c>
      <c r="C5134" s="199">
        <v>1194.2761086047733</v>
      </c>
      <c r="D5134" s="7"/>
    </row>
    <row r="5135" spans="2:4" x14ac:dyDescent="0.25">
      <c r="B5135" s="4">
        <f t="shared" si="96"/>
        <v>621.28999999995335</v>
      </c>
      <c r="C5135" s="199">
        <v>1194.5148589469338</v>
      </c>
      <c r="D5135" s="7"/>
    </row>
    <row r="5136" spans="2:4" x14ac:dyDescent="0.25">
      <c r="B5136" s="4">
        <f t="shared" si="96"/>
        <v>621.29999999995334</v>
      </c>
      <c r="C5136" s="199">
        <v>1194.753609289095</v>
      </c>
      <c r="D5136" s="7"/>
    </row>
    <row r="5137" spans="2:4" x14ac:dyDescent="0.25">
      <c r="B5137" s="4">
        <f t="shared" si="96"/>
        <v>621.30999999995333</v>
      </c>
      <c r="C5137" s="199">
        <v>1194.9923596312556</v>
      </c>
      <c r="D5137" s="7"/>
    </row>
    <row r="5138" spans="2:4" x14ac:dyDescent="0.25">
      <c r="B5138" s="4">
        <f t="shared" si="96"/>
        <v>621.31999999995332</v>
      </c>
      <c r="C5138" s="199">
        <v>1195.2313080053013</v>
      </c>
      <c r="D5138" s="7"/>
    </row>
    <row r="5139" spans="2:4" x14ac:dyDescent="0.25">
      <c r="B5139" s="4">
        <f t="shared" si="96"/>
        <v>621.32999999995332</v>
      </c>
      <c r="C5139" s="199">
        <v>1195.4702563793535</v>
      </c>
      <c r="D5139" s="7"/>
    </row>
    <row r="5140" spans="2:4" x14ac:dyDescent="0.25">
      <c r="B5140" s="4">
        <f t="shared" si="96"/>
        <v>621.33999999995331</v>
      </c>
      <c r="C5140" s="199">
        <v>1195.7092047534034</v>
      </c>
      <c r="D5140" s="7"/>
    </row>
    <row r="5141" spans="2:4" x14ac:dyDescent="0.25">
      <c r="B5141" s="4">
        <f t="shared" si="96"/>
        <v>621.3499999999533</v>
      </c>
      <c r="C5141" s="199">
        <v>1195.9481531274548</v>
      </c>
      <c r="D5141" s="7"/>
    </row>
    <row r="5142" spans="2:4" x14ac:dyDescent="0.25">
      <c r="B5142" s="4">
        <f t="shared" si="96"/>
        <v>621.35999999995329</v>
      </c>
      <c r="C5142" s="199">
        <v>1196.1871015015065</v>
      </c>
      <c r="D5142" s="7"/>
    </row>
    <row r="5143" spans="2:4" x14ac:dyDescent="0.25">
      <c r="B5143" s="4">
        <f t="shared" si="96"/>
        <v>621.36999999995328</v>
      </c>
      <c r="C5143" s="199">
        <v>1196.4260498755564</v>
      </c>
      <c r="D5143" s="7"/>
    </row>
    <row r="5144" spans="2:4" x14ac:dyDescent="0.25">
      <c r="B5144" s="4">
        <f t="shared" si="96"/>
        <v>621.37999999995327</v>
      </c>
      <c r="C5144" s="199">
        <v>1196.6649982496085</v>
      </c>
      <c r="D5144" s="7"/>
    </row>
    <row r="5145" spans="2:4" x14ac:dyDescent="0.25">
      <c r="B5145" s="4">
        <f t="shared" si="96"/>
        <v>621.38999999995326</v>
      </c>
      <c r="C5145" s="199">
        <v>1196.9039466236588</v>
      </c>
      <c r="D5145" s="7"/>
    </row>
    <row r="5146" spans="2:4" x14ac:dyDescent="0.25">
      <c r="B5146" s="4">
        <f t="shared" si="96"/>
        <v>621.39999999995325</v>
      </c>
      <c r="C5146" s="199">
        <v>1197.1428949977098</v>
      </c>
      <c r="D5146" s="7"/>
    </row>
    <row r="5147" spans="2:4" x14ac:dyDescent="0.25">
      <c r="B5147" s="4">
        <f t="shared" si="96"/>
        <v>621.40999999995324</v>
      </c>
      <c r="C5147" s="199">
        <v>1197.3818433717613</v>
      </c>
      <c r="D5147" s="7"/>
    </row>
    <row r="5148" spans="2:4" x14ac:dyDescent="0.25">
      <c r="B5148" s="4">
        <f t="shared" si="96"/>
        <v>621.41999999995323</v>
      </c>
      <c r="C5148" s="199">
        <v>1197.6209890052826</v>
      </c>
      <c r="D5148" s="7"/>
    </row>
    <row r="5149" spans="2:4" x14ac:dyDescent="0.25">
      <c r="B5149" s="4">
        <f t="shared" si="96"/>
        <v>621.42999999995322</v>
      </c>
      <c r="C5149" s="199">
        <v>1197.8601346388039</v>
      </c>
      <c r="D5149" s="7"/>
    </row>
    <row r="5150" spans="2:4" x14ac:dyDescent="0.25">
      <c r="B5150" s="4">
        <f t="shared" si="96"/>
        <v>621.43999999995322</v>
      </c>
      <c r="C5150" s="199">
        <v>1198.0992802723244</v>
      </c>
      <c r="D5150" s="7"/>
    </row>
    <row r="5151" spans="2:4" x14ac:dyDescent="0.25">
      <c r="B5151" s="4">
        <f t="shared" si="96"/>
        <v>621.44999999995321</v>
      </c>
      <c r="C5151" s="199">
        <v>1198.3384259058464</v>
      </c>
      <c r="D5151" s="7"/>
    </row>
    <row r="5152" spans="2:4" x14ac:dyDescent="0.25">
      <c r="B5152" s="4">
        <f t="shared" si="96"/>
        <v>621.4599999999532</v>
      </c>
      <c r="C5152" s="199">
        <v>1198.5775715393681</v>
      </c>
      <c r="D5152" s="7"/>
    </row>
    <row r="5153" spans="2:4" x14ac:dyDescent="0.25">
      <c r="B5153" s="4">
        <f t="shared" si="96"/>
        <v>621.46999999995319</v>
      </c>
      <c r="C5153" s="199">
        <v>1198.8167171728899</v>
      </c>
      <c r="D5153" s="7"/>
    </row>
    <row r="5154" spans="2:4" x14ac:dyDescent="0.25">
      <c r="B5154" s="4">
        <f t="shared" si="96"/>
        <v>621.47999999995318</v>
      </c>
      <c r="C5154" s="199">
        <v>1199.0558628064107</v>
      </c>
      <c r="D5154" s="7"/>
    </row>
    <row r="5155" spans="2:4" x14ac:dyDescent="0.25">
      <c r="B5155" s="4">
        <f t="shared" si="96"/>
        <v>621.48999999995317</v>
      </c>
      <c r="C5155" s="199">
        <v>1199.295008439932</v>
      </c>
      <c r="D5155" s="7"/>
    </row>
    <row r="5156" spans="2:4" x14ac:dyDescent="0.25">
      <c r="B5156" s="4">
        <f t="shared" si="96"/>
        <v>621.49999999995316</v>
      </c>
      <c r="C5156" s="199">
        <v>1199.5341540734535</v>
      </c>
      <c r="D5156" s="7"/>
    </row>
    <row r="5157" spans="2:4" x14ac:dyDescent="0.25">
      <c r="B5157" s="4">
        <f t="shared" si="96"/>
        <v>621.50999999995315</v>
      </c>
      <c r="C5157" s="199">
        <v>1199.7732997069747</v>
      </c>
      <c r="D5157" s="7"/>
    </row>
    <row r="5158" spans="2:4" x14ac:dyDescent="0.25">
      <c r="B5158" s="4">
        <f t="shared" si="96"/>
        <v>621.51999999995314</v>
      </c>
      <c r="C5158" s="199">
        <v>1200.0126462362186</v>
      </c>
      <c r="D5158" s="7"/>
    </row>
    <row r="5159" spans="2:4" x14ac:dyDescent="0.25">
      <c r="B5159" s="4">
        <f t="shared" si="96"/>
        <v>621.52999999995313</v>
      </c>
      <c r="C5159" s="199">
        <v>1200.251992765468</v>
      </c>
      <c r="D5159" s="7"/>
    </row>
    <row r="5160" spans="2:4" x14ac:dyDescent="0.25">
      <c r="B5160" s="4">
        <f t="shared" si="96"/>
        <v>621.53999999995312</v>
      </c>
      <c r="C5160" s="199">
        <v>1200.4913392947162</v>
      </c>
      <c r="D5160" s="7"/>
    </row>
    <row r="5161" spans="2:4" x14ac:dyDescent="0.25">
      <c r="B5161" s="4">
        <f t="shared" si="96"/>
        <v>621.54999999995312</v>
      </c>
      <c r="C5161" s="199">
        <v>1200.7306858239651</v>
      </c>
      <c r="D5161" s="7"/>
    </row>
    <row r="5162" spans="2:4" x14ac:dyDescent="0.25">
      <c r="B5162" s="4">
        <f t="shared" si="96"/>
        <v>621.55999999995311</v>
      </c>
      <c r="C5162" s="199">
        <v>1200.970032353214</v>
      </c>
      <c r="D5162" s="7"/>
    </row>
    <row r="5163" spans="2:4" x14ac:dyDescent="0.25">
      <c r="B5163" s="4">
        <f t="shared" si="96"/>
        <v>621.5699999999531</v>
      </c>
      <c r="C5163" s="199">
        <v>1201.209378882462</v>
      </c>
      <c r="D5163" s="7"/>
    </row>
    <row r="5164" spans="2:4" x14ac:dyDescent="0.25">
      <c r="B5164" s="4">
        <f t="shared" si="96"/>
        <v>621.57999999995309</v>
      </c>
      <c r="C5164" s="199">
        <v>1201.4487254117114</v>
      </c>
      <c r="D5164" s="7"/>
    </row>
    <row r="5165" spans="2:4" x14ac:dyDescent="0.25">
      <c r="B5165" s="4">
        <f t="shared" si="96"/>
        <v>621.58999999995308</v>
      </c>
      <c r="C5165" s="199">
        <v>1201.6880719409605</v>
      </c>
      <c r="D5165" s="7"/>
    </row>
    <row r="5166" spans="2:4" x14ac:dyDescent="0.25">
      <c r="B5166" s="4">
        <f t="shared" si="96"/>
        <v>621.59999999995307</v>
      </c>
      <c r="C5166" s="199">
        <v>1201.9274184702092</v>
      </c>
      <c r="D5166" s="7"/>
    </row>
    <row r="5167" spans="2:4" x14ac:dyDescent="0.25">
      <c r="B5167" s="4">
        <f t="shared" si="96"/>
        <v>621.60999999995306</v>
      </c>
      <c r="C5167" s="199">
        <v>1202.1667649994577</v>
      </c>
      <c r="D5167" s="7"/>
    </row>
    <row r="5168" spans="2:4" x14ac:dyDescent="0.25">
      <c r="B5168" s="4">
        <f t="shared" si="96"/>
        <v>621.61999999995305</v>
      </c>
      <c r="C5168" s="199">
        <v>1202.406308324677</v>
      </c>
      <c r="D5168" s="7"/>
    </row>
    <row r="5169" spans="2:4" x14ac:dyDescent="0.25">
      <c r="B5169" s="4">
        <f t="shared" si="96"/>
        <v>621.62999999995304</v>
      </c>
      <c r="C5169" s="199">
        <v>1202.6458516498956</v>
      </c>
      <c r="D5169" s="7"/>
    </row>
    <row r="5170" spans="2:4" x14ac:dyDescent="0.25">
      <c r="B5170" s="4">
        <f t="shared" si="96"/>
        <v>621.63999999995303</v>
      </c>
      <c r="C5170" s="199">
        <v>1202.8853949751149</v>
      </c>
      <c r="D5170" s="7"/>
    </row>
    <row r="5171" spans="2:4" x14ac:dyDescent="0.25">
      <c r="B5171" s="4">
        <f t="shared" si="96"/>
        <v>621.64999999995302</v>
      </c>
      <c r="C5171" s="199">
        <v>1203.1249383003344</v>
      </c>
      <c r="D5171" s="7"/>
    </row>
    <row r="5172" spans="2:4" x14ac:dyDescent="0.25">
      <c r="B5172" s="4">
        <f t="shared" si="96"/>
        <v>621.65999999995302</v>
      </c>
      <c r="C5172" s="199">
        <v>1203.3644816255539</v>
      </c>
      <c r="D5172" s="7"/>
    </row>
    <row r="5173" spans="2:4" x14ac:dyDescent="0.25">
      <c r="B5173" s="4">
        <f t="shared" si="96"/>
        <v>621.66999999995301</v>
      </c>
      <c r="C5173" s="199">
        <v>1203.6040249507726</v>
      </c>
      <c r="D5173" s="7"/>
    </row>
    <row r="5174" spans="2:4" x14ac:dyDescent="0.25">
      <c r="B5174" s="4">
        <f t="shared" si="96"/>
        <v>621.679999999953</v>
      </c>
      <c r="C5174" s="199">
        <v>1203.8435682759919</v>
      </c>
      <c r="D5174" s="7"/>
    </row>
    <row r="5175" spans="2:4" x14ac:dyDescent="0.25">
      <c r="B5175" s="4">
        <f t="shared" si="96"/>
        <v>621.68999999995299</v>
      </c>
      <c r="C5175" s="199">
        <v>1204.0831116012114</v>
      </c>
      <c r="D5175" s="7"/>
    </row>
    <row r="5176" spans="2:4" x14ac:dyDescent="0.25">
      <c r="B5176" s="4">
        <f t="shared" si="96"/>
        <v>621.69999999995298</v>
      </c>
      <c r="C5176" s="199">
        <v>1204.3226549264302</v>
      </c>
      <c r="D5176" s="7"/>
    </row>
    <row r="5177" spans="2:4" x14ac:dyDescent="0.25">
      <c r="B5177" s="4">
        <f t="shared" si="96"/>
        <v>621.70999999995297</v>
      </c>
      <c r="C5177" s="199">
        <v>1204.5621982516495</v>
      </c>
      <c r="D5177" s="7"/>
    </row>
    <row r="5178" spans="2:4" x14ac:dyDescent="0.25">
      <c r="B5178" s="4">
        <f t="shared" si="96"/>
        <v>621.71999999995296</v>
      </c>
      <c r="C5178" s="199">
        <v>1204.80194174949</v>
      </c>
      <c r="D5178" s="7"/>
    </row>
    <row r="5179" spans="2:4" x14ac:dyDescent="0.25">
      <c r="B5179" s="4">
        <f t="shared" si="96"/>
        <v>621.72999999995295</v>
      </c>
      <c r="C5179" s="199">
        <v>1205.0416852473363</v>
      </c>
      <c r="D5179" s="7"/>
    </row>
    <row r="5180" spans="2:4" x14ac:dyDescent="0.25">
      <c r="B5180" s="4">
        <f t="shared" si="96"/>
        <v>621.73999999995294</v>
      </c>
      <c r="C5180" s="199">
        <v>1205.281428745182</v>
      </c>
      <c r="D5180" s="7"/>
    </row>
    <row r="5181" spans="2:4" x14ac:dyDescent="0.25">
      <c r="B5181" s="4">
        <f t="shared" si="96"/>
        <v>621.74999999995293</v>
      </c>
      <c r="C5181" s="199">
        <v>1205.5211722430279</v>
      </c>
      <c r="D5181" s="7"/>
    </row>
    <row r="5182" spans="2:4" x14ac:dyDescent="0.25">
      <c r="B5182" s="4">
        <f t="shared" si="96"/>
        <v>621.75999999995292</v>
      </c>
      <c r="C5182" s="199">
        <v>1205.7609157408738</v>
      </c>
      <c r="D5182" s="7"/>
    </row>
    <row r="5183" spans="2:4" x14ac:dyDescent="0.25">
      <c r="B5183" s="4">
        <f t="shared" si="96"/>
        <v>621.76999999995292</v>
      </c>
      <c r="C5183" s="199">
        <v>1206.0006592387201</v>
      </c>
      <c r="D5183" s="7"/>
    </row>
    <row r="5184" spans="2:4" x14ac:dyDescent="0.25">
      <c r="B5184" s="4">
        <f t="shared" si="96"/>
        <v>621.77999999995291</v>
      </c>
      <c r="C5184" s="199">
        <v>1206.2404027365658</v>
      </c>
      <c r="D5184" s="7"/>
    </row>
    <row r="5185" spans="2:4" x14ac:dyDescent="0.25">
      <c r="B5185" s="4">
        <f t="shared" si="96"/>
        <v>621.7899999999529</v>
      </c>
      <c r="C5185" s="199">
        <v>1206.4801462344121</v>
      </c>
      <c r="D5185" s="7"/>
    </row>
    <row r="5186" spans="2:4" x14ac:dyDescent="0.25">
      <c r="B5186" s="4">
        <f t="shared" si="96"/>
        <v>621.79999999995289</v>
      </c>
      <c r="C5186" s="199">
        <v>1206.7198897322576</v>
      </c>
      <c r="D5186" s="7"/>
    </row>
    <row r="5187" spans="2:4" x14ac:dyDescent="0.25">
      <c r="B5187" s="4">
        <f t="shared" si="96"/>
        <v>621.80999999995288</v>
      </c>
      <c r="C5187" s="199">
        <v>1206.9596332301044</v>
      </c>
      <c r="D5187" s="7"/>
    </row>
    <row r="5188" spans="2:4" x14ac:dyDescent="0.25">
      <c r="B5188" s="4">
        <f t="shared" si="96"/>
        <v>621.81999999995287</v>
      </c>
      <c r="C5188" s="199">
        <v>1207.1995747725232</v>
      </c>
      <c r="D5188" s="7"/>
    </row>
    <row r="5189" spans="2:4" x14ac:dyDescent="0.25">
      <c r="B5189" s="4">
        <f t="shared" si="96"/>
        <v>621.82999999995286</v>
      </c>
      <c r="C5189" s="199">
        <v>1207.4395163149395</v>
      </c>
      <c r="D5189" s="7"/>
    </row>
    <row r="5190" spans="2:4" x14ac:dyDescent="0.25">
      <c r="B5190" s="4">
        <f t="shared" si="96"/>
        <v>621.83999999995285</v>
      </c>
      <c r="C5190" s="199">
        <v>1207.6794578573572</v>
      </c>
      <c r="D5190" s="7"/>
    </row>
    <row r="5191" spans="2:4" x14ac:dyDescent="0.25">
      <c r="B5191" s="4">
        <f t="shared" si="96"/>
        <v>621.84999999995284</v>
      </c>
      <c r="C5191" s="199">
        <v>1207.9193993997749</v>
      </c>
      <c r="D5191" s="7"/>
    </row>
    <row r="5192" spans="2:4" x14ac:dyDescent="0.25">
      <c r="B5192" s="4">
        <f t="shared" ref="B5192:B5255" si="97">+B5191+0.01</f>
        <v>621.85999999995283</v>
      </c>
      <c r="C5192" s="199">
        <v>1208.1593409421928</v>
      </c>
      <c r="D5192" s="7"/>
    </row>
    <row r="5193" spans="2:4" x14ac:dyDescent="0.25">
      <c r="B5193" s="4">
        <f t="shared" si="97"/>
        <v>621.86999999995282</v>
      </c>
      <c r="C5193" s="199">
        <v>1208.3992824846091</v>
      </c>
      <c r="D5193" s="7"/>
    </row>
    <row r="5194" spans="2:4" x14ac:dyDescent="0.25">
      <c r="B5194" s="4">
        <f t="shared" si="97"/>
        <v>621.87999999995282</v>
      </c>
      <c r="C5194" s="199">
        <v>1208.6392240270272</v>
      </c>
      <c r="D5194" s="7"/>
    </row>
    <row r="5195" spans="2:4" x14ac:dyDescent="0.25">
      <c r="B5195" s="4">
        <f t="shared" si="97"/>
        <v>621.88999999995281</v>
      </c>
      <c r="C5195" s="199">
        <v>1208.8791655694445</v>
      </c>
      <c r="D5195" s="7"/>
    </row>
    <row r="5196" spans="2:4" x14ac:dyDescent="0.25">
      <c r="B5196" s="4">
        <f t="shared" si="97"/>
        <v>621.8999999999528</v>
      </c>
      <c r="C5196" s="199">
        <v>1209.1191071118608</v>
      </c>
      <c r="D5196" s="7"/>
    </row>
    <row r="5197" spans="2:4" x14ac:dyDescent="0.25">
      <c r="B5197" s="4">
        <f t="shared" si="97"/>
        <v>621.90999999995279</v>
      </c>
      <c r="C5197" s="199">
        <v>1209.3590486542787</v>
      </c>
      <c r="D5197" s="7"/>
    </row>
    <row r="5198" spans="2:4" x14ac:dyDescent="0.25">
      <c r="B5198" s="4">
        <f t="shared" si="97"/>
        <v>621.91999999995278</v>
      </c>
      <c r="C5198" s="199">
        <v>1209.5991898039695</v>
      </c>
      <c r="D5198" s="7"/>
    </row>
    <row r="5199" spans="2:4" x14ac:dyDescent="0.25">
      <c r="B5199" s="4">
        <f t="shared" si="97"/>
        <v>621.92999999995277</v>
      </c>
      <c r="C5199" s="199">
        <v>1209.8393309536659</v>
      </c>
      <c r="D5199" s="7"/>
    </row>
    <row r="5200" spans="2:4" x14ac:dyDescent="0.25">
      <c r="B5200" s="4">
        <f t="shared" si="97"/>
        <v>621.93999999995276</v>
      </c>
      <c r="C5200" s="199">
        <v>1210.0794721033621</v>
      </c>
      <c r="D5200" s="7"/>
    </row>
    <row r="5201" spans="2:4" x14ac:dyDescent="0.25">
      <c r="B5201" s="4">
        <f t="shared" si="97"/>
        <v>621.94999999995275</v>
      </c>
      <c r="C5201" s="199">
        <v>1210.3196132530586</v>
      </c>
      <c r="D5201" s="7"/>
    </row>
    <row r="5202" spans="2:4" x14ac:dyDescent="0.25">
      <c r="B5202" s="4">
        <f t="shared" si="97"/>
        <v>621.95999999995274</v>
      </c>
      <c r="C5202" s="199">
        <v>1210.5597544027546</v>
      </c>
      <c r="D5202" s="7"/>
    </row>
    <row r="5203" spans="2:4" x14ac:dyDescent="0.25">
      <c r="B5203" s="4">
        <f t="shared" si="97"/>
        <v>621.96999999995273</v>
      </c>
      <c r="C5203" s="199">
        <v>1210.7998955524506</v>
      </c>
      <c r="D5203" s="7"/>
    </row>
    <row r="5204" spans="2:4" x14ac:dyDescent="0.25">
      <c r="B5204" s="4">
        <f t="shared" si="97"/>
        <v>621.97999999995272</v>
      </c>
      <c r="C5204" s="199">
        <v>1211.0400367021468</v>
      </c>
      <c r="D5204" s="7"/>
    </row>
    <row r="5205" spans="2:4" x14ac:dyDescent="0.25">
      <c r="B5205" s="4">
        <f t="shared" si="97"/>
        <v>621.98999999995272</v>
      </c>
      <c r="C5205" s="199">
        <v>1211.2801778518433</v>
      </c>
      <c r="D5205" s="7"/>
    </row>
    <row r="5206" spans="2:4" x14ac:dyDescent="0.25">
      <c r="B5206" s="4">
        <f t="shared" si="97"/>
        <v>621.99999999995271</v>
      </c>
      <c r="C5206" s="199">
        <v>1211.5203190015395</v>
      </c>
      <c r="D5206" s="7"/>
    </row>
    <row r="5207" spans="2:4" x14ac:dyDescent="0.25">
      <c r="B5207" s="4">
        <f t="shared" si="97"/>
        <v>622.0099999999527</v>
      </c>
      <c r="C5207" s="199">
        <v>1211.7604601512364</v>
      </c>
      <c r="D5207" s="7"/>
    </row>
    <row r="5208" spans="2:4" x14ac:dyDescent="0.25">
      <c r="B5208" s="4">
        <f t="shared" si="97"/>
        <v>622.01999999995269</v>
      </c>
      <c r="C5208" s="199">
        <v>1212.0008042407903</v>
      </c>
      <c r="D5208" s="7"/>
    </row>
    <row r="5209" spans="2:4" x14ac:dyDescent="0.25">
      <c r="B5209" s="4">
        <f t="shared" si="97"/>
        <v>622.02999999995268</v>
      </c>
      <c r="C5209" s="199">
        <v>1212.2411483303445</v>
      </c>
      <c r="D5209" s="7"/>
    </row>
    <row r="5210" spans="2:4" x14ac:dyDescent="0.25">
      <c r="B5210" s="4">
        <f t="shared" si="97"/>
        <v>622.03999999995267</v>
      </c>
      <c r="C5210" s="199">
        <v>1212.4814924198981</v>
      </c>
      <c r="D5210" s="7"/>
    </row>
    <row r="5211" spans="2:4" x14ac:dyDescent="0.25">
      <c r="B5211" s="4">
        <f t="shared" si="97"/>
        <v>622.04999999995266</v>
      </c>
      <c r="C5211" s="199">
        <v>1212.7218365094514</v>
      </c>
      <c r="D5211" s="7"/>
    </row>
    <row r="5212" spans="2:4" x14ac:dyDescent="0.25">
      <c r="B5212" s="4">
        <f t="shared" si="97"/>
        <v>622.05999999995265</v>
      </c>
      <c r="C5212" s="199">
        <v>1212.9621805990062</v>
      </c>
      <c r="D5212" s="7"/>
    </row>
    <row r="5213" spans="2:4" x14ac:dyDescent="0.25">
      <c r="B5213" s="4">
        <f t="shared" si="97"/>
        <v>622.06999999995264</v>
      </c>
      <c r="C5213" s="199">
        <v>1213.2025246885587</v>
      </c>
      <c r="D5213" s="7"/>
    </row>
    <row r="5214" spans="2:4" x14ac:dyDescent="0.25">
      <c r="B5214" s="4">
        <f t="shared" si="97"/>
        <v>622.07999999995263</v>
      </c>
      <c r="C5214" s="199">
        <v>1213.4428687781126</v>
      </c>
      <c r="D5214" s="7"/>
    </row>
    <row r="5215" spans="2:4" x14ac:dyDescent="0.25">
      <c r="B5215" s="4">
        <f t="shared" si="97"/>
        <v>622.08999999995262</v>
      </c>
      <c r="C5215" s="199">
        <v>1213.6832128676667</v>
      </c>
      <c r="D5215" s="7"/>
    </row>
    <row r="5216" spans="2:4" x14ac:dyDescent="0.25">
      <c r="B5216" s="4">
        <f t="shared" si="97"/>
        <v>622.09999999995262</v>
      </c>
      <c r="C5216" s="199">
        <v>1213.9235569572206</v>
      </c>
      <c r="D5216" s="7"/>
    </row>
    <row r="5217" spans="2:4" x14ac:dyDescent="0.25">
      <c r="B5217" s="4">
        <f t="shared" si="97"/>
        <v>622.10999999995261</v>
      </c>
      <c r="C5217" s="199">
        <v>1214.1639010467738</v>
      </c>
      <c r="D5217" s="7"/>
    </row>
    <row r="5218" spans="2:4" x14ac:dyDescent="0.25">
      <c r="B5218" s="4">
        <f t="shared" si="97"/>
        <v>622.1199999999526</v>
      </c>
      <c r="C5218" s="199">
        <v>1214.4044465346392</v>
      </c>
      <c r="D5218" s="7"/>
    </row>
    <row r="5219" spans="2:4" x14ac:dyDescent="0.25">
      <c r="B5219" s="4">
        <f t="shared" si="97"/>
        <v>622.12999999995259</v>
      </c>
      <c r="C5219" s="199">
        <v>1214.64499202251</v>
      </c>
      <c r="D5219" s="7"/>
    </row>
    <row r="5220" spans="2:4" x14ac:dyDescent="0.25">
      <c r="B5220" s="4">
        <f t="shared" si="97"/>
        <v>622.13999999995258</v>
      </c>
      <c r="C5220" s="199">
        <v>1214.8855375103817</v>
      </c>
      <c r="D5220" s="7"/>
    </row>
    <row r="5221" spans="2:4" x14ac:dyDescent="0.25">
      <c r="B5221" s="4">
        <f t="shared" si="97"/>
        <v>622.14999999995257</v>
      </c>
      <c r="C5221" s="199">
        <v>1215.1260829982521</v>
      </c>
      <c r="D5221" s="7"/>
    </row>
    <row r="5222" spans="2:4" x14ac:dyDescent="0.25">
      <c r="B5222" s="4">
        <f t="shared" si="97"/>
        <v>622.15999999995256</v>
      </c>
      <c r="C5222" s="199">
        <v>1215.3666284861224</v>
      </c>
      <c r="D5222" s="7"/>
    </row>
    <row r="5223" spans="2:4" x14ac:dyDescent="0.25">
      <c r="B5223" s="4">
        <f t="shared" si="97"/>
        <v>622.16999999995255</v>
      </c>
      <c r="C5223" s="199">
        <v>1215.6071739739948</v>
      </c>
      <c r="D5223" s="7"/>
    </row>
    <row r="5224" spans="2:4" x14ac:dyDescent="0.25">
      <c r="B5224" s="4">
        <f t="shared" si="97"/>
        <v>622.17999999995254</v>
      </c>
      <c r="C5224" s="199">
        <v>1215.8477194618654</v>
      </c>
      <c r="D5224" s="7"/>
    </row>
    <row r="5225" spans="2:4" x14ac:dyDescent="0.25">
      <c r="B5225" s="4">
        <f t="shared" si="97"/>
        <v>622.18999999995253</v>
      </c>
      <c r="C5225" s="199">
        <v>1216.0882649497355</v>
      </c>
      <c r="D5225" s="7"/>
    </row>
    <row r="5226" spans="2:4" x14ac:dyDescent="0.25">
      <c r="B5226" s="4">
        <f t="shared" si="97"/>
        <v>622.19999999995252</v>
      </c>
      <c r="C5226" s="199">
        <v>1216.3288104376065</v>
      </c>
      <c r="D5226" s="7"/>
    </row>
    <row r="5227" spans="2:4" x14ac:dyDescent="0.25">
      <c r="B5227" s="4">
        <f t="shared" si="97"/>
        <v>622.20999999995252</v>
      </c>
      <c r="C5227" s="199">
        <v>1216.5693559254782</v>
      </c>
      <c r="D5227" s="7"/>
    </row>
    <row r="5228" spans="2:4" x14ac:dyDescent="0.25">
      <c r="B5228" s="4">
        <f t="shared" si="97"/>
        <v>622.21999999995251</v>
      </c>
      <c r="C5228" s="199">
        <v>1216.8101038103378</v>
      </c>
      <c r="D5228" s="7"/>
    </row>
    <row r="5229" spans="2:4" x14ac:dyDescent="0.25">
      <c r="B5229" s="4">
        <f t="shared" si="97"/>
        <v>622.2299999999525</v>
      </c>
      <c r="C5229" s="199">
        <v>1217.0508516951975</v>
      </c>
      <c r="D5229" s="7"/>
    </row>
    <row r="5230" spans="2:4" x14ac:dyDescent="0.25">
      <c r="B5230" s="4">
        <f t="shared" si="97"/>
        <v>622.23999999995249</v>
      </c>
      <c r="C5230" s="199">
        <v>1217.2915995800583</v>
      </c>
      <c r="D5230" s="7"/>
    </row>
    <row r="5231" spans="2:4" x14ac:dyDescent="0.25">
      <c r="B5231" s="4">
        <f t="shared" si="97"/>
        <v>622.24999999995248</v>
      </c>
      <c r="C5231" s="199">
        <v>1217.5323474649176</v>
      </c>
      <c r="D5231" s="7"/>
    </row>
    <row r="5232" spans="2:4" x14ac:dyDescent="0.25">
      <c r="B5232" s="4">
        <f t="shared" si="97"/>
        <v>622.25999999995247</v>
      </c>
      <c r="C5232" s="199">
        <v>1217.7730953497787</v>
      </c>
      <c r="D5232" s="7"/>
    </row>
    <row r="5233" spans="2:4" x14ac:dyDescent="0.25">
      <c r="B5233" s="4">
        <f t="shared" si="97"/>
        <v>622.26999999995246</v>
      </c>
      <c r="C5233" s="199">
        <v>1218.0138432346382</v>
      </c>
      <c r="D5233" s="7"/>
    </row>
    <row r="5234" spans="2:4" x14ac:dyDescent="0.25">
      <c r="B5234" s="4">
        <f t="shared" si="97"/>
        <v>622.27999999995245</v>
      </c>
      <c r="C5234" s="199">
        <v>1218.2545911194984</v>
      </c>
      <c r="D5234" s="7"/>
    </row>
    <row r="5235" spans="2:4" x14ac:dyDescent="0.25">
      <c r="B5235" s="4">
        <f t="shared" si="97"/>
        <v>622.28999999995244</v>
      </c>
      <c r="C5235" s="199">
        <v>1218.4953390043595</v>
      </c>
      <c r="D5235" s="7"/>
    </row>
    <row r="5236" spans="2:4" x14ac:dyDescent="0.25">
      <c r="B5236" s="4">
        <f t="shared" si="97"/>
        <v>622.29999999995243</v>
      </c>
      <c r="C5236" s="199">
        <v>1218.736086889219</v>
      </c>
      <c r="D5236" s="7"/>
    </row>
    <row r="5237" spans="2:4" x14ac:dyDescent="0.25">
      <c r="B5237" s="4">
        <f t="shared" si="97"/>
        <v>622.30999999995242</v>
      </c>
      <c r="C5237" s="199">
        <v>1218.9768347740787</v>
      </c>
      <c r="D5237" s="7"/>
    </row>
    <row r="5238" spans="2:4" x14ac:dyDescent="0.25">
      <c r="B5238" s="4">
        <f t="shared" si="97"/>
        <v>622.31999999995242</v>
      </c>
      <c r="C5238" s="199">
        <v>1219.2177853912308</v>
      </c>
      <c r="D5238" s="7"/>
    </row>
    <row r="5239" spans="2:4" x14ac:dyDescent="0.25">
      <c r="B5239" s="4">
        <f t="shared" si="97"/>
        <v>622.32999999995241</v>
      </c>
      <c r="C5239" s="199">
        <v>1219.4587360083867</v>
      </c>
      <c r="D5239" s="7"/>
    </row>
    <row r="5240" spans="2:4" x14ac:dyDescent="0.25">
      <c r="B5240" s="4">
        <f t="shared" si="97"/>
        <v>622.3399999999524</v>
      </c>
      <c r="C5240" s="199">
        <v>1219.6996866255424</v>
      </c>
      <c r="D5240" s="7"/>
    </row>
    <row r="5241" spans="2:4" x14ac:dyDescent="0.25">
      <c r="B5241" s="4">
        <f t="shared" si="97"/>
        <v>622.34999999995239</v>
      </c>
      <c r="C5241" s="199">
        <v>1219.9406372426986</v>
      </c>
      <c r="D5241" s="7"/>
    </row>
    <row r="5242" spans="2:4" x14ac:dyDescent="0.25">
      <c r="B5242" s="4">
        <f t="shared" si="97"/>
        <v>622.35999999995238</v>
      </c>
      <c r="C5242" s="199">
        <v>1220.1815878598545</v>
      </c>
      <c r="D5242" s="7"/>
    </row>
    <row r="5243" spans="2:4" x14ac:dyDescent="0.25">
      <c r="B5243" s="4">
        <f t="shared" si="97"/>
        <v>622.36999999995237</v>
      </c>
      <c r="C5243" s="199">
        <v>1220.4225384770104</v>
      </c>
      <c r="D5243" s="7"/>
    </row>
    <row r="5244" spans="2:4" x14ac:dyDescent="0.25">
      <c r="B5244" s="4">
        <f t="shared" si="97"/>
        <v>622.37999999995236</v>
      </c>
      <c r="C5244" s="199">
        <v>1220.6634890941666</v>
      </c>
      <c r="D5244" s="7"/>
    </row>
    <row r="5245" spans="2:4" x14ac:dyDescent="0.25">
      <c r="B5245" s="4">
        <f t="shared" si="97"/>
        <v>622.38999999995235</v>
      </c>
      <c r="C5245" s="199">
        <v>1220.9044397113225</v>
      </c>
      <c r="D5245" s="7"/>
    </row>
    <row r="5246" spans="2:4" x14ac:dyDescent="0.25">
      <c r="B5246" s="4">
        <f t="shared" si="97"/>
        <v>622.39999999995234</v>
      </c>
      <c r="C5246" s="199">
        <v>1221.1453903284785</v>
      </c>
      <c r="D5246" s="7"/>
    </row>
    <row r="5247" spans="2:4" x14ac:dyDescent="0.25">
      <c r="B5247" s="4">
        <f t="shared" si="97"/>
        <v>622.40999999995233</v>
      </c>
      <c r="C5247" s="199">
        <v>1221.3863409456349</v>
      </c>
      <c r="D5247" s="7"/>
    </row>
    <row r="5248" spans="2:4" x14ac:dyDescent="0.25">
      <c r="B5248" s="4">
        <f t="shared" si="97"/>
        <v>622.41999999995232</v>
      </c>
      <c r="C5248" s="199">
        <v>1221.6274910953364</v>
      </c>
      <c r="D5248" s="7"/>
    </row>
    <row r="5249" spans="2:4" x14ac:dyDescent="0.25">
      <c r="B5249" s="4">
        <f t="shared" si="97"/>
        <v>622.42999999995232</v>
      </c>
      <c r="C5249" s="199">
        <v>1221.8686412450384</v>
      </c>
      <c r="D5249" s="7"/>
    </row>
    <row r="5250" spans="2:4" x14ac:dyDescent="0.25">
      <c r="B5250" s="4">
        <f t="shared" si="97"/>
        <v>622.43999999995231</v>
      </c>
      <c r="C5250" s="199">
        <v>1222.1097913947406</v>
      </c>
      <c r="D5250" s="7"/>
    </row>
    <row r="5251" spans="2:4" x14ac:dyDescent="0.25">
      <c r="B5251" s="4">
        <f t="shared" si="97"/>
        <v>622.4499999999523</v>
      </c>
      <c r="C5251" s="199">
        <v>1222.3509415444425</v>
      </c>
      <c r="D5251" s="7"/>
    </row>
    <row r="5252" spans="2:4" x14ac:dyDescent="0.25">
      <c r="B5252" s="4">
        <f t="shared" si="97"/>
        <v>622.45999999995229</v>
      </c>
      <c r="C5252" s="199">
        <v>1222.5920916941438</v>
      </c>
      <c r="D5252" s="7"/>
    </row>
    <row r="5253" spans="2:4" x14ac:dyDescent="0.25">
      <c r="B5253" s="4">
        <f t="shared" si="97"/>
        <v>622.46999999995228</v>
      </c>
      <c r="C5253" s="199">
        <v>1222.8332418438458</v>
      </c>
      <c r="D5253" s="7"/>
    </row>
    <row r="5254" spans="2:4" x14ac:dyDescent="0.25">
      <c r="B5254" s="4">
        <f t="shared" si="97"/>
        <v>622.47999999995227</v>
      </c>
      <c r="C5254" s="199">
        <v>1223.0743919935471</v>
      </c>
      <c r="D5254" s="7"/>
    </row>
    <row r="5255" spans="2:4" x14ac:dyDescent="0.25">
      <c r="B5255" s="4">
        <f t="shared" si="97"/>
        <v>622.48999999995226</v>
      </c>
      <c r="C5255" s="199">
        <v>1223.3155421432493</v>
      </c>
      <c r="D5255" s="7"/>
    </row>
    <row r="5256" spans="2:4" x14ac:dyDescent="0.25">
      <c r="B5256" s="4">
        <f t="shared" ref="B5256:B5319" si="98">+B5255+0.01</f>
        <v>622.49999999995225</v>
      </c>
      <c r="C5256" s="199">
        <v>1223.5566922929513</v>
      </c>
      <c r="D5256" s="7"/>
    </row>
    <row r="5257" spans="2:4" x14ac:dyDescent="0.25">
      <c r="B5257" s="4">
        <f t="shared" si="98"/>
        <v>622.50999999995224</v>
      </c>
      <c r="C5257" s="199">
        <v>1223.7978424426537</v>
      </c>
      <c r="D5257" s="7"/>
    </row>
    <row r="5258" spans="2:4" x14ac:dyDescent="0.25">
      <c r="B5258" s="4">
        <f t="shared" si="98"/>
        <v>622.51999999995223</v>
      </c>
      <c r="C5258" s="199">
        <v>1224.0391954355998</v>
      </c>
      <c r="D5258" s="7"/>
    </row>
    <row r="5259" spans="2:4" x14ac:dyDescent="0.25">
      <c r="B5259" s="4">
        <f t="shared" si="98"/>
        <v>622.52999999995222</v>
      </c>
      <c r="C5259" s="199">
        <v>1224.2805484285518</v>
      </c>
      <c r="D5259" s="7"/>
    </row>
    <row r="5260" spans="2:4" x14ac:dyDescent="0.25">
      <c r="B5260" s="4">
        <f t="shared" si="98"/>
        <v>622.53999999995222</v>
      </c>
      <c r="C5260" s="199">
        <v>1224.5219014215031</v>
      </c>
      <c r="D5260" s="7"/>
    </row>
    <row r="5261" spans="2:4" x14ac:dyDescent="0.25">
      <c r="B5261" s="4">
        <f t="shared" si="98"/>
        <v>622.54999999995221</v>
      </c>
      <c r="C5261" s="199">
        <v>1224.7632544144544</v>
      </c>
      <c r="D5261" s="7"/>
    </row>
    <row r="5262" spans="2:4" x14ac:dyDescent="0.25">
      <c r="B5262" s="4">
        <f t="shared" si="98"/>
        <v>622.5599999999522</v>
      </c>
      <c r="C5262" s="199">
        <v>1225.0046074074066</v>
      </c>
      <c r="D5262" s="7"/>
    </row>
    <row r="5263" spans="2:4" x14ac:dyDescent="0.25">
      <c r="B5263" s="4">
        <f t="shared" si="98"/>
        <v>622.56999999995219</v>
      </c>
      <c r="C5263" s="199">
        <v>1225.2459604003584</v>
      </c>
      <c r="D5263" s="7"/>
    </row>
    <row r="5264" spans="2:4" x14ac:dyDescent="0.25">
      <c r="B5264" s="4">
        <f t="shared" si="98"/>
        <v>622.57999999995218</v>
      </c>
      <c r="C5264" s="199">
        <v>1225.4873133933099</v>
      </c>
      <c r="D5264" s="7"/>
    </row>
    <row r="5265" spans="2:4" x14ac:dyDescent="0.25">
      <c r="B5265" s="4">
        <f t="shared" si="98"/>
        <v>622.58999999995217</v>
      </c>
      <c r="C5265" s="199">
        <v>1225.7286663862612</v>
      </c>
      <c r="D5265" s="7"/>
    </row>
    <row r="5266" spans="2:4" x14ac:dyDescent="0.25">
      <c r="B5266" s="4">
        <f t="shared" si="98"/>
        <v>622.59999999995216</v>
      </c>
      <c r="C5266" s="199">
        <v>1225.9700193792125</v>
      </c>
      <c r="D5266" s="7"/>
    </row>
    <row r="5267" spans="2:4" x14ac:dyDescent="0.25">
      <c r="B5267" s="4">
        <f t="shared" si="98"/>
        <v>622.60999999995215</v>
      </c>
      <c r="C5267" s="199">
        <v>1226.2113723721645</v>
      </c>
      <c r="D5267" s="7"/>
    </row>
    <row r="5268" spans="2:4" x14ac:dyDescent="0.25">
      <c r="B5268" s="4">
        <f t="shared" si="98"/>
        <v>622.61999999995214</v>
      </c>
      <c r="C5268" s="199">
        <v>1226.4529232388963</v>
      </c>
      <c r="D5268" s="7"/>
    </row>
    <row r="5269" spans="2:4" x14ac:dyDescent="0.25">
      <c r="B5269" s="4">
        <f t="shared" si="98"/>
        <v>622.62999999995213</v>
      </c>
      <c r="C5269" s="199">
        <v>1226.6944741056298</v>
      </c>
      <c r="D5269" s="7"/>
    </row>
    <row r="5270" spans="2:4" x14ac:dyDescent="0.25">
      <c r="B5270" s="4">
        <f t="shared" si="98"/>
        <v>622.63999999995212</v>
      </c>
      <c r="C5270" s="199">
        <v>1226.9360249723625</v>
      </c>
      <c r="D5270" s="7"/>
    </row>
    <row r="5271" spans="2:4" x14ac:dyDescent="0.25">
      <c r="B5271" s="4">
        <f t="shared" si="98"/>
        <v>622.64999999995212</v>
      </c>
      <c r="C5271" s="199">
        <v>1227.1775758390952</v>
      </c>
      <c r="D5271" s="7"/>
    </row>
    <row r="5272" spans="2:4" x14ac:dyDescent="0.25">
      <c r="B5272" s="4">
        <f t="shared" si="98"/>
        <v>622.65999999995211</v>
      </c>
      <c r="C5272" s="199">
        <v>1227.4191267058284</v>
      </c>
      <c r="D5272" s="7"/>
    </row>
    <row r="5273" spans="2:4" x14ac:dyDescent="0.25">
      <c r="B5273" s="4">
        <f t="shared" si="98"/>
        <v>622.6699999999521</v>
      </c>
      <c r="C5273" s="199">
        <v>1227.6606775725616</v>
      </c>
      <c r="D5273" s="7"/>
    </row>
    <row r="5274" spans="2:4" x14ac:dyDescent="0.25">
      <c r="B5274" s="4">
        <f t="shared" si="98"/>
        <v>622.67999999995209</v>
      </c>
      <c r="C5274" s="199">
        <v>1227.9022284392943</v>
      </c>
      <c r="D5274" s="7"/>
    </row>
    <row r="5275" spans="2:4" x14ac:dyDescent="0.25">
      <c r="B5275" s="4">
        <f t="shared" si="98"/>
        <v>622.68999999995208</v>
      </c>
      <c r="C5275" s="199">
        <v>1228.1437793060259</v>
      </c>
      <c r="D5275" s="7"/>
    </row>
    <row r="5276" spans="2:4" x14ac:dyDescent="0.25">
      <c r="B5276" s="4">
        <f t="shared" si="98"/>
        <v>622.69999999995207</v>
      </c>
      <c r="C5276" s="199">
        <v>1228.3853301727588</v>
      </c>
      <c r="D5276" s="7"/>
    </row>
    <row r="5277" spans="2:4" x14ac:dyDescent="0.25">
      <c r="B5277" s="4">
        <f t="shared" si="98"/>
        <v>622.70999999995206</v>
      </c>
      <c r="C5277" s="199">
        <v>1228.6268810394922</v>
      </c>
      <c r="D5277" s="7"/>
    </row>
    <row r="5278" spans="2:4" x14ac:dyDescent="0.25">
      <c r="B5278" s="4">
        <f t="shared" si="98"/>
        <v>622.71999999995205</v>
      </c>
      <c r="C5278" s="199">
        <v>1228.8686314674235</v>
      </c>
      <c r="D5278" s="7"/>
    </row>
    <row r="5279" spans="2:4" x14ac:dyDescent="0.25">
      <c r="B5279" s="4">
        <f t="shared" si="98"/>
        <v>622.72999999995204</v>
      </c>
      <c r="C5279" s="199">
        <v>1229.11038189536</v>
      </c>
      <c r="D5279" s="7"/>
    </row>
    <row r="5280" spans="2:4" x14ac:dyDescent="0.25">
      <c r="B5280" s="4">
        <f t="shared" si="98"/>
        <v>622.73999999995203</v>
      </c>
      <c r="C5280" s="199">
        <v>1229.3521323232976</v>
      </c>
      <c r="D5280" s="7"/>
    </row>
    <row r="5281" spans="2:4" x14ac:dyDescent="0.25">
      <c r="B5281" s="4">
        <f t="shared" si="98"/>
        <v>622.74999999995202</v>
      </c>
      <c r="C5281" s="199">
        <v>1229.5938827512343</v>
      </c>
      <c r="D5281" s="7"/>
    </row>
    <row r="5282" spans="2:4" x14ac:dyDescent="0.25">
      <c r="B5282" s="4">
        <f t="shared" si="98"/>
        <v>622.75999999995202</v>
      </c>
      <c r="C5282" s="199">
        <v>1229.8356331791708</v>
      </c>
      <c r="D5282" s="7"/>
    </row>
    <row r="5283" spans="2:4" x14ac:dyDescent="0.25">
      <c r="B5283" s="4">
        <f t="shared" si="98"/>
        <v>622.76999999995201</v>
      </c>
      <c r="C5283" s="199">
        <v>1230.0773836071073</v>
      </c>
      <c r="D5283" s="7"/>
    </row>
    <row r="5284" spans="2:4" x14ac:dyDescent="0.25">
      <c r="B5284" s="4">
        <f t="shared" si="98"/>
        <v>622.779999999952</v>
      </c>
      <c r="C5284" s="199">
        <v>1230.319134035045</v>
      </c>
      <c r="D5284" s="7"/>
    </row>
    <row r="5285" spans="2:4" x14ac:dyDescent="0.25">
      <c r="B5285" s="4">
        <f t="shared" si="98"/>
        <v>622.78999999995199</v>
      </c>
      <c r="C5285" s="199">
        <v>1230.5608844629817</v>
      </c>
      <c r="D5285" s="7"/>
    </row>
    <row r="5286" spans="2:4" x14ac:dyDescent="0.25">
      <c r="B5286" s="4">
        <f t="shared" si="98"/>
        <v>622.79999999995198</v>
      </c>
      <c r="C5286" s="199">
        <v>1230.8026348909179</v>
      </c>
      <c r="D5286" s="7"/>
    </row>
    <row r="5287" spans="2:4" x14ac:dyDescent="0.25">
      <c r="B5287" s="4">
        <f t="shared" si="98"/>
        <v>622.80999999995197</v>
      </c>
      <c r="C5287" s="199">
        <v>1231.0443853188547</v>
      </c>
      <c r="D5287" s="7"/>
    </row>
    <row r="5288" spans="2:4" x14ac:dyDescent="0.25">
      <c r="B5288" s="4">
        <f t="shared" si="98"/>
        <v>622.81999999995196</v>
      </c>
      <c r="C5288" s="199">
        <v>1231.2863340789779</v>
      </c>
      <c r="D5288" s="7"/>
    </row>
    <row r="5289" spans="2:4" x14ac:dyDescent="0.25">
      <c r="B5289" s="4">
        <f t="shared" si="98"/>
        <v>622.82999999995195</v>
      </c>
      <c r="C5289" s="199">
        <v>1231.5282828391012</v>
      </c>
      <c r="D5289" s="7"/>
    </row>
    <row r="5290" spans="2:4" x14ac:dyDescent="0.25">
      <c r="B5290" s="4">
        <f t="shared" si="98"/>
        <v>622.83999999995194</v>
      </c>
      <c r="C5290" s="199">
        <v>1231.7702315992242</v>
      </c>
      <c r="D5290" s="7"/>
    </row>
    <row r="5291" spans="2:4" x14ac:dyDescent="0.25">
      <c r="B5291" s="4">
        <f t="shared" si="98"/>
        <v>622.84999999995193</v>
      </c>
      <c r="C5291" s="199">
        <v>1232.0121803593474</v>
      </c>
      <c r="D5291" s="7"/>
    </row>
    <row r="5292" spans="2:4" x14ac:dyDescent="0.25">
      <c r="B5292" s="4">
        <f t="shared" si="98"/>
        <v>622.85999999995192</v>
      </c>
      <c r="C5292" s="199">
        <v>1232.2541291194691</v>
      </c>
      <c r="D5292" s="7"/>
    </row>
    <row r="5293" spans="2:4" x14ac:dyDescent="0.25">
      <c r="B5293" s="4">
        <f t="shared" si="98"/>
        <v>622.86999999995192</v>
      </c>
      <c r="C5293" s="199">
        <v>1232.4960778795921</v>
      </c>
      <c r="D5293" s="7"/>
    </row>
    <row r="5294" spans="2:4" x14ac:dyDescent="0.25">
      <c r="B5294" s="4">
        <f t="shared" si="98"/>
        <v>622.87999999995191</v>
      </c>
      <c r="C5294" s="199">
        <v>1232.7380266397147</v>
      </c>
      <c r="D5294" s="7"/>
    </row>
    <row r="5295" spans="2:4" x14ac:dyDescent="0.25">
      <c r="B5295" s="4">
        <f t="shared" si="98"/>
        <v>622.8899999999519</v>
      </c>
      <c r="C5295" s="199">
        <v>1232.9799753998382</v>
      </c>
      <c r="D5295" s="7"/>
    </row>
    <row r="5296" spans="2:4" x14ac:dyDescent="0.25">
      <c r="B5296" s="4">
        <f t="shared" si="98"/>
        <v>622.89999999995189</v>
      </c>
      <c r="C5296" s="199">
        <v>1233.2219241599612</v>
      </c>
      <c r="D5296" s="7"/>
    </row>
    <row r="5297" spans="2:4" x14ac:dyDescent="0.25">
      <c r="B5297" s="4">
        <f t="shared" si="98"/>
        <v>622.90999999995188</v>
      </c>
      <c r="C5297" s="199">
        <v>1233.4638729200833</v>
      </c>
      <c r="D5297" s="7"/>
    </row>
    <row r="5298" spans="2:4" x14ac:dyDescent="0.25">
      <c r="B5298" s="4">
        <f t="shared" si="98"/>
        <v>622.91999999995187</v>
      </c>
      <c r="C5298" s="199">
        <v>1233.7060173879845</v>
      </c>
      <c r="D5298" s="7"/>
    </row>
    <row r="5299" spans="2:4" x14ac:dyDescent="0.25">
      <c r="B5299" s="4">
        <f t="shared" si="98"/>
        <v>622.92999999995186</v>
      </c>
      <c r="C5299" s="199">
        <v>1233.9481618558891</v>
      </c>
      <c r="D5299" s="7"/>
    </row>
    <row r="5300" spans="2:4" x14ac:dyDescent="0.25">
      <c r="B5300" s="4">
        <f t="shared" si="98"/>
        <v>622.93999999995185</v>
      </c>
      <c r="C5300" s="199">
        <v>1234.1903063237946</v>
      </c>
      <c r="D5300" s="7"/>
    </row>
    <row r="5301" spans="2:4" x14ac:dyDescent="0.25">
      <c r="B5301" s="4">
        <f t="shared" si="98"/>
        <v>622.94999999995184</v>
      </c>
      <c r="C5301" s="199">
        <v>1234.4324507916997</v>
      </c>
      <c r="D5301" s="7"/>
    </row>
    <row r="5302" spans="2:4" x14ac:dyDescent="0.25">
      <c r="B5302" s="4">
        <f t="shared" si="98"/>
        <v>622.95999999995183</v>
      </c>
      <c r="C5302" s="199">
        <v>1234.6745952596061</v>
      </c>
      <c r="D5302" s="7"/>
    </row>
    <row r="5303" spans="2:4" x14ac:dyDescent="0.25">
      <c r="B5303" s="4">
        <f t="shared" si="98"/>
        <v>622.96999999995182</v>
      </c>
      <c r="C5303" s="199">
        <v>1234.9167397275107</v>
      </c>
      <c r="D5303" s="7"/>
    </row>
    <row r="5304" spans="2:4" x14ac:dyDescent="0.25">
      <c r="B5304" s="4">
        <f t="shared" si="98"/>
        <v>622.97999999995181</v>
      </c>
      <c r="C5304" s="199">
        <v>1235.158884195416</v>
      </c>
      <c r="D5304" s="7"/>
    </row>
    <row r="5305" spans="2:4" x14ac:dyDescent="0.25">
      <c r="B5305" s="4">
        <f t="shared" si="98"/>
        <v>622.98999999995181</v>
      </c>
      <c r="C5305" s="199">
        <v>1235.4010286633213</v>
      </c>
      <c r="D5305" s="7"/>
    </row>
    <row r="5306" spans="2:4" x14ac:dyDescent="0.25">
      <c r="B5306" s="4">
        <f t="shared" si="98"/>
        <v>622.9999999999518</v>
      </c>
      <c r="C5306" s="199">
        <v>1235.6431731312261</v>
      </c>
      <c r="D5306" s="7"/>
    </row>
    <row r="5307" spans="2:4" x14ac:dyDescent="0.25">
      <c r="B5307" s="4">
        <f t="shared" si="98"/>
        <v>623.00999999995179</v>
      </c>
      <c r="C5307" s="199">
        <v>1235.8853175991321</v>
      </c>
      <c r="D5307" s="7"/>
    </row>
    <row r="5308" spans="2:4" x14ac:dyDescent="0.25">
      <c r="B5308" s="4">
        <f t="shared" si="98"/>
        <v>623.01999999995178</v>
      </c>
      <c r="C5308" s="199">
        <v>1236.1276621081377</v>
      </c>
      <c r="D5308" s="7"/>
    </row>
    <row r="5309" spans="2:4" x14ac:dyDescent="0.25">
      <c r="B5309" s="4">
        <f t="shared" si="98"/>
        <v>623.02999999995177</v>
      </c>
      <c r="C5309" s="199">
        <v>1236.3700066171455</v>
      </c>
      <c r="D5309" s="7"/>
    </row>
    <row r="5310" spans="2:4" x14ac:dyDescent="0.25">
      <c r="B5310" s="4">
        <f t="shared" si="98"/>
        <v>623.03999999995176</v>
      </c>
      <c r="C5310" s="199">
        <v>1236.6123511261524</v>
      </c>
      <c r="D5310" s="7"/>
    </row>
    <row r="5311" spans="2:4" x14ac:dyDescent="0.25">
      <c r="B5311" s="4">
        <f t="shared" si="98"/>
        <v>623.04999999995175</v>
      </c>
      <c r="C5311" s="199">
        <v>1236.8546956351595</v>
      </c>
      <c r="D5311" s="7"/>
    </row>
    <row r="5312" spans="2:4" x14ac:dyDescent="0.25">
      <c r="B5312" s="4">
        <f t="shared" si="98"/>
        <v>623.05999999995174</v>
      </c>
      <c r="C5312" s="199">
        <v>1237.0970401441664</v>
      </c>
      <c r="D5312" s="7"/>
    </row>
    <row r="5313" spans="2:4" x14ac:dyDescent="0.25">
      <c r="B5313" s="4">
        <f t="shared" si="98"/>
        <v>623.06999999995173</v>
      </c>
      <c r="C5313" s="199">
        <v>1237.3393846531733</v>
      </c>
      <c r="D5313" s="7"/>
    </row>
    <row r="5314" spans="2:4" x14ac:dyDescent="0.25">
      <c r="B5314" s="4">
        <f t="shared" si="98"/>
        <v>623.07999999995172</v>
      </c>
      <c r="C5314" s="199">
        <v>1237.5817291621797</v>
      </c>
      <c r="D5314" s="7"/>
    </row>
    <row r="5315" spans="2:4" x14ac:dyDescent="0.25">
      <c r="B5315" s="4">
        <f t="shared" si="98"/>
        <v>623.08999999995171</v>
      </c>
      <c r="C5315" s="199">
        <v>1237.8240736711871</v>
      </c>
      <c r="D5315" s="7"/>
    </row>
    <row r="5316" spans="2:4" x14ac:dyDescent="0.25">
      <c r="B5316" s="4">
        <f t="shared" si="98"/>
        <v>623.09999999995171</v>
      </c>
      <c r="C5316" s="199">
        <v>1238.0664181801942</v>
      </c>
      <c r="D5316" s="7"/>
    </row>
    <row r="5317" spans="2:4" x14ac:dyDescent="0.25">
      <c r="B5317" s="4">
        <f t="shared" si="98"/>
        <v>623.1099999999517</v>
      </c>
      <c r="C5317" s="199">
        <v>1238.3087626892006</v>
      </c>
      <c r="D5317" s="7"/>
    </row>
    <row r="5318" spans="2:4" x14ac:dyDescent="0.25">
      <c r="B5318" s="4">
        <f t="shared" si="98"/>
        <v>623.11999999995169</v>
      </c>
      <c r="C5318" s="199">
        <v>1238.5513046356543</v>
      </c>
      <c r="D5318" s="7"/>
    </row>
    <row r="5319" spans="2:4" x14ac:dyDescent="0.25">
      <c r="B5319" s="4">
        <f t="shared" si="98"/>
        <v>623.12999999995168</v>
      </c>
      <c r="C5319" s="199">
        <v>1238.7938465821117</v>
      </c>
      <c r="D5319" s="7"/>
    </row>
    <row r="5320" spans="2:4" x14ac:dyDescent="0.25">
      <c r="B5320" s="4">
        <f t="shared" ref="B5320:B5383" si="99">+B5319+0.01</f>
        <v>623.13999999995167</v>
      </c>
      <c r="C5320" s="199">
        <v>1239.0363885285694</v>
      </c>
      <c r="D5320" s="7"/>
    </row>
    <row r="5321" spans="2:4" x14ac:dyDescent="0.25">
      <c r="B5321" s="4">
        <f t="shared" si="99"/>
        <v>623.14999999995166</v>
      </c>
      <c r="C5321" s="199">
        <v>1239.2789304750268</v>
      </c>
      <c r="D5321" s="7"/>
    </row>
    <row r="5322" spans="2:4" x14ac:dyDescent="0.25">
      <c r="B5322" s="4">
        <f t="shared" si="99"/>
        <v>623.15999999995165</v>
      </c>
      <c r="C5322" s="199">
        <v>1239.5214724214845</v>
      </c>
      <c r="D5322" s="7"/>
    </row>
    <row r="5323" spans="2:4" x14ac:dyDescent="0.25">
      <c r="B5323" s="4">
        <f t="shared" si="99"/>
        <v>623.16999999995164</v>
      </c>
      <c r="C5323" s="199">
        <v>1239.7640143679416</v>
      </c>
      <c r="D5323" s="7"/>
    </row>
    <row r="5324" spans="2:4" x14ac:dyDescent="0.25">
      <c r="B5324" s="4">
        <f t="shared" si="99"/>
        <v>623.17999999995163</v>
      </c>
      <c r="C5324" s="199">
        <v>1240.0065563143987</v>
      </c>
      <c r="D5324" s="7"/>
    </row>
    <row r="5325" spans="2:4" x14ac:dyDescent="0.25">
      <c r="B5325" s="4">
        <f t="shared" si="99"/>
        <v>623.18999999995162</v>
      </c>
      <c r="C5325" s="199">
        <v>1240.2490982608558</v>
      </c>
      <c r="D5325" s="7"/>
    </row>
    <row r="5326" spans="2:4" x14ac:dyDescent="0.25">
      <c r="B5326" s="4">
        <f t="shared" si="99"/>
        <v>623.19999999995161</v>
      </c>
      <c r="C5326" s="199">
        <v>1240.4916402073136</v>
      </c>
      <c r="D5326" s="7"/>
    </row>
    <row r="5327" spans="2:4" x14ac:dyDescent="0.25">
      <c r="B5327" s="4">
        <f t="shared" si="99"/>
        <v>623.20999999995161</v>
      </c>
      <c r="C5327" s="199">
        <v>1240.7341821537718</v>
      </c>
      <c r="D5327" s="7"/>
    </row>
    <row r="5328" spans="2:4" x14ac:dyDescent="0.25">
      <c r="B5328" s="4">
        <f t="shared" si="99"/>
        <v>623.2199999999516</v>
      </c>
      <c r="C5328" s="199">
        <v>1240.976919303223</v>
      </c>
      <c r="D5328" s="7"/>
    </row>
    <row r="5329" spans="2:4" x14ac:dyDescent="0.25">
      <c r="B5329" s="4">
        <f t="shared" si="99"/>
        <v>623.22999999995159</v>
      </c>
      <c r="C5329" s="199">
        <v>1241.2196564526744</v>
      </c>
      <c r="D5329" s="7"/>
    </row>
    <row r="5330" spans="2:4" x14ac:dyDescent="0.25">
      <c r="B5330" s="4">
        <f t="shared" si="99"/>
        <v>623.23999999995158</v>
      </c>
      <c r="C5330" s="199">
        <v>1241.4623936021258</v>
      </c>
      <c r="D5330" s="7"/>
    </row>
    <row r="5331" spans="2:4" x14ac:dyDescent="0.25">
      <c r="B5331" s="4">
        <f t="shared" si="99"/>
        <v>623.24999999995157</v>
      </c>
      <c r="C5331" s="199">
        <v>1241.7051307515774</v>
      </c>
      <c r="D5331" s="7"/>
    </row>
    <row r="5332" spans="2:4" x14ac:dyDescent="0.25">
      <c r="B5332" s="4">
        <f t="shared" si="99"/>
        <v>623.25999999995156</v>
      </c>
      <c r="C5332" s="199">
        <v>1241.9478679010288</v>
      </c>
      <c r="D5332" s="7"/>
    </row>
    <row r="5333" spans="2:4" x14ac:dyDescent="0.25">
      <c r="B5333" s="4">
        <f t="shared" si="99"/>
        <v>623.26999999995155</v>
      </c>
      <c r="C5333" s="199">
        <v>1242.1906050504806</v>
      </c>
      <c r="D5333" s="7"/>
    </row>
    <row r="5334" spans="2:4" x14ac:dyDescent="0.25">
      <c r="B5334" s="4">
        <f t="shared" si="99"/>
        <v>623.27999999995154</v>
      </c>
      <c r="C5334" s="199">
        <v>1242.4333421999322</v>
      </c>
      <c r="D5334" s="7"/>
    </row>
    <row r="5335" spans="2:4" x14ac:dyDescent="0.25">
      <c r="B5335" s="4">
        <f t="shared" si="99"/>
        <v>623.28999999995153</v>
      </c>
      <c r="C5335" s="199">
        <v>1242.6760793493831</v>
      </c>
      <c r="D5335" s="7"/>
    </row>
    <row r="5336" spans="2:4" x14ac:dyDescent="0.25">
      <c r="B5336" s="4">
        <f t="shared" si="99"/>
        <v>623.29999999995152</v>
      </c>
      <c r="C5336" s="199">
        <v>1242.9188164988341</v>
      </c>
      <c r="D5336" s="7"/>
    </row>
    <row r="5337" spans="2:4" x14ac:dyDescent="0.25">
      <c r="B5337" s="4">
        <f t="shared" si="99"/>
        <v>623.30999999995151</v>
      </c>
      <c r="C5337" s="199">
        <v>1243.1615536482861</v>
      </c>
      <c r="D5337" s="7"/>
    </row>
    <row r="5338" spans="2:4" x14ac:dyDescent="0.25">
      <c r="B5338" s="4">
        <f t="shared" si="99"/>
        <v>623.31999999995151</v>
      </c>
      <c r="C5338" s="199">
        <v>1243.4044832252023</v>
      </c>
      <c r="D5338" s="7"/>
    </row>
    <row r="5339" spans="2:4" x14ac:dyDescent="0.25">
      <c r="B5339" s="4">
        <f t="shared" si="99"/>
        <v>623.3299999999515</v>
      </c>
      <c r="C5339" s="199">
        <v>1243.6474128021232</v>
      </c>
      <c r="D5339" s="7"/>
    </row>
    <row r="5340" spans="2:4" x14ac:dyDescent="0.25">
      <c r="B5340" s="4">
        <f t="shared" si="99"/>
        <v>623.33999999995149</v>
      </c>
      <c r="C5340" s="199">
        <v>1243.8903423790434</v>
      </c>
      <c r="D5340" s="7"/>
    </row>
    <row r="5341" spans="2:4" x14ac:dyDescent="0.25">
      <c r="B5341" s="4">
        <f t="shared" si="99"/>
        <v>623.34999999995148</v>
      </c>
      <c r="C5341" s="199">
        <v>1244.133271955965</v>
      </c>
      <c r="D5341" s="7"/>
    </row>
    <row r="5342" spans="2:4" x14ac:dyDescent="0.25">
      <c r="B5342" s="4">
        <f t="shared" si="99"/>
        <v>623.35999999995147</v>
      </c>
      <c r="C5342" s="199">
        <v>1244.3762015328862</v>
      </c>
      <c r="D5342" s="7"/>
    </row>
    <row r="5343" spans="2:4" x14ac:dyDescent="0.25">
      <c r="B5343" s="4">
        <f t="shared" si="99"/>
        <v>623.36999999995146</v>
      </c>
      <c r="C5343" s="199">
        <v>1244.6191311098069</v>
      </c>
      <c r="D5343" s="7"/>
    </row>
    <row r="5344" spans="2:4" x14ac:dyDescent="0.25">
      <c r="B5344" s="4">
        <f t="shared" si="99"/>
        <v>623.37999999995145</v>
      </c>
      <c r="C5344" s="199">
        <v>1244.862060686728</v>
      </c>
      <c r="D5344" s="7"/>
    </row>
    <row r="5345" spans="2:4" x14ac:dyDescent="0.25">
      <c r="B5345" s="4">
        <f t="shared" si="99"/>
        <v>623.38999999995144</v>
      </c>
      <c r="C5345" s="199">
        <v>1245.1049902636489</v>
      </c>
      <c r="D5345" s="7"/>
    </row>
    <row r="5346" spans="2:4" x14ac:dyDescent="0.25">
      <c r="B5346" s="4">
        <f t="shared" si="99"/>
        <v>623.39999999995143</v>
      </c>
      <c r="C5346" s="199">
        <v>1245.3479198405705</v>
      </c>
      <c r="D5346" s="7"/>
    </row>
    <row r="5347" spans="2:4" x14ac:dyDescent="0.25">
      <c r="B5347" s="4">
        <f t="shared" si="99"/>
        <v>623.40999999995142</v>
      </c>
      <c r="C5347" s="199">
        <v>1245.590849417491</v>
      </c>
      <c r="D5347" s="7"/>
    </row>
    <row r="5348" spans="2:4" x14ac:dyDescent="0.25">
      <c r="B5348" s="4">
        <f t="shared" si="99"/>
        <v>623.41999999995141</v>
      </c>
      <c r="C5348" s="199">
        <v>1245.8339685277601</v>
      </c>
      <c r="D5348" s="7"/>
    </row>
    <row r="5349" spans="2:4" x14ac:dyDescent="0.25">
      <c r="B5349" s="4">
        <f t="shared" si="99"/>
        <v>623.42999999995141</v>
      </c>
      <c r="C5349" s="199">
        <v>1246.0770876380279</v>
      </c>
      <c r="D5349" s="7"/>
    </row>
    <row r="5350" spans="2:4" x14ac:dyDescent="0.25">
      <c r="B5350" s="4">
        <f t="shared" si="99"/>
        <v>623.4399999999514</v>
      </c>
      <c r="C5350" s="199">
        <v>1246.3202067482953</v>
      </c>
      <c r="D5350" s="7"/>
    </row>
    <row r="5351" spans="2:4" x14ac:dyDescent="0.25">
      <c r="B5351" s="4">
        <f t="shared" si="99"/>
        <v>623.44999999995139</v>
      </c>
      <c r="C5351" s="199">
        <v>1246.5633258585628</v>
      </c>
      <c r="D5351" s="7"/>
    </row>
    <row r="5352" spans="2:4" x14ac:dyDescent="0.25">
      <c r="B5352" s="4">
        <f t="shared" si="99"/>
        <v>623.45999999995138</v>
      </c>
      <c r="C5352" s="199">
        <v>1246.8064449688306</v>
      </c>
      <c r="D5352" s="7"/>
    </row>
    <row r="5353" spans="2:4" x14ac:dyDescent="0.25">
      <c r="B5353" s="4">
        <f t="shared" si="99"/>
        <v>623.46999999995137</v>
      </c>
      <c r="C5353" s="199">
        <v>1247.0495640790982</v>
      </c>
      <c r="D5353" s="7"/>
    </row>
    <row r="5354" spans="2:4" x14ac:dyDescent="0.25">
      <c r="B5354" s="4">
        <f t="shared" si="99"/>
        <v>623.47999999995136</v>
      </c>
      <c r="C5354" s="199">
        <v>1247.2926831893647</v>
      </c>
      <c r="D5354" s="7"/>
    </row>
    <row r="5355" spans="2:4" x14ac:dyDescent="0.25">
      <c r="B5355" s="4">
        <f t="shared" si="99"/>
        <v>623.48999999995135</v>
      </c>
      <c r="C5355" s="199">
        <v>1247.5358022996329</v>
      </c>
      <c r="D5355" s="7"/>
    </row>
    <row r="5356" spans="2:4" x14ac:dyDescent="0.25">
      <c r="B5356" s="4">
        <f t="shared" si="99"/>
        <v>623.49999999995134</v>
      </c>
      <c r="C5356" s="199">
        <v>1247.7789214099007</v>
      </c>
      <c r="D5356" s="7"/>
    </row>
    <row r="5357" spans="2:4" x14ac:dyDescent="0.25">
      <c r="B5357" s="4">
        <f t="shared" si="99"/>
        <v>623.50999999995133</v>
      </c>
      <c r="C5357" s="199">
        <v>1248.0220405201683</v>
      </c>
      <c r="D5357" s="7"/>
    </row>
    <row r="5358" spans="2:4" x14ac:dyDescent="0.25">
      <c r="B5358" s="4">
        <f t="shared" si="99"/>
        <v>623.51999999995132</v>
      </c>
      <c r="C5358" s="199">
        <v>1248.2653483419779</v>
      </c>
      <c r="D5358" s="7"/>
    </row>
    <row r="5359" spans="2:4" x14ac:dyDescent="0.25">
      <c r="B5359" s="4">
        <f t="shared" si="99"/>
        <v>623.52999999995131</v>
      </c>
      <c r="C5359" s="199">
        <v>1248.5086561637941</v>
      </c>
      <c r="D5359" s="7"/>
    </row>
    <row r="5360" spans="2:4" x14ac:dyDescent="0.25">
      <c r="B5360" s="4">
        <f t="shared" si="99"/>
        <v>623.53999999995131</v>
      </c>
      <c r="C5360" s="199">
        <v>1248.75196398561</v>
      </c>
      <c r="D5360" s="7"/>
    </row>
    <row r="5361" spans="2:4" x14ac:dyDescent="0.25">
      <c r="B5361" s="4">
        <f t="shared" si="99"/>
        <v>623.5499999999513</v>
      </c>
      <c r="C5361" s="199">
        <v>1248.9952718074269</v>
      </c>
      <c r="D5361" s="7"/>
    </row>
    <row r="5362" spans="2:4" x14ac:dyDescent="0.25">
      <c r="B5362" s="4">
        <f t="shared" si="99"/>
        <v>623.55999999995129</v>
      </c>
      <c r="C5362" s="199">
        <v>1249.2385796292438</v>
      </c>
      <c r="D5362" s="7"/>
    </row>
    <row r="5363" spans="2:4" x14ac:dyDescent="0.25">
      <c r="B5363" s="4">
        <f t="shared" si="99"/>
        <v>623.56999999995128</v>
      </c>
      <c r="C5363" s="199">
        <v>1249.481887451059</v>
      </c>
      <c r="D5363" s="7"/>
    </row>
    <row r="5364" spans="2:4" x14ac:dyDescent="0.25">
      <c r="B5364" s="4">
        <f t="shared" si="99"/>
        <v>623.57999999995127</v>
      </c>
      <c r="C5364" s="199">
        <v>1249.7251952728755</v>
      </c>
      <c r="D5364" s="7"/>
    </row>
    <row r="5365" spans="2:4" x14ac:dyDescent="0.25">
      <c r="B5365" s="4">
        <f t="shared" si="99"/>
        <v>623.58999999995126</v>
      </c>
      <c r="C5365" s="199">
        <v>1249.9685030946916</v>
      </c>
      <c r="D5365" s="7"/>
    </row>
    <row r="5366" spans="2:4" x14ac:dyDescent="0.25">
      <c r="B5366" s="4">
        <f t="shared" si="99"/>
        <v>623.59999999995125</v>
      </c>
      <c r="C5366" s="199">
        <v>1250.2118109165085</v>
      </c>
      <c r="D5366" s="7"/>
    </row>
    <row r="5367" spans="2:4" x14ac:dyDescent="0.25">
      <c r="B5367" s="4">
        <f t="shared" si="99"/>
        <v>623.60999999995124</v>
      </c>
      <c r="C5367" s="199">
        <v>1250.4551187383247</v>
      </c>
      <c r="D5367" s="7"/>
    </row>
    <row r="5368" spans="2:4" x14ac:dyDescent="0.25">
      <c r="B5368" s="4">
        <f t="shared" si="99"/>
        <v>623.61999999995123</v>
      </c>
      <c r="C5368" s="199">
        <v>1250.6986127646805</v>
      </c>
      <c r="D5368" s="7"/>
    </row>
    <row r="5369" spans="2:4" x14ac:dyDescent="0.25">
      <c r="B5369" s="4">
        <f t="shared" si="99"/>
        <v>623.62999999995122</v>
      </c>
      <c r="C5369" s="199">
        <v>1250.9421067910364</v>
      </c>
      <c r="D5369" s="7"/>
    </row>
    <row r="5370" spans="2:4" x14ac:dyDescent="0.25">
      <c r="B5370" s="4">
        <f t="shared" si="99"/>
        <v>623.63999999995121</v>
      </c>
      <c r="C5370" s="199">
        <v>1251.1856008173925</v>
      </c>
      <c r="D5370" s="7"/>
    </row>
    <row r="5371" spans="2:4" x14ac:dyDescent="0.25">
      <c r="B5371" s="4">
        <f t="shared" si="99"/>
        <v>623.64999999995121</v>
      </c>
      <c r="C5371" s="199">
        <v>1251.4290948437476</v>
      </c>
      <c r="D5371" s="7"/>
    </row>
    <row r="5372" spans="2:4" x14ac:dyDescent="0.25">
      <c r="B5372" s="4">
        <f t="shared" si="99"/>
        <v>623.6599999999512</v>
      </c>
      <c r="C5372" s="199">
        <v>1251.6725888701035</v>
      </c>
      <c r="D5372" s="7"/>
    </row>
    <row r="5373" spans="2:4" x14ac:dyDescent="0.25">
      <c r="B5373" s="4">
        <f t="shared" si="99"/>
        <v>623.66999999995119</v>
      </c>
      <c r="C5373" s="199">
        <v>1251.9160828964582</v>
      </c>
      <c r="D5373" s="7"/>
    </row>
    <row r="5374" spans="2:4" x14ac:dyDescent="0.25">
      <c r="B5374" s="4">
        <f t="shared" si="99"/>
        <v>623.67999999995118</v>
      </c>
      <c r="C5374" s="199">
        <v>1252.1595769228138</v>
      </c>
      <c r="D5374" s="7"/>
    </row>
    <row r="5375" spans="2:4" x14ac:dyDescent="0.25">
      <c r="B5375" s="4">
        <f t="shared" si="99"/>
        <v>623.68999999995117</v>
      </c>
      <c r="C5375" s="199">
        <v>1252.4030709491701</v>
      </c>
      <c r="D5375" s="7"/>
    </row>
    <row r="5376" spans="2:4" x14ac:dyDescent="0.25">
      <c r="B5376" s="4">
        <f t="shared" si="99"/>
        <v>623.69999999995116</v>
      </c>
      <c r="C5376" s="199">
        <v>1252.6465649755253</v>
      </c>
      <c r="D5376" s="7"/>
    </row>
    <row r="5377" spans="2:4" x14ac:dyDescent="0.25">
      <c r="B5377" s="4">
        <f t="shared" si="99"/>
        <v>623.70999999995115</v>
      </c>
      <c r="C5377" s="199">
        <v>1252.8900590018811</v>
      </c>
      <c r="D5377" s="7"/>
    </row>
    <row r="5378" spans="2:4" x14ac:dyDescent="0.25">
      <c r="B5378" s="4">
        <f t="shared" si="99"/>
        <v>623.71999999995114</v>
      </c>
      <c r="C5378" s="199">
        <v>1253.1337381332507</v>
      </c>
      <c r="D5378" s="7"/>
    </row>
    <row r="5379" spans="2:4" x14ac:dyDescent="0.25">
      <c r="B5379" s="4">
        <f t="shared" si="99"/>
        <v>623.72999999995113</v>
      </c>
      <c r="C5379" s="199">
        <v>1253.3774172646263</v>
      </c>
      <c r="D5379" s="7"/>
    </row>
    <row r="5380" spans="2:4" x14ac:dyDescent="0.25">
      <c r="B5380" s="4">
        <f t="shared" si="99"/>
        <v>623.73999999995112</v>
      </c>
      <c r="C5380" s="199">
        <v>1253.6210963960004</v>
      </c>
      <c r="D5380" s="7"/>
    </row>
    <row r="5381" spans="2:4" x14ac:dyDescent="0.25">
      <c r="B5381" s="4">
        <f t="shared" si="99"/>
        <v>623.74999999995111</v>
      </c>
      <c r="C5381" s="199">
        <v>1253.8647755273762</v>
      </c>
      <c r="D5381" s="7"/>
    </row>
    <row r="5382" spans="2:4" x14ac:dyDescent="0.25">
      <c r="B5382" s="4">
        <f t="shared" si="99"/>
        <v>623.75999999995111</v>
      </c>
      <c r="C5382" s="199">
        <v>1254.1084546587504</v>
      </c>
      <c r="D5382" s="7"/>
    </row>
    <row r="5383" spans="2:4" x14ac:dyDescent="0.25">
      <c r="B5383" s="4">
        <f t="shared" si="99"/>
        <v>623.7699999999511</v>
      </c>
      <c r="C5383" s="199">
        <v>1254.3521337901252</v>
      </c>
      <c r="D5383" s="7"/>
    </row>
    <row r="5384" spans="2:4" x14ac:dyDescent="0.25">
      <c r="B5384" s="4">
        <f t="shared" ref="B5384:B5447" si="100">+B5383+0.01</f>
        <v>623.77999999995109</v>
      </c>
      <c r="C5384" s="199">
        <v>1254.5958129215001</v>
      </c>
      <c r="D5384" s="7"/>
    </row>
    <row r="5385" spans="2:4" x14ac:dyDescent="0.25">
      <c r="B5385" s="4">
        <f t="shared" si="100"/>
        <v>623.78999999995108</v>
      </c>
      <c r="C5385" s="199">
        <v>1254.8394920528751</v>
      </c>
      <c r="D5385" s="7"/>
    </row>
    <row r="5386" spans="2:4" x14ac:dyDescent="0.25">
      <c r="B5386" s="4">
        <f t="shared" si="100"/>
        <v>623.79999999995107</v>
      </c>
      <c r="C5386" s="199">
        <v>1255.0831711842495</v>
      </c>
      <c r="D5386" s="7"/>
    </row>
    <row r="5387" spans="2:4" x14ac:dyDescent="0.25">
      <c r="B5387" s="4">
        <f t="shared" si="100"/>
        <v>623.80999999995106</v>
      </c>
      <c r="C5387" s="199">
        <v>1255.3268503156248</v>
      </c>
      <c r="D5387" s="7"/>
    </row>
    <row r="5388" spans="2:4" x14ac:dyDescent="0.25">
      <c r="B5388" s="4">
        <f t="shared" si="100"/>
        <v>623.81999999995105</v>
      </c>
      <c r="C5388" s="199">
        <v>1255.5707160124362</v>
      </c>
      <c r="D5388" s="7"/>
    </row>
    <row r="5389" spans="2:4" x14ac:dyDescent="0.25">
      <c r="B5389" s="4">
        <f t="shared" si="100"/>
        <v>623.82999999995104</v>
      </c>
      <c r="C5389" s="199">
        <v>1255.8145817092454</v>
      </c>
      <c r="D5389" s="7"/>
    </row>
    <row r="5390" spans="2:4" x14ac:dyDescent="0.25">
      <c r="B5390" s="4">
        <f t="shared" si="100"/>
        <v>623.83999999995103</v>
      </c>
      <c r="C5390" s="199">
        <v>1256.0584474060561</v>
      </c>
      <c r="D5390" s="7"/>
    </row>
    <row r="5391" spans="2:4" x14ac:dyDescent="0.25">
      <c r="B5391" s="4">
        <f t="shared" si="100"/>
        <v>623.84999999995102</v>
      </c>
      <c r="C5391" s="199">
        <v>1256.302313102866</v>
      </c>
      <c r="D5391" s="7"/>
    </row>
    <row r="5392" spans="2:4" x14ac:dyDescent="0.25">
      <c r="B5392" s="4">
        <f t="shared" si="100"/>
        <v>623.85999999995101</v>
      </c>
      <c r="C5392" s="199">
        <v>1256.5461787996762</v>
      </c>
      <c r="D5392" s="7"/>
    </row>
    <row r="5393" spans="2:4" x14ac:dyDescent="0.25">
      <c r="B5393" s="4">
        <f t="shared" si="100"/>
        <v>623.86999999995101</v>
      </c>
      <c r="C5393" s="199">
        <v>1256.790044496486</v>
      </c>
      <c r="D5393" s="7"/>
    </row>
    <row r="5394" spans="2:4" x14ac:dyDescent="0.25">
      <c r="B5394" s="4">
        <f t="shared" si="100"/>
        <v>623.879999999951</v>
      </c>
      <c r="C5394" s="199">
        <v>1257.0339101932968</v>
      </c>
      <c r="D5394" s="7"/>
    </row>
    <row r="5395" spans="2:4" x14ac:dyDescent="0.25">
      <c r="B5395" s="4">
        <f t="shared" si="100"/>
        <v>623.88999999995099</v>
      </c>
      <c r="C5395" s="199">
        <v>1257.2777758901061</v>
      </c>
      <c r="D5395" s="7"/>
    </row>
    <row r="5396" spans="2:4" x14ac:dyDescent="0.25">
      <c r="B5396" s="4">
        <f t="shared" si="100"/>
        <v>623.89999999995098</v>
      </c>
      <c r="C5396" s="199">
        <v>1257.5216415869172</v>
      </c>
      <c r="D5396" s="7"/>
    </row>
    <row r="5397" spans="2:4" x14ac:dyDescent="0.25">
      <c r="B5397" s="4">
        <f t="shared" si="100"/>
        <v>623.90999999995097</v>
      </c>
      <c r="C5397" s="199">
        <v>1257.7655072837265</v>
      </c>
      <c r="D5397" s="7"/>
    </row>
    <row r="5398" spans="2:4" x14ac:dyDescent="0.25">
      <c r="B5398" s="4">
        <f t="shared" si="100"/>
        <v>623.91999999995096</v>
      </c>
      <c r="C5398" s="199">
        <v>1258.0095556825506</v>
      </c>
      <c r="D5398" s="7"/>
    </row>
    <row r="5399" spans="2:4" x14ac:dyDescent="0.25">
      <c r="B5399" s="4">
        <f t="shared" si="100"/>
        <v>623.92999999995095</v>
      </c>
      <c r="C5399" s="199">
        <v>1258.2536040813793</v>
      </c>
      <c r="D5399" s="7"/>
    </row>
    <row r="5400" spans="2:4" x14ac:dyDescent="0.25">
      <c r="B5400" s="4">
        <f t="shared" si="100"/>
        <v>623.93999999995094</v>
      </c>
      <c r="C5400" s="199">
        <v>1258.4976524802082</v>
      </c>
      <c r="D5400" s="7"/>
    </row>
    <row r="5401" spans="2:4" x14ac:dyDescent="0.25">
      <c r="B5401" s="4">
        <f t="shared" si="100"/>
        <v>623.94999999995093</v>
      </c>
      <c r="C5401" s="199">
        <v>1258.7417008790369</v>
      </c>
      <c r="D5401" s="7"/>
    </row>
    <row r="5402" spans="2:4" x14ac:dyDescent="0.25">
      <c r="B5402" s="4">
        <f t="shared" si="100"/>
        <v>623.95999999995092</v>
      </c>
      <c r="C5402" s="199">
        <v>1258.9857492778647</v>
      </c>
      <c r="D5402" s="7"/>
    </row>
    <row r="5403" spans="2:4" x14ac:dyDescent="0.25">
      <c r="B5403" s="4">
        <f t="shared" si="100"/>
        <v>623.96999999995091</v>
      </c>
      <c r="C5403" s="199">
        <v>1259.229797676694</v>
      </c>
      <c r="D5403" s="7"/>
    </row>
    <row r="5404" spans="2:4" x14ac:dyDescent="0.25">
      <c r="B5404" s="4">
        <f t="shared" si="100"/>
        <v>623.97999999995091</v>
      </c>
      <c r="C5404" s="199">
        <v>1259.4738460755232</v>
      </c>
      <c r="D5404" s="7"/>
    </row>
    <row r="5405" spans="2:4" x14ac:dyDescent="0.25">
      <c r="B5405" s="4">
        <f t="shared" si="100"/>
        <v>623.9899999999509</v>
      </c>
      <c r="C5405" s="199">
        <v>1259.7178944743519</v>
      </c>
      <c r="D5405" s="7"/>
    </row>
    <row r="5406" spans="2:4" x14ac:dyDescent="0.25">
      <c r="B5406" s="4">
        <f t="shared" si="100"/>
        <v>623.99999999995089</v>
      </c>
      <c r="C5406" s="199">
        <v>1259.9619428731799</v>
      </c>
      <c r="D5406" s="8"/>
    </row>
    <row r="5407" spans="2:4" x14ac:dyDescent="0.25">
      <c r="B5407" s="4">
        <f t="shared" si="100"/>
        <v>624.00999999995088</v>
      </c>
      <c r="C5407" s="199">
        <v>1260.2059912720085</v>
      </c>
      <c r="D5407" s="8"/>
    </row>
    <row r="5408" spans="2:4" x14ac:dyDescent="0.25">
      <c r="B5408" s="4">
        <f t="shared" si="100"/>
        <v>624.01999999995087</v>
      </c>
      <c r="C5408" s="199">
        <v>1260.4502250014739</v>
      </c>
      <c r="D5408" s="8"/>
    </row>
    <row r="5409" spans="2:4" x14ac:dyDescent="0.25">
      <c r="B5409" s="4">
        <f t="shared" si="100"/>
        <v>624.02999999995086</v>
      </c>
      <c r="C5409" s="199">
        <v>1260.6944587309392</v>
      </c>
      <c r="D5409" s="8"/>
    </row>
    <row r="5410" spans="2:4" x14ac:dyDescent="0.25">
      <c r="B5410" s="4">
        <f t="shared" si="100"/>
        <v>624.03999999995085</v>
      </c>
      <c r="C5410" s="199">
        <v>1260.9386924604046</v>
      </c>
      <c r="D5410" s="8"/>
    </row>
    <row r="5411" spans="2:4" x14ac:dyDescent="0.25">
      <c r="B5411" s="4">
        <f t="shared" si="100"/>
        <v>624.04999999995084</v>
      </c>
      <c r="C5411" s="199">
        <v>1261.1829261898697</v>
      </c>
      <c r="D5411" s="8"/>
    </row>
    <row r="5412" spans="2:4" x14ac:dyDescent="0.25">
      <c r="B5412" s="4">
        <f t="shared" si="100"/>
        <v>624.05999999995083</v>
      </c>
      <c r="C5412" s="199">
        <v>1261.4271599193362</v>
      </c>
      <c r="D5412" s="8"/>
    </row>
    <row r="5413" spans="2:4" x14ac:dyDescent="0.25">
      <c r="B5413" s="4">
        <f t="shared" si="100"/>
        <v>624.06999999995082</v>
      </c>
      <c r="C5413" s="199">
        <v>1261.6713936488006</v>
      </c>
      <c r="D5413" s="8"/>
    </row>
    <row r="5414" spans="2:4" x14ac:dyDescent="0.25">
      <c r="B5414" s="4">
        <f t="shared" si="100"/>
        <v>624.07999999995081</v>
      </c>
      <c r="C5414" s="199">
        <v>1261.9156273782667</v>
      </c>
      <c r="D5414" s="8"/>
    </row>
    <row r="5415" spans="2:4" x14ac:dyDescent="0.25">
      <c r="B5415" s="4">
        <f t="shared" si="100"/>
        <v>624.08999999995081</v>
      </c>
      <c r="C5415" s="199">
        <v>1262.159861107732</v>
      </c>
      <c r="D5415" s="8"/>
    </row>
    <row r="5416" spans="2:4" x14ac:dyDescent="0.25">
      <c r="B5416" s="4">
        <f t="shared" si="100"/>
        <v>624.0999999999508</v>
      </c>
      <c r="C5416" s="199">
        <v>1262.4040948371978</v>
      </c>
      <c r="D5416" s="8"/>
    </row>
    <row r="5417" spans="2:4" x14ac:dyDescent="0.25">
      <c r="B5417" s="4">
        <f t="shared" si="100"/>
        <v>624.10999999995079</v>
      </c>
      <c r="C5417" s="199">
        <v>1262.6483285666629</v>
      </c>
      <c r="D5417" s="8"/>
    </row>
    <row r="5418" spans="2:4" x14ac:dyDescent="0.25">
      <c r="B5418" s="4">
        <f t="shared" si="100"/>
        <v>624.11999999995078</v>
      </c>
      <c r="C5418" s="199">
        <v>1262.8927448202091</v>
      </c>
      <c r="D5418" s="8"/>
    </row>
    <row r="5419" spans="2:4" x14ac:dyDescent="0.25">
      <c r="B5419" s="4">
        <f t="shared" si="100"/>
        <v>624.12999999995077</v>
      </c>
      <c r="C5419" s="199">
        <v>1263.1371610737601</v>
      </c>
      <c r="D5419" s="8"/>
    </row>
    <row r="5420" spans="2:4" x14ac:dyDescent="0.25">
      <c r="B5420" s="4">
        <f t="shared" si="100"/>
        <v>624.13999999995076</v>
      </c>
      <c r="C5420" s="199">
        <v>1263.38157732731</v>
      </c>
      <c r="D5420" s="8"/>
    </row>
    <row r="5421" spans="2:4" x14ac:dyDescent="0.25">
      <c r="B5421" s="4">
        <f t="shared" si="100"/>
        <v>624.14999999995075</v>
      </c>
      <c r="C5421" s="199">
        <v>1263.6259935808605</v>
      </c>
      <c r="D5421" s="8"/>
    </row>
    <row r="5422" spans="2:4" x14ac:dyDescent="0.25">
      <c r="B5422" s="4">
        <f t="shared" si="100"/>
        <v>624.15999999995074</v>
      </c>
      <c r="C5422" s="199">
        <v>1263.8704098344112</v>
      </c>
      <c r="D5422" s="8"/>
    </row>
    <row r="5423" spans="2:4" x14ac:dyDescent="0.25">
      <c r="B5423" s="4">
        <f t="shared" si="100"/>
        <v>624.16999999995073</v>
      </c>
      <c r="C5423" s="199">
        <v>1264.1148260879615</v>
      </c>
      <c r="D5423" s="8"/>
    </row>
    <row r="5424" spans="2:4" x14ac:dyDescent="0.25">
      <c r="B5424" s="4">
        <f t="shared" si="100"/>
        <v>624.17999999995072</v>
      </c>
      <c r="C5424" s="199">
        <v>1264.359242341513</v>
      </c>
      <c r="D5424" s="8"/>
    </row>
    <row r="5425" spans="2:4" x14ac:dyDescent="0.25">
      <c r="B5425" s="4">
        <f t="shared" si="100"/>
        <v>624.18999999995071</v>
      </c>
      <c r="C5425" s="199">
        <v>1264.6036585950628</v>
      </c>
      <c r="D5425" s="8"/>
    </row>
    <row r="5426" spans="2:4" x14ac:dyDescent="0.25">
      <c r="B5426" s="4">
        <f t="shared" si="100"/>
        <v>624.19999999995071</v>
      </c>
      <c r="C5426" s="199">
        <v>1264.8480748486131</v>
      </c>
      <c r="D5426" s="8"/>
    </row>
    <row r="5427" spans="2:4" x14ac:dyDescent="0.25">
      <c r="B5427" s="4">
        <f t="shared" si="100"/>
        <v>624.2099999999507</v>
      </c>
      <c r="C5427" s="199">
        <v>1265.0924911021641</v>
      </c>
      <c r="D5427" s="8"/>
    </row>
    <row r="5428" spans="2:4" x14ac:dyDescent="0.25">
      <c r="B5428" s="4">
        <f t="shared" si="100"/>
        <v>624.21999999995069</v>
      </c>
      <c r="C5428" s="199">
        <v>1265.3370921984888</v>
      </c>
      <c r="D5428" s="8"/>
    </row>
    <row r="5429" spans="2:4" x14ac:dyDescent="0.25">
      <c r="B5429" s="4">
        <f t="shared" si="100"/>
        <v>624.22999999995068</v>
      </c>
      <c r="C5429" s="199">
        <v>1265.5816932948137</v>
      </c>
      <c r="D5429" s="8"/>
    </row>
    <row r="5430" spans="2:4" x14ac:dyDescent="0.25">
      <c r="B5430" s="4">
        <f t="shared" si="100"/>
        <v>624.23999999995067</v>
      </c>
      <c r="C5430" s="199">
        <v>1265.8262943911386</v>
      </c>
      <c r="D5430" s="8"/>
    </row>
    <row r="5431" spans="2:4" x14ac:dyDescent="0.25">
      <c r="B5431" s="4">
        <f t="shared" si="100"/>
        <v>624.24999999995066</v>
      </c>
      <c r="C5431" s="199">
        <v>1266.0708954874644</v>
      </c>
      <c r="D5431" s="8"/>
    </row>
    <row r="5432" spans="2:4" x14ac:dyDescent="0.25">
      <c r="B5432" s="4">
        <f t="shared" si="100"/>
        <v>624.25999999995065</v>
      </c>
      <c r="C5432" s="199">
        <v>1266.3154965837889</v>
      </c>
      <c r="D5432" s="8"/>
    </row>
    <row r="5433" spans="2:4" x14ac:dyDescent="0.25">
      <c r="B5433" s="4">
        <f t="shared" si="100"/>
        <v>624.26999999995064</v>
      </c>
      <c r="C5433" s="199">
        <v>1266.5600976801136</v>
      </c>
      <c r="D5433" s="8"/>
    </row>
    <row r="5434" spans="2:4" x14ac:dyDescent="0.25">
      <c r="B5434" s="4">
        <f t="shared" si="100"/>
        <v>624.27999999995063</v>
      </c>
      <c r="C5434" s="199">
        <v>1266.8046987764394</v>
      </c>
      <c r="D5434" s="8"/>
    </row>
    <row r="5435" spans="2:4" x14ac:dyDescent="0.25">
      <c r="B5435" s="4">
        <f t="shared" si="100"/>
        <v>624.28999999995062</v>
      </c>
      <c r="C5435" s="199">
        <v>1267.0492998727641</v>
      </c>
      <c r="D5435" s="8"/>
    </row>
    <row r="5436" spans="2:4" x14ac:dyDescent="0.25">
      <c r="B5436" s="4">
        <f t="shared" si="100"/>
        <v>624.29999999995061</v>
      </c>
      <c r="C5436" s="199">
        <v>1267.293900969089</v>
      </c>
      <c r="D5436" s="8"/>
    </row>
    <row r="5437" spans="2:4" x14ac:dyDescent="0.25">
      <c r="B5437" s="4">
        <f t="shared" si="100"/>
        <v>624.30999999995061</v>
      </c>
      <c r="C5437" s="199">
        <v>1267.5385020654141</v>
      </c>
      <c r="D5437" s="8"/>
    </row>
    <row r="5438" spans="2:4" x14ac:dyDescent="0.25">
      <c r="B5438" s="4">
        <f t="shared" si="100"/>
        <v>624.3199999999506</v>
      </c>
      <c r="C5438" s="199">
        <v>1267.7832846041927</v>
      </c>
      <c r="D5438" s="8"/>
    </row>
    <row r="5439" spans="2:4" x14ac:dyDescent="0.25">
      <c r="B5439" s="4">
        <f t="shared" si="100"/>
        <v>624.32999999995059</v>
      </c>
      <c r="C5439" s="199">
        <v>1268.0280671429734</v>
      </c>
      <c r="D5439" s="8"/>
    </row>
    <row r="5440" spans="2:4" x14ac:dyDescent="0.25">
      <c r="B5440" s="4">
        <f t="shared" si="100"/>
        <v>624.33999999995058</v>
      </c>
      <c r="C5440" s="199">
        <v>1268.272849681756</v>
      </c>
      <c r="D5440" s="8"/>
    </row>
    <row r="5441" spans="2:4" x14ac:dyDescent="0.25">
      <c r="B5441" s="4">
        <f t="shared" si="100"/>
        <v>624.34999999995057</v>
      </c>
      <c r="C5441" s="199">
        <v>1268.5176322205371</v>
      </c>
      <c r="D5441" s="8"/>
    </row>
    <row r="5442" spans="2:4" x14ac:dyDescent="0.25">
      <c r="B5442" s="4">
        <f t="shared" si="100"/>
        <v>624.35999999995056</v>
      </c>
      <c r="C5442" s="199">
        <v>1268.7624147593201</v>
      </c>
      <c r="D5442" s="8"/>
    </row>
    <row r="5443" spans="2:4" x14ac:dyDescent="0.25">
      <c r="B5443" s="4">
        <f t="shared" si="100"/>
        <v>624.36999999995055</v>
      </c>
      <c r="C5443" s="199">
        <v>1269.0071972981011</v>
      </c>
      <c r="D5443" s="8"/>
    </row>
    <row r="5444" spans="2:4" x14ac:dyDescent="0.25">
      <c r="B5444" s="4">
        <f t="shared" si="100"/>
        <v>624.37999999995054</v>
      </c>
      <c r="C5444" s="199">
        <v>1269.2519798368828</v>
      </c>
      <c r="D5444" s="8"/>
    </row>
    <row r="5445" spans="2:4" x14ac:dyDescent="0.25">
      <c r="B5445" s="4">
        <f t="shared" si="100"/>
        <v>624.38999999995053</v>
      </c>
      <c r="C5445" s="199">
        <v>1269.4967623756645</v>
      </c>
      <c r="D5445" s="8"/>
    </row>
    <row r="5446" spans="2:4" x14ac:dyDescent="0.25">
      <c r="B5446" s="4">
        <f t="shared" si="100"/>
        <v>624.39999999995052</v>
      </c>
      <c r="C5446" s="199">
        <v>1269.7415449144464</v>
      </c>
      <c r="D5446" s="8"/>
    </row>
    <row r="5447" spans="2:4" x14ac:dyDescent="0.25">
      <c r="B5447" s="4">
        <f t="shared" si="100"/>
        <v>624.40999999995051</v>
      </c>
      <c r="C5447" s="199">
        <v>1269.9863274532295</v>
      </c>
      <c r="D5447" s="8"/>
    </row>
    <row r="5448" spans="2:4" x14ac:dyDescent="0.25">
      <c r="B5448" s="4">
        <f t="shared" ref="B5448:B5511" si="101">+B5447+0.01</f>
        <v>624.41999999995051</v>
      </c>
      <c r="C5448" s="199">
        <v>1270.2312912042939</v>
      </c>
      <c r="D5448" s="8"/>
    </row>
    <row r="5449" spans="2:4" x14ac:dyDescent="0.25">
      <c r="B5449" s="4">
        <f t="shared" si="101"/>
        <v>624.4299999999505</v>
      </c>
      <c r="C5449" s="199">
        <v>1270.4762549553604</v>
      </c>
      <c r="D5449" s="8"/>
    </row>
    <row r="5450" spans="2:4" x14ac:dyDescent="0.25">
      <c r="B5450" s="4">
        <f t="shared" si="101"/>
        <v>624.43999999995049</v>
      </c>
      <c r="C5450" s="199">
        <v>1270.7212187064263</v>
      </c>
      <c r="D5450" s="8"/>
    </row>
    <row r="5451" spans="2:4" x14ac:dyDescent="0.25">
      <c r="B5451" s="4">
        <f t="shared" si="101"/>
        <v>624.44999999995048</v>
      </c>
      <c r="C5451" s="199">
        <v>1270.9661824574926</v>
      </c>
      <c r="D5451" s="8"/>
    </row>
    <row r="5452" spans="2:4" x14ac:dyDescent="0.25">
      <c r="B5452" s="4">
        <f t="shared" si="101"/>
        <v>624.45999999995047</v>
      </c>
      <c r="C5452" s="199">
        <v>1271.2111462085584</v>
      </c>
      <c r="D5452" s="8"/>
    </row>
    <row r="5453" spans="2:4" x14ac:dyDescent="0.25">
      <c r="B5453" s="4">
        <f t="shared" si="101"/>
        <v>624.46999999995046</v>
      </c>
      <c r="C5453" s="199">
        <v>1271.4561099596242</v>
      </c>
      <c r="D5453" s="8"/>
    </row>
    <row r="5454" spans="2:4" x14ac:dyDescent="0.25">
      <c r="B5454" s="4">
        <f t="shared" si="101"/>
        <v>624.47999999995045</v>
      </c>
      <c r="C5454" s="199">
        <v>1271.7010737106905</v>
      </c>
      <c r="D5454" s="8"/>
    </row>
    <row r="5455" spans="2:4" x14ac:dyDescent="0.25">
      <c r="B5455" s="4">
        <f t="shared" si="101"/>
        <v>624.48999999995044</v>
      </c>
      <c r="C5455" s="199">
        <v>1271.9460374617561</v>
      </c>
      <c r="D5455" s="8"/>
    </row>
    <row r="5456" spans="2:4" x14ac:dyDescent="0.25">
      <c r="B5456" s="4">
        <f t="shared" si="101"/>
        <v>624.49999999995043</v>
      </c>
      <c r="C5456" s="199">
        <v>1272.1910012128219</v>
      </c>
      <c r="D5456" s="8"/>
    </row>
    <row r="5457" spans="2:4" x14ac:dyDescent="0.25">
      <c r="B5457" s="4">
        <f t="shared" si="101"/>
        <v>624.50999999995042</v>
      </c>
      <c r="C5457" s="199">
        <v>1272.4359649638877</v>
      </c>
      <c r="D5457" s="8"/>
    </row>
    <row r="5458" spans="2:4" x14ac:dyDescent="0.25">
      <c r="B5458" s="4">
        <f t="shared" si="101"/>
        <v>624.51999999995041</v>
      </c>
      <c r="C5458" s="199">
        <v>1272.6811099382089</v>
      </c>
      <c r="D5458" s="8"/>
    </row>
    <row r="5459" spans="2:4" x14ac:dyDescent="0.25">
      <c r="B5459" s="4">
        <f t="shared" si="101"/>
        <v>624.52999999995041</v>
      </c>
      <c r="C5459" s="199">
        <v>1272.9262549125351</v>
      </c>
      <c r="D5459" s="8"/>
    </row>
    <row r="5460" spans="2:4" x14ac:dyDescent="0.25">
      <c r="B5460" s="4">
        <f t="shared" si="101"/>
        <v>624.5399999999504</v>
      </c>
      <c r="C5460" s="199">
        <v>1273.1713998868606</v>
      </c>
      <c r="D5460" s="8"/>
    </row>
    <row r="5461" spans="2:4" x14ac:dyDescent="0.25">
      <c r="B5461" s="4">
        <f t="shared" si="101"/>
        <v>624.54999999995039</v>
      </c>
      <c r="C5461" s="199">
        <v>1273.4165448611859</v>
      </c>
      <c r="D5461" s="8"/>
    </row>
    <row r="5462" spans="2:4" x14ac:dyDescent="0.25">
      <c r="B5462" s="4">
        <f t="shared" si="101"/>
        <v>624.55999999995038</v>
      </c>
      <c r="C5462" s="199">
        <v>1273.6616898355117</v>
      </c>
      <c r="D5462" s="8"/>
    </row>
    <row r="5463" spans="2:4" x14ac:dyDescent="0.25">
      <c r="B5463" s="4">
        <f t="shared" si="101"/>
        <v>624.56999999995037</v>
      </c>
      <c r="C5463" s="199">
        <v>1273.9068348098374</v>
      </c>
      <c r="D5463" s="8"/>
    </row>
    <row r="5464" spans="2:4" x14ac:dyDescent="0.25">
      <c r="B5464" s="4">
        <f t="shared" si="101"/>
        <v>624.57999999995036</v>
      </c>
      <c r="C5464" s="199">
        <v>1274.1519797841636</v>
      </c>
      <c r="D5464" s="8"/>
    </row>
    <row r="5465" spans="2:4" x14ac:dyDescent="0.25">
      <c r="B5465" s="4">
        <f t="shared" si="101"/>
        <v>624.58999999995035</v>
      </c>
      <c r="C5465" s="199">
        <v>1274.3971247584886</v>
      </c>
      <c r="D5465" s="8"/>
    </row>
    <row r="5466" spans="2:4" x14ac:dyDescent="0.25">
      <c r="B5466" s="4">
        <f t="shared" si="101"/>
        <v>624.59999999995034</v>
      </c>
      <c r="C5466" s="199">
        <v>1274.6422697328139</v>
      </c>
      <c r="D5466" s="8"/>
    </row>
    <row r="5467" spans="2:4" x14ac:dyDescent="0.25">
      <c r="B5467" s="4">
        <f t="shared" si="101"/>
        <v>624.60999999995033</v>
      </c>
      <c r="C5467" s="199">
        <v>1274.8874147071401</v>
      </c>
      <c r="D5467" s="8"/>
    </row>
    <row r="5468" spans="2:4" x14ac:dyDescent="0.25">
      <c r="B5468" s="4">
        <f t="shared" si="101"/>
        <v>624.61999999995032</v>
      </c>
      <c r="C5468" s="199">
        <v>1275.1327380192079</v>
      </c>
      <c r="D5468" s="8"/>
    </row>
    <row r="5469" spans="2:4" x14ac:dyDescent="0.25">
      <c r="B5469" s="4">
        <f t="shared" si="101"/>
        <v>624.62999999995031</v>
      </c>
      <c r="C5469" s="199">
        <v>1275.3780613312765</v>
      </c>
      <c r="D5469" s="8"/>
    </row>
    <row r="5470" spans="2:4" x14ac:dyDescent="0.25">
      <c r="B5470" s="4">
        <f t="shared" si="101"/>
        <v>624.63999999995031</v>
      </c>
      <c r="C5470" s="199">
        <v>1275.6233846433445</v>
      </c>
      <c r="D5470" s="8"/>
    </row>
    <row r="5471" spans="2:4" x14ac:dyDescent="0.25">
      <c r="B5471" s="4">
        <f t="shared" si="101"/>
        <v>624.6499999999503</v>
      </c>
      <c r="C5471" s="199">
        <v>1275.8687079554127</v>
      </c>
      <c r="D5471" s="8"/>
    </row>
    <row r="5472" spans="2:4" x14ac:dyDescent="0.25">
      <c r="B5472" s="4">
        <f t="shared" si="101"/>
        <v>624.65999999995029</v>
      </c>
      <c r="C5472" s="199">
        <v>1276.1140312674818</v>
      </c>
      <c r="D5472" s="8"/>
    </row>
    <row r="5473" spans="2:4" x14ac:dyDescent="0.25">
      <c r="B5473" s="4">
        <f t="shared" si="101"/>
        <v>624.66999999995028</v>
      </c>
      <c r="C5473" s="199">
        <v>1276.3593545795497</v>
      </c>
      <c r="D5473" s="8"/>
    </row>
    <row r="5474" spans="2:4" x14ac:dyDescent="0.25">
      <c r="B5474" s="4">
        <f t="shared" si="101"/>
        <v>624.67999999995027</v>
      </c>
      <c r="C5474" s="199">
        <v>1276.6046778916177</v>
      </c>
      <c r="D5474" s="8"/>
    </row>
    <row r="5475" spans="2:4" x14ac:dyDescent="0.25">
      <c r="B5475" s="4">
        <f t="shared" si="101"/>
        <v>624.68999999995026</v>
      </c>
      <c r="C5475" s="199">
        <v>1276.8500012036864</v>
      </c>
      <c r="D5475" s="8"/>
    </row>
    <row r="5476" spans="2:4" x14ac:dyDescent="0.25">
      <c r="B5476" s="4">
        <f t="shared" si="101"/>
        <v>624.69999999995025</v>
      </c>
      <c r="C5476" s="199">
        <v>1277.0953245157546</v>
      </c>
      <c r="D5476" s="8"/>
    </row>
    <row r="5477" spans="2:4" x14ac:dyDescent="0.25">
      <c r="B5477" s="4">
        <f t="shared" si="101"/>
        <v>624.70999999995024</v>
      </c>
      <c r="C5477" s="199">
        <v>1277.3406478278225</v>
      </c>
      <c r="D5477" s="8"/>
    </row>
    <row r="5478" spans="2:4" x14ac:dyDescent="0.25">
      <c r="B5478" s="4">
        <f t="shared" si="101"/>
        <v>624.71999999995023</v>
      </c>
      <c r="C5478" s="199">
        <v>1277.5861497782385</v>
      </c>
      <c r="D5478" s="8"/>
    </row>
    <row r="5479" spans="2:4" x14ac:dyDescent="0.25">
      <c r="B5479" s="4">
        <f t="shared" si="101"/>
        <v>624.72999999995022</v>
      </c>
      <c r="C5479" s="199">
        <v>1277.8316517286594</v>
      </c>
      <c r="D5479" s="8"/>
    </row>
    <row r="5480" spans="2:4" x14ac:dyDescent="0.25">
      <c r="B5480" s="4">
        <f t="shared" si="101"/>
        <v>624.73999999995021</v>
      </c>
      <c r="C5480" s="199">
        <v>1278.0771536790805</v>
      </c>
      <c r="D5480" s="8"/>
    </row>
    <row r="5481" spans="2:4" x14ac:dyDescent="0.25">
      <c r="B5481" s="4">
        <f t="shared" si="101"/>
        <v>624.74999999995021</v>
      </c>
      <c r="C5481" s="199">
        <v>1278.3226556295012</v>
      </c>
      <c r="D5481" s="8"/>
    </row>
    <row r="5482" spans="2:4" x14ac:dyDescent="0.25">
      <c r="B5482" s="4">
        <f t="shared" si="101"/>
        <v>624.7599999999502</v>
      </c>
      <c r="C5482" s="199">
        <v>1278.5681575799217</v>
      </c>
      <c r="D5482" s="8"/>
    </row>
    <row r="5483" spans="2:4" x14ac:dyDescent="0.25">
      <c r="B5483" s="4">
        <f t="shared" si="101"/>
        <v>624.76999999995019</v>
      </c>
      <c r="C5483" s="199">
        <v>1278.8136595303422</v>
      </c>
      <c r="D5483" s="8"/>
    </row>
    <row r="5484" spans="2:4" x14ac:dyDescent="0.25">
      <c r="B5484" s="4">
        <f t="shared" si="101"/>
        <v>624.77999999995018</v>
      </c>
      <c r="C5484" s="199">
        <v>1279.0591614807634</v>
      </c>
      <c r="D5484" s="8"/>
    </row>
    <row r="5485" spans="2:4" x14ac:dyDescent="0.25">
      <c r="B5485" s="4">
        <f t="shared" si="101"/>
        <v>624.78999999995017</v>
      </c>
      <c r="C5485" s="199">
        <v>1279.3046634311847</v>
      </c>
      <c r="D5485" s="8"/>
    </row>
    <row r="5486" spans="2:4" x14ac:dyDescent="0.25">
      <c r="B5486" s="4">
        <f t="shared" si="101"/>
        <v>624.79999999995016</v>
      </c>
      <c r="C5486" s="199">
        <v>1279.5501653816052</v>
      </c>
      <c r="D5486" s="8"/>
    </row>
    <row r="5487" spans="2:4" x14ac:dyDescent="0.25">
      <c r="B5487" s="4">
        <f t="shared" si="101"/>
        <v>624.80999999995015</v>
      </c>
      <c r="C5487" s="199">
        <v>1279.7956673320261</v>
      </c>
      <c r="D5487" s="8"/>
    </row>
    <row r="5488" spans="2:4" x14ac:dyDescent="0.25">
      <c r="B5488" s="4">
        <f t="shared" si="101"/>
        <v>624.81999999995014</v>
      </c>
      <c r="C5488" s="199">
        <v>1280.0413465336328</v>
      </c>
      <c r="D5488" s="8"/>
    </row>
    <row r="5489" spans="2:4" x14ac:dyDescent="0.25">
      <c r="B5489" s="4">
        <f t="shared" si="101"/>
        <v>624.82999999995013</v>
      </c>
      <c r="C5489" s="199">
        <v>1280.2870257352386</v>
      </c>
      <c r="D5489" s="8"/>
    </row>
    <row r="5490" spans="2:4" x14ac:dyDescent="0.25">
      <c r="B5490" s="4">
        <f t="shared" si="101"/>
        <v>624.83999999995012</v>
      </c>
      <c r="C5490" s="199">
        <v>1280.5327049368441</v>
      </c>
      <c r="D5490" s="8"/>
    </row>
    <row r="5491" spans="2:4" x14ac:dyDescent="0.25">
      <c r="B5491" s="4">
        <f t="shared" si="101"/>
        <v>624.84999999995011</v>
      </c>
      <c r="C5491" s="199">
        <v>1280.7783841384512</v>
      </c>
      <c r="D5491" s="8"/>
    </row>
    <row r="5492" spans="2:4" x14ac:dyDescent="0.25">
      <c r="B5492" s="4">
        <f t="shared" si="101"/>
        <v>624.85999999995011</v>
      </c>
      <c r="C5492" s="199">
        <v>1281.0240633400574</v>
      </c>
      <c r="D5492" s="8"/>
    </row>
    <row r="5493" spans="2:4" x14ac:dyDescent="0.25">
      <c r="B5493" s="4">
        <f t="shared" si="101"/>
        <v>624.8699999999501</v>
      </c>
      <c r="C5493" s="199">
        <v>1281.2697425416643</v>
      </c>
      <c r="D5493" s="8"/>
    </row>
    <row r="5494" spans="2:4" x14ac:dyDescent="0.25">
      <c r="B5494" s="4">
        <f t="shared" si="101"/>
        <v>624.87999999995009</v>
      </c>
      <c r="C5494" s="199">
        <v>1281.5154217432698</v>
      </c>
      <c r="D5494" s="8"/>
    </row>
    <row r="5495" spans="2:4" x14ac:dyDescent="0.25">
      <c r="B5495" s="4">
        <f t="shared" si="101"/>
        <v>624.88999999995008</v>
      </c>
      <c r="C5495" s="199">
        <v>1281.761100944876</v>
      </c>
      <c r="D5495" s="8"/>
    </row>
    <row r="5496" spans="2:4" x14ac:dyDescent="0.25">
      <c r="B5496" s="4">
        <f t="shared" si="101"/>
        <v>624.89999999995007</v>
      </c>
      <c r="C5496" s="199">
        <v>1282.0067801464829</v>
      </c>
      <c r="D5496" s="8"/>
    </row>
    <row r="5497" spans="2:4" x14ac:dyDescent="0.25">
      <c r="B5497" s="4">
        <f t="shared" si="101"/>
        <v>624.90999999995006</v>
      </c>
      <c r="C5497" s="199">
        <v>1282.2524593480889</v>
      </c>
      <c r="D5497" s="8"/>
    </row>
    <row r="5498" spans="2:4" x14ac:dyDescent="0.25">
      <c r="B5498" s="4">
        <f t="shared" si="101"/>
        <v>624.91999999995005</v>
      </c>
      <c r="C5498" s="199">
        <v>1282.4983161280456</v>
      </c>
      <c r="D5498" s="8"/>
    </row>
    <row r="5499" spans="2:4" x14ac:dyDescent="0.25">
      <c r="B5499" s="4">
        <f t="shared" si="101"/>
        <v>624.92999999995004</v>
      </c>
      <c r="C5499" s="199">
        <v>1282.7441729080058</v>
      </c>
      <c r="D5499" s="8"/>
    </row>
    <row r="5500" spans="2:4" x14ac:dyDescent="0.25">
      <c r="B5500" s="4">
        <f t="shared" si="101"/>
        <v>624.93999999995003</v>
      </c>
      <c r="C5500" s="199">
        <v>1282.9900296879657</v>
      </c>
      <c r="D5500" s="8"/>
    </row>
    <row r="5501" spans="2:4" x14ac:dyDescent="0.25">
      <c r="B5501" s="4">
        <f t="shared" si="101"/>
        <v>624.94999999995002</v>
      </c>
      <c r="C5501" s="199">
        <v>1283.2358864679263</v>
      </c>
      <c r="D5501" s="8"/>
    </row>
    <row r="5502" spans="2:4" x14ac:dyDescent="0.25">
      <c r="B5502" s="4">
        <f t="shared" si="101"/>
        <v>624.95999999995001</v>
      </c>
      <c r="C5502" s="199">
        <v>1283.4817432478867</v>
      </c>
      <c r="D5502" s="8"/>
    </row>
    <row r="5503" spans="2:4" x14ac:dyDescent="0.25">
      <c r="B5503" s="4">
        <f t="shared" si="101"/>
        <v>624.96999999995001</v>
      </c>
      <c r="C5503" s="199">
        <v>1283.727600027848</v>
      </c>
      <c r="D5503" s="8"/>
    </row>
    <row r="5504" spans="2:4" x14ac:dyDescent="0.25">
      <c r="B5504" s="4">
        <f t="shared" si="101"/>
        <v>624.97999999995</v>
      </c>
      <c r="C5504" s="199">
        <v>1283.9734568078079</v>
      </c>
      <c r="D5504" s="8"/>
    </row>
    <row r="5505" spans="2:4" x14ac:dyDescent="0.25">
      <c r="B5505" s="4">
        <f t="shared" si="101"/>
        <v>624.98999999994999</v>
      </c>
      <c r="C5505" s="199">
        <v>1284.2193135877685</v>
      </c>
      <c r="D5505" s="8"/>
    </row>
    <row r="5506" spans="2:4" x14ac:dyDescent="0.25">
      <c r="B5506" s="4">
        <f t="shared" si="101"/>
        <v>624.99999999994998</v>
      </c>
      <c r="C5506" s="199">
        <v>1284.4651703677284</v>
      </c>
      <c r="D5506" s="8"/>
    </row>
    <row r="5507" spans="2:4" x14ac:dyDescent="0.25">
      <c r="B5507" s="4">
        <f t="shared" si="101"/>
        <v>625.00999999994997</v>
      </c>
      <c r="C5507" s="199">
        <v>1284.7110271476897</v>
      </c>
      <c r="D5507" s="8"/>
    </row>
    <row r="5508" spans="2:4" x14ac:dyDescent="0.25">
      <c r="B5508" s="4">
        <f t="shared" si="101"/>
        <v>625.01999999994996</v>
      </c>
      <c r="C5508" s="199">
        <v>1284.9570616309018</v>
      </c>
      <c r="D5508" s="8"/>
    </row>
    <row r="5509" spans="2:4" x14ac:dyDescent="0.25">
      <c r="B5509" s="4">
        <f t="shared" si="101"/>
        <v>625.02999999994995</v>
      </c>
      <c r="C5509" s="199">
        <v>1285.2030961141154</v>
      </c>
      <c r="D5509" s="8"/>
    </row>
    <row r="5510" spans="2:4" x14ac:dyDescent="0.25">
      <c r="B5510" s="4">
        <f t="shared" si="101"/>
        <v>625.03999999994994</v>
      </c>
      <c r="C5510" s="199">
        <v>1285.449130597329</v>
      </c>
      <c r="D5510" s="8"/>
    </row>
    <row r="5511" spans="2:4" x14ac:dyDescent="0.25">
      <c r="B5511" s="4">
        <f t="shared" si="101"/>
        <v>625.04999999994993</v>
      </c>
      <c r="C5511" s="199">
        <v>1285.6951650805413</v>
      </c>
      <c r="D5511" s="8"/>
    </row>
    <row r="5512" spans="2:4" x14ac:dyDescent="0.25">
      <c r="B5512" s="4">
        <f t="shared" ref="B5512:B5575" si="102">+B5511+0.01</f>
        <v>625.05999999994992</v>
      </c>
      <c r="C5512" s="199">
        <v>1285.9411995637552</v>
      </c>
      <c r="D5512" s="8"/>
    </row>
    <row r="5513" spans="2:4" x14ac:dyDescent="0.25">
      <c r="B5513" s="4">
        <f t="shared" si="102"/>
        <v>625.06999999994991</v>
      </c>
      <c r="C5513" s="199">
        <v>1286.1872340469686</v>
      </c>
      <c r="D5513" s="8"/>
    </row>
    <row r="5514" spans="2:4" x14ac:dyDescent="0.25">
      <c r="B5514" s="4">
        <f t="shared" si="102"/>
        <v>625.07999999994991</v>
      </c>
      <c r="C5514" s="199">
        <v>1286.4332685301808</v>
      </c>
      <c r="D5514" s="8"/>
    </row>
    <row r="5515" spans="2:4" x14ac:dyDescent="0.25">
      <c r="B5515" s="4">
        <f t="shared" si="102"/>
        <v>625.0899999999499</v>
      </c>
      <c r="C5515" s="199">
        <v>1286.6793030133945</v>
      </c>
      <c r="D5515" s="8"/>
    </row>
    <row r="5516" spans="2:4" x14ac:dyDescent="0.25">
      <c r="B5516" s="4">
        <f t="shared" si="102"/>
        <v>625.09999999994989</v>
      </c>
      <c r="C5516" s="199">
        <v>1286.9253374966081</v>
      </c>
      <c r="D5516" s="8"/>
    </row>
    <row r="5517" spans="2:4" x14ac:dyDescent="0.25">
      <c r="B5517" s="4">
        <f t="shared" si="102"/>
        <v>625.10999999994988</v>
      </c>
      <c r="C5517" s="199">
        <v>1287.1713719798213</v>
      </c>
      <c r="D5517" s="8"/>
    </row>
    <row r="5518" spans="2:4" x14ac:dyDescent="0.25">
      <c r="B5518" s="4">
        <f t="shared" si="102"/>
        <v>625.11999999994987</v>
      </c>
      <c r="C5518" s="199">
        <v>1287.4175790700256</v>
      </c>
      <c r="D5518" s="8"/>
    </row>
    <row r="5519" spans="2:4" x14ac:dyDescent="0.25">
      <c r="B5519" s="4">
        <f t="shared" si="102"/>
        <v>625.12999999994986</v>
      </c>
      <c r="C5519" s="199">
        <v>1287.663786160236</v>
      </c>
      <c r="D5519" s="8"/>
    </row>
    <row r="5520" spans="2:4" x14ac:dyDescent="0.25">
      <c r="B5520" s="4">
        <f t="shared" si="102"/>
        <v>625.13999999994985</v>
      </c>
      <c r="C5520" s="199">
        <v>1287.9099932504469</v>
      </c>
      <c r="D5520" s="8"/>
    </row>
    <row r="5521" spans="2:4" x14ac:dyDescent="0.25">
      <c r="B5521" s="4">
        <f t="shared" si="102"/>
        <v>625.14999999994984</v>
      </c>
      <c r="C5521" s="199">
        <v>1288.1562003406566</v>
      </c>
      <c r="D5521" s="8"/>
    </row>
    <row r="5522" spans="2:4" x14ac:dyDescent="0.25">
      <c r="B5522" s="4">
        <f t="shared" si="102"/>
        <v>625.15999999994983</v>
      </c>
      <c r="C5522" s="199">
        <v>1288.4024074308666</v>
      </c>
      <c r="D5522" s="8"/>
    </row>
    <row r="5523" spans="2:4" x14ac:dyDescent="0.25">
      <c r="B5523" s="4">
        <f t="shared" si="102"/>
        <v>625.16999999994982</v>
      </c>
      <c r="C5523" s="199">
        <v>1288.6486145210774</v>
      </c>
      <c r="D5523" s="8"/>
    </row>
    <row r="5524" spans="2:4" x14ac:dyDescent="0.25">
      <c r="B5524" s="4">
        <f t="shared" si="102"/>
        <v>625.17999999994981</v>
      </c>
      <c r="C5524" s="199">
        <v>1288.8948216112874</v>
      </c>
      <c r="D5524" s="8"/>
    </row>
    <row r="5525" spans="2:4" x14ac:dyDescent="0.25">
      <c r="B5525" s="4">
        <f t="shared" si="102"/>
        <v>625.1899999999498</v>
      </c>
      <c r="C5525" s="199">
        <v>1289.1410287014969</v>
      </c>
      <c r="D5525" s="8"/>
    </row>
    <row r="5526" spans="2:4" x14ac:dyDescent="0.25">
      <c r="B5526" s="4">
        <f t="shared" si="102"/>
        <v>625.1999999999498</v>
      </c>
      <c r="C5526" s="199">
        <v>1289.3872357917082</v>
      </c>
      <c r="D5526" s="8"/>
    </row>
    <row r="5527" spans="2:4" x14ac:dyDescent="0.25">
      <c r="B5527" s="4">
        <f t="shared" si="102"/>
        <v>625.20999999994979</v>
      </c>
      <c r="C5527" s="199">
        <v>1289.6334428819182</v>
      </c>
      <c r="D5527" s="8"/>
    </row>
    <row r="5528" spans="2:4" x14ac:dyDescent="0.25">
      <c r="B5528" s="4">
        <f t="shared" si="102"/>
        <v>625.21999999994978</v>
      </c>
      <c r="C5528" s="199">
        <v>1289.8798266699487</v>
      </c>
      <c r="D5528" s="8"/>
    </row>
    <row r="5529" spans="2:4" x14ac:dyDescent="0.25">
      <c r="B5529" s="4">
        <f t="shared" si="102"/>
        <v>625.22999999994977</v>
      </c>
      <c r="C5529" s="199">
        <v>1290.1262104579764</v>
      </c>
      <c r="D5529" s="8"/>
    </row>
    <row r="5530" spans="2:4" x14ac:dyDescent="0.25">
      <c r="B5530" s="4">
        <f t="shared" si="102"/>
        <v>625.23999999994976</v>
      </c>
      <c r="C5530" s="199">
        <v>1290.3725942460051</v>
      </c>
      <c r="D5530" s="8"/>
    </row>
    <row r="5531" spans="2:4" x14ac:dyDescent="0.25">
      <c r="B5531" s="4">
        <f t="shared" si="102"/>
        <v>625.24999999994975</v>
      </c>
      <c r="C5531" s="199">
        <v>1290.6189780340342</v>
      </c>
      <c r="D5531" s="8"/>
    </row>
    <row r="5532" spans="2:4" x14ac:dyDescent="0.25">
      <c r="B5532" s="4">
        <f t="shared" si="102"/>
        <v>625.25999999994974</v>
      </c>
      <c r="C5532" s="199">
        <v>1290.8653618220621</v>
      </c>
      <c r="D5532" s="8"/>
    </row>
    <row r="5533" spans="2:4" x14ac:dyDescent="0.25">
      <c r="B5533" s="4">
        <f t="shared" si="102"/>
        <v>625.26999999994973</v>
      </c>
      <c r="C5533" s="199">
        <v>1291.1117456100906</v>
      </c>
      <c r="D5533" s="8"/>
    </row>
    <row r="5534" spans="2:4" x14ac:dyDescent="0.25">
      <c r="B5534" s="4">
        <f t="shared" si="102"/>
        <v>625.27999999994972</v>
      </c>
      <c r="C5534" s="199">
        <v>1291.3581293981199</v>
      </c>
      <c r="D5534" s="8"/>
    </row>
    <row r="5535" spans="2:4" x14ac:dyDescent="0.25">
      <c r="B5535" s="4">
        <f t="shared" si="102"/>
        <v>625.28999999994971</v>
      </c>
      <c r="C5535" s="199">
        <v>1291.604513186149</v>
      </c>
      <c r="D5535" s="8"/>
    </row>
    <row r="5536" spans="2:4" x14ac:dyDescent="0.25">
      <c r="B5536" s="4">
        <f t="shared" si="102"/>
        <v>625.2999999999497</v>
      </c>
      <c r="C5536" s="199">
        <v>1291.850896974177</v>
      </c>
      <c r="D5536" s="8"/>
    </row>
    <row r="5537" spans="2:4" x14ac:dyDescent="0.25">
      <c r="B5537" s="4">
        <f t="shared" si="102"/>
        <v>625.3099999999497</v>
      </c>
      <c r="C5537" s="199">
        <v>1292.0972807622054</v>
      </c>
      <c r="D5537" s="8"/>
    </row>
    <row r="5538" spans="2:4" x14ac:dyDescent="0.25">
      <c r="B5538" s="4">
        <f t="shared" si="102"/>
        <v>625.31999999994969</v>
      </c>
      <c r="C5538" s="199">
        <v>1292.3438387555395</v>
      </c>
      <c r="D5538" s="8"/>
    </row>
    <row r="5539" spans="2:4" x14ac:dyDescent="0.25">
      <c r="B5539" s="4">
        <f t="shared" si="102"/>
        <v>625.32999999994968</v>
      </c>
      <c r="C5539" s="199">
        <v>1292.590396748878</v>
      </c>
      <c r="D5539" s="8"/>
    </row>
    <row r="5540" spans="2:4" x14ac:dyDescent="0.25">
      <c r="B5540" s="4">
        <f t="shared" si="102"/>
        <v>625.33999999994967</v>
      </c>
      <c r="C5540" s="199">
        <v>1292.836954742216</v>
      </c>
      <c r="D5540" s="8"/>
    </row>
    <row r="5541" spans="2:4" x14ac:dyDescent="0.25">
      <c r="B5541" s="4">
        <f t="shared" si="102"/>
        <v>625.34999999994966</v>
      </c>
      <c r="C5541" s="199">
        <v>1293.0835127355545</v>
      </c>
      <c r="D5541" s="8"/>
    </row>
    <row r="5542" spans="2:4" x14ac:dyDescent="0.25">
      <c r="B5542" s="4">
        <f t="shared" si="102"/>
        <v>625.35999999994965</v>
      </c>
      <c r="C5542" s="199">
        <v>1293.3300707288929</v>
      </c>
      <c r="D5542" s="8"/>
    </row>
    <row r="5543" spans="2:4" x14ac:dyDescent="0.25">
      <c r="B5543" s="4">
        <f t="shared" si="102"/>
        <v>625.36999999994964</v>
      </c>
      <c r="C5543" s="199">
        <v>1293.5766287222318</v>
      </c>
      <c r="D5543" s="8"/>
    </row>
    <row r="5544" spans="2:4" x14ac:dyDescent="0.25">
      <c r="B5544" s="4">
        <f t="shared" si="102"/>
        <v>625.37999999994963</v>
      </c>
      <c r="C5544" s="199">
        <v>1293.8231867155691</v>
      </c>
      <c r="D5544" s="8"/>
    </row>
    <row r="5545" spans="2:4" x14ac:dyDescent="0.25">
      <c r="B5545" s="4">
        <f t="shared" si="102"/>
        <v>625.38999999994962</v>
      </c>
      <c r="C5545" s="199">
        <v>1294.0697447089074</v>
      </c>
      <c r="D5545" s="8"/>
    </row>
    <row r="5546" spans="2:4" x14ac:dyDescent="0.25">
      <c r="B5546" s="4">
        <f t="shared" si="102"/>
        <v>625.39999999994961</v>
      </c>
      <c r="C5546" s="199">
        <v>1294.3163027022458</v>
      </c>
      <c r="D5546" s="8"/>
    </row>
    <row r="5547" spans="2:4" x14ac:dyDescent="0.25">
      <c r="B5547" s="4">
        <f t="shared" si="102"/>
        <v>625.4099999999496</v>
      </c>
      <c r="C5547" s="199">
        <v>1294.5628606955845</v>
      </c>
      <c r="D5547" s="8"/>
    </row>
    <row r="5548" spans="2:4" x14ac:dyDescent="0.25">
      <c r="B5548" s="4">
        <f t="shared" si="102"/>
        <v>625.4199999999496</v>
      </c>
      <c r="C5548" s="199">
        <v>1294.8095924856559</v>
      </c>
      <c r="D5548" s="8"/>
    </row>
    <row r="5549" spans="2:4" x14ac:dyDescent="0.25">
      <c r="B5549" s="4">
        <f t="shared" si="102"/>
        <v>625.42999999994959</v>
      </c>
      <c r="C5549" s="199">
        <v>1295.0563242757291</v>
      </c>
      <c r="D5549" s="8"/>
    </row>
    <row r="5550" spans="2:4" x14ac:dyDescent="0.25">
      <c r="B5550" s="4">
        <f t="shared" si="102"/>
        <v>625.43999999994958</v>
      </c>
      <c r="C5550" s="199">
        <v>1295.303056065801</v>
      </c>
      <c r="D5550" s="8"/>
    </row>
    <row r="5551" spans="2:4" x14ac:dyDescent="0.25">
      <c r="B5551" s="4">
        <f t="shared" si="102"/>
        <v>625.44999999994957</v>
      </c>
      <c r="C5551" s="199">
        <v>1295.5497878558729</v>
      </c>
      <c r="D5551" s="8"/>
    </row>
    <row r="5552" spans="2:4" x14ac:dyDescent="0.25">
      <c r="B5552" s="4">
        <f t="shared" si="102"/>
        <v>625.45999999994956</v>
      </c>
      <c r="C5552" s="199">
        <v>1295.7965196459463</v>
      </c>
      <c r="D5552" s="8"/>
    </row>
    <row r="5553" spans="2:4" x14ac:dyDescent="0.25">
      <c r="B5553" s="4">
        <f t="shared" si="102"/>
        <v>625.46999999994955</v>
      </c>
      <c r="C5553" s="199">
        <v>1296.0432514360177</v>
      </c>
      <c r="D5553" s="8"/>
    </row>
    <row r="5554" spans="2:4" x14ac:dyDescent="0.25">
      <c r="B5554" s="4">
        <f t="shared" si="102"/>
        <v>625.47999999994954</v>
      </c>
      <c r="C5554" s="199">
        <v>1296.28998322609</v>
      </c>
      <c r="D5554" s="8"/>
    </row>
    <row r="5555" spans="2:4" x14ac:dyDescent="0.25">
      <c r="B5555" s="4">
        <f t="shared" si="102"/>
        <v>625.48999999994953</v>
      </c>
      <c r="C5555" s="199">
        <v>1296.5367150161615</v>
      </c>
      <c r="D5555" s="8"/>
    </row>
    <row r="5556" spans="2:4" x14ac:dyDescent="0.25">
      <c r="B5556" s="4">
        <f t="shared" si="102"/>
        <v>625.49999999994952</v>
      </c>
      <c r="C5556" s="199">
        <v>1296.7834468062347</v>
      </c>
      <c r="D5556" s="8"/>
    </row>
    <row r="5557" spans="2:4" x14ac:dyDescent="0.25">
      <c r="B5557" s="4">
        <f t="shared" si="102"/>
        <v>625.50999999994951</v>
      </c>
      <c r="C5557" s="199">
        <v>1297.0301785963072</v>
      </c>
      <c r="D5557" s="8"/>
    </row>
    <row r="5558" spans="2:4" x14ac:dyDescent="0.25">
      <c r="B5558" s="4">
        <f t="shared" si="102"/>
        <v>625.5199999999495</v>
      </c>
      <c r="C5558" s="199">
        <v>1297.2770870495524</v>
      </c>
      <c r="D5558" s="8"/>
    </row>
    <row r="5559" spans="2:4" x14ac:dyDescent="0.25">
      <c r="B5559" s="4">
        <f t="shared" si="102"/>
        <v>625.5299999999495</v>
      </c>
      <c r="C5559" s="199">
        <v>1297.5239955028044</v>
      </c>
      <c r="D5559" s="8"/>
    </row>
    <row r="5560" spans="2:4" x14ac:dyDescent="0.25">
      <c r="B5560" s="4">
        <f t="shared" si="102"/>
        <v>625.53999999994949</v>
      </c>
      <c r="C5560" s="199">
        <v>1297.7709039560555</v>
      </c>
      <c r="D5560" s="8"/>
    </row>
    <row r="5561" spans="2:4" x14ac:dyDescent="0.25">
      <c r="B5561" s="4">
        <f t="shared" si="102"/>
        <v>625.54999999994948</v>
      </c>
      <c r="C5561" s="199">
        <v>1298.0178124093063</v>
      </c>
      <c r="D5561" s="8"/>
    </row>
    <row r="5562" spans="2:4" x14ac:dyDescent="0.25">
      <c r="B5562" s="4">
        <f t="shared" si="102"/>
        <v>625.55999999994947</v>
      </c>
      <c r="C5562" s="199">
        <v>1298.2647208625585</v>
      </c>
      <c r="D5562" s="8"/>
    </row>
    <row r="5563" spans="2:4" x14ac:dyDescent="0.25">
      <c r="B5563" s="4">
        <f t="shared" si="102"/>
        <v>625.56999999994946</v>
      </c>
      <c r="C5563" s="199">
        <v>1298.5116293158089</v>
      </c>
      <c r="D5563" s="8"/>
    </row>
    <row r="5564" spans="2:4" x14ac:dyDescent="0.25">
      <c r="B5564" s="4">
        <f t="shared" si="102"/>
        <v>625.57999999994945</v>
      </c>
      <c r="C5564" s="199">
        <v>1298.7585377690611</v>
      </c>
      <c r="D5564" s="8"/>
    </row>
    <row r="5565" spans="2:4" x14ac:dyDescent="0.25">
      <c r="B5565" s="4">
        <f t="shared" si="102"/>
        <v>625.58999999994944</v>
      </c>
      <c r="C5565" s="199">
        <v>1299.0054462223118</v>
      </c>
      <c r="D5565" s="8"/>
    </row>
    <row r="5566" spans="2:4" x14ac:dyDescent="0.25">
      <c r="B5566" s="4">
        <f t="shared" si="102"/>
        <v>625.59999999994943</v>
      </c>
      <c r="C5566" s="199">
        <v>1299.2523546755633</v>
      </c>
      <c r="D5566" s="8"/>
    </row>
    <row r="5567" spans="2:4" x14ac:dyDescent="0.25">
      <c r="B5567" s="4">
        <f t="shared" si="102"/>
        <v>625.60999999994942</v>
      </c>
      <c r="C5567" s="199">
        <v>1299.4992631288146</v>
      </c>
      <c r="D5567" s="8"/>
    </row>
    <row r="5568" spans="2:4" x14ac:dyDescent="0.25">
      <c r="B5568" s="4">
        <f t="shared" si="102"/>
        <v>625.61999999994941</v>
      </c>
      <c r="C5568" s="199">
        <v>1299.7463443114946</v>
      </c>
      <c r="D5568" s="8"/>
    </row>
    <row r="5569" spans="2:4" x14ac:dyDescent="0.25">
      <c r="B5569" s="4">
        <f t="shared" si="102"/>
        <v>625.6299999999494</v>
      </c>
      <c r="C5569" s="199">
        <v>1299.9934254941734</v>
      </c>
      <c r="D5569" s="8"/>
    </row>
    <row r="5570" spans="2:4" x14ac:dyDescent="0.25">
      <c r="B5570" s="4">
        <f t="shared" si="102"/>
        <v>625.6399999999494</v>
      </c>
      <c r="C5570" s="199">
        <v>1300.240506676852</v>
      </c>
      <c r="D5570" s="8"/>
    </row>
    <row r="5571" spans="2:4" x14ac:dyDescent="0.25">
      <c r="B5571" s="4">
        <f t="shared" si="102"/>
        <v>625.64999999994939</v>
      </c>
      <c r="C5571" s="199">
        <v>1300.4875878595315</v>
      </c>
      <c r="D5571" s="8"/>
    </row>
    <row r="5572" spans="2:4" x14ac:dyDescent="0.25">
      <c r="B5572" s="4">
        <f t="shared" si="102"/>
        <v>625.65999999994938</v>
      </c>
      <c r="C5572" s="199">
        <v>1300.7346690422098</v>
      </c>
      <c r="D5572" s="8"/>
    </row>
    <row r="5573" spans="2:4" x14ac:dyDescent="0.25">
      <c r="B5573" s="4">
        <f t="shared" si="102"/>
        <v>625.66999999994937</v>
      </c>
      <c r="C5573" s="199">
        <v>1300.9817502248891</v>
      </c>
      <c r="D5573" s="8"/>
    </row>
    <row r="5574" spans="2:4" x14ac:dyDescent="0.25">
      <c r="B5574" s="4">
        <f t="shared" si="102"/>
        <v>625.67999999994936</v>
      </c>
      <c r="C5574" s="199">
        <v>1301.2288314075674</v>
      </c>
      <c r="D5574" s="8"/>
    </row>
    <row r="5575" spans="2:4" x14ac:dyDescent="0.25">
      <c r="B5575" s="4">
        <f t="shared" si="102"/>
        <v>625.68999999994935</v>
      </c>
      <c r="C5575" s="199">
        <v>1301.4759125902467</v>
      </c>
      <c r="D5575" s="8"/>
    </row>
    <row r="5576" spans="2:4" x14ac:dyDescent="0.25">
      <c r="B5576" s="4">
        <f t="shared" ref="B5576:B5639" si="103">+B5575+0.01</f>
        <v>625.69999999994934</v>
      </c>
      <c r="C5576" s="199">
        <v>1301.7229937729251</v>
      </c>
      <c r="D5576" s="8"/>
    </row>
    <row r="5577" spans="2:4" x14ac:dyDescent="0.25">
      <c r="B5577" s="4">
        <f t="shared" si="103"/>
        <v>625.70999999994933</v>
      </c>
      <c r="C5577" s="199">
        <v>1301.9700749556043</v>
      </c>
      <c r="D5577" s="8"/>
    </row>
    <row r="5578" spans="2:4" x14ac:dyDescent="0.25">
      <c r="B5578" s="4">
        <f t="shared" si="103"/>
        <v>625.71999999994932</v>
      </c>
      <c r="C5578" s="199">
        <v>1302.2173330701362</v>
      </c>
      <c r="D5578" s="8"/>
    </row>
    <row r="5579" spans="2:4" x14ac:dyDescent="0.25">
      <c r="B5579" s="4">
        <f t="shared" si="103"/>
        <v>625.72999999994931</v>
      </c>
      <c r="C5579" s="199">
        <v>1302.4645911846728</v>
      </c>
      <c r="D5579" s="8"/>
    </row>
    <row r="5580" spans="2:4" x14ac:dyDescent="0.25">
      <c r="B5580" s="4">
        <f t="shared" si="103"/>
        <v>625.7399999999493</v>
      </c>
      <c r="C5580" s="199">
        <v>1302.7118492992097</v>
      </c>
      <c r="D5580" s="8"/>
    </row>
    <row r="5581" spans="2:4" x14ac:dyDescent="0.25">
      <c r="B5581" s="4">
        <f t="shared" si="103"/>
        <v>625.7499999999493</v>
      </c>
      <c r="C5581" s="199">
        <v>1302.9591074137456</v>
      </c>
      <c r="D5581" s="8"/>
    </row>
    <row r="5582" spans="2:4" x14ac:dyDescent="0.25">
      <c r="B5582" s="4">
        <f t="shared" si="103"/>
        <v>625.75999999994929</v>
      </c>
      <c r="C5582" s="199">
        <v>1303.2063655282827</v>
      </c>
      <c r="D5582" s="8"/>
    </row>
    <row r="5583" spans="2:4" x14ac:dyDescent="0.25">
      <c r="B5583" s="4">
        <f t="shared" si="103"/>
        <v>625.76999999994928</v>
      </c>
      <c r="C5583" s="199">
        <v>1303.4536236428185</v>
      </c>
      <c r="D5583" s="8"/>
    </row>
    <row r="5584" spans="2:4" x14ac:dyDescent="0.25">
      <c r="B5584" s="4">
        <f t="shared" si="103"/>
        <v>625.77999999994927</v>
      </c>
      <c r="C5584" s="199">
        <v>1303.7008817573551</v>
      </c>
      <c r="D5584" s="8"/>
    </row>
    <row r="5585" spans="2:4" x14ac:dyDescent="0.25">
      <c r="B5585" s="4">
        <f t="shared" si="103"/>
        <v>625.78999999994926</v>
      </c>
      <c r="C5585" s="199">
        <v>1303.9481398718913</v>
      </c>
      <c r="D5585" s="8"/>
    </row>
    <row r="5586" spans="2:4" x14ac:dyDescent="0.25">
      <c r="B5586" s="4">
        <f t="shared" si="103"/>
        <v>625.79999999994925</v>
      </c>
      <c r="C5586" s="199">
        <v>1304.1953979864277</v>
      </c>
      <c r="D5586" s="8"/>
    </row>
    <row r="5587" spans="2:4" x14ac:dyDescent="0.25">
      <c r="B5587" s="4">
        <f t="shared" si="103"/>
        <v>625.80999999994924</v>
      </c>
      <c r="C5587" s="199">
        <v>1304.4426561009636</v>
      </c>
      <c r="D5587" s="8"/>
    </row>
    <row r="5588" spans="2:4" x14ac:dyDescent="0.25">
      <c r="B5588" s="4">
        <f t="shared" si="103"/>
        <v>625.81999999994923</v>
      </c>
      <c r="C5588" s="199">
        <v>1304.6900886796197</v>
      </c>
      <c r="D5588" s="8"/>
    </row>
    <row r="5589" spans="2:4" x14ac:dyDescent="0.25">
      <c r="B5589" s="4">
        <f t="shared" si="103"/>
        <v>625.82999999994922</v>
      </c>
      <c r="C5589" s="199">
        <v>1304.9375212582763</v>
      </c>
      <c r="D5589" s="8"/>
    </row>
    <row r="5590" spans="2:4" x14ac:dyDescent="0.25">
      <c r="B5590" s="4">
        <f t="shared" si="103"/>
        <v>625.83999999994921</v>
      </c>
      <c r="C5590" s="199">
        <v>1305.184953836932</v>
      </c>
      <c r="D5590" s="8"/>
    </row>
    <row r="5591" spans="2:4" x14ac:dyDescent="0.25">
      <c r="B5591" s="4">
        <f t="shared" si="103"/>
        <v>625.8499999999492</v>
      </c>
      <c r="C5591" s="199">
        <v>1305.4323864155886</v>
      </c>
      <c r="D5591" s="8"/>
    </row>
    <row r="5592" spans="2:4" x14ac:dyDescent="0.25">
      <c r="B5592" s="4">
        <f t="shared" si="103"/>
        <v>625.8599999999492</v>
      </c>
      <c r="C5592" s="199">
        <v>1305.6798189942454</v>
      </c>
      <c r="D5592" s="8"/>
    </row>
    <row r="5593" spans="2:4" x14ac:dyDescent="0.25">
      <c r="B5593" s="4">
        <f t="shared" si="103"/>
        <v>625.86999999994919</v>
      </c>
      <c r="C5593" s="199">
        <v>1305.9272515729026</v>
      </c>
      <c r="D5593" s="8"/>
    </row>
    <row r="5594" spans="2:4" x14ac:dyDescent="0.25">
      <c r="B5594" s="4">
        <f t="shared" si="103"/>
        <v>625.87999999994918</v>
      </c>
      <c r="C5594" s="199">
        <v>1306.1746841515587</v>
      </c>
      <c r="D5594" s="8"/>
    </row>
    <row r="5595" spans="2:4" x14ac:dyDescent="0.25">
      <c r="B5595" s="4">
        <f t="shared" si="103"/>
        <v>625.88999999994917</v>
      </c>
      <c r="C5595" s="199">
        <v>1306.4221167302153</v>
      </c>
      <c r="D5595" s="8"/>
    </row>
    <row r="5596" spans="2:4" x14ac:dyDescent="0.25">
      <c r="B5596" s="4">
        <f t="shared" si="103"/>
        <v>625.89999999994916</v>
      </c>
      <c r="C5596" s="199">
        <v>1306.6695493088716</v>
      </c>
      <c r="D5596" s="8"/>
    </row>
    <row r="5597" spans="2:4" x14ac:dyDescent="0.25">
      <c r="B5597" s="4">
        <f t="shared" si="103"/>
        <v>625.90999999994915</v>
      </c>
      <c r="C5597" s="199">
        <v>1306.9169818875282</v>
      </c>
      <c r="D5597" s="8"/>
    </row>
    <row r="5598" spans="2:4" x14ac:dyDescent="0.25">
      <c r="B5598" s="4">
        <f t="shared" si="103"/>
        <v>625.91999999994914</v>
      </c>
      <c r="C5598" s="199">
        <v>1307.1645891607695</v>
      </c>
      <c r="D5598" s="8"/>
    </row>
    <row r="5599" spans="2:4" x14ac:dyDescent="0.25">
      <c r="B5599" s="4">
        <f t="shared" si="103"/>
        <v>625.92999999994913</v>
      </c>
      <c r="C5599" s="199">
        <v>1307.4121964340138</v>
      </c>
      <c r="D5599" s="8"/>
    </row>
    <row r="5600" spans="2:4" x14ac:dyDescent="0.25">
      <c r="B5600" s="4">
        <f t="shared" si="103"/>
        <v>625.93999999994912</v>
      </c>
      <c r="C5600" s="199">
        <v>1307.6598037072574</v>
      </c>
      <c r="D5600" s="8"/>
    </row>
    <row r="5601" spans="2:4" x14ac:dyDescent="0.25">
      <c r="B5601" s="4">
        <f t="shared" si="103"/>
        <v>625.94999999994911</v>
      </c>
      <c r="C5601" s="199">
        <v>1307.9074109805019</v>
      </c>
      <c r="D5601" s="8"/>
    </row>
    <row r="5602" spans="2:4" x14ac:dyDescent="0.25">
      <c r="B5602" s="4">
        <f t="shared" si="103"/>
        <v>625.9599999999491</v>
      </c>
      <c r="C5602" s="199">
        <v>1308.1550182537469</v>
      </c>
      <c r="D5602" s="8"/>
    </row>
    <row r="5603" spans="2:4" x14ac:dyDescent="0.25">
      <c r="B5603" s="4">
        <f t="shared" si="103"/>
        <v>625.9699999999491</v>
      </c>
      <c r="C5603" s="199">
        <v>1308.402625526991</v>
      </c>
      <c r="D5603" s="8"/>
    </row>
    <row r="5604" spans="2:4" x14ac:dyDescent="0.25">
      <c r="B5604" s="4">
        <f t="shared" si="103"/>
        <v>625.97999999994909</v>
      </c>
      <c r="C5604" s="199">
        <v>1308.650232800235</v>
      </c>
      <c r="D5604" s="8"/>
    </row>
    <row r="5605" spans="2:4" x14ac:dyDescent="0.25">
      <c r="B5605" s="4">
        <f t="shared" si="103"/>
        <v>625.98999999994908</v>
      </c>
      <c r="C5605" s="199">
        <v>1308.8978400734804</v>
      </c>
      <c r="D5605" s="8"/>
    </row>
    <row r="5606" spans="2:4" x14ac:dyDescent="0.25">
      <c r="B5606" s="4">
        <f t="shared" si="103"/>
        <v>625.99999999994907</v>
      </c>
      <c r="C5606" s="199">
        <v>1309.1454473467243</v>
      </c>
      <c r="D5606" s="8"/>
    </row>
    <row r="5607" spans="2:4" x14ac:dyDescent="0.25">
      <c r="B5607" s="4">
        <f t="shared" si="103"/>
        <v>626.00999999994906</v>
      </c>
      <c r="C5607" s="199">
        <v>1309.3930546199683</v>
      </c>
      <c r="D5607" s="8"/>
    </row>
    <row r="5608" spans="2:4" x14ac:dyDescent="0.25">
      <c r="B5608" s="4">
        <f t="shared" si="103"/>
        <v>626.01999999994905</v>
      </c>
      <c r="C5608" s="199">
        <v>1309.6408376024262</v>
      </c>
      <c r="D5608" s="8"/>
    </row>
    <row r="5609" spans="2:4" x14ac:dyDescent="0.25">
      <c r="B5609" s="4">
        <f t="shared" si="103"/>
        <v>626.02999999994904</v>
      </c>
      <c r="C5609" s="199">
        <v>1309.8886205848842</v>
      </c>
      <c r="D5609" s="8"/>
    </row>
    <row r="5610" spans="2:4" x14ac:dyDescent="0.25">
      <c r="B5610" s="4">
        <f t="shared" si="103"/>
        <v>626.03999999994903</v>
      </c>
      <c r="C5610" s="199">
        <v>1310.1364035673435</v>
      </c>
      <c r="D5610" s="8"/>
    </row>
    <row r="5611" spans="2:4" x14ac:dyDescent="0.25">
      <c r="B5611" s="4">
        <f t="shared" si="103"/>
        <v>626.04999999994902</v>
      </c>
      <c r="C5611" s="199">
        <v>1310.3841865498018</v>
      </c>
      <c r="D5611" s="8"/>
    </row>
    <row r="5612" spans="2:4" x14ac:dyDescent="0.25">
      <c r="B5612" s="4">
        <f t="shared" si="103"/>
        <v>626.05999999994901</v>
      </c>
      <c r="C5612" s="199">
        <v>1310.6319695322595</v>
      </c>
      <c r="D5612" s="8"/>
    </row>
    <row r="5613" spans="2:4" x14ac:dyDescent="0.25">
      <c r="B5613" s="4">
        <f t="shared" si="103"/>
        <v>626.069999999949</v>
      </c>
      <c r="C5613" s="199">
        <v>1310.8797525147174</v>
      </c>
      <c r="D5613" s="8"/>
    </row>
    <row r="5614" spans="2:4" x14ac:dyDescent="0.25">
      <c r="B5614" s="4">
        <f t="shared" si="103"/>
        <v>626.079999999949</v>
      </c>
      <c r="C5614" s="199">
        <v>1311.1275354971758</v>
      </c>
      <c r="D5614" s="8"/>
    </row>
    <row r="5615" spans="2:4" x14ac:dyDescent="0.25">
      <c r="B5615" s="4">
        <f t="shared" si="103"/>
        <v>626.08999999994899</v>
      </c>
      <c r="C5615" s="199">
        <v>1311.3753184796337</v>
      </c>
      <c r="D5615" s="8"/>
    </row>
    <row r="5616" spans="2:4" x14ac:dyDescent="0.25">
      <c r="B5616" s="4">
        <f t="shared" si="103"/>
        <v>626.09999999994898</v>
      </c>
      <c r="C5616" s="199">
        <v>1311.6231014620923</v>
      </c>
      <c r="D5616" s="8"/>
    </row>
    <row r="5617" spans="2:4" x14ac:dyDescent="0.25">
      <c r="B5617" s="4">
        <f t="shared" si="103"/>
        <v>626.10999999994897</v>
      </c>
      <c r="C5617" s="199">
        <v>1311.8708844445507</v>
      </c>
      <c r="D5617" s="8"/>
    </row>
    <row r="5618" spans="2:4" x14ac:dyDescent="0.25">
      <c r="B5618" s="4">
        <f t="shared" si="103"/>
        <v>626.11999999994896</v>
      </c>
      <c r="C5618" s="199">
        <v>1312.118839935526</v>
      </c>
      <c r="D5618" s="8"/>
    </row>
    <row r="5619" spans="2:4" x14ac:dyDescent="0.25">
      <c r="B5619" s="4">
        <f t="shared" si="103"/>
        <v>626.12999999994895</v>
      </c>
      <c r="C5619" s="199">
        <v>1312.366795426504</v>
      </c>
      <c r="D5619" s="8"/>
    </row>
    <row r="5620" spans="2:4" x14ac:dyDescent="0.25">
      <c r="B5620" s="4">
        <f t="shared" si="103"/>
        <v>626.13999999994894</v>
      </c>
      <c r="C5620" s="199">
        <v>1312.6147509174834</v>
      </c>
      <c r="D5620" s="8"/>
    </row>
    <row r="5621" spans="2:4" x14ac:dyDescent="0.25">
      <c r="B5621" s="4">
        <f t="shared" si="103"/>
        <v>626.14999999994893</v>
      </c>
      <c r="C5621" s="199">
        <v>1312.8627064084631</v>
      </c>
      <c r="D5621" s="8"/>
    </row>
    <row r="5622" spans="2:4" x14ac:dyDescent="0.25">
      <c r="B5622" s="4">
        <f t="shared" si="103"/>
        <v>626.15999999994892</v>
      </c>
      <c r="C5622" s="199">
        <v>1313.110661899442</v>
      </c>
      <c r="D5622" s="8"/>
    </row>
    <row r="5623" spans="2:4" x14ac:dyDescent="0.25">
      <c r="B5623" s="4">
        <f t="shared" si="103"/>
        <v>626.16999999994891</v>
      </c>
      <c r="C5623" s="199">
        <v>1313.3586173904212</v>
      </c>
      <c r="D5623" s="8"/>
    </row>
    <row r="5624" spans="2:4" x14ac:dyDescent="0.25">
      <c r="B5624" s="4">
        <f t="shared" si="103"/>
        <v>626.1799999999489</v>
      </c>
      <c r="C5624" s="199">
        <v>1313.606572881401</v>
      </c>
      <c r="D5624" s="8"/>
    </row>
    <row r="5625" spans="2:4" x14ac:dyDescent="0.25">
      <c r="B5625" s="4">
        <f t="shared" si="103"/>
        <v>626.1899999999489</v>
      </c>
      <c r="C5625" s="199">
        <v>1313.8545283723802</v>
      </c>
      <c r="D5625" s="8"/>
    </row>
    <row r="5626" spans="2:4" x14ac:dyDescent="0.25">
      <c r="B5626" s="4">
        <f t="shared" si="103"/>
        <v>626.19999999994889</v>
      </c>
      <c r="C5626" s="199">
        <v>1314.1024838633587</v>
      </c>
      <c r="D5626" s="8"/>
    </row>
    <row r="5627" spans="2:4" x14ac:dyDescent="0.25">
      <c r="B5627" s="4">
        <f t="shared" si="103"/>
        <v>626.20999999994888</v>
      </c>
      <c r="C5627" s="199">
        <v>1314.3504393543383</v>
      </c>
      <c r="D5627" s="8"/>
    </row>
    <row r="5628" spans="2:4" x14ac:dyDescent="0.25">
      <c r="B5628" s="4">
        <f t="shared" si="103"/>
        <v>626.21999999994887</v>
      </c>
      <c r="C5628" s="199">
        <v>1314.598568917633</v>
      </c>
      <c r="D5628" s="8"/>
    </row>
    <row r="5629" spans="2:4" x14ac:dyDescent="0.25">
      <c r="B5629" s="4">
        <f t="shared" si="103"/>
        <v>626.22999999994886</v>
      </c>
      <c r="C5629" s="199">
        <v>1314.8466984809272</v>
      </c>
      <c r="D5629" s="8"/>
    </row>
    <row r="5630" spans="2:4" x14ac:dyDescent="0.25">
      <c r="B5630" s="4">
        <f t="shared" si="103"/>
        <v>626.23999999994885</v>
      </c>
      <c r="C5630" s="199">
        <v>1315.0948280442221</v>
      </c>
      <c r="D5630" s="8"/>
    </row>
    <row r="5631" spans="2:4" x14ac:dyDescent="0.25">
      <c r="B5631" s="4">
        <f t="shared" si="103"/>
        <v>626.24999999994884</v>
      </c>
      <c r="C5631" s="199">
        <v>1315.3429576075162</v>
      </c>
      <c r="D5631" s="8"/>
    </row>
    <row r="5632" spans="2:4" x14ac:dyDescent="0.25">
      <c r="B5632" s="4">
        <f t="shared" si="103"/>
        <v>626.25999999994883</v>
      </c>
      <c r="C5632" s="199">
        <v>1315.5910871708104</v>
      </c>
      <c r="D5632" s="8"/>
    </row>
    <row r="5633" spans="2:4" x14ac:dyDescent="0.25">
      <c r="B5633" s="4">
        <f t="shared" si="103"/>
        <v>626.26999999994882</v>
      </c>
      <c r="C5633" s="199">
        <v>1315.8392167341044</v>
      </c>
      <c r="D5633" s="8"/>
    </row>
    <row r="5634" spans="2:4" x14ac:dyDescent="0.25">
      <c r="B5634" s="4">
        <f t="shared" si="103"/>
        <v>626.27999999994881</v>
      </c>
      <c r="C5634" s="199">
        <v>1316.0873462973987</v>
      </c>
      <c r="D5634" s="8"/>
    </row>
    <row r="5635" spans="2:4" x14ac:dyDescent="0.25">
      <c r="B5635" s="4">
        <f t="shared" si="103"/>
        <v>626.2899999999488</v>
      </c>
      <c r="C5635" s="199">
        <v>1316.3354758606929</v>
      </c>
      <c r="D5635" s="8"/>
    </row>
    <row r="5636" spans="2:4" x14ac:dyDescent="0.25">
      <c r="B5636" s="4">
        <f t="shared" si="103"/>
        <v>626.2999999999488</v>
      </c>
      <c r="C5636" s="199">
        <v>1316.5836054239883</v>
      </c>
      <c r="D5636" s="8"/>
    </row>
    <row r="5637" spans="2:4" x14ac:dyDescent="0.25">
      <c r="B5637" s="4">
        <f t="shared" si="103"/>
        <v>626.30999999994879</v>
      </c>
      <c r="C5637" s="199">
        <v>1316.8317349872825</v>
      </c>
      <c r="D5637" s="8"/>
    </row>
    <row r="5638" spans="2:4" x14ac:dyDescent="0.25">
      <c r="B5638" s="4">
        <f t="shared" si="103"/>
        <v>626.31999999994878</v>
      </c>
      <c r="C5638" s="199">
        <v>1317.0800391855346</v>
      </c>
      <c r="D5638" s="8"/>
    </row>
    <row r="5639" spans="2:4" x14ac:dyDescent="0.25">
      <c r="B5639" s="4">
        <f t="shared" si="103"/>
        <v>626.32999999994877</v>
      </c>
      <c r="C5639" s="199">
        <v>1317.3283433837928</v>
      </c>
      <c r="D5639" s="8"/>
    </row>
    <row r="5640" spans="2:4" x14ac:dyDescent="0.25">
      <c r="B5640" s="4">
        <f t="shared" ref="B5640:B5703" si="104">+B5639+0.01</f>
        <v>626.33999999994876</v>
      </c>
      <c r="C5640" s="199">
        <v>1317.5766475820515</v>
      </c>
      <c r="D5640" s="8"/>
    </row>
    <row r="5641" spans="2:4" x14ac:dyDescent="0.25">
      <c r="B5641" s="4">
        <f t="shared" si="104"/>
        <v>626.34999999994875</v>
      </c>
      <c r="C5641" s="199">
        <v>1317.8249517803085</v>
      </c>
      <c r="D5641" s="8"/>
    </row>
    <row r="5642" spans="2:4" x14ac:dyDescent="0.25">
      <c r="B5642" s="4">
        <f t="shared" si="104"/>
        <v>626.35999999994874</v>
      </c>
      <c r="C5642" s="199">
        <v>1318.0732559785672</v>
      </c>
      <c r="D5642" s="8"/>
    </row>
    <row r="5643" spans="2:4" x14ac:dyDescent="0.25">
      <c r="B5643" s="4">
        <f t="shared" si="104"/>
        <v>626.36999999994873</v>
      </c>
      <c r="C5643" s="199">
        <v>1318.3215601768245</v>
      </c>
      <c r="D5643" s="8"/>
    </row>
    <row r="5644" spans="2:4" x14ac:dyDescent="0.25">
      <c r="B5644" s="4">
        <f t="shared" si="104"/>
        <v>626.37999999994872</v>
      </c>
      <c r="C5644" s="199">
        <v>1318.5698643750834</v>
      </c>
      <c r="D5644" s="8"/>
    </row>
    <row r="5645" spans="2:4" x14ac:dyDescent="0.25">
      <c r="B5645" s="4">
        <f t="shared" si="104"/>
        <v>626.38999999994871</v>
      </c>
      <c r="C5645" s="199">
        <v>1318.8181685733414</v>
      </c>
      <c r="D5645" s="8"/>
    </row>
    <row r="5646" spans="2:4" x14ac:dyDescent="0.25">
      <c r="B5646" s="4">
        <f t="shared" si="104"/>
        <v>626.3999999999487</v>
      </c>
      <c r="C5646" s="199">
        <v>1319.0664727715989</v>
      </c>
      <c r="D5646" s="8"/>
    </row>
    <row r="5647" spans="2:4" x14ac:dyDescent="0.25">
      <c r="B5647" s="4">
        <f t="shared" si="104"/>
        <v>626.4099999999487</v>
      </c>
      <c r="C5647" s="199">
        <v>1319.3147769698576</v>
      </c>
      <c r="D5647" s="8"/>
    </row>
    <row r="5648" spans="2:4" x14ac:dyDescent="0.25">
      <c r="B5648" s="4">
        <f t="shared" si="104"/>
        <v>626.41999999994869</v>
      </c>
      <c r="C5648" s="199">
        <v>1319.5632522547555</v>
      </c>
      <c r="D5648" s="8"/>
    </row>
    <row r="5649" spans="2:4" x14ac:dyDescent="0.25">
      <c r="B5649" s="4">
        <f t="shared" si="104"/>
        <v>626.42999999994868</v>
      </c>
      <c r="C5649" s="199">
        <v>1319.8117275396517</v>
      </c>
      <c r="D5649" s="8"/>
    </row>
    <row r="5650" spans="2:4" x14ac:dyDescent="0.25">
      <c r="B5650" s="4">
        <f t="shared" si="104"/>
        <v>626.43999999994867</v>
      </c>
      <c r="C5650" s="199">
        <v>1320.0602028245492</v>
      </c>
      <c r="D5650" s="8"/>
    </row>
    <row r="5651" spans="2:4" x14ac:dyDescent="0.25">
      <c r="B5651" s="4">
        <f t="shared" si="104"/>
        <v>626.44999999994866</v>
      </c>
      <c r="C5651" s="199">
        <v>1320.3086781094469</v>
      </c>
      <c r="D5651" s="8"/>
    </row>
    <row r="5652" spans="2:4" x14ac:dyDescent="0.25">
      <c r="B5652" s="4">
        <f t="shared" si="104"/>
        <v>626.45999999994865</v>
      </c>
      <c r="C5652" s="199">
        <v>1320.557153394343</v>
      </c>
      <c r="D5652" s="8"/>
    </row>
    <row r="5653" spans="2:4" x14ac:dyDescent="0.25">
      <c r="B5653" s="4">
        <f t="shared" si="104"/>
        <v>626.46999999994864</v>
      </c>
      <c r="C5653" s="199">
        <v>1320.8056286792403</v>
      </c>
      <c r="D5653" s="8"/>
    </row>
    <row r="5654" spans="2:4" x14ac:dyDescent="0.25">
      <c r="B5654" s="4">
        <f t="shared" si="104"/>
        <v>626.47999999994863</v>
      </c>
      <c r="C5654" s="199">
        <v>1321.0541039641378</v>
      </c>
      <c r="D5654" s="8"/>
    </row>
    <row r="5655" spans="2:4" x14ac:dyDescent="0.25">
      <c r="B5655" s="4">
        <f t="shared" si="104"/>
        <v>626.48999999994862</v>
      </c>
      <c r="C5655" s="199">
        <v>1321.3025792490339</v>
      </c>
      <c r="D5655" s="8"/>
    </row>
    <row r="5656" spans="2:4" x14ac:dyDescent="0.25">
      <c r="B5656" s="4">
        <f t="shared" si="104"/>
        <v>626.49999999994861</v>
      </c>
      <c r="C5656" s="199">
        <v>1321.5510545339312</v>
      </c>
      <c r="D5656" s="8"/>
    </row>
    <row r="5657" spans="2:4" x14ac:dyDescent="0.25">
      <c r="B5657" s="4">
        <f t="shared" si="104"/>
        <v>626.5099999999486</v>
      </c>
      <c r="C5657" s="199">
        <v>1321.7995298188287</v>
      </c>
      <c r="D5657" s="8"/>
    </row>
    <row r="5658" spans="2:4" x14ac:dyDescent="0.25">
      <c r="B5658" s="4">
        <f t="shared" si="104"/>
        <v>626.5199999999486</v>
      </c>
      <c r="C5658" s="199">
        <v>1322.0481807992328</v>
      </c>
      <c r="D5658" s="8"/>
    </row>
    <row r="5659" spans="2:4" x14ac:dyDescent="0.25">
      <c r="B5659" s="4">
        <f t="shared" si="104"/>
        <v>626.52999999994859</v>
      </c>
      <c r="C5659" s="199">
        <v>1322.2968317796415</v>
      </c>
      <c r="D5659" s="8"/>
    </row>
    <row r="5660" spans="2:4" x14ac:dyDescent="0.25">
      <c r="B5660" s="4">
        <f t="shared" si="104"/>
        <v>626.53999999994858</v>
      </c>
      <c r="C5660" s="199">
        <v>1322.5454827600508</v>
      </c>
      <c r="D5660" s="8"/>
    </row>
    <row r="5661" spans="2:4" x14ac:dyDescent="0.25">
      <c r="B5661" s="4">
        <f t="shared" si="104"/>
        <v>626.54999999994857</v>
      </c>
      <c r="C5661" s="199">
        <v>1322.7941337404607</v>
      </c>
      <c r="D5661" s="8"/>
    </row>
    <row r="5662" spans="2:4" x14ac:dyDescent="0.25">
      <c r="B5662" s="4">
        <f t="shared" si="104"/>
        <v>626.55999999994856</v>
      </c>
      <c r="C5662" s="199">
        <v>1323.0427847208693</v>
      </c>
      <c r="D5662" s="8"/>
    </row>
    <row r="5663" spans="2:4" x14ac:dyDescent="0.25">
      <c r="B5663" s="4">
        <f t="shared" si="104"/>
        <v>626.56999999994855</v>
      </c>
      <c r="C5663" s="199">
        <v>1323.2914357012785</v>
      </c>
      <c r="D5663" s="8"/>
    </row>
    <row r="5664" spans="2:4" x14ac:dyDescent="0.25">
      <c r="B5664" s="4">
        <f t="shared" si="104"/>
        <v>626.57999999994854</v>
      </c>
      <c r="C5664" s="199">
        <v>1323.5400866816872</v>
      </c>
      <c r="D5664" s="8"/>
    </row>
    <row r="5665" spans="2:4" x14ac:dyDescent="0.25">
      <c r="B5665" s="4">
        <f t="shared" si="104"/>
        <v>626.58999999994853</v>
      </c>
      <c r="C5665" s="199">
        <v>1323.7887376620961</v>
      </c>
      <c r="D5665" s="8"/>
    </row>
    <row r="5666" spans="2:4" x14ac:dyDescent="0.25">
      <c r="B5666" s="4">
        <f t="shared" si="104"/>
        <v>626.59999999994852</v>
      </c>
      <c r="C5666" s="199">
        <v>1324.0373886425059</v>
      </c>
      <c r="D5666" s="8"/>
    </row>
    <row r="5667" spans="2:4" x14ac:dyDescent="0.25">
      <c r="B5667" s="4">
        <f t="shared" si="104"/>
        <v>626.60999999994851</v>
      </c>
      <c r="C5667" s="199">
        <v>1324.2860396229148</v>
      </c>
      <c r="D5667" s="8"/>
    </row>
    <row r="5668" spans="2:4" x14ac:dyDescent="0.25">
      <c r="B5668" s="4">
        <f t="shared" si="104"/>
        <v>626.6199999999485</v>
      </c>
      <c r="C5668" s="199">
        <v>1324.5348624468083</v>
      </c>
      <c r="D5668" s="8"/>
    </row>
    <row r="5669" spans="2:4" x14ac:dyDescent="0.25">
      <c r="B5669" s="4">
        <f t="shared" si="104"/>
        <v>626.6299999999485</v>
      </c>
      <c r="C5669" s="199">
        <v>1324.7836852707021</v>
      </c>
      <c r="D5669" s="8"/>
    </row>
    <row r="5670" spans="2:4" x14ac:dyDescent="0.25">
      <c r="B5670" s="4">
        <f t="shared" si="104"/>
        <v>626.63999999994849</v>
      </c>
      <c r="C5670" s="199">
        <v>1325.0325080945954</v>
      </c>
      <c r="D5670" s="8"/>
    </row>
    <row r="5671" spans="2:4" x14ac:dyDescent="0.25">
      <c r="B5671" s="4">
        <f t="shared" si="104"/>
        <v>626.64999999994848</v>
      </c>
      <c r="C5671" s="199">
        <v>1325.2813309184885</v>
      </c>
      <c r="D5671" s="8"/>
    </row>
    <row r="5672" spans="2:4" x14ac:dyDescent="0.25">
      <c r="B5672" s="4">
        <f t="shared" si="104"/>
        <v>626.65999999994847</v>
      </c>
      <c r="C5672" s="199">
        <v>1325.5301537423818</v>
      </c>
      <c r="D5672" s="8"/>
    </row>
    <row r="5673" spans="2:4" x14ac:dyDescent="0.25">
      <c r="B5673" s="4">
        <f t="shared" si="104"/>
        <v>626.66999999994846</v>
      </c>
      <c r="C5673" s="199">
        <v>1325.7789765662751</v>
      </c>
      <c r="D5673" s="8"/>
    </row>
    <row r="5674" spans="2:4" x14ac:dyDescent="0.25">
      <c r="B5674" s="4">
        <f t="shared" si="104"/>
        <v>626.67999999994845</v>
      </c>
      <c r="C5674" s="199">
        <v>1326.0277993901677</v>
      </c>
      <c r="D5674" s="8"/>
    </row>
    <row r="5675" spans="2:4" x14ac:dyDescent="0.25">
      <c r="B5675" s="4">
        <f t="shared" si="104"/>
        <v>626.68999999994844</v>
      </c>
      <c r="C5675" s="199">
        <v>1326.2766222140617</v>
      </c>
      <c r="D5675" s="8"/>
    </row>
    <row r="5676" spans="2:4" x14ac:dyDescent="0.25">
      <c r="B5676" s="4">
        <f t="shared" si="104"/>
        <v>626.69999999994843</v>
      </c>
      <c r="C5676" s="199">
        <v>1326.5254450379541</v>
      </c>
      <c r="D5676" s="8"/>
    </row>
    <row r="5677" spans="2:4" x14ac:dyDescent="0.25">
      <c r="B5677" s="4">
        <f t="shared" si="104"/>
        <v>626.70999999994842</v>
      </c>
      <c r="C5677" s="199">
        <v>1326.7742678618481</v>
      </c>
      <c r="D5677" s="8"/>
    </row>
    <row r="5678" spans="2:4" x14ac:dyDescent="0.25">
      <c r="B5678" s="4">
        <f t="shared" si="104"/>
        <v>626.71999999994841</v>
      </c>
      <c r="C5678" s="199">
        <v>1327.0232667063976</v>
      </c>
      <c r="D5678" s="8"/>
    </row>
    <row r="5679" spans="2:4" x14ac:dyDescent="0.25">
      <c r="B5679" s="4">
        <f t="shared" si="104"/>
        <v>626.7299999999484</v>
      </c>
      <c r="C5679" s="199">
        <v>1327.2722655509529</v>
      </c>
      <c r="D5679" s="8"/>
    </row>
    <row r="5680" spans="2:4" x14ac:dyDescent="0.25">
      <c r="B5680" s="4">
        <f t="shared" si="104"/>
        <v>626.7399999999484</v>
      </c>
      <c r="C5680" s="199">
        <v>1327.5212643955078</v>
      </c>
      <c r="D5680" s="8"/>
    </row>
    <row r="5681" spans="2:4" x14ac:dyDescent="0.25">
      <c r="B5681" s="4">
        <f t="shared" si="104"/>
        <v>626.74999999994839</v>
      </c>
      <c r="C5681" s="199">
        <v>1327.7702632400621</v>
      </c>
      <c r="D5681" s="8"/>
    </row>
    <row r="5682" spans="2:4" x14ac:dyDescent="0.25">
      <c r="B5682" s="4">
        <f t="shared" si="104"/>
        <v>626.75999999994838</v>
      </c>
      <c r="C5682" s="199">
        <v>1328.0192620846176</v>
      </c>
      <c r="D5682" s="8"/>
    </row>
    <row r="5683" spans="2:4" x14ac:dyDescent="0.25">
      <c r="B5683" s="4">
        <f t="shared" si="104"/>
        <v>626.76999999994837</v>
      </c>
      <c r="C5683" s="199">
        <v>1328.2682609291733</v>
      </c>
      <c r="D5683" s="8"/>
    </row>
    <row r="5684" spans="2:4" x14ac:dyDescent="0.25">
      <c r="B5684" s="4">
        <f t="shared" si="104"/>
        <v>626.77999999994836</v>
      </c>
      <c r="C5684" s="199">
        <v>1328.5172597737283</v>
      </c>
      <c r="D5684" s="8"/>
    </row>
    <row r="5685" spans="2:4" x14ac:dyDescent="0.25">
      <c r="B5685" s="4">
        <f t="shared" si="104"/>
        <v>626.78999999994835</v>
      </c>
      <c r="C5685" s="199">
        <v>1328.7662586182835</v>
      </c>
      <c r="D5685" s="8"/>
    </row>
    <row r="5686" spans="2:4" x14ac:dyDescent="0.25">
      <c r="B5686" s="4">
        <f t="shared" si="104"/>
        <v>626.79999999994834</v>
      </c>
      <c r="C5686" s="199">
        <v>1329.0152574628382</v>
      </c>
      <c r="D5686" s="8"/>
    </row>
    <row r="5687" spans="2:4" x14ac:dyDescent="0.25">
      <c r="B5687" s="4">
        <f t="shared" si="104"/>
        <v>626.80999999994833</v>
      </c>
      <c r="C5687" s="199">
        <v>1329.2642563073925</v>
      </c>
      <c r="D5687" s="8"/>
    </row>
    <row r="5688" spans="2:4" x14ac:dyDescent="0.25">
      <c r="B5688" s="4">
        <f t="shared" si="104"/>
        <v>626.81999999994832</v>
      </c>
      <c r="C5688" s="199">
        <v>1329.5134303415732</v>
      </c>
      <c r="D5688" s="8"/>
    </row>
    <row r="5689" spans="2:4" x14ac:dyDescent="0.25">
      <c r="B5689" s="4">
        <f t="shared" si="104"/>
        <v>626.82999999994831</v>
      </c>
      <c r="C5689" s="199">
        <v>1329.7626043757537</v>
      </c>
      <c r="D5689" s="8"/>
    </row>
    <row r="5690" spans="2:4" x14ac:dyDescent="0.25">
      <c r="B5690" s="4">
        <f t="shared" si="104"/>
        <v>626.8399999999483</v>
      </c>
      <c r="C5690" s="199">
        <v>1330.0117784099348</v>
      </c>
      <c r="D5690" s="8"/>
    </row>
    <row r="5691" spans="2:4" x14ac:dyDescent="0.25">
      <c r="B5691" s="4">
        <f t="shared" si="104"/>
        <v>626.8499999999483</v>
      </c>
      <c r="C5691" s="199">
        <v>1330.2609524441143</v>
      </c>
      <c r="D5691" s="8"/>
    </row>
    <row r="5692" spans="2:4" x14ac:dyDescent="0.25">
      <c r="B5692" s="4">
        <f t="shared" si="104"/>
        <v>626.85999999994829</v>
      </c>
      <c r="C5692" s="199">
        <v>1330.5101264782941</v>
      </c>
      <c r="D5692" s="8"/>
    </row>
    <row r="5693" spans="2:4" x14ac:dyDescent="0.25">
      <c r="B5693" s="4">
        <f t="shared" si="104"/>
        <v>626.86999999994828</v>
      </c>
      <c r="C5693" s="199">
        <v>1330.7593005124752</v>
      </c>
      <c r="D5693" s="8"/>
    </row>
    <row r="5694" spans="2:4" x14ac:dyDescent="0.25">
      <c r="B5694" s="4">
        <f t="shared" si="104"/>
        <v>626.87999999994827</v>
      </c>
      <c r="C5694" s="199">
        <v>1331.0084745466552</v>
      </c>
      <c r="D5694" s="8"/>
    </row>
    <row r="5695" spans="2:4" x14ac:dyDescent="0.25">
      <c r="B5695" s="4">
        <f t="shared" si="104"/>
        <v>626.88999999994826</v>
      </c>
      <c r="C5695" s="199">
        <v>1331.2576485808358</v>
      </c>
      <c r="D5695" s="8"/>
    </row>
    <row r="5696" spans="2:4" x14ac:dyDescent="0.25">
      <c r="B5696" s="4">
        <f t="shared" si="104"/>
        <v>626.89999999994825</v>
      </c>
      <c r="C5696" s="199">
        <v>1331.5068226150152</v>
      </c>
      <c r="D5696" s="8"/>
    </row>
    <row r="5697" spans="2:4" x14ac:dyDescent="0.25">
      <c r="B5697" s="4">
        <f t="shared" si="104"/>
        <v>626.90999999994824</v>
      </c>
      <c r="C5697" s="199">
        <v>1331.7559966491954</v>
      </c>
      <c r="D5697" s="8"/>
    </row>
    <row r="5698" spans="2:4" x14ac:dyDescent="0.25">
      <c r="B5698" s="4">
        <f t="shared" si="104"/>
        <v>626.91999999994823</v>
      </c>
      <c r="C5698" s="199">
        <v>1332.0053453918615</v>
      </c>
      <c r="D5698" s="8"/>
    </row>
    <row r="5699" spans="2:4" x14ac:dyDescent="0.25">
      <c r="B5699" s="4">
        <f t="shared" si="104"/>
        <v>626.92999999994822</v>
      </c>
      <c r="C5699" s="199">
        <v>1332.2546941345333</v>
      </c>
      <c r="D5699" s="8"/>
    </row>
    <row r="5700" spans="2:4" x14ac:dyDescent="0.25">
      <c r="B5700" s="4">
        <f t="shared" si="104"/>
        <v>626.93999999994821</v>
      </c>
      <c r="C5700" s="199">
        <v>1332.5040428772045</v>
      </c>
      <c r="D5700" s="8"/>
    </row>
    <row r="5701" spans="2:4" x14ac:dyDescent="0.25">
      <c r="B5701" s="4">
        <f t="shared" si="104"/>
        <v>626.9499999999482</v>
      </c>
      <c r="C5701" s="199">
        <v>1332.7533916198756</v>
      </c>
      <c r="D5701" s="8"/>
    </row>
    <row r="5702" spans="2:4" x14ac:dyDescent="0.25">
      <c r="B5702" s="4">
        <f t="shared" si="104"/>
        <v>626.9599999999482</v>
      </c>
      <c r="C5702" s="199">
        <v>1333.0027403625472</v>
      </c>
      <c r="D5702" s="8"/>
    </row>
    <row r="5703" spans="2:4" x14ac:dyDescent="0.25">
      <c r="B5703" s="4">
        <f t="shared" si="104"/>
        <v>626.96999999994819</v>
      </c>
      <c r="C5703" s="199">
        <v>1333.2520891052181</v>
      </c>
      <c r="D5703" s="8"/>
    </row>
    <row r="5704" spans="2:4" x14ac:dyDescent="0.25">
      <c r="B5704" s="4">
        <f t="shared" ref="B5704:B5767" si="105">+B5703+0.01</f>
        <v>626.97999999994818</v>
      </c>
      <c r="C5704" s="199">
        <v>1333.5014378478893</v>
      </c>
      <c r="D5704" s="8"/>
    </row>
    <row r="5705" spans="2:4" x14ac:dyDescent="0.25">
      <c r="B5705" s="4">
        <f t="shared" si="105"/>
        <v>626.98999999994817</v>
      </c>
      <c r="C5705" s="199">
        <v>1333.7507865905607</v>
      </c>
      <c r="D5705" s="8"/>
    </row>
    <row r="5706" spans="2:4" x14ac:dyDescent="0.25">
      <c r="B5706" s="4">
        <f t="shared" si="105"/>
        <v>626.99999999994816</v>
      </c>
      <c r="C5706" s="199">
        <v>1334.000135333232</v>
      </c>
      <c r="D5706" s="8"/>
    </row>
    <row r="5707" spans="2:4" x14ac:dyDescent="0.25">
      <c r="B5707" s="4">
        <f t="shared" si="105"/>
        <v>627.00999999994815</v>
      </c>
      <c r="C5707" s="199">
        <v>1334.2494840759032</v>
      </c>
      <c r="D5707" s="8"/>
    </row>
    <row r="5708" spans="2:4" x14ac:dyDescent="0.25">
      <c r="B5708" s="4">
        <f t="shared" si="105"/>
        <v>627.01999999994814</v>
      </c>
      <c r="C5708" s="199">
        <v>1334.499007054091</v>
      </c>
      <c r="D5708" s="8"/>
    </row>
    <row r="5709" spans="2:4" x14ac:dyDescent="0.25">
      <c r="B5709" s="4">
        <f t="shared" si="105"/>
        <v>627.02999999994813</v>
      </c>
      <c r="C5709" s="199">
        <v>1334.7485300322771</v>
      </c>
      <c r="D5709" s="8"/>
    </row>
    <row r="5710" spans="2:4" x14ac:dyDescent="0.25">
      <c r="B5710" s="4">
        <f t="shared" si="105"/>
        <v>627.03999999994812</v>
      </c>
      <c r="C5710" s="199">
        <v>1334.9980530104642</v>
      </c>
      <c r="D5710" s="8"/>
    </row>
    <row r="5711" spans="2:4" x14ac:dyDescent="0.25">
      <c r="B5711" s="4">
        <f t="shared" si="105"/>
        <v>627.04999999994811</v>
      </c>
      <c r="C5711" s="199">
        <v>1335.2475759886509</v>
      </c>
      <c r="D5711" s="8"/>
    </row>
    <row r="5712" spans="2:4" x14ac:dyDescent="0.25">
      <c r="B5712" s="4">
        <f t="shared" si="105"/>
        <v>627.0599999999481</v>
      </c>
      <c r="C5712" s="199">
        <v>1335.497098966837</v>
      </c>
      <c r="D5712" s="8"/>
    </row>
    <row r="5713" spans="2:4" x14ac:dyDescent="0.25">
      <c r="B5713" s="4">
        <f t="shared" si="105"/>
        <v>627.0699999999481</v>
      </c>
      <c r="C5713" s="199">
        <v>1335.7466219450243</v>
      </c>
      <c r="D5713" s="8"/>
    </row>
    <row r="5714" spans="2:4" x14ac:dyDescent="0.25">
      <c r="B5714" s="4">
        <f t="shared" si="105"/>
        <v>627.07999999994809</v>
      </c>
      <c r="C5714" s="199">
        <v>1335.9961449232105</v>
      </c>
      <c r="D5714" s="8"/>
    </row>
    <row r="5715" spans="2:4" x14ac:dyDescent="0.25">
      <c r="B5715" s="4">
        <f t="shared" si="105"/>
        <v>627.08999999994808</v>
      </c>
      <c r="C5715" s="199">
        <v>1336.2456679013976</v>
      </c>
      <c r="D5715" s="8"/>
    </row>
    <row r="5716" spans="2:4" x14ac:dyDescent="0.25">
      <c r="B5716" s="4">
        <f t="shared" si="105"/>
        <v>627.09999999994807</v>
      </c>
      <c r="C5716" s="199">
        <v>1336.4951908795842</v>
      </c>
      <c r="D5716" s="8"/>
    </row>
    <row r="5717" spans="2:4" x14ac:dyDescent="0.25">
      <c r="B5717" s="4">
        <f t="shared" si="105"/>
        <v>627.10999999994806</v>
      </c>
      <c r="C5717" s="199">
        <v>1336.7447138577704</v>
      </c>
      <c r="D5717" s="8"/>
    </row>
    <row r="5718" spans="2:4" x14ac:dyDescent="0.25">
      <c r="B5718" s="4">
        <f t="shared" si="105"/>
        <v>627.11999999994805</v>
      </c>
      <c r="C5718" s="199">
        <v>1336.9944108348832</v>
      </c>
      <c r="D5718" s="8"/>
    </row>
    <row r="5719" spans="2:4" x14ac:dyDescent="0.25">
      <c r="B5719" s="4">
        <f t="shared" si="105"/>
        <v>627.12999999994804</v>
      </c>
      <c r="C5719" s="199">
        <v>1337.2441078120005</v>
      </c>
      <c r="D5719" s="8"/>
    </row>
    <row r="5720" spans="2:4" x14ac:dyDescent="0.25">
      <c r="B5720" s="4">
        <f t="shared" si="105"/>
        <v>627.13999999994803</v>
      </c>
      <c r="C5720" s="199">
        <v>1337.4938047891173</v>
      </c>
      <c r="D5720" s="8"/>
    </row>
    <row r="5721" spans="2:4" x14ac:dyDescent="0.25">
      <c r="B5721" s="4">
        <f t="shared" si="105"/>
        <v>627.14999999994802</v>
      </c>
      <c r="C5721" s="199">
        <v>1337.7435017662349</v>
      </c>
      <c r="D5721" s="8"/>
    </row>
    <row r="5722" spans="2:4" x14ac:dyDescent="0.25">
      <c r="B5722" s="4">
        <f t="shared" si="105"/>
        <v>627.15999999994801</v>
      </c>
      <c r="C5722" s="199">
        <v>1337.9931987433527</v>
      </c>
      <c r="D5722" s="8"/>
    </row>
    <row r="5723" spans="2:4" x14ac:dyDescent="0.25">
      <c r="B5723" s="4">
        <f t="shared" si="105"/>
        <v>627.169999999948</v>
      </c>
      <c r="C5723" s="199">
        <v>1338.2428957204702</v>
      </c>
      <c r="D5723" s="8"/>
    </row>
    <row r="5724" spans="2:4" x14ac:dyDescent="0.25">
      <c r="B5724" s="4">
        <f t="shared" si="105"/>
        <v>627.179999999948</v>
      </c>
      <c r="C5724" s="199">
        <v>1338.492592697587</v>
      </c>
      <c r="D5724" s="8"/>
    </row>
    <row r="5725" spans="2:4" x14ac:dyDescent="0.25">
      <c r="B5725" s="4">
        <f t="shared" si="105"/>
        <v>627.18999999994799</v>
      </c>
      <c r="C5725" s="199">
        <v>1338.7422896747044</v>
      </c>
      <c r="D5725" s="8"/>
    </row>
    <row r="5726" spans="2:4" x14ac:dyDescent="0.25">
      <c r="B5726" s="4">
        <f t="shared" si="105"/>
        <v>627.19999999994798</v>
      </c>
      <c r="C5726" s="199">
        <v>1338.9919866518226</v>
      </c>
      <c r="D5726" s="8"/>
    </row>
    <row r="5727" spans="2:4" x14ac:dyDescent="0.25">
      <c r="B5727" s="4">
        <f t="shared" si="105"/>
        <v>627.20999999994797</v>
      </c>
      <c r="C5727" s="199">
        <v>1339.2416836289394</v>
      </c>
      <c r="D5727" s="8"/>
    </row>
    <row r="5728" spans="2:4" x14ac:dyDescent="0.25">
      <c r="B5728" s="4">
        <f t="shared" si="105"/>
        <v>627.21999999994796</v>
      </c>
      <c r="C5728" s="199">
        <v>1339.4915541858461</v>
      </c>
      <c r="D5728" s="8"/>
    </row>
    <row r="5729" spans="2:4" x14ac:dyDescent="0.25">
      <c r="B5729" s="4">
        <f t="shared" si="105"/>
        <v>627.22999999994795</v>
      </c>
      <c r="C5729" s="199">
        <v>1339.7414247427519</v>
      </c>
      <c r="D5729" s="8"/>
    </row>
    <row r="5730" spans="2:4" x14ac:dyDescent="0.25">
      <c r="B5730" s="4">
        <f t="shared" si="105"/>
        <v>627.23999999994794</v>
      </c>
      <c r="C5730" s="199">
        <v>1339.9912952996576</v>
      </c>
      <c r="D5730" s="8"/>
    </row>
    <row r="5731" spans="2:4" x14ac:dyDescent="0.25">
      <c r="B5731" s="4">
        <f t="shared" si="105"/>
        <v>627.24999999994793</v>
      </c>
      <c r="C5731" s="199">
        <v>1340.2411658565632</v>
      </c>
      <c r="D5731" s="8"/>
    </row>
    <row r="5732" spans="2:4" x14ac:dyDescent="0.25">
      <c r="B5732" s="4">
        <f t="shared" si="105"/>
        <v>627.25999999994792</v>
      </c>
      <c r="C5732" s="199">
        <v>1340.4910364134691</v>
      </c>
      <c r="D5732" s="8"/>
    </row>
    <row r="5733" spans="2:4" x14ac:dyDescent="0.25">
      <c r="B5733" s="4">
        <f t="shared" si="105"/>
        <v>627.26999999994791</v>
      </c>
      <c r="C5733" s="199">
        <v>1340.7409069703756</v>
      </c>
      <c r="D5733" s="8"/>
    </row>
    <row r="5734" spans="2:4" x14ac:dyDescent="0.25">
      <c r="B5734" s="4">
        <f t="shared" si="105"/>
        <v>627.2799999999479</v>
      </c>
      <c r="C5734" s="199">
        <v>1340.9907775272814</v>
      </c>
      <c r="D5734" s="8"/>
    </row>
    <row r="5735" spans="2:4" x14ac:dyDescent="0.25">
      <c r="B5735" s="4">
        <f t="shared" si="105"/>
        <v>627.2899999999479</v>
      </c>
      <c r="C5735" s="199">
        <v>1341.2406480841871</v>
      </c>
      <c r="D5735" s="8"/>
    </row>
    <row r="5736" spans="2:4" x14ac:dyDescent="0.25">
      <c r="B5736" s="4">
        <f t="shared" si="105"/>
        <v>627.29999999994789</v>
      </c>
      <c r="C5736" s="199">
        <v>1341.4905186410931</v>
      </c>
      <c r="D5736" s="8"/>
    </row>
    <row r="5737" spans="2:4" x14ac:dyDescent="0.25">
      <c r="B5737" s="4">
        <f t="shared" si="105"/>
        <v>627.30999999994788</v>
      </c>
      <c r="C5737" s="199">
        <v>1341.7403891979986</v>
      </c>
      <c r="D5737" s="8"/>
    </row>
    <row r="5738" spans="2:4" x14ac:dyDescent="0.25">
      <c r="B5738" s="4">
        <f t="shared" si="105"/>
        <v>627.31999999994787</v>
      </c>
      <c r="C5738" s="199">
        <v>1341.9904341752897</v>
      </c>
      <c r="D5738" s="8"/>
    </row>
    <row r="5739" spans="2:4" x14ac:dyDescent="0.25">
      <c r="B5739" s="4">
        <f t="shared" si="105"/>
        <v>627.32999999994786</v>
      </c>
      <c r="C5739" s="199">
        <v>1342.2404791525844</v>
      </c>
      <c r="D5739" s="8"/>
    </row>
    <row r="5740" spans="2:4" x14ac:dyDescent="0.25">
      <c r="B5740" s="4">
        <f t="shared" si="105"/>
        <v>627.33999999994785</v>
      </c>
      <c r="C5740" s="199">
        <v>1342.4905241298784</v>
      </c>
      <c r="D5740" s="8"/>
    </row>
    <row r="5741" spans="2:4" x14ac:dyDescent="0.25">
      <c r="B5741" s="4">
        <f t="shared" si="105"/>
        <v>627.34999999994784</v>
      </c>
      <c r="C5741" s="199">
        <v>1342.7405691071726</v>
      </c>
      <c r="D5741" s="8"/>
    </row>
    <row r="5742" spans="2:4" x14ac:dyDescent="0.25">
      <c r="B5742" s="4">
        <f t="shared" si="105"/>
        <v>627.35999999994783</v>
      </c>
      <c r="C5742" s="199">
        <v>1342.990614084468</v>
      </c>
      <c r="D5742" s="8"/>
    </row>
    <row r="5743" spans="2:4" x14ac:dyDescent="0.25">
      <c r="B5743" s="4">
        <f t="shared" si="105"/>
        <v>627.36999999994782</v>
      </c>
      <c r="C5743" s="199">
        <v>1343.240659061762</v>
      </c>
      <c r="D5743" s="8"/>
    </row>
    <row r="5744" spans="2:4" x14ac:dyDescent="0.25">
      <c r="B5744" s="4">
        <f t="shared" si="105"/>
        <v>627.37999999994781</v>
      </c>
      <c r="C5744" s="199">
        <v>1343.4907040390565</v>
      </c>
      <c r="D5744" s="8"/>
    </row>
    <row r="5745" spans="2:4" x14ac:dyDescent="0.25">
      <c r="B5745" s="4">
        <f t="shared" si="105"/>
        <v>627.3899999999478</v>
      </c>
      <c r="C5745" s="199">
        <v>1343.7407490163507</v>
      </c>
      <c r="D5745" s="8"/>
    </row>
    <row r="5746" spans="2:4" x14ac:dyDescent="0.25">
      <c r="B5746" s="4">
        <f t="shared" si="105"/>
        <v>627.3999999999478</v>
      </c>
      <c r="C5746" s="199">
        <v>1343.9907939936454</v>
      </c>
      <c r="D5746" s="8"/>
    </row>
    <row r="5747" spans="2:4" x14ac:dyDescent="0.25">
      <c r="B5747" s="4">
        <f t="shared" si="105"/>
        <v>627.40999999994779</v>
      </c>
      <c r="C5747" s="199">
        <v>1344.2408389709406</v>
      </c>
      <c r="D5747" s="8"/>
    </row>
    <row r="5748" spans="2:4" x14ac:dyDescent="0.25">
      <c r="B5748" s="4">
        <f t="shared" si="105"/>
        <v>627.41999999994778</v>
      </c>
      <c r="C5748" s="199">
        <v>1344.4910580782937</v>
      </c>
      <c r="D5748" s="8"/>
    </row>
    <row r="5749" spans="2:4" x14ac:dyDescent="0.25">
      <c r="B5749" s="4">
        <f t="shared" si="105"/>
        <v>627.42999999994777</v>
      </c>
      <c r="C5749" s="199">
        <v>1344.7412771856486</v>
      </c>
      <c r="D5749" s="8"/>
    </row>
    <row r="5750" spans="2:4" x14ac:dyDescent="0.25">
      <c r="B5750" s="4">
        <f t="shared" si="105"/>
        <v>627.43999999994776</v>
      </c>
      <c r="C5750" s="199">
        <v>1344.9914962930025</v>
      </c>
      <c r="D5750" s="8"/>
    </row>
    <row r="5751" spans="2:4" x14ac:dyDescent="0.25">
      <c r="B5751" s="4">
        <f t="shared" si="105"/>
        <v>627.44999999994775</v>
      </c>
      <c r="C5751" s="199">
        <v>1345.2417154003558</v>
      </c>
      <c r="D5751" s="8"/>
    </row>
    <row r="5752" spans="2:4" x14ac:dyDescent="0.25">
      <c r="B5752" s="4">
        <f t="shared" si="105"/>
        <v>627.45999999994774</v>
      </c>
      <c r="C5752" s="199">
        <v>1345.4919345077105</v>
      </c>
      <c r="D5752" s="8"/>
    </row>
    <row r="5753" spans="2:4" x14ac:dyDescent="0.25">
      <c r="B5753" s="4">
        <f t="shared" si="105"/>
        <v>627.46999999994773</v>
      </c>
      <c r="C5753" s="199">
        <v>1345.7421536150641</v>
      </c>
      <c r="D5753" s="8"/>
    </row>
    <row r="5754" spans="2:4" x14ac:dyDescent="0.25">
      <c r="B5754" s="4">
        <f t="shared" si="105"/>
        <v>627.47999999994772</v>
      </c>
      <c r="C5754" s="199">
        <v>1345.9923727224186</v>
      </c>
      <c r="D5754" s="8"/>
    </row>
    <row r="5755" spans="2:4" x14ac:dyDescent="0.25">
      <c r="B5755" s="4">
        <f t="shared" si="105"/>
        <v>627.48999999994771</v>
      </c>
      <c r="C5755" s="199">
        <v>1346.2425918297722</v>
      </c>
      <c r="D5755" s="8"/>
    </row>
    <row r="5756" spans="2:4" x14ac:dyDescent="0.25">
      <c r="B5756" s="4">
        <f t="shared" si="105"/>
        <v>627.4999999999477</v>
      </c>
      <c r="C5756" s="199">
        <v>1346.492810937126</v>
      </c>
      <c r="D5756" s="8"/>
    </row>
    <row r="5757" spans="2:4" x14ac:dyDescent="0.25">
      <c r="B5757" s="4">
        <f t="shared" si="105"/>
        <v>627.50999999994769</v>
      </c>
      <c r="C5757" s="199">
        <v>1346.7430300444803</v>
      </c>
      <c r="D5757" s="8"/>
    </row>
    <row r="5758" spans="2:4" x14ac:dyDescent="0.25">
      <c r="B5758" s="4">
        <f t="shared" si="105"/>
        <v>627.51999999994769</v>
      </c>
      <c r="C5758" s="199">
        <v>1346.9934265590362</v>
      </c>
      <c r="D5758" s="8"/>
    </row>
    <row r="5759" spans="2:4" x14ac:dyDescent="0.25">
      <c r="B5759" s="4">
        <f t="shared" si="105"/>
        <v>627.52999999994768</v>
      </c>
      <c r="C5759" s="199">
        <v>1347.2438230735977</v>
      </c>
      <c r="D5759" s="8"/>
    </row>
    <row r="5760" spans="2:4" x14ac:dyDescent="0.25">
      <c r="B5760" s="4">
        <f t="shared" si="105"/>
        <v>627.53999999994767</v>
      </c>
      <c r="C5760" s="199">
        <v>1347.4942195881599</v>
      </c>
      <c r="D5760" s="8"/>
    </row>
    <row r="5761" spans="2:4" x14ac:dyDescent="0.25">
      <c r="B5761" s="4">
        <f t="shared" si="105"/>
        <v>627.54999999994766</v>
      </c>
      <c r="C5761" s="199">
        <v>1347.744616102721</v>
      </c>
      <c r="D5761" s="8"/>
    </row>
    <row r="5762" spans="2:4" x14ac:dyDescent="0.25">
      <c r="B5762" s="4">
        <f t="shared" si="105"/>
        <v>627.55999999994765</v>
      </c>
      <c r="C5762" s="199">
        <v>1347.9950126172835</v>
      </c>
      <c r="D5762" s="8"/>
    </row>
    <row r="5763" spans="2:4" x14ac:dyDescent="0.25">
      <c r="B5763" s="4">
        <f t="shared" si="105"/>
        <v>627.56999999994764</v>
      </c>
      <c r="C5763" s="199">
        <v>1348.2454091318439</v>
      </c>
      <c r="D5763" s="8"/>
    </row>
    <row r="5764" spans="2:4" x14ac:dyDescent="0.25">
      <c r="B5764" s="4">
        <f t="shared" si="105"/>
        <v>627.57999999994763</v>
      </c>
      <c r="C5764" s="199">
        <v>1348.4958056464054</v>
      </c>
      <c r="D5764" s="8"/>
    </row>
    <row r="5765" spans="2:4" x14ac:dyDescent="0.25">
      <c r="B5765" s="4">
        <f t="shared" si="105"/>
        <v>627.58999999994762</v>
      </c>
      <c r="C5765" s="199">
        <v>1348.7462021609676</v>
      </c>
      <c r="D5765" s="8"/>
    </row>
    <row r="5766" spans="2:4" x14ac:dyDescent="0.25">
      <c r="B5766" s="4">
        <f t="shared" si="105"/>
        <v>627.59999999994761</v>
      </c>
      <c r="C5766" s="199">
        <v>1348.9965986755292</v>
      </c>
      <c r="D5766" s="8"/>
    </row>
    <row r="5767" spans="2:4" x14ac:dyDescent="0.25">
      <c r="B5767" s="4">
        <f t="shared" si="105"/>
        <v>627.6099999999476</v>
      </c>
      <c r="C5767" s="199">
        <v>1349.246995190091</v>
      </c>
      <c r="D5767" s="8"/>
    </row>
    <row r="5768" spans="2:4" x14ac:dyDescent="0.25">
      <c r="B5768" s="4">
        <f t="shared" ref="B5768:B5831" si="106">+B5767+0.01</f>
        <v>627.61999999994759</v>
      </c>
      <c r="C5768" s="199">
        <v>1349.4975675327962</v>
      </c>
      <c r="D5768" s="8"/>
    </row>
    <row r="5769" spans="2:4" x14ac:dyDescent="0.25">
      <c r="B5769" s="4">
        <f t="shared" si="106"/>
        <v>627.62999999994759</v>
      </c>
      <c r="C5769" s="199">
        <v>1349.7481398755003</v>
      </c>
      <c r="D5769" s="8"/>
    </row>
    <row r="5770" spans="2:4" x14ac:dyDescent="0.25">
      <c r="B5770" s="4">
        <f t="shared" si="106"/>
        <v>627.63999999994758</v>
      </c>
      <c r="C5770" s="199">
        <v>1349.998712218204</v>
      </c>
      <c r="D5770" s="8"/>
    </row>
    <row r="5771" spans="2:4" x14ac:dyDescent="0.25">
      <c r="B5771" s="4">
        <f t="shared" si="106"/>
        <v>627.64999999994757</v>
      </c>
      <c r="C5771" s="199">
        <v>1350.2492845609081</v>
      </c>
      <c r="D5771" s="8"/>
    </row>
    <row r="5772" spans="2:4" x14ac:dyDescent="0.25">
      <c r="B5772" s="4">
        <f t="shared" si="106"/>
        <v>627.65999999994756</v>
      </c>
      <c r="C5772" s="199">
        <v>1350.4998569036115</v>
      </c>
      <c r="D5772" s="8"/>
    </row>
    <row r="5773" spans="2:4" x14ac:dyDescent="0.25">
      <c r="B5773" s="4">
        <f t="shared" si="106"/>
        <v>627.66999999994755</v>
      </c>
      <c r="C5773" s="199">
        <v>1350.7504292463166</v>
      </c>
      <c r="D5773" s="8"/>
    </row>
    <row r="5774" spans="2:4" x14ac:dyDescent="0.25">
      <c r="B5774" s="4">
        <f t="shared" si="106"/>
        <v>627.67999999994754</v>
      </c>
      <c r="C5774" s="199">
        <v>1351.0010015890202</v>
      </c>
      <c r="D5774" s="8"/>
    </row>
    <row r="5775" spans="2:4" x14ac:dyDescent="0.25">
      <c r="B5775" s="4">
        <f t="shared" si="106"/>
        <v>627.68999999994753</v>
      </c>
      <c r="C5775" s="199">
        <v>1351.2515739317244</v>
      </c>
      <c r="D5775" s="8"/>
    </row>
    <row r="5776" spans="2:4" x14ac:dyDescent="0.25">
      <c r="B5776" s="4">
        <f t="shared" si="106"/>
        <v>627.69999999994752</v>
      </c>
      <c r="C5776" s="199">
        <v>1351.5021462744273</v>
      </c>
      <c r="D5776" s="8"/>
    </row>
    <row r="5777" spans="2:4" x14ac:dyDescent="0.25">
      <c r="B5777" s="4">
        <f t="shared" si="106"/>
        <v>627.70999999994751</v>
      </c>
      <c r="C5777" s="199">
        <v>1351.7527186171319</v>
      </c>
      <c r="D5777" s="8"/>
    </row>
    <row r="5778" spans="2:4" x14ac:dyDescent="0.25">
      <c r="B5778" s="4">
        <f t="shared" si="106"/>
        <v>627.7199999999475</v>
      </c>
      <c r="C5778" s="199">
        <v>1352.0034686843755</v>
      </c>
      <c r="D5778" s="8"/>
    </row>
    <row r="5779" spans="2:4" x14ac:dyDescent="0.25">
      <c r="B5779" s="4">
        <f t="shared" si="106"/>
        <v>627.72999999994749</v>
      </c>
      <c r="C5779" s="199">
        <v>1352.2542187516253</v>
      </c>
      <c r="D5779" s="8"/>
    </row>
    <row r="5780" spans="2:4" x14ac:dyDescent="0.25">
      <c r="B5780" s="4">
        <f t="shared" si="106"/>
        <v>627.73999999994749</v>
      </c>
      <c r="C5780" s="199">
        <v>1352.5049688188747</v>
      </c>
      <c r="D5780" s="8"/>
    </row>
    <row r="5781" spans="2:4" x14ac:dyDescent="0.25">
      <c r="B5781" s="4">
        <f t="shared" si="106"/>
        <v>627.74999999994748</v>
      </c>
      <c r="C5781" s="199">
        <v>1352.7557188861247</v>
      </c>
      <c r="D5781" s="8"/>
    </row>
    <row r="5782" spans="2:4" x14ac:dyDescent="0.25">
      <c r="B5782" s="4">
        <f t="shared" si="106"/>
        <v>627.75999999994747</v>
      </c>
      <c r="C5782" s="199">
        <v>1353.0064689533747</v>
      </c>
      <c r="D5782" s="8"/>
    </row>
    <row r="5783" spans="2:4" x14ac:dyDescent="0.25">
      <c r="B5783" s="4">
        <f t="shared" si="106"/>
        <v>627.76999999994746</v>
      </c>
      <c r="C5783" s="199">
        <v>1353.257219020624</v>
      </c>
      <c r="D5783" s="8"/>
    </row>
    <row r="5784" spans="2:4" x14ac:dyDescent="0.25">
      <c r="B5784" s="4">
        <f t="shared" si="106"/>
        <v>627.77999999994745</v>
      </c>
      <c r="C5784" s="199">
        <v>1353.5079690878736</v>
      </c>
      <c r="D5784" s="8"/>
    </row>
    <row r="5785" spans="2:4" x14ac:dyDescent="0.25">
      <c r="B5785" s="4">
        <f t="shared" si="106"/>
        <v>627.78999999994744</v>
      </c>
      <c r="C5785" s="199">
        <v>1353.7587191551233</v>
      </c>
      <c r="D5785" s="8"/>
    </row>
    <row r="5786" spans="2:4" x14ac:dyDescent="0.25">
      <c r="B5786" s="4">
        <f t="shared" si="106"/>
        <v>627.79999999994743</v>
      </c>
      <c r="C5786" s="199">
        <v>1354.0094692223734</v>
      </c>
      <c r="D5786" s="8"/>
    </row>
    <row r="5787" spans="2:4" x14ac:dyDescent="0.25">
      <c r="B5787" s="4">
        <f t="shared" si="106"/>
        <v>627.80999999994742</v>
      </c>
      <c r="C5787" s="199">
        <v>1354.2602192896234</v>
      </c>
      <c r="D5787" s="8"/>
    </row>
    <row r="5788" spans="2:4" x14ac:dyDescent="0.25">
      <c r="B5788" s="4">
        <f t="shared" si="106"/>
        <v>627.81999999994741</v>
      </c>
      <c r="C5788" s="199">
        <v>1354.5111504867552</v>
      </c>
      <c r="D5788" s="8"/>
    </row>
    <row r="5789" spans="2:4" x14ac:dyDescent="0.25">
      <c r="B5789" s="4">
        <f t="shared" si="106"/>
        <v>627.8299999999474</v>
      </c>
      <c r="C5789" s="199">
        <v>1354.7620816838876</v>
      </c>
      <c r="D5789" s="8"/>
    </row>
    <row r="5790" spans="2:4" x14ac:dyDescent="0.25">
      <c r="B5790" s="4">
        <f t="shared" si="106"/>
        <v>627.83999999994739</v>
      </c>
      <c r="C5790" s="199">
        <v>1355.0130128810192</v>
      </c>
      <c r="D5790" s="8"/>
    </row>
    <row r="5791" spans="2:4" x14ac:dyDescent="0.25">
      <c r="B5791" s="4">
        <f t="shared" si="106"/>
        <v>627.84999999994739</v>
      </c>
      <c r="C5791" s="199">
        <v>1355.2639440781516</v>
      </c>
      <c r="D5791" s="8"/>
    </row>
    <row r="5792" spans="2:4" x14ac:dyDescent="0.25">
      <c r="B5792" s="4">
        <f t="shared" si="106"/>
        <v>627.85999999994738</v>
      </c>
      <c r="C5792" s="199">
        <v>1355.5148752752827</v>
      </c>
      <c r="D5792" s="8"/>
    </row>
    <row r="5793" spans="2:4" x14ac:dyDescent="0.25">
      <c r="B5793" s="4">
        <f t="shared" si="106"/>
        <v>627.86999999994737</v>
      </c>
      <c r="C5793" s="199">
        <v>1355.7658064724146</v>
      </c>
      <c r="D5793" s="8"/>
    </row>
    <row r="5794" spans="2:4" x14ac:dyDescent="0.25">
      <c r="B5794" s="4">
        <f t="shared" si="106"/>
        <v>627.87999999994736</v>
      </c>
      <c r="C5794" s="199">
        <v>1356.0167376695465</v>
      </c>
      <c r="D5794" s="8"/>
    </row>
    <row r="5795" spans="2:4" x14ac:dyDescent="0.25">
      <c r="B5795" s="4">
        <f t="shared" si="106"/>
        <v>627.88999999994735</v>
      </c>
      <c r="C5795" s="199">
        <v>1356.2676688666786</v>
      </c>
      <c r="D5795" s="8"/>
    </row>
    <row r="5796" spans="2:4" x14ac:dyDescent="0.25">
      <c r="B5796" s="4">
        <f t="shared" si="106"/>
        <v>627.89999999994734</v>
      </c>
      <c r="C5796" s="199">
        <v>1356.5186000638107</v>
      </c>
      <c r="D5796" s="8"/>
    </row>
    <row r="5797" spans="2:4" x14ac:dyDescent="0.25">
      <c r="B5797" s="4">
        <f t="shared" si="106"/>
        <v>627.90999999994733</v>
      </c>
      <c r="C5797" s="199">
        <v>1356.7695312609419</v>
      </c>
      <c r="D5797" s="8"/>
    </row>
    <row r="5798" spans="2:4" x14ac:dyDescent="0.25">
      <c r="B5798" s="4">
        <f t="shared" si="106"/>
        <v>627.91999999994732</v>
      </c>
      <c r="C5798" s="199">
        <v>1357.0206432454459</v>
      </c>
      <c r="D5798" s="8"/>
    </row>
    <row r="5799" spans="2:4" x14ac:dyDescent="0.25">
      <c r="B5799" s="4">
        <f t="shared" si="106"/>
        <v>627.92999999994731</v>
      </c>
      <c r="C5799" s="199">
        <v>1357.271755229955</v>
      </c>
      <c r="D5799" s="8"/>
    </row>
    <row r="5800" spans="2:4" x14ac:dyDescent="0.25">
      <c r="B5800" s="4">
        <f t="shared" si="106"/>
        <v>627.9399999999473</v>
      </c>
      <c r="C5800" s="199">
        <v>1357.522867214464</v>
      </c>
      <c r="D5800" s="8"/>
    </row>
    <row r="5801" spans="2:4" x14ac:dyDescent="0.25">
      <c r="B5801" s="4">
        <f t="shared" si="106"/>
        <v>627.94999999994729</v>
      </c>
      <c r="C5801" s="199">
        <v>1357.7739791989738</v>
      </c>
      <c r="D5801" s="8"/>
    </row>
    <row r="5802" spans="2:4" x14ac:dyDescent="0.25">
      <c r="B5802" s="4">
        <f t="shared" si="106"/>
        <v>627.95999999994729</v>
      </c>
      <c r="C5802" s="199">
        <v>1358.0250911834823</v>
      </c>
      <c r="D5802" s="8"/>
    </row>
    <row r="5803" spans="2:4" x14ac:dyDescent="0.25">
      <c r="B5803" s="4">
        <f t="shared" si="106"/>
        <v>627.96999999994728</v>
      </c>
      <c r="C5803" s="199">
        <v>1358.2762031679922</v>
      </c>
      <c r="D5803" s="8"/>
    </row>
    <row r="5804" spans="2:4" x14ac:dyDescent="0.25">
      <c r="B5804" s="4">
        <f t="shared" si="106"/>
        <v>627.97999999994727</v>
      </c>
      <c r="C5804" s="199">
        <v>1358.5273151525016</v>
      </c>
      <c r="D5804" s="8"/>
    </row>
    <row r="5805" spans="2:4" x14ac:dyDescent="0.25">
      <c r="B5805" s="4">
        <f t="shared" si="106"/>
        <v>627.98999999994726</v>
      </c>
      <c r="C5805" s="199">
        <v>1358.7784271370101</v>
      </c>
      <c r="D5805" s="8"/>
    </row>
    <row r="5806" spans="2:4" x14ac:dyDescent="0.25">
      <c r="B5806" s="4">
        <f t="shared" si="106"/>
        <v>627.99999999994725</v>
      </c>
      <c r="C5806" s="199">
        <v>1359.0295391215202</v>
      </c>
      <c r="D5806" s="8"/>
    </row>
    <row r="5807" spans="2:4" x14ac:dyDescent="0.25">
      <c r="B5807" s="4">
        <f t="shared" si="106"/>
        <v>628.00999999994724</v>
      </c>
      <c r="C5807" s="199">
        <v>1359.2806511060294</v>
      </c>
      <c r="D5807" s="8"/>
    </row>
    <row r="5808" spans="2:4" x14ac:dyDescent="0.25">
      <c r="B5808" s="4">
        <f t="shared" si="106"/>
        <v>628.01999999994723</v>
      </c>
      <c r="C5808" s="199">
        <v>1359.5319442231266</v>
      </c>
      <c r="D5808" s="8"/>
    </row>
    <row r="5809" spans="2:4" x14ac:dyDescent="0.25">
      <c r="B5809" s="4">
        <f t="shared" si="106"/>
        <v>628.02999999994722</v>
      </c>
      <c r="C5809" s="199">
        <v>1359.783237340223</v>
      </c>
      <c r="D5809" s="8"/>
    </row>
    <row r="5810" spans="2:4" x14ac:dyDescent="0.25">
      <c r="B5810" s="4">
        <f t="shared" si="106"/>
        <v>628.03999999994721</v>
      </c>
      <c r="C5810" s="199">
        <v>1360.0345304573193</v>
      </c>
      <c r="D5810" s="8"/>
    </row>
    <row r="5811" spans="2:4" x14ac:dyDescent="0.25">
      <c r="B5811" s="4">
        <f t="shared" si="106"/>
        <v>628.0499999999472</v>
      </c>
      <c r="C5811" s="199">
        <v>1360.2858235744154</v>
      </c>
      <c r="D5811" s="8"/>
    </row>
    <row r="5812" spans="2:4" x14ac:dyDescent="0.25">
      <c r="B5812" s="4">
        <f t="shared" si="106"/>
        <v>628.05999999994719</v>
      </c>
      <c r="C5812" s="199">
        <v>1360.5371166915118</v>
      </c>
      <c r="D5812" s="8"/>
    </row>
    <row r="5813" spans="2:4" x14ac:dyDescent="0.25">
      <c r="B5813" s="4">
        <f t="shared" si="106"/>
        <v>628.06999999994719</v>
      </c>
      <c r="C5813" s="199">
        <v>1360.7884098086081</v>
      </c>
      <c r="D5813" s="8"/>
    </row>
    <row r="5814" spans="2:4" x14ac:dyDescent="0.25">
      <c r="B5814" s="4">
        <f t="shared" si="106"/>
        <v>628.07999999994718</v>
      </c>
      <c r="C5814" s="199">
        <v>1361.0397029257044</v>
      </c>
      <c r="D5814" s="8"/>
    </row>
    <row r="5815" spans="2:4" x14ac:dyDescent="0.25">
      <c r="B5815" s="4">
        <f t="shared" si="106"/>
        <v>628.08999999994717</v>
      </c>
      <c r="C5815" s="199">
        <v>1361.2909960428012</v>
      </c>
      <c r="D5815" s="8"/>
    </row>
    <row r="5816" spans="2:4" x14ac:dyDescent="0.25">
      <c r="B5816" s="4">
        <f t="shared" si="106"/>
        <v>628.09999999994716</v>
      </c>
      <c r="C5816" s="199">
        <v>1361.5422891598971</v>
      </c>
      <c r="D5816" s="8"/>
    </row>
    <row r="5817" spans="2:4" x14ac:dyDescent="0.25">
      <c r="B5817" s="4">
        <f t="shared" si="106"/>
        <v>628.10999999994715</v>
      </c>
      <c r="C5817" s="199">
        <v>1361.7935822769937</v>
      </c>
      <c r="D5817" s="8"/>
    </row>
    <row r="5818" spans="2:4" x14ac:dyDescent="0.25">
      <c r="B5818" s="4">
        <f t="shared" si="106"/>
        <v>628.11999999994714</v>
      </c>
      <c r="C5818" s="199">
        <v>1362.04505660634</v>
      </c>
      <c r="D5818" s="8"/>
    </row>
    <row r="5819" spans="2:4" x14ac:dyDescent="0.25">
      <c r="B5819" s="4">
        <f t="shared" si="106"/>
        <v>628.12999999994713</v>
      </c>
      <c r="C5819" s="199">
        <v>1362.2965309356916</v>
      </c>
      <c r="D5819" s="8"/>
    </row>
    <row r="5820" spans="2:4" x14ac:dyDescent="0.25">
      <c r="B5820" s="4">
        <f t="shared" si="106"/>
        <v>628.13999999994712</v>
      </c>
      <c r="C5820" s="199">
        <v>1362.5480052650435</v>
      </c>
      <c r="D5820" s="8"/>
    </row>
    <row r="5821" spans="2:4" x14ac:dyDescent="0.25">
      <c r="B5821" s="4">
        <f t="shared" si="106"/>
        <v>628.14999999994711</v>
      </c>
      <c r="C5821" s="199">
        <v>1362.7994795943964</v>
      </c>
      <c r="D5821" s="8"/>
    </row>
    <row r="5822" spans="2:4" x14ac:dyDescent="0.25">
      <c r="B5822" s="4">
        <f t="shared" si="106"/>
        <v>628.1599999999471</v>
      </c>
      <c r="C5822" s="199">
        <v>1363.050953923748</v>
      </c>
      <c r="D5822" s="8"/>
    </row>
    <row r="5823" spans="2:4" x14ac:dyDescent="0.25">
      <c r="B5823" s="4">
        <f t="shared" si="106"/>
        <v>628.16999999994709</v>
      </c>
      <c r="C5823" s="199">
        <v>1363.3024282531001</v>
      </c>
      <c r="D5823" s="8"/>
    </row>
    <row r="5824" spans="2:4" x14ac:dyDescent="0.25">
      <c r="B5824" s="4">
        <f t="shared" si="106"/>
        <v>628.17999999994709</v>
      </c>
      <c r="C5824" s="199">
        <v>1363.5539025824521</v>
      </c>
      <c r="D5824" s="8"/>
    </row>
    <row r="5825" spans="2:4" x14ac:dyDescent="0.25">
      <c r="B5825" s="4">
        <f t="shared" si="106"/>
        <v>628.18999999994708</v>
      </c>
      <c r="C5825" s="199">
        <v>1363.8053769118035</v>
      </c>
      <c r="D5825" s="8"/>
    </row>
    <row r="5826" spans="2:4" x14ac:dyDescent="0.25">
      <c r="B5826" s="4">
        <f t="shared" si="106"/>
        <v>628.19999999994707</v>
      </c>
      <c r="C5826" s="199">
        <v>1364.0568512411555</v>
      </c>
      <c r="D5826" s="8"/>
    </row>
    <row r="5827" spans="2:4" x14ac:dyDescent="0.25">
      <c r="B5827" s="4">
        <f t="shared" si="106"/>
        <v>628.20999999994706</v>
      </c>
      <c r="C5827" s="199">
        <v>1364.3083255705083</v>
      </c>
      <c r="D5827" s="8"/>
    </row>
    <row r="5828" spans="2:4" x14ac:dyDescent="0.25">
      <c r="B5828" s="4">
        <f t="shared" si="106"/>
        <v>628.21999999994705</v>
      </c>
      <c r="C5828" s="199">
        <v>1364.5599832200728</v>
      </c>
      <c r="D5828" s="8"/>
    </row>
    <row r="5829" spans="2:4" x14ac:dyDescent="0.25">
      <c r="B5829" s="4">
        <f t="shared" si="106"/>
        <v>628.22999999994704</v>
      </c>
      <c r="C5829" s="199">
        <v>1364.8116408696376</v>
      </c>
      <c r="D5829" s="8"/>
    </row>
    <row r="5830" spans="2:4" x14ac:dyDescent="0.25">
      <c r="B5830" s="4">
        <f t="shared" si="106"/>
        <v>628.23999999994703</v>
      </c>
      <c r="C5830" s="199">
        <v>1365.0632985192024</v>
      </c>
      <c r="D5830" s="8"/>
    </row>
    <row r="5831" spans="2:4" x14ac:dyDescent="0.25">
      <c r="B5831" s="4">
        <f t="shared" si="106"/>
        <v>628.24999999994702</v>
      </c>
      <c r="C5831" s="199">
        <v>1365.3149561687665</v>
      </c>
      <c r="D5831" s="8"/>
    </row>
    <row r="5832" spans="2:4" x14ac:dyDescent="0.25">
      <c r="B5832" s="4">
        <f t="shared" ref="B5832:B5895" si="107">+B5831+0.01</f>
        <v>628.25999999994701</v>
      </c>
      <c r="C5832" s="199">
        <v>1365.5666138183315</v>
      </c>
      <c r="D5832" s="8"/>
    </row>
    <row r="5833" spans="2:4" x14ac:dyDescent="0.25">
      <c r="B5833" s="4">
        <f t="shared" si="107"/>
        <v>628.269999999947</v>
      </c>
      <c r="C5833" s="199">
        <v>1365.8182714678967</v>
      </c>
      <c r="D5833" s="8"/>
    </row>
    <row r="5834" spans="2:4" x14ac:dyDescent="0.25">
      <c r="B5834" s="4">
        <f t="shared" si="107"/>
        <v>628.27999999994699</v>
      </c>
      <c r="C5834" s="199">
        <v>1366.0699291174615</v>
      </c>
      <c r="D5834" s="8"/>
    </row>
    <row r="5835" spans="2:4" x14ac:dyDescent="0.25">
      <c r="B5835" s="4">
        <f t="shared" si="107"/>
        <v>628.28999999994699</v>
      </c>
      <c r="C5835" s="199">
        <v>1366.3215867670262</v>
      </c>
      <c r="D5835" s="8"/>
    </row>
    <row r="5836" spans="2:4" x14ac:dyDescent="0.25">
      <c r="B5836" s="4">
        <f t="shared" si="107"/>
        <v>628.29999999994698</v>
      </c>
      <c r="C5836" s="199">
        <v>1366.5732444165906</v>
      </c>
      <c r="D5836" s="8"/>
    </row>
    <row r="5837" spans="2:4" x14ac:dyDescent="0.25">
      <c r="B5837" s="4">
        <f t="shared" si="107"/>
        <v>628.30999999994697</v>
      </c>
      <c r="C5837" s="199">
        <v>1366.8249020661551</v>
      </c>
      <c r="D5837" s="8"/>
    </row>
    <row r="5838" spans="2:4" x14ac:dyDescent="0.25">
      <c r="B5838" s="4">
        <f t="shared" si="107"/>
        <v>628.31999999994696</v>
      </c>
      <c r="C5838" s="199">
        <v>1367.0767431079148</v>
      </c>
      <c r="D5838" s="8"/>
    </row>
    <row r="5839" spans="2:4" x14ac:dyDescent="0.25">
      <c r="B5839" s="4">
        <f t="shared" si="107"/>
        <v>628.32999999994695</v>
      </c>
      <c r="C5839" s="199">
        <v>1367.3285841496788</v>
      </c>
      <c r="D5839" s="8"/>
    </row>
    <row r="5840" spans="2:4" x14ac:dyDescent="0.25">
      <c r="B5840" s="4">
        <f t="shared" si="107"/>
        <v>628.33999999994694</v>
      </c>
      <c r="C5840" s="199">
        <v>1367.5804251914433</v>
      </c>
      <c r="D5840" s="8"/>
    </row>
    <row r="5841" spans="2:4" x14ac:dyDescent="0.25">
      <c r="B5841" s="4">
        <f t="shared" si="107"/>
        <v>628.34999999994693</v>
      </c>
      <c r="C5841" s="199">
        <v>1367.8322662332073</v>
      </c>
      <c r="D5841" s="8"/>
    </row>
    <row r="5842" spans="2:4" x14ac:dyDescent="0.25">
      <c r="B5842" s="4">
        <f t="shared" si="107"/>
        <v>628.35999999994692</v>
      </c>
      <c r="C5842" s="199">
        <v>1368.0841072749708</v>
      </c>
      <c r="D5842" s="8"/>
    </row>
    <row r="5843" spans="2:4" x14ac:dyDescent="0.25">
      <c r="B5843" s="4">
        <f t="shared" si="107"/>
        <v>628.36999999994691</v>
      </c>
      <c r="C5843" s="199">
        <v>1368.3359483167344</v>
      </c>
      <c r="D5843" s="8"/>
    </row>
    <row r="5844" spans="2:4" x14ac:dyDescent="0.25">
      <c r="B5844" s="4">
        <f t="shared" si="107"/>
        <v>628.3799999999469</v>
      </c>
      <c r="C5844" s="199">
        <v>1368.5877893584984</v>
      </c>
      <c r="D5844" s="8"/>
    </row>
    <row r="5845" spans="2:4" x14ac:dyDescent="0.25">
      <c r="B5845" s="4">
        <f t="shared" si="107"/>
        <v>628.38999999994689</v>
      </c>
      <c r="C5845" s="199">
        <v>1368.8396304002626</v>
      </c>
      <c r="D5845" s="8"/>
    </row>
    <row r="5846" spans="2:4" x14ac:dyDescent="0.25">
      <c r="B5846" s="4">
        <f t="shared" si="107"/>
        <v>628.39999999994689</v>
      </c>
      <c r="C5846" s="199">
        <v>1369.0914714420264</v>
      </c>
      <c r="D5846" s="8"/>
    </row>
    <row r="5847" spans="2:4" x14ac:dyDescent="0.25">
      <c r="B5847" s="4">
        <f t="shared" si="107"/>
        <v>628.40999999994688</v>
      </c>
      <c r="C5847" s="199">
        <v>1369.34331248379</v>
      </c>
      <c r="D5847" s="8"/>
    </row>
    <row r="5848" spans="2:4" x14ac:dyDescent="0.25">
      <c r="B5848" s="4">
        <f t="shared" si="107"/>
        <v>628.41999999994687</v>
      </c>
      <c r="C5848" s="199">
        <v>1369.5953397603021</v>
      </c>
      <c r="D5848" s="8"/>
    </row>
    <row r="5849" spans="2:4" x14ac:dyDescent="0.25">
      <c r="B5849" s="4">
        <f t="shared" si="107"/>
        <v>628.42999999994686</v>
      </c>
      <c r="C5849" s="199">
        <v>1369.847367036813</v>
      </c>
      <c r="D5849" s="8"/>
    </row>
    <row r="5850" spans="2:4" x14ac:dyDescent="0.25">
      <c r="B5850" s="4">
        <f t="shared" si="107"/>
        <v>628.43999999994685</v>
      </c>
      <c r="C5850" s="199">
        <v>1370.0993943133246</v>
      </c>
      <c r="D5850" s="8"/>
    </row>
    <row r="5851" spans="2:4" x14ac:dyDescent="0.25">
      <c r="B5851" s="4">
        <f t="shared" si="107"/>
        <v>628.44999999994684</v>
      </c>
      <c r="C5851" s="199">
        <v>1370.3514215898354</v>
      </c>
      <c r="D5851" s="8"/>
    </row>
    <row r="5852" spans="2:4" x14ac:dyDescent="0.25">
      <c r="B5852" s="4">
        <f t="shared" si="107"/>
        <v>628.45999999994683</v>
      </c>
      <c r="C5852" s="199">
        <v>1370.6034488663481</v>
      </c>
      <c r="D5852" s="8"/>
    </row>
    <row r="5853" spans="2:4" x14ac:dyDescent="0.25">
      <c r="B5853" s="4">
        <f t="shared" si="107"/>
        <v>628.46999999994682</v>
      </c>
      <c r="C5853" s="199">
        <v>1370.8554761428593</v>
      </c>
      <c r="D5853" s="8"/>
    </row>
    <row r="5854" spans="2:4" x14ac:dyDescent="0.25">
      <c r="B5854" s="4">
        <f t="shared" si="107"/>
        <v>628.47999999994681</v>
      </c>
      <c r="C5854" s="199">
        <v>1371.1075034193707</v>
      </c>
      <c r="D5854" s="8"/>
    </row>
    <row r="5855" spans="2:4" x14ac:dyDescent="0.25">
      <c r="B5855" s="4">
        <f t="shared" si="107"/>
        <v>628.4899999999468</v>
      </c>
      <c r="C5855" s="199">
        <v>1371.3595306958819</v>
      </c>
      <c r="D5855" s="8"/>
    </row>
    <row r="5856" spans="2:4" x14ac:dyDescent="0.25">
      <c r="B5856" s="4">
        <f t="shared" si="107"/>
        <v>628.49999999994679</v>
      </c>
      <c r="C5856" s="199">
        <v>1371.6115579723944</v>
      </c>
      <c r="D5856" s="8"/>
    </row>
    <row r="5857" spans="2:4" x14ac:dyDescent="0.25">
      <c r="B5857" s="4">
        <f t="shared" si="107"/>
        <v>628.50999999994679</v>
      </c>
      <c r="C5857" s="199">
        <v>1371.8635852489051</v>
      </c>
      <c r="D5857" s="8"/>
    </row>
    <row r="5858" spans="2:4" x14ac:dyDescent="0.25">
      <c r="B5858" s="4">
        <f t="shared" si="107"/>
        <v>628.51999999994678</v>
      </c>
      <c r="C5858" s="199">
        <v>1372.1158004044678</v>
      </c>
      <c r="D5858" s="8"/>
    </row>
    <row r="5859" spans="2:4" x14ac:dyDescent="0.25">
      <c r="B5859" s="4">
        <f t="shared" si="107"/>
        <v>628.52999999994677</v>
      </c>
      <c r="C5859" s="199">
        <v>1372.3680155600377</v>
      </c>
      <c r="D5859" s="8"/>
    </row>
    <row r="5860" spans="2:4" x14ac:dyDescent="0.25">
      <c r="B5860" s="4">
        <f t="shared" si="107"/>
        <v>628.53999999994676</v>
      </c>
      <c r="C5860" s="199">
        <v>1372.6202307156066</v>
      </c>
      <c r="D5860" s="8"/>
    </row>
    <row r="5861" spans="2:4" x14ac:dyDescent="0.25">
      <c r="B5861" s="4">
        <f t="shared" si="107"/>
        <v>628.54999999994675</v>
      </c>
      <c r="C5861" s="199">
        <v>1372.8724458711752</v>
      </c>
      <c r="D5861" s="8"/>
    </row>
    <row r="5862" spans="2:4" x14ac:dyDescent="0.25">
      <c r="B5862" s="4">
        <f t="shared" si="107"/>
        <v>628.55999999994674</v>
      </c>
      <c r="C5862" s="199">
        <v>1373.1246610267438</v>
      </c>
      <c r="D5862" s="8"/>
    </row>
    <row r="5863" spans="2:4" x14ac:dyDescent="0.25">
      <c r="B5863" s="4">
        <f t="shared" si="107"/>
        <v>628.56999999994673</v>
      </c>
      <c r="C5863" s="199">
        <v>1373.376876182313</v>
      </c>
      <c r="D5863" s="8"/>
    </row>
    <row r="5864" spans="2:4" x14ac:dyDescent="0.25">
      <c r="B5864" s="4">
        <f t="shared" si="107"/>
        <v>628.57999999994672</v>
      </c>
      <c r="C5864" s="199">
        <v>1373.6290913378818</v>
      </c>
      <c r="D5864" s="8"/>
    </row>
    <row r="5865" spans="2:4" x14ac:dyDescent="0.25">
      <c r="B5865" s="4">
        <f t="shared" si="107"/>
        <v>628.58999999994671</v>
      </c>
      <c r="C5865" s="199">
        <v>1373.8813064934513</v>
      </c>
      <c r="D5865" s="8"/>
    </row>
    <row r="5866" spans="2:4" x14ac:dyDescent="0.25">
      <c r="B5866" s="4">
        <f t="shared" si="107"/>
        <v>628.5999999999467</v>
      </c>
      <c r="C5866" s="199">
        <v>1374.1335216490202</v>
      </c>
      <c r="D5866" s="8"/>
    </row>
    <row r="5867" spans="2:4" x14ac:dyDescent="0.25">
      <c r="B5867" s="4">
        <f t="shared" si="107"/>
        <v>628.60999999994669</v>
      </c>
      <c r="C5867" s="199">
        <v>1374.3857368045881</v>
      </c>
      <c r="D5867" s="8"/>
    </row>
    <row r="5868" spans="2:4" x14ac:dyDescent="0.25">
      <c r="B5868" s="4">
        <f t="shared" si="107"/>
        <v>628.61999999994669</v>
      </c>
      <c r="C5868" s="199">
        <v>1374.6381395341486</v>
      </c>
      <c r="D5868" s="8"/>
    </row>
    <row r="5869" spans="2:4" x14ac:dyDescent="0.25">
      <c r="B5869" s="4">
        <f t="shared" si="107"/>
        <v>628.62999999994668</v>
      </c>
      <c r="C5869" s="199">
        <v>1374.8905422637069</v>
      </c>
      <c r="D5869" s="8"/>
    </row>
    <row r="5870" spans="2:4" x14ac:dyDescent="0.25">
      <c r="B5870" s="4">
        <f t="shared" si="107"/>
        <v>628.63999999994667</v>
      </c>
      <c r="C5870" s="199">
        <v>1375.1429449932659</v>
      </c>
      <c r="D5870" s="8"/>
    </row>
    <row r="5871" spans="2:4" x14ac:dyDescent="0.25">
      <c r="B5871" s="4">
        <f t="shared" si="107"/>
        <v>628.64999999994666</v>
      </c>
      <c r="C5871" s="199">
        <v>1375.3953477228249</v>
      </c>
      <c r="D5871" s="8"/>
    </row>
    <row r="5872" spans="2:4" x14ac:dyDescent="0.25">
      <c r="B5872" s="4">
        <f t="shared" si="107"/>
        <v>628.65999999994665</v>
      </c>
      <c r="C5872" s="199">
        <v>1375.6477504523832</v>
      </c>
      <c r="D5872" s="8"/>
    </row>
    <row r="5873" spans="2:4" x14ac:dyDescent="0.25">
      <c r="B5873" s="4">
        <f t="shared" si="107"/>
        <v>628.66999999994664</v>
      </c>
      <c r="C5873" s="199">
        <v>1375.9001531819426</v>
      </c>
      <c r="D5873" s="8"/>
    </row>
    <row r="5874" spans="2:4" x14ac:dyDescent="0.25">
      <c r="B5874" s="4">
        <f t="shared" si="107"/>
        <v>628.67999999994663</v>
      </c>
      <c r="C5874" s="199">
        <v>1376.1525559115014</v>
      </c>
      <c r="D5874" s="8"/>
    </row>
    <row r="5875" spans="2:4" x14ac:dyDescent="0.25">
      <c r="B5875" s="4">
        <f t="shared" si="107"/>
        <v>628.68999999994662</v>
      </c>
      <c r="C5875" s="199">
        <v>1376.4049586410604</v>
      </c>
      <c r="D5875" s="8"/>
    </row>
    <row r="5876" spans="2:4" x14ac:dyDescent="0.25">
      <c r="B5876" s="4">
        <f t="shared" si="107"/>
        <v>628.69999999994661</v>
      </c>
      <c r="C5876" s="199">
        <v>1376.6573613706189</v>
      </c>
      <c r="D5876" s="8"/>
    </row>
    <row r="5877" spans="2:4" x14ac:dyDescent="0.25">
      <c r="B5877" s="4">
        <f t="shared" si="107"/>
        <v>628.7099999999466</v>
      </c>
      <c r="C5877" s="199">
        <v>1376.909764100177</v>
      </c>
      <c r="D5877" s="8"/>
    </row>
    <row r="5878" spans="2:4" x14ac:dyDescent="0.25">
      <c r="B5878" s="4">
        <f t="shared" si="107"/>
        <v>628.71999999994659</v>
      </c>
      <c r="C5878" s="199">
        <v>1377.1623557386843</v>
      </c>
      <c r="D5878" s="8"/>
    </row>
    <row r="5879" spans="2:4" x14ac:dyDescent="0.25">
      <c r="B5879" s="4">
        <f t="shared" si="107"/>
        <v>628.72999999994659</v>
      </c>
      <c r="C5879" s="199">
        <v>1377.414947377197</v>
      </c>
      <c r="D5879" s="8"/>
    </row>
    <row r="5880" spans="2:4" x14ac:dyDescent="0.25">
      <c r="B5880" s="4">
        <f t="shared" si="107"/>
        <v>628.73999999994658</v>
      </c>
      <c r="C5880" s="199">
        <v>1377.6675390157088</v>
      </c>
      <c r="D5880" s="8"/>
    </row>
    <row r="5881" spans="2:4" x14ac:dyDescent="0.25">
      <c r="B5881" s="4">
        <f t="shared" si="107"/>
        <v>628.74999999994657</v>
      </c>
      <c r="C5881" s="199">
        <v>1377.9201306542213</v>
      </c>
      <c r="D5881" s="8"/>
    </row>
    <row r="5882" spans="2:4" x14ac:dyDescent="0.25">
      <c r="B5882" s="4">
        <f t="shared" si="107"/>
        <v>628.75999999994656</v>
      </c>
      <c r="C5882" s="199">
        <v>1378.1727222927345</v>
      </c>
      <c r="D5882" s="8"/>
    </row>
    <row r="5883" spans="2:4" x14ac:dyDescent="0.25">
      <c r="B5883" s="4">
        <f t="shared" si="107"/>
        <v>628.76999999994655</v>
      </c>
      <c r="C5883" s="199">
        <v>1378.4253139312461</v>
      </c>
      <c r="D5883" s="8"/>
    </row>
    <row r="5884" spans="2:4" x14ac:dyDescent="0.25">
      <c r="B5884" s="4">
        <f t="shared" si="107"/>
        <v>628.77999999994654</v>
      </c>
      <c r="C5884" s="199">
        <v>1378.6779055697587</v>
      </c>
      <c r="D5884" s="8"/>
    </row>
    <row r="5885" spans="2:4" x14ac:dyDescent="0.25">
      <c r="B5885" s="4">
        <f t="shared" si="107"/>
        <v>628.78999999994653</v>
      </c>
      <c r="C5885" s="199">
        <v>1378.9304972082712</v>
      </c>
      <c r="D5885" s="8"/>
    </row>
    <row r="5886" spans="2:4" x14ac:dyDescent="0.25">
      <c r="B5886" s="4">
        <f t="shared" si="107"/>
        <v>628.79999999994652</v>
      </c>
      <c r="C5886" s="199">
        <v>1379.183088846783</v>
      </c>
      <c r="D5886" s="8"/>
    </row>
    <row r="5887" spans="2:4" x14ac:dyDescent="0.25">
      <c r="B5887" s="4">
        <f t="shared" si="107"/>
        <v>628.80999999994651</v>
      </c>
      <c r="C5887" s="199">
        <v>1379.4356804852953</v>
      </c>
      <c r="D5887" s="8"/>
    </row>
    <row r="5888" spans="2:4" x14ac:dyDescent="0.25">
      <c r="B5888" s="4">
        <f t="shared" si="107"/>
        <v>628.8199999999465</v>
      </c>
      <c r="C5888" s="199">
        <v>1379.6884634337196</v>
      </c>
      <c r="D5888" s="8"/>
    </row>
    <row r="5889" spans="2:4" x14ac:dyDescent="0.25">
      <c r="B5889" s="4">
        <f t="shared" si="107"/>
        <v>628.82999999994649</v>
      </c>
      <c r="C5889" s="199">
        <v>1379.9412463821434</v>
      </c>
      <c r="D5889" s="8"/>
    </row>
    <row r="5890" spans="2:4" x14ac:dyDescent="0.25">
      <c r="B5890" s="4">
        <f t="shared" si="107"/>
        <v>628.83999999994649</v>
      </c>
      <c r="C5890" s="199">
        <v>1380.1940293305686</v>
      </c>
      <c r="D5890" s="8"/>
    </row>
    <row r="5891" spans="2:4" x14ac:dyDescent="0.25">
      <c r="B5891" s="4">
        <f t="shared" si="107"/>
        <v>628.84999999994648</v>
      </c>
      <c r="C5891" s="199">
        <v>1380.4468122789924</v>
      </c>
      <c r="D5891" s="8"/>
    </row>
    <row r="5892" spans="2:4" x14ac:dyDescent="0.25">
      <c r="B5892" s="4">
        <f t="shared" si="107"/>
        <v>628.85999999994647</v>
      </c>
      <c r="C5892" s="199">
        <v>1380.6995952274171</v>
      </c>
      <c r="D5892" s="8"/>
    </row>
    <row r="5893" spans="2:4" x14ac:dyDescent="0.25">
      <c r="B5893" s="4">
        <f t="shared" si="107"/>
        <v>628.86999999994646</v>
      </c>
      <c r="C5893" s="199">
        <v>1380.9523781758407</v>
      </c>
      <c r="D5893" s="8"/>
    </row>
    <row r="5894" spans="2:4" x14ac:dyDescent="0.25">
      <c r="B5894" s="4">
        <f t="shared" si="107"/>
        <v>628.87999999994645</v>
      </c>
      <c r="C5894" s="199">
        <v>1381.2051611242657</v>
      </c>
      <c r="D5894" s="8"/>
    </row>
    <row r="5895" spans="2:4" x14ac:dyDescent="0.25">
      <c r="B5895" s="4">
        <f t="shared" si="107"/>
        <v>628.88999999994644</v>
      </c>
      <c r="C5895" s="199">
        <v>1381.4579440726895</v>
      </c>
      <c r="D5895" s="8"/>
    </row>
    <row r="5896" spans="2:4" x14ac:dyDescent="0.25">
      <c r="B5896" s="4">
        <f t="shared" ref="B5896:B5959" si="108">+B5895+0.01</f>
        <v>628.89999999994643</v>
      </c>
      <c r="C5896" s="199">
        <v>1381.7107270211143</v>
      </c>
      <c r="D5896" s="8"/>
    </row>
    <row r="5897" spans="2:4" x14ac:dyDescent="0.25">
      <c r="B5897" s="4">
        <f t="shared" si="108"/>
        <v>628.90999999994642</v>
      </c>
      <c r="C5897" s="199">
        <v>1381.9635099695383</v>
      </c>
      <c r="D5897" s="8"/>
    </row>
    <row r="5898" spans="2:4" x14ac:dyDescent="0.25">
      <c r="B5898" s="4">
        <f t="shared" si="108"/>
        <v>628.91999999994641</v>
      </c>
      <c r="C5898" s="199">
        <v>1382.2164851466432</v>
      </c>
      <c r="D5898" s="8"/>
    </row>
    <row r="5899" spans="2:4" x14ac:dyDescent="0.25">
      <c r="B5899" s="4">
        <f t="shared" si="108"/>
        <v>628.9299999999464</v>
      </c>
      <c r="C5899" s="199">
        <v>1382.4694603237529</v>
      </c>
      <c r="D5899" s="8"/>
    </row>
    <row r="5900" spans="2:4" x14ac:dyDescent="0.25">
      <c r="B5900" s="4">
        <f t="shared" si="108"/>
        <v>628.93999999994639</v>
      </c>
      <c r="C5900" s="199">
        <v>1382.722435500863</v>
      </c>
      <c r="D5900" s="8"/>
    </row>
    <row r="5901" spans="2:4" x14ac:dyDescent="0.25">
      <c r="B5901" s="4">
        <f t="shared" si="108"/>
        <v>628.94999999994639</v>
      </c>
      <c r="C5901" s="199">
        <v>1382.9754106779721</v>
      </c>
      <c r="D5901" s="8"/>
    </row>
    <row r="5902" spans="2:4" x14ac:dyDescent="0.25">
      <c r="B5902" s="4">
        <f t="shared" si="108"/>
        <v>628.95999999994638</v>
      </c>
      <c r="C5902" s="199">
        <v>1383.228385855082</v>
      </c>
      <c r="D5902" s="8"/>
    </row>
    <row r="5903" spans="2:4" x14ac:dyDescent="0.25">
      <c r="B5903" s="4">
        <f t="shared" si="108"/>
        <v>628.96999999994637</v>
      </c>
      <c r="C5903" s="199">
        <v>1383.4813610321919</v>
      </c>
      <c r="D5903" s="8"/>
    </row>
    <row r="5904" spans="2:4" x14ac:dyDescent="0.25">
      <c r="B5904" s="4">
        <f t="shared" si="108"/>
        <v>628.97999999994636</v>
      </c>
      <c r="C5904" s="199">
        <v>1383.7343362093015</v>
      </c>
      <c r="D5904" s="8"/>
    </row>
    <row r="5905" spans="2:4" x14ac:dyDescent="0.25">
      <c r="B5905" s="4">
        <f t="shared" si="108"/>
        <v>628.98999999994635</v>
      </c>
      <c r="C5905" s="199">
        <v>1383.9873113864105</v>
      </c>
      <c r="D5905" s="8"/>
    </row>
    <row r="5906" spans="2:4" x14ac:dyDescent="0.25">
      <c r="B5906" s="4">
        <f t="shared" si="108"/>
        <v>628.99999999994634</v>
      </c>
      <c r="C5906" s="199">
        <v>1384.2402865635202</v>
      </c>
      <c r="D5906" s="8"/>
    </row>
    <row r="5907" spans="2:4" x14ac:dyDescent="0.25">
      <c r="B5907" s="4">
        <f t="shared" si="108"/>
        <v>629.00999999994633</v>
      </c>
      <c r="C5907" s="199">
        <v>1384.4932617406298</v>
      </c>
      <c r="D5907" s="8"/>
    </row>
    <row r="5908" spans="2:4" x14ac:dyDescent="0.25">
      <c r="B5908" s="4">
        <f t="shared" si="108"/>
        <v>629.01999999994632</v>
      </c>
      <c r="C5908" s="199">
        <v>1384.7464327121231</v>
      </c>
      <c r="D5908" s="8"/>
    </row>
    <row r="5909" spans="2:4" x14ac:dyDescent="0.25">
      <c r="B5909" s="4">
        <f t="shared" si="108"/>
        <v>629.02999999994631</v>
      </c>
      <c r="C5909" s="199">
        <v>1384.9996036836164</v>
      </c>
      <c r="D5909" s="8"/>
    </row>
    <row r="5910" spans="2:4" x14ac:dyDescent="0.25">
      <c r="B5910" s="4">
        <f t="shared" si="108"/>
        <v>629.0399999999463</v>
      </c>
      <c r="C5910" s="199">
        <v>1385.2527746551091</v>
      </c>
      <c r="D5910" s="8"/>
    </row>
    <row r="5911" spans="2:4" x14ac:dyDescent="0.25">
      <c r="B5911" s="4">
        <f t="shared" si="108"/>
        <v>629.04999999994629</v>
      </c>
      <c r="C5911" s="199">
        <v>1385.5059456266017</v>
      </c>
      <c r="D5911" s="8"/>
    </row>
    <row r="5912" spans="2:4" x14ac:dyDescent="0.25">
      <c r="B5912" s="4">
        <f t="shared" si="108"/>
        <v>629.05999999994629</v>
      </c>
      <c r="C5912" s="199">
        <v>1385.759116598095</v>
      </c>
      <c r="D5912" s="8"/>
    </row>
    <row r="5913" spans="2:4" x14ac:dyDescent="0.25">
      <c r="B5913" s="4">
        <f t="shared" si="108"/>
        <v>629.06999999994628</v>
      </c>
      <c r="C5913" s="199">
        <v>1386.0122875695881</v>
      </c>
      <c r="D5913" s="8"/>
    </row>
    <row r="5914" spans="2:4" x14ac:dyDescent="0.25">
      <c r="B5914" s="4">
        <f t="shared" si="108"/>
        <v>629.07999999994627</v>
      </c>
      <c r="C5914" s="199">
        <v>1386.2654585410812</v>
      </c>
      <c r="D5914" s="8"/>
    </row>
    <row r="5915" spans="2:4" x14ac:dyDescent="0.25">
      <c r="B5915" s="4">
        <f t="shared" si="108"/>
        <v>629.08999999994626</v>
      </c>
      <c r="C5915" s="199">
        <v>1386.5186295125734</v>
      </c>
      <c r="D5915" s="8"/>
    </row>
    <row r="5916" spans="2:4" x14ac:dyDescent="0.25">
      <c r="B5916" s="4">
        <f t="shared" si="108"/>
        <v>629.09999999994625</v>
      </c>
      <c r="C5916" s="199">
        <v>1386.7718004840669</v>
      </c>
      <c r="D5916" s="8"/>
    </row>
    <row r="5917" spans="2:4" x14ac:dyDescent="0.25">
      <c r="B5917" s="4">
        <f t="shared" si="108"/>
        <v>629.10999999994624</v>
      </c>
      <c r="C5917" s="199">
        <v>1387.0249714555596</v>
      </c>
      <c r="D5917" s="8"/>
    </row>
    <row r="5918" spans="2:4" x14ac:dyDescent="0.25">
      <c r="B5918" s="4">
        <f t="shared" si="108"/>
        <v>629.11999999994623</v>
      </c>
      <c r="C5918" s="199">
        <v>1387.2783344373813</v>
      </c>
      <c r="D5918" s="8"/>
    </row>
    <row r="5919" spans="2:4" x14ac:dyDescent="0.25">
      <c r="B5919" s="4">
        <f t="shared" si="108"/>
        <v>629.12999999994622</v>
      </c>
      <c r="C5919" s="199">
        <v>1387.5316974192076</v>
      </c>
      <c r="D5919" s="8"/>
    </row>
    <row r="5920" spans="2:4" x14ac:dyDescent="0.25">
      <c r="B5920" s="4">
        <f t="shared" si="108"/>
        <v>629.13999999994621</v>
      </c>
      <c r="C5920" s="199">
        <v>1387.7850604010332</v>
      </c>
      <c r="D5920" s="8"/>
    </row>
    <row r="5921" spans="2:4" x14ac:dyDescent="0.25">
      <c r="B5921" s="4">
        <f t="shared" si="108"/>
        <v>629.1499999999462</v>
      </c>
      <c r="C5921" s="199">
        <v>1388.0384233828588</v>
      </c>
      <c r="D5921" s="8"/>
    </row>
    <row r="5922" spans="2:4" x14ac:dyDescent="0.25">
      <c r="B5922" s="4">
        <f t="shared" si="108"/>
        <v>629.15999999994619</v>
      </c>
      <c r="C5922" s="199">
        <v>1388.2917863646855</v>
      </c>
      <c r="D5922" s="8"/>
    </row>
    <row r="5923" spans="2:4" x14ac:dyDescent="0.25">
      <c r="B5923" s="4">
        <f t="shared" si="108"/>
        <v>629.16999999994619</v>
      </c>
      <c r="C5923" s="199">
        <v>1388.5451493465109</v>
      </c>
      <c r="D5923" s="8"/>
    </row>
    <row r="5924" spans="2:4" x14ac:dyDescent="0.25">
      <c r="B5924" s="4">
        <f t="shared" si="108"/>
        <v>629.17999999994618</v>
      </c>
      <c r="C5924" s="199">
        <v>1388.798512328337</v>
      </c>
      <c r="D5924" s="8"/>
    </row>
    <row r="5925" spans="2:4" x14ac:dyDescent="0.25">
      <c r="B5925" s="4">
        <f t="shared" si="108"/>
        <v>629.18999999994617</v>
      </c>
      <c r="C5925" s="199">
        <v>1389.0518753101635</v>
      </c>
      <c r="D5925" s="8"/>
    </row>
    <row r="5926" spans="2:4" x14ac:dyDescent="0.25">
      <c r="B5926" s="4">
        <f t="shared" si="108"/>
        <v>629.19999999994616</v>
      </c>
      <c r="C5926" s="199">
        <v>1389.3052382919889</v>
      </c>
      <c r="D5926" s="8"/>
    </row>
    <row r="5927" spans="2:4" x14ac:dyDescent="0.25">
      <c r="B5927" s="4">
        <f t="shared" si="108"/>
        <v>629.20999999994615</v>
      </c>
      <c r="C5927" s="199">
        <v>1389.5586012738152</v>
      </c>
      <c r="D5927" s="8"/>
    </row>
    <row r="5928" spans="2:4" x14ac:dyDescent="0.25">
      <c r="B5928" s="4">
        <f t="shared" si="108"/>
        <v>629.21999999994614</v>
      </c>
      <c r="C5928" s="199">
        <v>1389.8121607280573</v>
      </c>
      <c r="D5928" s="8"/>
    </row>
    <row r="5929" spans="2:4" x14ac:dyDescent="0.25">
      <c r="B5929" s="4">
        <f t="shared" si="108"/>
        <v>629.22999999994613</v>
      </c>
      <c r="C5929" s="199">
        <v>1390.0657201823019</v>
      </c>
      <c r="D5929" s="8"/>
    </row>
    <row r="5930" spans="2:4" x14ac:dyDescent="0.25">
      <c r="B5930" s="4">
        <f t="shared" si="108"/>
        <v>629.23999999994612</v>
      </c>
      <c r="C5930" s="199">
        <v>1390.3192796365445</v>
      </c>
      <c r="D5930" s="8"/>
    </row>
    <row r="5931" spans="2:4" x14ac:dyDescent="0.25">
      <c r="B5931" s="4">
        <f t="shared" si="108"/>
        <v>629.24999999994611</v>
      </c>
      <c r="C5931" s="199">
        <v>1390.5728390907873</v>
      </c>
      <c r="D5931" s="8"/>
    </row>
    <row r="5932" spans="2:4" x14ac:dyDescent="0.25">
      <c r="B5932" s="4">
        <f t="shared" si="108"/>
        <v>629.2599999999461</v>
      </c>
      <c r="C5932" s="199">
        <v>1390.8263985450312</v>
      </c>
      <c r="D5932" s="8"/>
    </row>
    <row r="5933" spans="2:4" x14ac:dyDescent="0.25">
      <c r="B5933" s="4">
        <f t="shared" si="108"/>
        <v>629.26999999994609</v>
      </c>
      <c r="C5933" s="199">
        <v>1391.079957999274</v>
      </c>
      <c r="D5933" s="8"/>
    </row>
    <row r="5934" spans="2:4" x14ac:dyDescent="0.25">
      <c r="B5934" s="4">
        <f t="shared" si="108"/>
        <v>629.27999999994609</v>
      </c>
      <c r="C5934" s="199">
        <v>1391.3335174535187</v>
      </c>
      <c r="D5934" s="8"/>
    </row>
    <row r="5935" spans="2:4" x14ac:dyDescent="0.25">
      <c r="B5935" s="4">
        <f t="shared" si="108"/>
        <v>629.28999999994608</v>
      </c>
      <c r="C5935" s="199">
        <v>1391.5870769077612</v>
      </c>
      <c r="D5935" s="8"/>
    </row>
    <row r="5936" spans="2:4" x14ac:dyDescent="0.25">
      <c r="B5936" s="4">
        <f t="shared" si="108"/>
        <v>629.29999999994607</v>
      </c>
      <c r="C5936" s="199">
        <v>1391.8406363620052</v>
      </c>
      <c r="D5936" s="8"/>
    </row>
    <row r="5937" spans="2:4" x14ac:dyDescent="0.25">
      <c r="B5937" s="4">
        <f t="shared" si="108"/>
        <v>629.30999999994606</v>
      </c>
      <c r="C5937" s="199">
        <v>1392.0941958162477</v>
      </c>
      <c r="D5937" s="8"/>
    </row>
    <row r="5938" spans="2:4" x14ac:dyDescent="0.25">
      <c r="B5938" s="4">
        <f t="shared" si="108"/>
        <v>629.31999999994605</v>
      </c>
      <c r="C5938" s="199">
        <v>1392.3479484672473</v>
      </c>
      <c r="D5938" s="8"/>
    </row>
    <row r="5939" spans="2:4" x14ac:dyDescent="0.25">
      <c r="B5939" s="4">
        <f t="shared" si="108"/>
        <v>629.32999999994604</v>
      </c>
      <c r="C5939" s="199">
        <v>1392.6017011182521</v>
      </c>
      <c r="D5939" s="8"/>
    </row>
    <row r="5940" spans="2:4" x14ac:dyDescent="0.25">
      <c r="B5940" s="4">
        <f t="shared" si="108"/>
        <v>629.33999999994603</v>
      </c>
      <c r="C5940" s="199">
        <v>1392.8554537692569</v>
      </c>
      <c r="D5940" s="8"/>
    </row>
    <row r="5941" spans="2:4" x14ac:dyDescent="0.25">
      <c r="B5941" s="4">
        <f t="shared" si="108"/>
        <v>629.34999999994602</v>
      </c>
      <c r="C5941" s="199">
        <v>1393.1092064202617</v>
      </c>
      <c r="D5941" s="8"/>
    </row>
    <row r="5942" spans="2:4" x14ac:dyDescent="0.25">
      <c r="B5942" s="4">
        <f t="shared" si="108"/>
        <v>629.35999999994601</v>
      </c>
      <c r="C5942" s="199">
        <v>1393.3629590712662</v>
      </c>
      <c r="D5942" s="8"/>
    </row>
    <row r="5943" spans="2:4" x14ac:dyDescent="0.25">
      <c r="B5943" s="4">
        <f t="shared" si="108"/>
        <v>629.369999999946</v>
      </c>
      <c r="C5943" s="199">
        <v>1393.6167117222715</v>
      </c>
      <c r="D5943" s="8"/>
    </row>
    <row r="5944" spans="2:4" x14ac:dyDescent="0.25">
      <c r="B5944" s="4">
        <f t="shared" si="108"/>
        <v>629.37999999994599</v>
      </c>
      <c r="C5944" s="199">
        <v>1393.8704643732758</v>
      </c>
      <c r="D5944" s="8"/>
    </row>
    <row r="5945" spans="2:4" x14ac:dyDescent="0.25">
      <c r="B5945" s="4">
        <f t="shared" si="108"/>
        <v>629.38999999994599</v>
      </c>
      <c r="C5945" s="199">
        <v>1394.1242170242811</v>
      </c>
      <c r="D5945" s="8"/>
    </row>
    <row r="5946" spans="2:4" x14ac:dyDescent="0.25">
      <c r="B5946" s="4">
        <f t="shared" si="108"/>
        <v>629.39999999994598</v>
      </c>
      <c r="C5946" s="199">
        <v>1394.3779696752854</v>
      </c>
      <c r="D5946" s="8"/>
    </row>
    <row r="5947" spans="2:4" x14ac:dyDescent="0.25">
      <c r="B5947" s="4">
        <f t="shared" si="108"/>
        <v>629.40999999994597</v>
      </c>
      <c r="C5947" s="199">
        <v>1394.6317223262904</v>
      </c>
      <c r="D5947" s="8"/>
    </row>
    <row r="5948" spans="2:4" x14ac:dyDescent="0.25">
      <c r="B5948" s="4">
        <f t="shared" si="108"/>
        <v>629.41999999994596</v>
      </c>
      <c r="C5948" s="199">
        <v>1394.8856714843662</v>
      </c>
      <c r="D5948" s="8"/>
    </row>
    <row r="5949" spans="2:4" x14ac:dyDescent="0.25">
      <c r="B5949" s="4">
        <f t="shared" si="108"/>
        <v>629.42999999994595</v>
      </c>
      <c r="C5949" s="199">
        <v>1395.1396206424406</v>
      </c>
      <c r="D5949" s="8"/>
    </row>
    <row r="5950" spans="2:4" x14ac:dyDescent="0.25">
      <c r="B5950" s="4">
        <f t="shared" si="108"/>
        <v>629.43999999994594</v>
      </c>
      <c r="C5950" s="199">
        <v>1395.393569800515</v>
      </c>
      <c r="D5950" s="8"/>
    </row>
    <row r="5951" spans="2:4" x14ac:dyDescent="0.25">
      <c r="B5951" s="4">
        <f t="shared" si="108"/>
        <v>629.44999999994593</v>
      </c>
      <c r="C5951" s="199">
        <v>1395.6475189585904</v>
      </c>
      <c r="D5951" s="8"/>
    </row>
    <row r="5952" spans="2:4" x14ac:dyDescent="0.25">
      <c r="B5952" s="4">
        <f t="shared" si="108"/>
        <v>629.45999999994592</v>
      </c>
      <c r="C5952" s="199">
        <v>1395.9014681166652</v>
      </c>
      <c r="D5952" s="8"/>
    </row>
    <row r="5953" spans="2:4" x14ac:dyDescent="0.25">
      <c r="B5953" s="4">
        <f t="shared" si="108"/>
        <v>629.46999999994591</v>
      </c>
      <c r="C5953" s="199">
        <v>1396.1554172747392</v>
      </c>
      <c r="D5953" s="8"/>
    </row>
    <row r="5954" spans="2:4" x14ac:dyDescent="0.25">
      <c r="B5954" s="4">
        <f t="shared" si="108"/>
        <v>629.4799999999459</v>
      </c>
      <c r="C5954" s="199">
        <v>1396.4093664328138</v>
      </c>
      <c r="D5954" s="8"/>
    </row>
    <row r="5955" spans="2:4" x14ac:dyDescent="0.25">
      <c r="B5955" s="4">
        <f t="shared" si="108"/>
        <v>629.48999999994589</v>
      </c>
      <c r="C5955" s="199">
        <v>1396.6633155908887</v>
      </c>
      <c r="D5955" s="8"/>
    </row>
    <row r="5956" spans="2:4" x14ac:dyDescent="0.25">
      <c r="B5956" s="4">
        <f t="shared" si="108"/>
        <v>629.49999999994589</v>
      </c>
      <c r="C5956" s="199">
        <v>1396.9172647489638</v>
      </c>
      <c r="D5956" s="8"/>
    </row>
    <row r="5957" spans="2:4" x14ac:dyDescent="0.25">
      <c r="B5957" s="4">
        <f t="shared" si="108"/>
        <v>629.50999999994588</v>
      </c>
      <c r="C5957" s="199">
        <v>1397.1712139070378</v>
      </c>
      <c r="D5957" s="8"/>
    </row>
    <row r="5958" spans="2:4" x14ac:dyDescent="0.25">
      <c r="B5958" s="4">
        <f t="shared" si="108"/>
        <v>629.51999999994587</v>
      </c>
      <c r="C5958" s="199">
        <v>1397.4253588811564</v>
      </c>
      <c r="D5958" s="8"/>
    </row>
    <row r="5959" spans="2:4" x14ac:dyDescent="0.25">
      <c r="B5959" s="4">
        <f t="shared" si="108"/>
        <v>629.52999999994586</v>
      </c>
      <c r="C5959" s="199">
        <v>1397.6795038552805</v>
      </c>
      <c r="D5959" s="8"/>
    </row>
    <row r="5960" spans="2:4" x14ac:dyDescent="0.25">
      <c r="B5960" s="4">
        <f t="shared" ref="B5960:B6023" si="109">+B5959+0.01</f>
        <v>629.53999999994585</v>
      </c>
      <c r="C5960" s="199">
        <v>1397.9336488294052</v>
      </c>
      <c r="D5960" s="8"/>
    </row>
    <row r="5961" spans="2:4" x14ac:dyDescent="0.25">
      <c r="B5961" s="4">
        <f t="shared" si="109"/>
        <v>629.54999999994584</v>
      </c>
      <c r="C5961" s="199">
        <v>1398.1877938035288</v>
      </c>
      <c r="D5961" s="8"/>
    </row>
    <row r="5962" spans="2:4" x14ac:dyDescent="0.25">
      <c r="B5962" s="4">
        <f t="shared" si="109"/>
        <v>629.55999999994583</v>
      </c>
      <c r="C5962" s="199">
        <v>1398.4419387776531</v>
      </c>
      <c r="D5962" s="8"/>
    </row>
    <row r="5963" spans="2:4" x14ac:dyDescent="0.25">
      <c r="B5963" s="4">
        <f t="shared" si="109"/>
        <v>629.56999999994582</v>
      </c>
      <c r="C5963" s="199">
        <v>1398.6960837517779</v>
      </c>
      <c r="D5963" s="8"/>
    </row>
    <row r="5964" spans="2:4" x14ac:dyDescent="0.25">
      <c r="B5964" s="4">
        <f t="shared" si="109"/>
        <v>629.57999999994581</v>
      </c>
      <c r="C5964" s="199">
        <v>1398.9502287259018</v>
      </c>
      <c r="D5964" s="8"/>
    </row>
    <row r="5965" spans="2:4" x14ac:dyDescent="0.25">
      <c r="B5965" s="4">
        <f t="shared" si="109"/>
        <v>629.5899999999458</v>
      </c>
      <c r="C5965" s="199">
        <v>1399.2043737000265</v>
      </c>
      <c r="D5965" s="8"/>
    </row>
    <row r="5966" spans="2:4" x14ac:dyDescent="0.25">
      <c r="B5966" s="4">
        <f t="shared" si="109"/>
        <v>629.59999999994579</v>
      </c>
      <c r="C5966" s="199">
        <v>1399.4585186741494</v>
      </c>
      <c r="D5966" s="8"/>
    </row>
    <row r="5967" spans="2:4" x14ac:dyDescent="0.25">
      <c r="B5967" s="4">
        <f t="shared" si="109"/>
        <v>629.60999999994579</v>
      </c>
      <c r="C5967" s="199">
        <v>1399.712663648274</v>
      </c>
      <c r="D5967" s="8"/>
    </row>
    <row r="5968" spans="2:4" x14ac:dyDescent="0.25">
      <c r="B5968" s="4">
        <f t="shared" si="109"/>
        <v>629.61999999994578</v>
      </c>
      <c r="C5968" s="199">
        <v>1399.9670028970156</v>
      </c>
      <c r="D5968" s="8"/>
    </row>
    <row r="5969" spans="2:4" x14ac:dyDescent="0.25">
      <c r="B5969" s="4">
        <f t="shared" si="109"/>
        <v>629.62999999994577</v>
      </c>
      <c r="C5969" s="199">
        <v>1400.2213421457568</v>
      </c>
      <c r="D5969" s="8"/>
    </row>
    <row r="5970" spans="2:4" x14ac:dyDescent="0.25">
      <c r="B5970" s="4">
        <f t="shared" si="109"/>
        <v>629.63999999994576</v>
      </c>
      <c r="C5970" s="199">
        <v>1400.4756813944973</v>
      </c>
      <c r="D5970" s="8"/>
    </row>
    <row r="5971" spans="2:4" x14ac:dyDescent="0.25">
      <c r="B5971" s="4">
        <f t="shared" si="109"/>
        <v>629.64999999994575</v>
      </c>
      <c r="C5971" s="199">
        <v>1400.730020643239</v>
      </c>
      <c r="D5971" s="8"/>
    </row>
    <row r="5972" spans="2:4" x14ac:dyDescent="0.25">
      <c r="B5972" s="4">
        <f t="shared" si="109"/>
        <v>629.65999999994574</v>
      </c>
      <c r="C5972" s="199">
        <v>1400.9843598919799</v>
      </c>
      <c r="D5972" s="8"/>
    </row>
    <row r="5973" spans="2:4" x14ac:dyDescent="0.25">
      <c r="B5973" s="4">
        <f t="shared" si="109"/>
        <v>629.66999999994573</v>
      </c>
      <c r="C5973" s="199">
        <v>1401.2386991407207</v>
      </c>
      <c r="D5973" s="8"/>
    </row>
    <row r="5974" spans="2:4" x14ac:dyDescent="0.25">
      <c r="B5974" s="4">
        <f t="shared" si="109"/>
        <v>629.67999999994572</v>
      </c>
      <c r="C5974" s="199">
        <v>1401.4930383894612</v>
      </c>
      <c r="D5974" s="8"/>
    </row>
    <row r="5975" spans="2:4" x14ac:dyDescent="0.25">
      <c r="B5975" s="4">
        <f t="shared" si="109"/>
        <v>629.68999999994571</v>
      </c>
      <c r="C5975" s="199">
        <v>1401.7473776382021</v>
      </c>
      <c r="D5975" s="8"/>
    </row>
    <row r="5976" spans="2:4" x14ac:dyDescent="0.25">
      <c r="B5976" s="4">
        <f t="shared" si="109"/>
        <v>629.6999999999457</v>
      </c>
      <c r="C5976" s="199">
        <v>1402.0017168869426</v>
      </c>
      <c r="D5976" s="8"/>
    </row>
    <row r="5977" spans="2:4" x14ac:dyDescent="0.25">
      <c r="B5977" s="4">
        <f t="shared" si="109"/>
        <v>629.70999999994569</v>
      </c>
      <c r="C5977" s="199">
        <v>1402.2560561356831</v>
      </c>
      <c r="D5977" s="8"/>
    </row>
    <row r="5978" spans="2:4" x14ac:dyDescent="0.25">
      <c r="B5978" s="4">
        <f t="shared" si="109"/>
        <v>629.71999999994568</v>
      </c>
      <c r="C5978" s="199">
        <v>1402.5105929667129</v>
      </c>
      <c r="D5978" s="8"/>
    </row>
    <row r="5979" spans="2:4" x14ac:dyDescent="0.25">
      <c r="B5979" s="4">
        <f t="shared" si="109"/>
        <v>629.72999999994568</v>
      </c>
      <c r="C5979" s="199">
        <v>1402.7651297977472</v>
      </c>
      <c r="D5979" s="8"/>
    </row>
    <row r="5980" spans="2:4" x14ac:dyDescent="0.25">
      <c r="B5980" s="4">
        <f t="shared" si="109"/>
        <v>629.73999999994567</v>
      </c>
      <c r="C5980" s="199">
        <v>1403.0196666287825</v>
      </c>
      <c r="D5980" s="8"/>
    </row>
    <row r="5981" spans="2:4" x14ac:dyDescent="0.25">
      <c r="B5981" s="4">
        <f t="shared" si="109"/>
        <v>629.74999999994566</v>
      </c>
      <c r="C5981" s="199">
        <v>1403.2742034598173</v>
      </c>
      <c r="D5981" s="8"/>
    </row>
    <row r="5982" spans="2:4" x14ac:dyDescent="0.25">
      <c r="B5982" s="4">
        <f t="shared" si="109"/>
        <v>629.75999999994565</v>
      </c>
      <c r="C5982" s="199">
        <v>1403.5287402908516</v>
      </c>
      <c r="D5982" s="8"/>
    </row>
    <row r="5983" spans="2:4" x14ac:dyDescent="0.25">
      <c r="B5983" s="4">
        <f t="shared" si="109"/>
        <v>629.76999999994564</v>
      </c>
      <c r="C5983" s="199">
        <v>1403.7832771218871</v>
      </c>
      <c r="D5983" s="8"/>
    </row>
    <row r="5984" spans="2:4" x14ac:dyDescent="0.25">
      <c r="B5984" s="4">
        <f t="shared" si="109"/>
        <v>629.77999999994563</v>
      </c>
      <c r="C5984" s="199">
        <v>1404.0378139529209</v>
      </c>
      <c r="D5984" s="8"/>
    </row>
    <row r="5985" spans="2:4" x14ac:dyDescent="0.25">
      <c r="B5985" s="4">
        <f t="shared" si="109"/>
        <v>629.78999999994562</v>
      </c>
      <c r="C5985" s="199">
        <v>1404.2923507839562</v>
      </c>
      <c r="D5985" s="8"/>
    </row>
    <row r="5986" spans="2:4" x14ac:dyDescent="0.25">
      <c r="B5986" s="4">
        <f t="shared" si="109"/>
        <v>629.79999999994561</v>
      </c>
      <c r="C5986" s="199">
        <v>1404.5468876149914</v>
      </c>
      <c r="D5986" s="8"/>
    </row>
    <row r="5987" spans="2:4" x14ac:dyDescent="0.25">
      <c r="B5987" s="4">
        <f t="shared" si="109"/>
        <v>629.8099999999456</v>
      </c>
      <c r="C5987" s="199">
        <v>1404.8014244460257</v>
      </c>
      <c r="D5987" s="8"/>
    </row>
    <row r="5988" spans="2:4" x14ac:dyDescent="0.25">
      <c r="B5988" s="4">
        <f t="shared" si="109"/>
        <v>629.81999999994559</v>
      </c>
      <c r="C5988" s="199">
        <v>1405.056158541041</v>
      </c>
      <c r="D5988" s="8"/>
    </row>
    <row r="5989" spans="2:4" x14ac:dyDescent="0.25">
      <c r="B5989" s="4">
        <f t="shared" si="109"/>
        <v>629.82999999994558</v>
      </c>
      <c r="C5989" s="199">
        <v>1405.3108926360558</v>
      </c>
      <c r="D5989" s="8"/>
    </row>
    <row r="5990" spans="2:4" x14ac:dyDescent="0.25">
      <c r="B5990" s="4">
        <f t="shared" si="109"/>
        <v>629.83999999994558</v>
      </c>
      <c r="C5990" s="199">
        <v>1405.565626731071</v>
      </c>
      <c r="D5990" s="8"/>
    </row>
    <row r="5991" spans="2:4" x14ac:dyDescent="0.25">
      <c r="B5991" s="4">
        <f t="shared" si="109"/>
        <v>629.84999999994557</v>
      </c>
      <c r="C5991" s="199">
        <v>1405.8203608260858</v>
      </c>
      <c r="D5991" s="8"/>
    </row>
    <row r="5992" spans="2:4" x14ac:dyDescent="0.25">
      <c r="B5992" s="4">
        <f t="shared" si="109"/>
        <v>629.85999999994556</v>
      </c>
      <c r="C5992" s="199">
        <v>1406.0750949211003</v>
      </c>
      <c r="D5992" s="8"/>
    </row>
    <row r="5993" spans="2:4" x14ac:dyDescent="0.25">
      <c r="B5993" s="4">
        <f t="shared" si="109"/>
        <v>629.86999999994555</v>
      </c>
      <c r="C5993" s="199">
        <v>1406.3298290161158</v>
      </c>
      <c r="D5993" s="8"/>
    </row>
    <row r="5994" spans="2:4" x14ac:dyDescent="0.25">
      <c r="B5994" s="4">
        <f t="shared" si="109"/>
        <v>629.87999999994554</v>
      </c>
      <c r="C5994" s="199">
        <v>1406.5845631111297</v>
      </c>
      <c r="D5994" s="8"/>
    </row>
    <row r="5995" spans="2:4" x14ac:dyDescent="0.25">
      <c r="B5995" s="4">
        <f t="shared" si="109"/>
        <v>629.88999999994553</v>
      </c>
      <c r="C5995" s="199">
        <v>1406.839297206144</v>
      </c>
      <c r="D5995" s="8"/>
    </row>
    <row r="5996" spans="2:4" x14ac:dyDescent="0.25">
      <c r="B5996" s="4">
        <f t="shared" si="109"/>
        <v>629.89999999994552</v>
      </c>
      <c r="C5996" s="199">
        <v>1407.0940313011592</v>
      </c>
      <c r="D5996" s="8"/>
    </row>
    <row r="5997" spans="2:4" x14ac:dyDescent="0.25">
      <c r="B5997" s="4">
        <f t="shared" si="109"/>
        <v>629.90999999994551</v>
      </c>
      <c r="C5997" s="199">
        <v>1407.3487653961743</v>
      </c>
      <c r="D5997" s="8"/>
    </row>
    <row r="5998" spans="2:4" x14ac:dyDescent="0.25">
      <c r="B5998" s="4">
        <f t="shared" si="109"/>
        <v>629.9199999999455</v>
      </c>
      <c r="C5998" s="199">
        <v>1407.6036946269589</v>
      </c>
      <c r="D5998" s="8"/>
    </row>
    <row r="5999" spans="2:4" x14ac:dyDescent="0.25">
      <c r="B5999" s="4">
        <f t="shared" si="109"/>
        <v>629.92999999994549</v>
      </c>
      <c r="C5999" s="199">
        <v>1407.8586238577486</v>
      </c>
      <c r="D5999" s="8"/>
    </row>
    <row r="6000" spans="2:4" x14ac:dyDescent="0.25">
      <c r="B6000" s="4">
        <f t="shared" si="109"/>
        <v>629.93999999994548</v>
      </c>
      <c r="C6000" s="199">
        <v>1408.1135530885392</v>
      </c>
      <c r="D6000" s="8"/>
    </row>
    <row r="6001" spans="2:4" x14ac:dyDescent="0.25">
      <c r="B6001" s="4">
        <f t="shared" si="109"/>
        <v>629.94999999994548</v>
      </c>
      <c r="C6001" s="199">
        <v>1408.3684823193289</v>
      </c>
      <c r="D6001" s="8"/>
    </row>
    <row r="6002" spans="2:4" x14ac:dyDescent="0.25">
      <c r="B6002" s="4">
        <f t="shared" si="109"/>
        <v>629.95999999994547</v>
      </c>
      <c r="C6002" s="199">
        <v>1408.6234115501195</v>
      </c>
      <c r="D6002" s="8"/>
    </row>
    <row r="6003" spans="2:4" x14ac:dyDescent="0.25">
      <c r="B6003" s="4">
        <f t="shared" si="109"/>
        <v>629.96999999994546</v>
      </c>
      <c r="C6003" s="199">
        <v>1408.8783407809087</v>
      </c>
      <c r="D6003" s="8"/>
    </row>
    <row r="6004" spans="2:4" x14ac:dyDescent="0.25">
      <c r="B6004" s="4">
        <f t="shared" si="109"/>
        <v>629.97999999994545</v>
      </c>
      <c r="C6004" s="199">
        <v>1409.1332700116993</v>
      </c>
      <c r="D6004" s="8"/>
    </row>
    <row r="6005" spans="2:4" x14ac:dyDescent="0.25">
      <c r="B6005" s="4">
        <f t="shared" si="109"/>
        <v>629.98999999994544</v>
      </c>
      <c r="C6005" s="199">
        <v>1409.3881992424888</v>
      </c>
      <c r="D6005" s="8"/>
    </row>
    <row r="6006" spans="2:4" x14ac:dyDescent="0.25">
      <c r="B6006" s="4">
        <f t="shared" si="109"/>
        <v>629.99999999994543</v>
      </c>
      <c r="C6006" s="199">
        <v>1409.6431284732794</v>
      </c>
      <c r="D6006" s="8"/>
    </row>
    <row r="6007" spans="2:4" x14ac:dyDescent="0.25">
      <c r="B6007" s="4">
        <f t="shared" si="109"/>
        <v>630.00999999994542</v>
      </c>
      <c r="C6007" s="199">
        <v>1409.8980577040691</v>
      </c>
      <c r="D6007" s="8"/>
    </row>
    <row r="6008" spans="2:4" x14ac:dyDescent="0.25">
      <c r="B6008" s="4">
        <f t="shared" si="109"/>
        <v>630.01999999994541</v>
      </c>
      <c r="C6008" s="199">
        <v>1410.1531857896418</v>
      </c>
      <c r="D6008" s="8"/>
    </row>
    <row r="6009" spans="2:4" x14ac:dyDescent="0.25">
      <c r="B6009" s="4">
        <f t="shared" si="109"/>
        <v>630.0299999999454</v>
      </c>
      <c r="C6009" s="199">
        <v>1410.4083138752123</v>
      </c>
      <c r="D6009" s="8"/>
    </row>
    <row r="6010" spans="2:4" x14ac:dyDescent="0.25">
      <c r="B6010" s="4">
        <f t="shared" si="109"/>
        <v>630.03999999994539</v>
      </c>
      <c r="C6010" s="199">
        <v>1410.6634419607842</v>
      </c>
      <c r="D6010" s="8"/>
    </row>
    <row r="6011" spans="2:4" x14ac:dyDescent="0.25">
      <c r="B6011" s="4">
        <f t="shared" si="109"/>
        <v>630.04999999994538</v>
      </c>
      <c r="C6011" s="199">
        <v>1410.9185700463568</v>
      </c>
      <c r="D6011" s="8"/>
    </row>
    <row r="6012" spans="2:4" x14ac:dyDescent="0.25">
      <c r="B6012" s="4">
        <f t="shared" si="109"/>
        <v>630.05999999994538</v>
      </c>
      <c r="C6012" s="199">
        <v>1411.1736981319277</v>
      </c>
      <c r="D6012" s="8"/>
    </row>
    <row r="6013" spans="2:4" x14ac:dyDescent="0.25">
      <c r="B6013" s="4">
        <f t="shared" si="109"/>
        <v>630.06999999994537</v>
      </c>
      <c r="C6013" s="199">
        <v>1411.4288262174996</v>
      </c>
      <c r="D6013" s="8"/>
    </row>
    <row r="6014" spans="2:4" x14ac:dyDescent="0.25">
      <c r="B6014" s="4">
        <f t="shared" si="109"/>
        <v>630.07999999994536</v>
      </c>
      <c r="C6014" s="199">
        <v>1411.6839543030719</v>
      </c>
      <c r="D6014" s="8"/>
    </row>
    <row r="6015" spans="2:4" x14ac:dyDescent="0.25">
      <c r="B6015" s="4">
        <f t="shared" si="109"/>
        <v>630.08999999994535</v>
      </c>
      <c r="C6015" s="199">
        <v>1411.9390823886426</v>
      </c>
      <c r="D6015" s="8"/>
    </row>
    <row r="6016" spans="2:4" x14ac:dyDescent="0.25">
      <c r="B6016" s="4">
        <f t="shared" si="109"/>
        <v>630.09999999994534</v>
      </c>
      <c r="C6016" s="199">
        <v>1412.194210474215</v>
      </c>
      <c r="D6016" s="8"/>
    </row>
    <row r="6017" spans="2:4" x14ac:dyDescent="0.25">
      <c r="B6017" s="4">
        <f t="shared" si="109"/>
        <v>630.10999999994533</v>
      </c>
      <c r="C6017" s="199">
        <v>1412.4493385597857</v>
      </c>
      <c r="D6017" s="8"/>
    </row>
    <row r="6018" spans="2:4" x14ac:dyDescent="0.25">
      <c r="B6018" s="4">
        <f t="shared" si="109"/>
        <v>630.11999999994532</v>
      </c>
      <c r="C6018" s="199">
        <v>1412.7046633264322</v>
      </c>
      <c r="D6018" s="8"/>
    </row>
    <row r="6019" spans="2:4" x14ac:dyDescent="0.25">
      <c r="B6019" s="4">
        <f t="shared" si="109"/>
        <v>630.12999999994531</v>
      </c>
      <c r="C6019" s="199">
        <v>1412.9599880930841</v>
      </c>
      <c r="D6019" s="8"/>
    </row>
    <row r="6020" spans="2:4" x14ac:dyDescent="0.25">
      <c r="B6020" s="4">
        <f t="shared" si="109"/>
        <v>630.1399999999453</v>
      </c>
      <c r="C6020" s="199">
        <v>1413.2153128597377</v>
      </c>
      <c r="D6020" s="8"/>
    </row>
    <row r="6021" spans="2:4" x14ac:dyDescent="0.25">
      <c r="B6021" s="4">
        <f t="shared" si="109"/>
        <v>630.14999999994529</v>
      </c>
      <c r="C6021" s="199">
        <v>1413.47063762639</v>
      </c>
      <c r="D6021" s="8"/>
    </row>
    <row r="6022" spans="2:4" x14ac:dyDescent="0.25">
      <c r="B6022" s="4">
        <f t="shared" si="109"/>
        <v>630.15999999994528</v>
      </c>
      <c r="C6022" s="199">
        <v>1413.7259623930424</v>
      </c>
      <c r="D6022" s="8"/>
    </row>
    <row r="6023" spans="2:4" x14ac:dyDescent="0.25">
      <c r="B6023" s="4">
        <f t="shared" si="109"/>
        <v>630.16999999994528</v>
      </c>
      <c r="C6023" s="199">
        <v>1413.9812871596944</v>
      </c>
      <c r="D6023" s="8"/>
    </row>
    <row r="6024" spans="2:4" x14ac:dyDescent="0.25">
      <c r="B6024" s="4">
        <f t="shared" ref="B6024:B6087" si="110">+B6023+0.01</f>
        <v>630.17999999994527</v>
      </c>
      <c r="C6024" s="199">
        <v>1414.236611926347</v>
      </c>
      <c r="D6024" s="8"/>
    </row>
    <row r="6025" spans="2:4" x14ac:dyDescent="0.25">
      <c r="B6025" s="4">
        <f t="shared" si="110"/>
        <v>630.18999999994526</v>
      </c>
      <c r="C6025" s="199">
        <v>1414.4919366929996</v>
      </c>
      <c r="D6025" s="8"/>
    </row>
    <row r="6026" spans="2:4" x14ac:dyDescent="0.25">
      <c r="B6026" s="4">
        <f t="shared" si="110"/>
        <v>630.19999999994525</v>
      </c>
      <c r="C6026" s="199">
        <v>1414.7472614596516</v>
      </c>
      <c r="D6026" s="8"/>
    </row>
    <row r="6027" spans="2:4" x14ac:dyDescent="0.25">
      <c r="B6027" s="4">
        <f t="shared" si="110"/>
        <v>630.20999999994524</v>
      </c>
      <c r="C6027" s="199">
        <v>1415.0025862263049</v>
      </c>
      <c r="D6027" s="8"/>
    </row>
    <row r="6028" spans="2:4" x14ac:dyDescent="0.25">
      <c r="B6028" s="4">
        <f t="shared" si="110"/>
        <v>630.21999999994523</v>
      </c>
      <c r="C6028" s="199">
        <v>1415.2581117945811</v>
      </c>
      <c r="D6028" s="8"/>
    </row>
    <row r="6029" spans="2:4" x14ac:dyDescent="0.25">
      <c r="B6029" s="4">
        <f t="shared" si="110"/>
        <v>630.22999999994522</v>
      </c>
      <c r="C6029" s="199">
        <v>1415.5136373628584</v>
      </c>
      <c r="D6029" s="8"/>
    </row>
    <row r="6030" spans="2:4" x14ac:dyDescent="0.25">
      <c r="B6030" s="4">
        <f t="shared" si="110"/>
        <v>630.23999999994521</v>
      </c>
      <c r="C6030" s="199">
        <v>1415.7691629311348</v>
      </c>
      <c r="D6030" s="8"/>
    </row>
    <row r="6031" spans="2:4" x14ac:dyDescent="0.25">
      <c r="B6031" s="4">
        <f t="shared" si="110"/>
        <v>630.2499999999452</v>
      </c>
      <c r="C6031" s="199">
        <v>1416.0246884994117</v>
      </c>
      <c r="D6031" s="8"/>
    </row>
    <row r="6032" spans="2:4" x14ac:dyDescent="0.25">
      <c r="B6032" s="4">
        <f t="shared" si="110"/>
        <v>630.25999999994519</v>
      </c>
      <c r="C6032" s="199">
        <v>1416.280214067687</v>
      </c>
      <c r="D6032" s="8"/>
    </row>
    <row r="6033" spans="2:4" x14ac:dyDescent="0.25">
      <c r="B6033" s="4">
        <f t="shared" si="110"/>
        <v>630.26999999994518</v>
      </c>
      <c r="C6033" s="199">
        <v>1416.5357396359643</v>
      </c>
      <c r="D6033" s="8"/>
    </row>
    <row r="6034" spans="2:4" x14ac:dyDescent="0.25">
      <c r="B6034" s="4">
        <f t="shared" si="110"/>
        <v>630.27999999994518</v>
      </c>
      <c r="C6034" s="199">
        <v>1416.7912652042403</v>
      </c>
      <c r="D6034" s="8"/>
    </row>
    <row r="6035" spans="2:4" x14ac:dyDescent="0.25">
      <c r="B6035" s="4">
        <f t="shared" si="110"/>
        <v>630.28999999994517</v>
      </c>
      <c r="C6035" s="199">
        <v>1417.0467907725176</v>
      </c>
      <c r="D6035" s="8"/>
    </row>
    <row r="6036" spans="2:4" x14ac:dyDescent="0.25">
      <c r="B6036" s="4">
        <f t="shared" si="110"/>
        <v>630.29999999994516</v>
      </c>
      <c r="C6036" s="199">
        <v>1417.3023163407929</v>
      </c>
      <c r="D6036" s="8"/>
    </row>
    <row r="6037" spans="2:4" x14ac:dyDescent="0.25">
      <c r="B6037" s="4">
        <f t="shared" si="110"/>
        <v>630.30999999994515</v>
      </c>
      <c r="C6037" s="199">
        <v>1417.5578419090702</v>
      </c>
      <c r="D6037" s="8"/>
    </row>
    <row r="6038" spans="2:4" x14ac:dyDescent="0.25">
      <c r="B6038" s="4">
        <f t="shared" si="110"/>
        <v>630.31999999994514</v>
      </c>
      <c r="C6038" s="199">
        <v>1417.8135670282181</v>
      </c>
      <c r="D6038" s="8"/>
    </row>
    <row r="6039" spans="2:4" x14ac:dyDescent="0.25">
      <c r="B6039" s="4">
        <f t="shared" si="110"/>
        <v>630.32999999994513</v>
      </c>
      <c r="C6039" s="199">
        <v>1418.0692921473706</v>
      </c>
      <c r="D6039" s="8"/>
    </row>
    <row r="6040" spans="2:4" x14ac:dyDescent="0.25">
      <c r="B6040" s="4">
        <f t="shared" si="110"/>
        <v>630.33999999994512</v>
      </c>
      <c r="C6040" s="199">
        <v>1418.3250172665244</v>
      </c>
      <c r="D6040" s="8"/>
    </row>
    <row r="6041" spans="2:4" x14ac:dyDescent="0.25">
      <c r="B6041" s="4">
        <f t="shared" si="110"/>
        <v>630.34999999994511</v>
      </c>
      <c r="C6041" s="199">
        <v>1418.5807423856784</v>
      </c>
      <c r="D6041" s="8"/>
    </row>
    <row r="6042" spans="2:4" x14ac:dyDescent="0.25">
      <c r="B6042" s="4">
        <f t="shared" si="110"/>
        <v>630.3599999999451</v>
      </c>
      <c r="C6042" s="199">
        <v>1418.8364675048324</v>
      </c>
      <c r="D6042" s="8"/>
    </row>
    <row r="6043" spans="2:4" x14ac:dyDescent="0.25">
      <c r="B6043" s="4">
        <f t="shared" si="110"/>
        <v>630.36999999994509</v>
      </c>
      <c r="C6043" s="199">
        <v>1419.0921926239846</v>
      </c>
      <c r="D6043" s="8"/>
    </row>
    <row r="6044" spans="2:4" x14ac:dyDescent="0.25">
      <c r="B6044" s="4">
        <f t="shared" si="110"/>
        <v>630.37999999994508</v>
      </c>
      <c r="C6044" s="199">
        <v>1419.3479177431386</v>
      </c>
      <c r="D6044" s="8"/>
    </row>
    <row r="6045" spans="2:4" x14ac:dyDescent="0.25">
      <c r="B6045" s="4">
        <f t="shared" si="110"/>
        <v>630.38999999994508</v>
      </c>
      <c r="C6045" s="199">
        <v>1419.6036428622929</v>
      </c>
      <c r="D6045" s="8"/>
    </row>
    <row r="6046" spans="2:4" x14ac:dyDescent="0.25">
      <c r="B6046" s="4">
        <f t="shared" si="110"/>
        <v>630.39999999994507</v>
      </c>
      <c r="C6046" s="199">
        <v>1419.8593679814464</v>
      </c>
      <c r="D6046" s="8"/>
    </row>
    <row r="6047" spans="2:4" x14ac:dyDescent="0.25">
      <c r="B6047" s="4">
        <f t="shared" si="110"/>
        <v>630.40999999994506</v>
      </c>
      <c r="C6047" s="199">
        <v>1420.1150931006</v>
      </c>
      <c r="D6047" s="8"/>
    </row>
    <row r="6048" spans="2:4" x14ac:dyDescent="0.25">
      <c r="B6048" s="4">
        <f t="shared" si="110"/>
        <v>630.41999999994505</v>
      </c>
      <c r="C6048" s="199">
        <v>1420.3710161619067</v>
      </c>
      <c r="D6048" s="8"/>
    </row>
    <row r="6049" spans="2:4" x14ac:dyDescent="0.25">
      <c r="B6049" s="4">
        <f t="shared" si="110"/>
        <v>630.42999999994504</v>
      </c>
      <c r="C6049" s="199">
        <v>1420.6269392232125</v>
      </c>
      <c r="D6049" s="8"/>
    </row>
    <row r="6050" spans="2:4" x14ac:dyDescent="0.25">
      <c r="B6050" s="4">
        <f t="shared" si="110"/>
        <v>630.43999999994503</v>
      </c>
      <c r="C6050" s="199">
        <v>1420.8828622845188</v>
      </c>
      <c r="D6050" s="8"/>
    </row>
    <row r="6051" spans="2:4" x14ac:dyDescent="0.25">
      <c r="B6051" s="4">
        <f t="shared" si="110"/>
        <v>630.44999999994502</v>
      </c>
      <c r="C6051" s="199">
        <v>1421.1387853458241</v>
      </c>
      <c r="D6051" s="8"/>
    </row>
    <row r="6052" spans="2:4" x14ac:dyDescent="0.25">
      <c r="B6052" s="4">
        <f t="shared" si="110"/>
        <v>630.45999999994501</v>
      </c>
      <c r="C6052" s="199">
        <v>1421.394708407131</v>
      </c>
      <c r="D6052" s="8"/>
    </row>
    <row r="6053" spans="2:4" x14ac:dyDescent="0.25">
      <c r="B6053" s="4">
        <f t="shared" si="110"/>
        <v>630.469999999945</v>
      </c>
      <c r="C6053" s="199">
        <v>1421.6506314684366</v>
      </c>
      <c r="D6053" s="8"/>
    </row>
    <row r="6054" spans="2:4" x14ac:dyDescent="0.25">
      <c r="B6054" s="4">
        <f t="shared" si="110"/>
        <v>630.47999999994499</v>
      </c>
      <c r="C6054" s="199">
        <v>1421.9065545297422</v>
      </c>
      <c r="D6054" s="8"/>
    </row>
    <row r="6055" spans="2:4" x14ac:dyDescent="0.25">
      <c r="B6055" s="4">
        <f t="shared" si="110"/>
        <v>630.48999999994498</v>
      </c>
      <c r="C6055" s="199">
        <v>1422.1624775910479</v>
      </c>
      <c r="D6055" s="8"/>
    </row>
    <row r="6056" spans="2:4" x14ac:dyDescent="0.25">
      <c r="B6056" s="4">
        <f t="shared" si="110"/>
        <v>630.49999999994498</v>
      </c>
      <c r="C6056" s="199">
        <v>1422.4184006523537</v>
      </c>
      <c r="D6056" s="8"/>
    </row>
    <row r="6057" spans="2:4" x14ac:dyDescent="0.25">
      <c r="B6057" s="4">
        <f t="shared" si="110"/>
        <v>630.50999999994497</v>
      </c>
      <c r="C6057" s="199">
        <v>1422.6743237136598</v>
      </c>
      <c r="D6057" s="8"/>
    </row>
    <row r="6058" spans="2:4" x14ac:dyDescent="0.25">
      <c r="B6058" s="4">
        <f t="shared" si="110"/>
        <v>630.51999999994496</v>
      </c>
      <c r="C6058" s="199">
        <v>1422.9304473926734</v>
      </c>
      <c r="D6058" s="8"/>
    </row>
    <row r="6059" spans="2:4" x14ac:dyDescent="0.25">
      <c r="B6059" s="4">
        <f t="shared" si="110"/>
        <v>630.52999999994495</v>
      </c>
      <c r="C6059" s="199">
        <v>1423.1865710716922</v>
      </c>
      <c r="D6059" s="8"/>
    </row>
    <row r="6060" spans="2:4" x14ac:dyDescent="0.25">
      <c r="B6060" s="4">
        <f t="shared" si="110"/>
        <v>630.53999999994494</v>
      </c>
      <c r="C6060" s="199">
        <v>1423.4426947507118</v>
      </c>
      <c r="D6060" s="8"/>
    </row>
    <row r="6061" spans="2:4" x14ac:dyDescent="0.25">
      <c r="B6061" s="4">
        <f t="shared" si="110"/>
        <v>630.54999999994493</v>
      </c>
      <c r="C6061" s="199">
        <v>1423.6988184297302</v>
      </c>
      <c r="D6061" s="8"/>
    </row>
    <row r="6062" spans="2:4" x14ac:dyDescent="0.25">
      <c r="B6062" s="4">
        <f t="shared" si="110"/>
        <v>630.55999999994492</v>
      </c>
      <c r="C6062" s="199">
        <v>1423.9549421087499</v>
      </c>
      <c r="D6062" s="8"/>
    </row>
    <row r="6063" spans="2:4" x14ac:dyDescent="0.25">
      <c r="B6063" s="4">
        <f t="shared" si="110"/>
        <v>630.56999999994491</v>
      </c>
      <c r="C6063" s="199">
        <v>1424.211065787769</v>
      </c>
      <c r="D6063" s="8"/>
    </row>
    <row r="6064" spans="2:4" x14ac:dyDescent="0.25">
      <c r="B6064" s="4">
        <f t="shared" si="110"/>
        <v>630.5799999999449</v>
      </c>
      <c r="C6064" s="199">
        <v>1424.4671894667888</v>
      </c>
      <c r="D6064" s="8"/>
    </row>
    <row r="6065" spans="2:4" x14ac:dyDescent="0.25">
      <c r="B6065" s="4">
        <f t="shared" si="110"/>
        <v>630.58999999994489</v>
      </c>
      <c r="C6065" s="199">
        <v>1424.7233131458079</v>
      </c>
      <c r="D6065" s="8"/>
    </row>
    <row r="6066" spans="2:4" x14ac:dyDescent="0.25">
      <c r="B6066" s="4">
        <f t="shared" si="110"/>
        <v>630.59999999994488</v>
      </c>
      <c r="C6066" s="199">
        <v>1424.9794368248279</v>
      </c>
      <c r="D6066" s="8"/>
    </row>
    <row r="6067" spans="2:4" x14ac:dyDescent="0.25">
      <c r="B6067" s="4">
        <f t="shared" si="110"/>
        <v>630.60999999994488</v>
      </c>
      <c r="C6067" s="199">
        <v>1425.2355605038456</v>
      </c>
      <c r="D6067" s="8"/>
    </row>
    <row r="6068" spans="2:4" x14ac:dyDescent="0.25">
      <c r="B6068" s="4">
        <f t="shared" si="110"/>
        <v>630.61999999994487</v>
      </c>
      <c r="C6068" s="199">
        <v>1425.491879413255</v>
      </c>
      <c r="D6068" s="8"/>
    </row>
    <row r="6069" spans="2:4" x14ac:dyDescent="0.25">
      <c r="B6069" s="4">
        <f t="shared" si="110"/>
        <v>630.62999999994486</v>
      </c>
      <c r="C6069" s="199">
        <v>1425.748198322663</v>
      </c>
      <c r="D6069" s="8"/>
    </row>
    <row r="6070" spans="2:4" x14ac:dyDescent="0.25">
      <c r="B6070" s="4">
        <f t="shared" si="110"/>
        <v>630.63999999994485</v>
      </c>
      <c r="C6070" s="199">
        <v>1426.0045172320708</v>
      </c>
      <c r="D6070" s="8"/>
    </row>
    <row r="6071" spans="2:4" x14ac:dyDescent="0.25">
      <c r="B6071" s="4">
        <f t="shared" si="110"/>
        <v>630.64999999994484</v>
      </c>
      <c r="C6071" s="199">
        <v>1426.2608361414789</v>
      </c>
      <c r="D6071" s="8"/>
    </row>
    <row r="6072" spans="2:4" x14ac:dyDescent="0.25">
      <c r="B6072" s="4">
        <f t="shared" si="110"/>
        <v>630.65999999994483</v>
      </c>
      <c r="C6072" s="199">
        <v>1426.5171550508865</v>
      </c>
      <c r="D6072" s="8"/>
    </row>
    <row r="6073" spans="2:4" x14ac:dyDescent="0.25">
      <c r="B6073" s="4">
        <f t="shared" si="110"/>
        <v>630.66999999994482</v>
      </c>
      <c r="C6073" s="199">
        <v>1426.7734739602945</v>
      </c>
      <c r="D6073" s="8"/>
    </row>
    <row r="6074" spans="2:4" x14ac:dyDescent="0.25">
      <c r="B6074" s="4">
        <f t="shared" si="110"/>
        <v>630.67999999994481</v>
      </c>
      <c r="C6074" s="199">
        <v>1427.0297928697016</v>
      </c>
      <c r="D6074" s="8"/>
    </row>
    <row r="6075" spans="2:4" x14ac:dyDescent="0.25">
      <c r="B6075" s="4">
        <f t="shared" si="110"/>
        <v>630.6899999999448</v>
      </c>
      <c r="C6075" s="199">
        <v>1427.2861117791101</v>
      </c>
      <c r="D6075" s="8"/>
    </row>
    <row r="6076" spans="2:4" x14ac:dyDescent="0.25">
      <c r="B6076" s="4">
        <f t="shared" si="110"/>
        <v>630.69999999994479</v>
      </c>
      <c r="C6076" s="199">
        <v>1427.5424306885172</v>
      </c>
      <c r="D6076" s="8"/>
    </row>
    <row r="6077" spans="2:4" x14ac:dyDescent="0.25">
      <c r="B6077" s="4">
        <f t="shared" si="110"/>
        <v>630.70999999994478</v>
      </c>
      <c r="C6077" s="199">
        <v>1427.7987495979253</v>
      </c>
      <c r="D6077" s="8"/>
    </row>
    <row r="6078" spans="2:4" x14ac:dyDescent="0.25">
      <c r="B6078" s="4">
        <f t="shared" si="110"/>
        <v>630.71999999994478</v>
      </c>
      <c r="C6078" s="199">
        <v>1428.0552701722852</v>
      </c>
      <c r="D6078" s="8"/>
    </row>
    <row r="6079" spans="2:4" x14ac:dyDescent="0.25">
      <c r="B6079" s="4">
        <f t="shared" si="110"/>
        <v>630.72999999994477</v>
      </c>
      <c r="C6079" s="199">
        <v>1428.3117907466526</v>
      </c>
      <c r="D6079" s="8"/>
    </row>
    <row r="6080" spans="2:4" x14ac:dyDescent="0.25">
      <c r="B6080" s="4">
        <f t="shared" si="110"/>
        <v>630.73999999994476</v>
      </c>
      <c r="C6080" s="199">
        <v>1428.5683113210198</v>
      </c>
      <c r="D6080" s="8"/>
    </row>
    <row r="6081" spans="2:4" x14ac:dyDescent="0.25">
      <c r="B6081" s="4">
        <f t="shared" si="110"/>
        <v>630.74999999994475</v>
      </c>
      <c r="C6081" s="199">
        <v>1428.8248318953868</v>
      </c>
      <c r="D6081" s="8"/>
    </row>
    <row r="6082" spans="2:4" x14ac:dyDescent="0.25">
      <c r="B6082" s="4">
        <f t="shared" si="110"/>
        <v>630.75999999994474</v>
      </c>
      <c r="C6082" s="199">
        <v>1429.0813524697533</v>
      </c>
      <c r="D6082" s="8"/>
    </row>
    <row r="6083" spans="2:4" x14ac:dyDescent="0.25">
      <c r="B6083" s="4">
        <f t="shared" si="110"/>
        <v>630.76999999994473</v>
      </c>
      <c r="C6083" s="199">
        <v>1429.3378730441211</v>
      </c>
      <c r="D6083" s="8"/>
    </row>
    <row r="6084" spans="2:4" x14ac:dyDescent="0.25">
      <c r="B6084" s="4">
        <f t="shared" si="110"/>
        <v>630.77999999994472</v>
      </c>
      <c r="C6084" s="199">
        <v>1429.5943936184876</v>
      </c>
      <c r="D6084" s="8"/>
    </row>
    <row r="6085" spans="2:4" x14ac:dyDescent="0.25">
      <c r="B6085" s="4">
        <f t="shared" si="110"/>
        <v>630.78999999994471</v>
      </c>
      <c r="C6085" s="199">
        <v>1429.8509141928548</v>
      </c>
      <c r="D6085" s="8"/>
    </row>
    <row r="6086" spans="2:4" x14ac:dyDescent="0.25">
      <c r="B6086" s="4">
        <f t="shared" si="110"/>
        <v>630.7999999999447</v>
      </c>
      <c r="C6086" s="199">
        <v>1430.107434767222</v>
      </c>
      <c r="D6086" s="8"/>
    </row>
    <row r="6087" spans="2:4" x14ac:dyDescent="0.25">
      <c r="B6087" s="4">
        <f t="shared" si="110"/>
        <v>630.80999999994469</v>
      </c>
      <c r="C6087" s="199">
        <v>1430.3639553415894</v>
      </c>
      <c r="D6087" s="8"/>
    </row>
    <row r="6088" spans="2:4" x14ac:dyDescent="0.25">
      <c r="B6088" s="4">
        <f t="shared" ref="B6088:B6151" si="111">+B6087+0.01</f>
        <v>630.81999999994468</v>
      </c>
      <c r="C6088" s="199">
        <v>1430.6206760810055</v>
      </c>
      <c r="D6088" s="8"/>
    </row>
    <row r="6089" spans="2:4" x14ac:dyDescent="0.25">
      <c r="B6089" s="4">
        <f t="shared" si="111"/>
        <v>630.82999999994468</v>
      </c>
      <c r="C6089" s="199">
        <v>1430.8773968204216</v>
      </c>
      <c r="D6089" s="8"/>
    </row>
    <row r="6090" spans="2:4" x14ac:dyDescent="0.25">
      <c r="B6090" s="4">
        <f t="shared" si="111"/>
        <v>630.83999999994467</v>
      </c>
      <c r="C6090" s="199">
        <v>1431.1341175598379</v>
      </c>
      <c r="D6090" s="8"/>
    </row>
    <row r="6091" spans="2:4" x14ac:dyDescent="0.25">
      <c r="B6091" s="4">
        <f t="shared" si="111"/>
        <v>630.84999999994466</v>
      </c>
      <c r="C6091" s="199">
        <v>1431.3908382992547</v>
      </c>
      <c r="D6091" s="8"/>
    </row>
    <row r="6092" spans="2:4" x14ac:dyDescent="0.25">
      <c r="B6092" s="4">
        <f t="shared" si="111"/>
        <v>630.85999999994465</v>
      </c>
      <c r="C6092" s="199">
        <v>1431.6475590386704</v>
      </c>
      <c r="D6092" s="8"/>
    </row>
    <row r="6093" spans="2:4" x14ac:dyDescent="0.25">
      <c r="B6093" s="4">
        <f t="shared" si="111"/>
        <v>630.86999999994464</v>
      </c>
      <c r="C6093" s="199">
        <v>1431.9042797780858</v>
      </c>
      <c r="D6093" s="8"/>
    </row>
    <row r="6094" spans="2:4" x14ac:dyDescent="0.25">
      <c r="B6094" s="4">
        <f t="shared" si="111"/>
        <v>630.87999999994463</v>
      </c>
      <c r="C6094" s="199">
        <v>1432.1610005175025</v>
      </c>
      <c r="D6094" s="8"/>
    </row>
    <row r="6095" spans="2:4" x14ac:dyDescent="0.25">
      <c r="B6095" s="4">
        <f t="shared" si="111"/>
        <v>630.88999999994462</v>
      </c>
      <c r="C6095" s="199">
        <v>1432.4177212569182</v>
      </c>
      <c r="D6095" s="8"/>
    </row>
    <row r="6096" spans="2:4" x14ac:dyDescent="0.25">
      <c r="B6096" s="4">
        <f t="shared" si="111"/>
        <v>630.89999999994461</v>
      </c>
      <c r="C6096" s="199">
        <v>1432.674441996335</v>
      </c>
      <c r="D6096" s="8"/>
    </row>
    <row r="6097" spans="2:4" x14ac:dyDescent="0.25">
      <c r="B6097" s="4">
        <f t="shared" si="111"/>
        <v>630.9099999999446</v>
      </c>
      <c r="C6097" s="199">
        <v>1432.9311627357508</v>
      </c>
      <c r="D6097" s="8"/>
    </row>
    <row r="6098" spans="2:4" x14ac:dyDescent="0.25">
      <c r="B6098" s="4">
        <f t="shared" si="111"/>
        <v>630.91999999994459</v>
      </c>
      <c r="C6098" s="199">
        <v>1433.188081230129</v>
      </c>
      <c r="D6098" s="8"/>
    </row>
    <row r="6099" spans="2:4" x14ac:dyDescent="0.25">
      <c r="B6099" s="4">
        <f t="shared" si="111"/>
        <v>630.92999999994458</v>
      </c>
      <c r="C6099" s="199">
        <v>1433.4449997245131</v>
      </c>
      <c r="D6099" s="8"/>
    </row>
    <row r="6100" spans="2:4" x14ac:dyDescent="0.25">
      <c r="B6100" s="4">
        <f t="shared" si="111"/>
        <v>630.93999999994458</v>
      </c>
      <c r="C6100" s="199">
        <v>1433.7019182188967</v>
      </c>
      <c r="D6100" s="8"/>
    </row>
    <row r="6101" spans="2:4" x14ac:dyDescent="0.25">
      <c r="B6101" s="4">
        <f t="shared" si="111"/>
        <v>630.94999999994457</v>
      </c>
      <c r="C6101" s="199">
        <v>1433.9588367132797</v>
      </c>
      <c r="D6101" s="8"/>
    </row>
    <row r="6102" spans="2:4" x14ac:dyDescent="0.25">
      <c r="B6102" s="4">
        <f t="shared" si="111"/>
        <v>630.95999999994456</v>
      </c>
      <c r="C6102" s="199">
        <v>1434.2157552076635</v>
      </c>
      <c r="D6102" s="8"/>
    </row>
    <row r="6103" spans="2:4" x14ac:dyDescent="0.25">
      <c r="B6103" s="4">
        <f t="shared" si="111"/>
        <v>630.96999999994455</v>
      </c>
      <c r="C6103" s="199">
        <v>1434.4726737020471</v>
      </c>
      <c r="D6103" s="8"/>
    </row>
    <row r="6104" spans="2:4" x14ac:dyDescent="0.25">
      <c r="B6104" s="4">
        <f t="shared" si="111"/>
        <v>630.97999999994454</v>
      </c>
      <c r="C6104" s="199">
        <v>1434.7295921964308</v>
      </c>
      <c r="D6104" s="8"/>
    </row>
    <row r="6105" spans="2:4" x14ac:dyDescent="0.25">
      <c r="B6105" s="4">
        <f t="shared" si="111"/>
        <v>630.98999999994453</v>
      </c>
      <c r="C6105" s="199">
        <v>1434.9865106908132</v>
      </c>
      <c r="D6105" s="8"/>
    </row>
    <row r="6106" spans="2:4" x14ac:dyDescent="0.25">
      <c r="B6106" s="4">
        <f t="shared" si="111"/>
        <v>630.99999999994452</v>
      </c>
      <c r="C6106" s="199">
        <v>1435.2434291851971</v>
      </c>
      <c r="D6106" s="8"/>
    </row>
    <row r="6107" spans="2:4" x14ac:dyDescent="0.25">
      <c r="B6107" s="4">
        <f t="shared" si="111"/>
        <v>631.00999999994451</v>
      </c>
      <c r="C6107" s="199">
        <v>1435.5003476795805</v>
      </c>
      <c r="D6107" s="8"/>
    </row>
    <row r="6108" spans="2:4" x14ac:dyDescent="0.25">
      <c r="B6108" s="4">
        <f t="shared" si="111"/>
        <v>631.0199999999445</v>
      </c>
      <c r="C6108" s="199">
        <v>1435.7574660067128</v>
      </c>
      <c r="D6108" s="8"/>
    </row>
    <row r="6109" spans="2:4" x14ac:dyDescent="0.25">
      <c r="B6109" s="4">
        <f t="shared" si="111"/>
        <v>631.02999999994449</v>
      </c>
      <c r="C6109" s="199">
        <v>1436.0145843338457</v>
      </c>
      <c r="D6109" s="8"/>
    </row>
    <row r="6110" spans="2:4" x14ac:dyDescent="0.25">
      <c r="B6110" s="4">
        <f t="shared" si="111"/>
        <v>631.03999999994448</v>
      </c>
      <c r="C6110" s="199">
        <v>1436.2717026609773</v>
      </c>
      <c r="D6110" s="8"/>
    </row>
    <row r="6111" spans="2:4" x14ac:dyDescent="0.25">
      <c r="B6111" s="4">
        <f t="shared" si="111"/>
        <v>631.04999999994448</v>
      </c>
      <c r="C6111" s="199">
        <v>1436.5288209881101</v>
      </c>
      <c r="D6111" s="8"/>
    </row>
    <row r="6112" spans="2:4" x14ac:dyDescent="0.25">
      <c r="B6112" s="4">
        <f t="shared" si="111"/>
        <v>631.05999999994447</v>
      </c>
      <c r="C6112" s="199">
        <v>1436.7859393152426</v>
      </c>
      <c r="D6112" s="8"/>
    </row>
    <row r="6113" spans="2:4" x14ac:dyDescent="0.25">
      <c r="B6113" s="4">
        <f t="shared" si="111"/>
        <v>631.06999999994446</v>
      </c>
      <c r="C6113" s="199">
        <v>1437.0430576423751</v>
      </c>
      <c r="D6113" s="8"/>
    </row>
    <row r="6114" spans="2:4" x14ac:dyDescent="0.25">
      <c r="B6114" s="4">
        <f t="shared" si="111"/>
        <v>631.07999999994445</v>
      </c>
      <c r="C6114" s="199">
        <v>1437.3001759695067</v>
      </c>
      <c r="D6114" s="8"/>
    </row>
    <row r="6115" spans="2:4" x14ac:dyDescent="0.25">
      <c r="B6115" s="4">
        <f t="shared" si="111"/>
        <v>631.08999999994444</v>
      </c>
      <c r="C6115" s="199">
        <v>1437.5572942966394</v>
      </c>
      <c r="D6115" s="8"/>
    </row>
    <row r="6116" spans="2:4" x14ac:dyDescent="0.25">
      <c r="B6116" s="4">
        <f t="shared" si="111"/>
        <v>631.09999999994443</v>
      </c>
      <c r="C6116" s="199">
        <v>1437.8144126237719</v>
      </c>
      <c r="D6116" s="8"/>
    </row>
    <row r="6117" spans="2:4" x14ac:dyDescent="0.25">
      <c r="B6117" s="4">
        <f t="shared" si="111"/>
        <v>631.10999999994442</v>
      </c>
      <c r="C6117" s="199">
        <v>1438.0715309509048</v>
      </c>
      <c r="D6117" s="8"/>
    </row>
    <row r="6118" spans="2:4" x14ac:dyDescent="0.25">
      <c r="B6118" s="4">
        <f t="shared" si="111"/>
        <v>631.11999999994441</v>
      </c>
      <c r="C6118" s="199">
        <v>1438.3288478503594</v>
      </c>
      <c r="D6118" s="8"/>
    </row>
    <row r="6119" spans="2:4" x14ac:dyDescent="0.25">
      <c r="B6119" s="4">
        <f t="shared" si="111"/>
        <v>631.1299999999444</v>
      </c>
      <c r="C6119" s="199">
        <v>1438.5861647498198</v>
      </c>
      <c r="D6119" s="8"/>
    </row>
    <row r="6120" spans="2:4" x14ac:dyDescent="0.25">
      <c r="B6120" s="4">
        <f t="shared" si="111"/>
        <v>631.13999999994439</v>
      </c>
      <c r="C6120" s="199">
        <v>1438.8434816492795</v>
      </c>
      <c r="D6120" s="8"/>
    </row>
    <row r="6121" spans="2:4" x14ac:dyDescent="0.25">
      <c r="B6121" s="4">
        <f t="shared" si="111"/>
        <v>631.14999999994438</v>
      </c>
      <c r="C6121" s="199">
        <v>1439.1007985487395</v>
      </c>
      <c r="D6121" s="8"/>
    </row>
    <row r="6122" spans="2:4" x14ac:dyDescent="0.25">
      <c r="B6122" s="4">
        <f t="shared" si="111"/>
        <v>631.15999999994438</v>
      </c>
      <c r="C6122" s="199">
        <v>1439.3581154481988</v>
      </c>
      <c r="D6122" s="8"/>
    </row>
    <row r="6123" spans="2:4" x14ac:dyDescent="0.25">
      <c r="B6123" s="4">
        <f t="shared" si="111"/>
        <v>631.16999999994437</v>
      </c>
      <c r="C6123" s="199">
        <v>1439.615432347659</v>
      </c>
      <c r="D6123" s="8"/>
    </row>
    <row r="6124" spans="2:4" x14ac:dyDescent="0.25">
      <c r="B6124" s="4">
        <f t="shared" si="111"/>
        <v>631.17999999994436</v>
      </c>
      <c r="C6124" s="199">
        <v>1439.8727492471194</v>
      </c>
      <c r="D6124" s="8"/>
    </row>
    <row r="6125" spans="2:4" x14ac:dyDescent="0.25">
      <c r="B6125" s="4">
        <f t="shared" si="111"/>
        <v>631.18999999994435</v>
      </c>
      <c r="C6125" s="199">
        <v>1440.1300661465789</v>
      </c>
      <c r="D6125" s="8"/>
    </row>
    <row r="6126" spans="2:4" x14ac:dyDescent="0.25">
      <c r="B6126" s="4">
        <f t="shared" si="111"/>
        <v>631.19999999994434</v>
      </c>
      <c r="C6126" s="199">
        <v>1440.3873830460393</v>
      </c>
      <c r="D6126" s="8"/>
    </row>
    <row r="6127" spans="2:4" x14ac:dyDescent="0.25">
      <c r="B6127" s="4">
        <f t="shared" si="111"/>
        <v>631.20999999994433</v>
      </c>
      <c r="C6127" s="199">
        <v>1440.6446999454993</v>
      </c>
      <c r="D6127" s="8"/>
    </row>
    <row r="6128" spans="2:4" x14ac:dyDescent="0.25">
      <c r="B6128" s="4">
        <f t="shared" si="111"/>
        <v>631.21999999994432</v>
      </c>
      <c r="C6128" s="199">
        <v>1440.9022159135877</v>
      </c>
      <c r="D6128" s="8"/>
    </row>
    <row r="6129" spans="2:4" x14ac:dyDescent="0.25">
      <c r="B6129" s="4">
        <f t="shared" si="111"/>
        <v>631.22999999994431</v>
      </c>
      <c r="C6129" s="199">
        <v>1441.1597318816764</v>
      </c>
      <c r="D6129" s="8"/>
    </row>
    <row r="6130" spans="2:4" x14ac:dyDescent="0.25">
      <c r="B6130" s="4">
        <f t="shared" si="111"/>
        <v>631.2399999999443</v>
      </c>
      <c r="C6130" s="199">
        <v>1441.4172478497646</v>
      </c>
      <c r="D6130" s="8"/>
    </row>
    <row r="6131" spans="2:4" x14ac:dyDescent="0.25">
      <c r="B6131" s="4">
        <f t="shared" si="111"/>
        <v>631.24999999994429</v>
      </c>
      <c r="C6131" s="199">
        <v>1441.6747638178524</v>
      </c>
      <c r="D6131" s="8"/>
    </row>
    <row r="6132" spans="2:4" x14ac:dyDescent="0.25">
      <c r="B6132" s="4">
        <f t="shared" si="111"/>
        <v>631.25999999994428</v>
      </c>
      <c r="C6132" s="199">
        <v>1441.9322797859413</v>
      </c>
      <c r="D6132" s="8"/>
    </row>
    <row r="6133" spans="2:4" x14ac:dyDescent="0.25">
      <c r="B6133" s="4">
        <f t="shared" si="111"/>
        <v>631.26999999994428</v>
      </c>
      <c r="C6133" s="199">
        <v>1442.1897957540289</v>
      </c>
      <c r="D6133" s="8"/>
    </row>
    <row r="6134" spans="2:4" x14ac:dyDescent="0.25">
      <c r="B6134" s="4">
        <f t="shared" si="111"/>
        <v>631.27999999994427</v>
      </c>
      <c r="C6134" s="199">
        <v>1442.4473117221173</v>
      </c>
      <c r="D6134" s="8"/>
    </row>
    <row r="6135" spans="2:4" x14ac:dyDescent="0.25">
      <c r="B6135" s="4">
        <f t="shared" si="111"/>
        <v>631.28999999994426</v>
      </c>
      <c r="C6135" s="199">
        <v>1442.7048276902065</v>
      </c>
      <c r="D6135" s="8"/>
    </row>
    <row r="6136" spans="2:4" x14ac:dyDescent="0.25">
      <c r="B6136" s="4">
        <f t="shared" si="111"/>
        <v>631.29999999994425</v>
      </c>
      <c r="C6136" s="199">
        <v>1442.9623436582935</v>
      </c>
      <c r="D6136" s="8"/>
    </row>
    <row r="6137" spans="2:4" x14ac:dyDescent="0.25">
      <c r="B6137" s="4">
        <f t="shared" si="111"/>
        <v>631.30999999994424</v>
      </c>
      <c r="C6137" s="199">
        <v>1443.2198596263825</v>
      </c>
      <c r="D6137" s="8"/>
    </row>
    <row r="6138" spans="2:4" x14ac:dyDescent="0.25">
      <c r="B6138" s="4">
        <f t="shared" si="111"/>
        <v>631.31999999994423</v>
      </c>
      <c r="C6138" s="199">
        <v>1443.4775763176026</v>
      </c>
      <c r="D6138" s="8"/>
    </row>
    <row r="6139" spans="2:4" x14ac:dyDescent="0.25">
      <c r="B6139" s="4">
        <f t="shared" si="111"/>
        <v>631.32999999994422</v>
      </c>
      <c r="C6139" s="199">
        <v>1443.7352930088291</v>
      </c>
      <c r="D6139" s="8"/>
    </row>
    <row r="6140" spans="2:4" x14ac:dyDescent="0.25">
      <c r="B6140" s="4">
        <f t="shared" si="111"/>
        <v>631.33999999994421</v>
      </c>
      <c r="C6140" s="199">
        <v>1443.9930097000556</v>
      </c>
      <c r="D6140" s="8"/>
    </row>
    <row r="6141" spans="2:4" x14ac:dyDescent="0.25">
      <c r="B6141" s="4">
        <f t="shared" si="111"/>
        <v>631.3499999999442</v>
      </c>
      <c r="C6141" s="199">
        <v>1444.2507263912821</v>
      </c>
      <c r="D6141" s="8"/>
    </row>
    <row r="6142" spans="2:4" x14ac:dyDescent="0.25">
      <c r="B6142" s="4">
        <f t="shared" si="111"/>
        <v>631.35999999994419</v>
      </c>
      <c r="C6142" s="199">
        <v>1444.5084430825091</v>
      </c>
      <c r="D6142" s="8"/>
    </row>
    <row r="6143" spans="2:4" x14ac:dyDescent="0.25">
      <c r="B6143" s="4">
        <f t="shared" si="111"/>
        <v>631.36999999994418</v>
      </c>
      <c r="C6143" s="199">
        <v>1444.7661597737356</v>
      </c>
      <c r="D6143" s="8"/>
    </row>
    <row r="6144" spans="2:4" x14ac:dyDescent="0.25">
      <c r="B6144" s="4">
        <f t="shared" si="111"/>
        <v>631.37999999994418</v>
      </c>
      <c r="C6144" s="199">
        <v>1445.0238764649623</v>
      </c>
      <c r="D6144" s="8"/>
    </row>
    <row r="6145" spans="2:4" x14ac:dyDescent="0.25">
      <c r="B6145" s="4">
        <f t="shared" si="111"/>
        <v>631.38999999994417</v>
      </c>
      <c r="C6145" s="199">
        <v>1445.2815931561895</v>
      </c>
      <c r="D6145" s="8"/>
    </row>
    <row r="6146" spans="2:4" x14ac:dyDescent="0.25">
      <c r="B6146" s="4">
        <f t="shared" si="111"/>
        <v>631.39999999994416</v>
      </c>
      <c r="C6146" s="199">
        <v>1445.539309847416</v>
      </c>
      <c r="D6146" s="8"/>
    </row>
    <row r="6147" spans="2:4" x14ac:dyDescent="0.25">
      <c r="B6147" s="4">
        <f t="shared" si="111"/>
        <v>631.40999999994415</v>
      </c>
      <c r="C6147" s="199">
        <v>1445.797026538643</v>
      </c>
      <c r="D6147" s="8"/>
    </row>
    <row r="6148" spans="2:4" x14ac:dyDescent="0.25">
      <c r="B6148" s="4">
        <f t="shared" si="111"/>
        <v>631.41999999994414</v>
      </c>
      <c r="C6148" s="199">
        <v>1446.0549414252735</v>
      </c>
      <c r="D6148" s="8"/>
    </row>
    <row r="6149" spans="2:4" x14ac:dyDescent="0.25">
      <c r="B6149" s="4">
        <f t="shared" si="111"/>
        <v>631.42999999994413</v>
      </c>
      <c r="C6149" s="199">
        <v>1446.3128563119033</v>
      </c>
      <c r="D6149" s="8"/>
    </row>
    <row r="6150" spans="2:4" x14ac:dyDescent="0.25">
      <c r="B6150" s="4">
        <f t="shared" si="111"/>
        <v>631.43999999994412</v>
      </c>
      <c r="C6150" s="199">
        <v>1446.5707711985333</v>
      </c>
      <c r="D6150" s="8"/>
    </row>
    <row r="6151" spans="2:4" x14ac:dyDescent="0.25">
      <c r="B6151" s="4">
        <f t="shared" si="111"/>
        <v>631.44999999994411</v>
      </c>
      <c r="C6151" s="199">
        <v>1446.8286860851626</v>
      </c>
      <c r="D6151" s="8"/>
    </row>
    <row r="6152" spans="2:4" x14ac:dyDescent="0.25">
      <c r="B6152" s="4">
        <f t="shared" ref="B6152:B6215" si="112">+B6151+0.01</f>
        <v>631.4599999999441</v>
      </c>
      <c r="C6152" s="199">
        <v>1447.0866009717936</v>
      </c>
      <c r="D6152" s="8"/>
    </row>
    <row r="6153" spans="2:4" x14ac:dyDescent="0.25">
      <c r="B6153" s="4">
        <f t="shared" si="112"/>
        <v>631.46999999994409</v>
      </c>
      <c r="C6153" s="199">
        <v>1447.3445158584229</v>
      </c>
      <c r="D6153" s="8"/>
    </row>
    <row r="6154" spans="2:4" x14ac:dyDescent="0.25">
      <c r="B6154" s="4">
        <f t="shared" si="112"/>
        <v>631.47999999994408</v>
      </c>
      <c r="C6154" s="199">
        <v>1447.6024307450527</v>
      </c>
      <c r="D6154" s="8"/>
    </row>
    <row r="6155" spans="2:4" x14ac:dyDescent="0.25">
      <c r="B6155" s="4">
        <f t="shared" si="112"/>
        <v>631.48999999994408</v>
      </c>
      <c r="C6155" s="199">
        <v>1447.8603456316819</v>
      </c>
      <c r="D6155" s="8"/>
    </row>
    <row r="6156" spans="2:4" x14ac:dyDescent="0.25">
      <c r="B6156" s="4">
        <f t="shared" si="112"/>
        <v>631.49999999994407</v>
      </c>
      <c r="C6156" s="199">
        <v>1448.1182605183124</v>
      </c>
      <c r="D6156" s="8"/>
    </row>
    <row r="6157" spans="2:4" x14ac:dyDescent="0.25">
      <c r="B6157" s="4">
        <f t="shared" si="112"/>
        <v>631.50999999994406</v>
      </c>
      <c r="C6157" s="199">
        <v>1448.3761754049424</v>
      </c>
      <c r="D6157" s="8"/>
    </row>
    <row r="6158" spans="2:4" x14ac:dyDescent="0.25">
      <c r="B6158" s="4">
        <f t="shared" si="112"/>
        <v>631.51999999994405</v>
      </c>
      <c r="C6158" s="199">
        <v>1448.6342932433402</v>
      </c>
      <c r="D6158" s="8"/>
    </row>
    <row r="6159" spans="2:4" x14ac:dyDescent="0.25">
      <c r="B6159" s="4">
        <f t="shared" si="112"/>
        <v>631.52999999994404</v>
      </c>
      <c r="C6159" s="199">
        <v>1448.8924110817443</v>
      </c>
      <c r="D6159" s="8"/>
    </row>
    <row r="6160" spans="2:4" x14ac:dyDescent="0.25">
      <c r="B6160" s="4">
        <f t="shared" si="112"/>
        <v>631.53999999994403</v>
      </c>
      <c r="C6160" s="199">
        <v>1449.1505289201493</v>
      </c>
      <c r="D6160" s="8"/>
    </row>
    <row r="6161" spans="2:4" x14ac:dyDescent="0.25">
      <c r="B6161" s="4">
        <f t="shared" si="112"/>
        <v>631.54999999994402</v>
      </c>
      <c r="C6161" s="199">
        <v>1449.4086467585525</v>
      </c>
      <c r="D6161" s="8"/>
    </row>
    <row r="6162" spans="2:4" x14ac:dyDescent="0.25">
      <c r="B6162" s="4">
        <f t="shared" si="112"/>
        <v>631.55999999994401</v>
      </c>
      <c r="C6162" s="199">
        <v>1449.6667645969576</v>
      </c>
      <c r="D6162" s="8"/>
    </row>
    <row r="6163" spans="2:4" x14ac:dyDescent="0.25">
      <c r="B6163" s="4">
        <f t="shared" si="112"/>
        <v>631.569999999944</v>
      </c>
      <c r="C6163" s="199">
        <v>1449.9248824353608</v>
      </c>
      <c r="D6163" s="8"/>
    </row>
    <row r="6164" spans="2:4" x14ac:dyDescent="0.25">
      <c r="B6164" s="4">
        <f t="shared" si="112"/>
        <v>631.57999999994399</v>
      </c>
      <c r="C6164" s="199">
        <v>1450.1830002737656</v>
      </c>
      <c r="D6164" s="8"/>
    </row>
    <row r="6165" spans="2:4" x14ac:dyDescent="0.25">
      <c r="B6165" s="4">
        <f t="shared" si="112"/>
        <v>631.58999999994398</v>
      </c>
      <c r="C6165" s="199">
        <v>1450.44111811217</v>
      </c>
      <c r="D6165" s="8"/>
    </row>
    <row r="6166" spans="2:4" x14ac:dyDescent="0.25">
      <c r="B6166" s="4">
        <f t="shared" si="112"/>
        <v>631.59999999994398</v>
      </c>
      <c r="C6166" s="199">
        <v>1450.6992359505734</v>
      </c>
      <c r="D6166" s="8"/>
    </row>
    <row r="6167" spans="2:4" x14ac:dyDescent="0.25">
      <c r="B6167" s="4">
        <f t="shared" si="112"/>
        <v>631.60999999994397</v>
      </c>
      <c r="C6167" s="199">
        <v>1450.9573537889783</v>
      </c>
      <c r="D6167" s="8"/>
    </row>
    <row r="6168" spans="2:4" x14ac:dyDescent="0.25">
      <c r="B6168" s="4">
        <f t="shared" si="112"/>
        <v>631.61999999994396</v>
      </c>
      <c r="C6168" s="199">
        <v>1451.2156714160676</v>
      </c>
      <c r="D6168" s="8"/>
    </row>
    <row r="6169" spans="2:4" x14ac:dyDescent="0.25">
      <c r="B6169" s="4">
        <f t="shared" si="112"/>
        <v>631.62999999994395</v>
      </c>
      <c r="C6169" s="199">
        <v>1451.4739890431574</v>
      </c>
      <c r="D6169" s="8"/>
    </row>
    <row r="6170" spans="2:4" x14ac:dyDescent="0.25">
      <c r="B6170" s="4">
        <f t="shared" si="112"/>
        <v>631.63999999994394</v>
      </c>
      <c r="C6170" s="199">
        <v>1451.732306670247</v>
      </c>
      <c r="D6170" s="8"/>
    </row>
    <row r="6171" spans="2:4" x14ac:dyDescent="0.25">
      <c r="B6171" s="4">
        <f t="shared" si="112"/>
        <v>631.64999999994393</v>
      </c>
      <c r="C6171" s="199">
        <v>1451.9906242973361</v>
      </c>
      <c r="D6171" s="8"/>
    </row>
    <row r="6172" spans="2:4" x14ac:dyDescent="0.25">
      <c r="B6172" s="4">
        <f t="shared" si="112"/>
        <v>631.65999999994392</v>
      </c>
      <c r="C6172" s="199">
        <v>1452.2489419244255</v>
      </c>
      <c r="D6172" s="8"/>
    </row>
    <row r="6173" spans="2:4" x14ac:dyDescent="0.25">
      <c r="B6173" s="4">
        <f t="shared" si="112"/>
        <v>631.66999999994391</v>
      </c>
      <c r="C6173" s="199">
        <v>1452.5072595515153</v>
      </c>
      <c r="D6173" s="8"/>
    </row>
    <row r="6174" spans="2:4" x14ac:dyDescent="0.25">
      <c r="B6174" s="4">
        <f t="shared" si="112"/>
        <v>631.6799999999439</v>
      </c>
      <c r="C6174" s="199">
        <v>1452.7655771786044</v>
      </c>
      <c r="D6174" s="8"/>
    </row>
    <row r="6175" spans="2:4" x14ac:dyDescent="0.25">
      <c r="B6175" s="4">
        <f t="shared" si="112"/>
        <v>631.68999999994389</v>
      </c>
      <c r="C6175" s="199">
        <v>1453.023894805694</v>
      </c>
      <c r="D6175" s="8"/>
    </row>
    <row r="6176" spans="2:4" x14ac:dyDescent="0.25">
      <c r="B6176" s="4">
        <f t="shared" si="112"/>
        <v>631.69999999994388</v>
      </c>
      <c r="C6176" s="199">
        <v>1453.2822124327829</v>
      </c>
      <c r="D6176" s="8"/>
    </row>
    <row r="6177" spans="2:4" x14ac:dyDescent="0.25">
      <c r="B6177" s="4">
        <f t="shared" si="112"/>
        <v>631.70999999994388</v>
      </c>
      <c r="C6177" s="199">
        <v>1453.5405300598727</v>
      </c>
      <c r="D6177" s="8"/>
    </row>
    <row r="6178" spans="2:4" x14ac:dyDescent="0.25">
      <c r="B6178" s="4">
        <f t="shared" si="112"/>
        <v>631.71999999994387</v>
      </c>
      <c r="C6178" s="199">
        <v>1453.7990501643299</v>
      </c>
      <c r="D6178" s="8"/>
    </row>
    <row r="6179" spans="2:4" x14ac:dyDescent="0.25">
      <c r="B6179" s="4">
        <f t="shared" si="112"/>
        <v>631.72999999994386</v>
      </c>
      <c r="C6179" s="199">
        <v>1454.0575702687929</v>
      </c>
      <c r="D6179" s="8"/>
    </row>
    <row r="6180" spans="2:4" x14ac:dyDescent="0.25">
      <c r="B6180" s="4">
        <f t="shared" si="112"/>
        <v>631.73999999994385</v>
      </c>
      <c r="C6180" s="199">
        <v>1454.316090373256</v>
      </c>
      <c r="D6180" s="8"/>
    </row>
    <row r="6181" spans="2:4" x14ac:dyDescent="0.25">
      <c r="B6181" s="4">
        <f t="shared" si="112"/>
        <v>631.74999999994384</v>
      </c>
      <c r="C6181" s="199">
        <v>1454.5746104777188</v>
      </c>
      <c r="D6181" s="8"/>
    </row>
    <row r="6182" spans="2:4" x14ac:dyDescent="0.25">
      <c r="B6182" s="4">
        <f t="shared" si="112"/>
        <v>631.75999999994383</v>
      </c>
      <c r="C6182" s="199">
        <v>1454.8331305821816</v>
      </c>
      <c r="D6182" s="8"/>
    </row>
    <row r="6183" spans="2:4" x14ac:dyDescent="0.25">
      <c r="B6183" s="4">
        <f t="shared" si="112"/>
        <v>631.76999999994382</v>
      </c>
      <c r="C6183" s="199">
        <v>1455.0916506866447</v>
      </c>
      <c r="D6183" s="8"/>
    </row>
    <row r="6184" spans="2:4" x14ac:dyDescent="0.25">
      <c r="B6184" s="4">
        <f t="shared" si="112"/>
        <v>631.77999999994381</v>
      </c>
      <c r="C6184" s="199">
        <v>1455.3501707911075</v>
      </c>
      <c r="D6184" s="8"/>
    </row>
    <row r="6185" spans="2:4" x14ac:dyDescent="0.25">
      <c r="B6185" s="4">
        <f t="shared" si="112"/>
        <v>631.7899999999438</v>
      </c>
      <c r="C6185" s="199">
        <v>1455.6086908955706</v>
      </c>
      <c r="D6185" s="8"/>
    </row>
    <row r="6186" spans="2:4" x14ac:dyDescent="0.25">
      <c r="B6186" s="4">
        <f t="shared" si="112"/>
        <v>631.79999999994379</v>
      </c>
      <c r="C6186" s="199">
        <v>1455.867211000033</v>
      </c>
      <c r="D6186" s="8"/>
    </row>
    <row r="6187" spans="2:4" x14ac:dyDescent="0.25">
      <c r="B6187" s="4">
        <f t="shared" si="112"/>
        <v>631.80999999994378</v>
      </c>
      <c r="C6187" s="199">
        <v>1456.1257311044974</v>
      </c>
      <c r="D6187" s="8"/>
    </row>
    <row r="6188" spans="2:4" x14ac:dyDescent="0.25">
      <c r="B6188" s="4">
        <f t="shared" si="112"/>
        <v>631.81999999994378</v>
      </c>
      <c r="C6188" s="199">
        <v>1456.384452303821</v>
      </c>
      <c r="D6188" s="8"/>
    </row>
    <row r="6189" spans="2:4" x14ac:dyDescent="0.25">
      <c r="B6189" s="4">
        <f t="shared" si="112"/>
        <v>631.82999999994377</v>
      </c>
      <c r="C6189" s="199">
        <v>1456.6431735031442</v>
      </c>
      <c r="D6189" s="8"/>
    </row>
    <row r="6190" spans="2:4" x14ac:dyDescent="0.25">
      <c r="B6190" s="4">
        <f t="shared" si="112"/>
        <v>631.83999999994376</v>
      </c>
      <c r="C6190" s="199">
        <v>1456.901894702467</v>
      </c>
      <c r="D6190" s="8"/>
    </row>
    <row r="6191" spans="2:4" x14ac:dyDescent="0.25">
      <c r="B6191" s="4">
        <f t="shared" si="112"/>
        <v>631.84999999994375</v>
      </c>
      <c r="C6191" s="199">
        <v>1457.1606159017902</v>
      </c>
      <c r="D6191" s="8"/>
    </row>
    <row r="6192" spans="2:4" x14ac:dyDescent="0.25">
      <c r="B6192" s="4">
        <f t="shared" si="112"/>
        <v>631.85999999994374</v>
      </c>
      <c r="C6192" s="199">
        <v>1457.419337101114</v>
      </c>
      <c r="D6192" s="8"/>
    </row>
    <row r="6193" spans="2:4" x14ac:dyDescent="0.25">
      <c r="B6193" s="4">
        <f t="shared" si="112"/>
        <v>631.86999999994373</v>
      </c>
      <c r="C6193" s="199">
        <v>1457.6780583004381</v>
      </c>
      <c r="D6193" s="8"/>
    </row>
    <row r="6194" spans="2:4" x14ac:dyDescent="0.25">
      <c r="B6194" s="4">
        <f t="shared" si="112"/>
        <v>631.87999999994372</v>
      </c>
      <c r="C6194" s="199">
        <v>1457.9367794997609</v>
      </c>
      <c r="D6194" s="8"/>
    </row>
    <row r="6195" spans="2:4" x14ac:dyDescent="0.25">
      <c r="B6195" s="4">
        <f t="shared" si="112"/>
        <v>631.88999999994371</v>
      </c>
      <c r="C6195" s="199">
        <v>1458.1955006990843</v>
      </c>
      <c r="D6195" s="8"/>
    </row>
    <row r="6196" spans="2:4" x14ac:dyDescent="0.25">
      <c r="B6196" s="4">
        <f t="shared" si="112"/>
        <v>631.8999999999437</v>
      </c>
      <c r="C6196" s="199">
        <v>1458.4542218984079</v>
      </c>
      <c r="D6196" s="8"/>
    </row>
    <row r="6197" spans="2:4" x14ac:dyDescent="0.25">
      <c r="B6197" s="4">
        <f t="shared" si="112"/>
        <v>631.90999999994369</v>
      </c>
      <c r="C6197" s="199">
        <v>1458.7129430977313</v>
      </c>
      <c r="D6197" s="8"/>
    </row>
    <row r="6198" spans="2:4" x14ac:dyDescent="0.25">
      <c r="B6198" s="4">
        <f t="shared" si="112"/>
        <v>631.91999999994368</v>
      </c>
      <c r="C6198" s="199">
        <v>1458.9718685829205</v>
      </c>
      <c r="D6198" s="8"/>
    </row>
    <row r="6199" spans="2:4" x14ac:dyDescent="0.25">
      <c r="B6199" s="4">
        <f t="shared" si="112"/>
        <v>631.92999999994367</v>
      </c>
      <c r="C6199" s="199">
        <v>1459.230794068116</v>
      </c>
      <c r="D6199" s="8"/>
    </row>
    <row r="6200" spans="2:4" x14ac:dyDescent="0.25">
      <c r="B6200" s="4">
        <f t="shared" si="112"/>
        <v>631.93999999994367</v>
      </c>
      <c r="C6200" s="199">
        <v>1459.4897195533115</v>
      </c>
      <c r="D6200" s="8"/>
    </row>
    <row r="6201" spans="2:4" x14ac:dyDescent="0.25">
      <c r="B6201" s="4">
        <f t="shared" si="112"/>
        <v>631.94999999994366</v>
      </c>
      <c r="C6201" s="199">
        <v>1459.7486450385068</v>
      </c>
      <c r="D6201" s="8"/>
    </row>
    <row r="6202" spans="2:4" x14ac:dyDescent="0.25">
      <c r="B6202" s="4">
        <f t="shared" si="112"/>
        <v>631.95999999994365</v>
      </c>
      <c r="C6202" s="199">
        <v>1460.0075705237034</v>
      </c>
      <c r="D6202" s="8"/>
    </row>
    <row r="6203" spans="2:4" x14ac:dyDescent="0.25">
      <c r="B6203" s="4">
        <f t="shared" si="112"/>
        <v>631.96999999994364</v>
      </c>
      <c r="C6203" s="199">
        <v>1460.2664960088987</v>
      </c>
      <c r="D6203" s="8"/>
    </row>
    <row r="6204" spans="2:4" x14ac:dyDescent="0.25">
      <c r="B6204" s="4">
        <f t="shared" si="112"/>
        <v>631.97999999994363</v>
      </c>
      <c r="C6204" s="199">
        <v>1460.5254214940942</v>
      </c>
      <c r="D6204" s="8"/>
    </row>
    <row r="6205" spans="2:4" x14ac:dyDescent="0.25">
      <c r="B6205" s="4">
        <f t="shared" si="112"/>
        <v>631.98999999994362</v>
      </c>
      <c r="C6205" s="199">
        <v>1460.7843469792895</v>
      </c>
      <c r="D6205" s="8"/>
    </row>
    <row r="6206" spans="2:4" x14ac:dyDescent="0.25">
      <c r="B6206" s="4">
        <f t="shared" si="112"/>
        <v>631.99999999994361</v>
      </c>
      <c r="C6206" s="199">
        <v>1461.0432724644847</v>
      </c>
      <c r="D6206" s="8"/>
    </row>
    <row r="6207" spans="2:4" x14ac:dyDescent="0.25">
      <c r="B6207" s="4">
        <f t="shared" si="112"/>
        <v>632.0099999999436</v>
      </c>
      <c r="C6207" s="199">
        <v>1461.3021979496807</v>
      </c>
      <c r="D6207" s="8"/>
    </row>
    <row r="6208" spans="2:4" x14ac:dyDescent="0.25">
      <c r="B6208" s="4">
        <f t="shared" si="112"/>
        <v>632.01999999994359</v>
      </c>
      <c r="C6208" s="199">
        <v>1461.561328348731</v>
      </c>
      <c r="D6208" s="8"/>
    </row>
    <row r="6209" spans="2:4" x14ac:dyDescent="0.25">
      <c r="B6209" s="4">
        <f t="shared" si="112"/>
        <v>632.02999999994358</v>
      </c>
      <c r="C6209" s="199">
        <v>1461.8204587477812</v>
      </c>
      <c r="D6209" s="8"/>
    </row>
    <row r="6210" spans="2:4" x14ac:dyDescent="0.25">
      <c r="B6210" s="4">
        <f t="shared" si="112"/>
        <v>632.03999999994357</v>
      </c>
      <c r="C6210" s="199">
        <v>1462.079589146831</v>
      </c>
      <c r="D6210" s="8"/>
    </row>
    <row r="6211" spans="2:4" x14ac:dyDescent="0.25">
      <c r="B6211" s="4">
        <f t="shared" si="112"/>
        <v>632.04999999994357</v>
      </c>
      <c r="C6211" s="199">
        <v>1462.3387195458811</v>
      </c>
      <c r="D6211" s="8"/>
    </row>
    <row r="6212" spans="2:4" x14ac:dyDescent="0.25">
      <c r="B6212" s="4">
        <f t="shared" si="112"/>
        <v>632.05999999994356</v>
      </c>
      <c r="C6212" s="199">
        <v>1462.5978499449316</v>
      </c>
      <c r="D6212" s="8"/>
    </row>
    <row r="6213" spans="2:4" x14ac:dyDescent="0.25">
      <c r="B6213" s="4">
        <f t="shared" si="112"/>
        <v>632.06999999994355</v>
      </c>
      <c r="C6213" s="199">
        <v>1462.8569803439814</v>
      </c>
      <c r="D6213" s="8"/>
    </row>
    <row r="6214" spans="2:4" x14ac:dyDescent="0.25">
      <c r="B6214" s="4">
        <f t="shared" si="112"/>
        <v>632.07999999994354</v>
      </c>
      <c r="C6214" s="199">
        <v>1463.1161107430316</v>
      </c>
      <c r="D6214" s="8"/>
    </row>
    <row r="6215" spans="2:4" x14ac:dyDescent="0.25">
      <c r="B6215" s="4">
        <f t="shared" si="112"/>
        <v>632.08999999994353</v>
      </c>
      <c r="C6215" s="199">
        <v>1463.3752411420814</v>
      </c>
      <c r="D6215" s="8"/>
    </row>
    <row r="6216" spans="2:4" x14ac:dyDescent="0.25">
      <c r="B6216" s="4">
        <f t="shared" ref="B6216:B6279" si="113">+B6215+0.01</f>
        <v>632.09999999994352</v>
      </c>
      <c r="C6216" s="199">
        <v>1463.6343715411317</v>
      </c>
      <c r="D6216" s="8"/>
    </row>
    <row r="6217" spans="2:4" x14ac:dyDescent="0.25">
      <c r="B6217" s="4">
        <f t="shared" si="113"/>
        <v>632.10999999994351</v>
      </c>
      <c r="C6217" s="199">
        <v>1463.8935019401813</v>
      </c>
      <c r="D6217" s="8"/>
    </row>
    <row r="6218" spans="2:4" x14ac:dyDescent="0.25">
      <c r="B6218" s="4">
        <f t="shared" si="113"/>
        <v>632.1199999999435</v>
      </c>
      <c r="C6218" s="199">
        <v>1464.1528375009404</v>
      </c>
      <c r="D6218" s="8"/>
    </row>
    <row r="6219" spans="2:4" x14ac:dyDescent="0.25">
      <c r="B6219" s="4">
        <f t="shared" si="113"/>
        <v>632.12999999994349</v>
      </c>
      <c r="C6219" s="199">
        <v>1464.4121730617051</v>
      </c>
      <c r="D6219" s="8"/>
    </row>
    <row r="6220" spans="2:4" x14ac:dyDescent="0.25">
      <c r="B6220" s="4">
        <f t="shared" si="113"/>
        <v>632.13999999994348</v>
      </c>
      <c r="C6220" s="199">
        <v>1464.6715086224701</v>
      </c>
      <c r="D6220" s="8"/>
    </row>
    <row r="6221" spans="2:4" x14ac:dyDescent="0.25">
      <c r="B6221" s="4">
        <f t="shared" si="113"/>
        <v>632.14999999994347</v>
      </c>
      <c r="C6221" s="199">
        <v>1464.9308441832347</v>
      </c>
      <c r="D6221" s="8"/>
    </row>
    <row r="6222" spans="2:4" x14ac:dyDescent="0.25">
      <c r="B6222" s="4">
        <f t="shared" si="113"/>
        <v>632.15999999994347</v>
      </c>
      <c r="C6222" s="199">
        <v>1465.1901797440005</v>
      </c>
      <c r="D6222" s="8"/>
    </row>
    <row r="6223" spans="2:4" x14ac:dyDescent="0.25">
      <c r="B6223" s="4">
        <f t="shared" si="113"/>
        <v>632.16999999994346</v>
      </c>
      <c r="C6223" s="199">
        <v>1465.4495153047649</v>
      </c>
      <c r="D6223" s="8"/>
    </row>
    <row r="6224" spans="2:4" x14ac:dyDescent="0.25">
      <c r="B6224" s="4">
        <f t="shared" si="113"/>
        <v>632.17999999994345</v>
      </c>
      <c r="C6224" s="199">
        <v>1465.7088508655295</v>
      </c>
      <c r="D6224" s="8"/>
    </row>
    <row r="6225" spans="2:4" x14ac:dyDescent="0.25">
      <c r="B6225" s="4">
        <f t="shared" si="113"/>
        <v>632.18999999994344</v>
      </c>
      <c r="C6225" s="199">
        <v>1465.9681864262946</v>
      </c>
      <c r="D6225" s="8"/>
    </row>
    <row r="6226" spans="2:4" x14ac:dyDescent="0.25">
      <c r="B6226" s="4">
        <f t="shared" si="113"/>
        <v>632.19999999994343</v>
      </c>
      <c r="C6226" s="199">
        <v>1466.2275219870589</v>
      </c>
      <c r="D6226" s="8"/>
    </row>
    <row r="6227" spans="2:4" x14ac:dyDescent="0.25">
      <c r="B6227" s="4">
        <f t="shared" si="113"/>
        <v>632.20999999994342</v>
      </c>
      <c r="C6227" s="199">
        <v>1466.4868575478245</v>
      </c>
      <c r="D6227" s="8"/>
    </row>
    <row r="6228" spans="2:4" x14ac:dyDescent="0.25">
      <c r="B6228" s="4">
        <f t="shared" si="113"/>
        <v>632.21999999994341</v>
      </c>
      <c r="C6228" s="199">
        <v>1466.7463987852755</v>
      </c>
      <c r="D6228" s="8"/>
    </row>
    <row r="6229" spans="2:4" x14ac:dyDescent="0.25">
      <c r="B6229" s="4">
        <f t="shared" si="113"/>
        <v>632.2299999999434</v>
      </c>
      <c r="C6229" s="199">
        <v>1467.005940022726</v>
      </c>
      <c r="D6229" s="8"/>
    </row>
    <row r="6230" spans="2:4" x14ac:dyDescent="0.25">
      <c r="B6230" s="4">
        <f t="shared" si="113"/>
        <v>632.23999999994339</v>
      </c>
      <c r="C6230" s="199">
        <v>1467.2654812601763</v>
      </c>
      <c r="D6230" s="8"/>
    </row>
    <row r="6231" spans="2:4" x14ac:dyDescent="0.25">
      <c r="B6231" s="4">
        <f t="shared" si="113"/>
        <v>632.24999999994338</v>
      </c>
      <c r="C6231" s="199">
        <v>1467.5250224976278</v>
      </c>
      <c r="D6231" s="8"/>
    </row>
    <row r="6232" spans="2:4" x14ac:dyDescent="0.25">
      <c r="B6232" s="4">
        <f t="shared" si="113"/>
        <v>632.25999999994337</v>
      </c>
      <c r="C6232" s="199">
        <v>1467.784563735079</v>
      </c>
      <c r="D6232" s="8"/>
    </row>
    <row r="6233" spans="2:4" x14ac:dyDescent="0.25">
      <c r="B6233" s="4">
        <f t="shared" si="113"/>
        <v>632.26999999994337</v>
      </c>
      <c r="C6233" s="199">
        <v>1468.0441049725291</v>
      </c>
      <c r="D6233" s="8"/>
    </row>
    <row r="6234" spans="2:4" x14ac:dyDescent="0.25">
      <c r="B6234" s="4">
        <f t="shared" si="113"/>
        <v>632.27999999994336</v>
      </c>
      <c r="C6234" s="199">
        <v>1468.3036462099808</v>
      </c>
      <c r="D6234" s="8"/>
    </row>
    <row r="6235" spans="2:4" x14ac:dyDescent="0.25">
      <c r="B6235" s="4">
        <f t="shared" si="113"/>
        <v>632.28999999994335</v>
      </c>
      <c r="C6235" s="199">
        <v>1468.5631874474307</v>
      </c>
      <c r="D6235" s="8"/>
    </row>
    <row r="6236" spans="2:4" x14ac:dyDescent="0.25">
      <c r="B6236" s="4">
        <f t="shared" si="113"/>
        <v>632.29999999994334</v>
      </c>
      <c r="C6236" s="199">
        <v>1468.8227286848817</v>
      </c>
      <c r="D6236" s="8"/>
    </row>
    <row r="6237" spans="2:4" x14ac:dyDescent="0.25">
      <c r="B6237" s="4">
        <f t="shared" si="113"/>
        <v>632.30999999994333</v>
      </c>
      <c r="C6237" s="199">
        <v>1469.0822699223324</v>
      </c>
      <c r="D6237" s="8"/>
    </row>
    <row r="6238" spans="2:4" x14ac:dyDescent="0.25">
      <c r="B6238" s="4">
        <f t="shared" si="113"/>
        <v>632.31999999994332</v>
      </c>
      <c r="C6238" s="199">
        <v>1469.342019476323</v>
      </c>
      <c r="D6238" s="8"/>
    </row>
    <row r="6239" spans="2:4" x14ac:dyDescent="0.25">
      <c r="B6239" s="4">
        <f t="shared" si="113"/>
        <v>632.32999999994331</v>
      </c>
      <c r="C6239" s="199">
        <v>1469.6017690303204</v>
      </c>
      <c r="D6239" s="8"/>
    </row>
    <row r="6240" spans="2:4" x14ac:dyDescent="0.25">
      <c r="B6240" s="4">
        <f t="shared" si="113"/>
        <v>632.3399999999433</v>
      </c>
      <c r="C6240" s="199">
        <v>1469.8615185843169</v>
      </c>
      <c r="D6240" s="8"/>
    </row>
    <row r="6241" spans="2:4" x14ac:dyDescent="0.25">
      <c r="B6241" s="4">
        <f t="shared" si="113"/>
        <v>632.34999999994329</v>
      </c>
      <c r="C6241" s="199">
        <v>1470.1212681383129</v>
      </c>
      <c r="D6241" s="8"/>
    </row>
    <row r="6242" spans="2:4" x14ac:dyDescent="0.25">
      <c r="B6242" s="4">
        <f t="shared" si="113"/>
        <v>632.35999999994328</v>
      </c>
      <c r="C6242" s="199">
        <v>1470.3810176923103</v>
      </c>
      <c r="D6242" s="8"/>
    </row>
    <row r="6243" spans="2:4" x14ac:dyDescent="0.25">
      <c r="B6243" s="4">
        <f t="shared" si="113"/>
        <v>632.36999999994327</v>
      </c>
      <c r="C6243" s="199">
        <v>1470.6407672463067</v>
      </c>
      <c r="D6243" s="8"/>
    </row>
    <row r="6244" spans="2:4" x14ac:dyDescent="0.25">
      <c r="B6244" s="4">
        <f t="shared" si="113"/>
        <v>632.37999999994327</v>
      </c>
      <c r="C6244" s="199">
        <v>1470.900516800303</v>
      </c>
      <c r="D6244" s="8"/>
    </row>
    <row r="6245" spans="2:4" x14ac:dyDescent="0.25">
      <c r="B6245" s="4">
        <f t="shared" si="113"/>
        <v>632.38999999994326</v>
      </c>
      <c r="C6245" s="199">
        <v>1471.1602663542994</v>
      </c>
      <c r="D6245" s="8"/>
    </row>
    <row r="6246" spans="2:4" x14ac:dyDescent="0.25">
      <c r="B6246" s="4">
        <f t="shared" si="113"/>
        <v>632.39999999994325</v>
      </c>
      <c r="C6246" s="199">
        <v>1471.4200159082952</v>
      </c>
      <c r="D6246" s="8"/>
    </row>
    <row r="6247" spans="2:4" x14ac:dyDescent="0.25">
      <c r="B6247" s="4">
        <f t="shared" si="113"/>
        <v>632.40999999994324</v>
      </c>
      <c r="C6247" s="199">
        <v>1471.6797654622917</v>
      </c>
      <c r="D6247" s="8"/>
    </row>
    <row r="6248" spans="2:4" x14ac:dyDescent="0.25">
      <c r="B6248" s="4">
        <f t="shared" si="113"/>
        <v>632.41999999994323</v>
      </c>
      <c r="C6248" s="199">
        <v>1471.9397240218473</v>
      </c>
      <c r="D6248" s="8"/>
    </row>
    <row r="6249" spans="2:4" x14ac:dyDescent="0.25">
      <c r="B6249" s="4">
        <f t="shared" si="113"/>
        <v>632.42999999994322</v>
      </c>
      <c r="C6249" s="199">
        <v>1472.199682581401</v>
      </c>
      <c r="D6249" s="8"/>
    </row>
    <row r="6250" spans="2:4" x14ac:dyDescent="0.25">
      <c r="B6250" s="4">
        <f t="shared" si="113"/>
        <v>632.43999999994321</v>
      </c>
      <c r="C6250" s="199">
        <v>1472.459641140955</v>
      </c>
      <c r="D6250" s="8"/>
    </row>
    <row r="6251" spans="2:4" x14ac:dyDescent="0.25">
      <c r="B6251" s="4">
        <f t="shared" si="113"/>
        <v>632.4499999999432</v>
      </c>
      <c r="C6251" s="199">
        <v>1472.7195997005083</v>
      </c>
      <c r="D6251" s="8"/>
    </row>
    <row r="6252" spans="2:4" x14ac:dyDescent="0.25">
      <c r="B6252" s="4">
        <f t="shared" si="113"/>
        <v>632.45999999994319</v>
      </c>
      <c r="C6252" s="199">
        <v>1472.9795582600623</v>
      </c>
      <c r="D6252" s="8"/>
    </row>
    <row r="6253" spans="2:4" x14ac:dyDescent="0.25">
      <c r="B6253" s="4">
        <f t="shared" si="113"/>
        <v>632.46999999994318</v>
      </c>
      <c r="C6253" s="199">
        <v>1473.2395168196158</v>
      </c>
      <c r="D6253" s="8"/>
    </row>
    <row r="6254" spans="2:4" x14ac:dyDescent="0.25">
      <c r="B6254" s="4">
        <f t="shared" si="113"/>
        <v>632.47999999994317</v>
      </c>
      <c r="C6254" s="199">
        <v>1473.4994753791693</v>
      </c>
      <c r="D6254" s="8"/>
    </row>
    <row r="6255" spans="2:4" x14ac:dyDescent="0.25">
      <c r="B6255" s="4">
        <f t="shared" si="113"/>
        <v>632.48999999994317</v>
      </c>
      <c r="C6255" s="199">
        <v>1473.7594339387231</v>
      </c>
      <c r="D6255" s="8"/>
    </row>
    <row r="6256" spans="2:4" x14ac:dyDescent="0.25">
      <c r="B6256" s="4">
        <f t="shared" si="113"/>
        <v>632.49999999994316</v>
      </c>
      <c r="C6256" s="199">
        <v>1474.0193924982766</v>
      </c>
      <c r="D6256" s="8"/>
    </row>
    <row r="6257" spans="2:4" x14ac:dyDescent="0.25">
      <c r="B6257" s="4">
        <f t="shared" si="113"/>
        <v>632.50999999994315</v>
      </c>
      <c r="C6257" s="199">
        <v>1474.2793510578308</v>
      </c>
      <c r="D6257" s="8"/>
    </row>
    <row r="6258" spans="2:4" x14ac:dyDescent="0.25">
      <c r="B6258" s="4">
        <f t="shared" si="113"/>
        <v>632.51999999994314</v>
      </c>
      <c r="C6258" s="199">
        <v>1474.5395215240942</v>
      </c>
      <c r="D6258" s="8"/>
    </row>
    <row r="6259" spans="2:4" x14ac:dyDescent="0.25">
      <c r="B6259" s="4">
        <f t="shared" si="113"/>
        <v>632.52999999994313</v>
      </c>
      <c r="C6259" s="199">
        <v>1474.7996919903646</v>
      </c>
      <c r="D6259" s="8"/>
    </row>
    <row r="6260" spans="2:4" x14ac:dyDescent="0.25">
      <c r="B6260" s="4">
        <f t="shared" si="113"/>
        <v>632.53999999994312</v>
      </c>
      <c r="C6260" s="199">
        <v>1475.0598624566364</v>
      </c>
      <c r="D6260" s="8"/>
    </row>
    <row r="6261" spans="2:4" x14ac:dyDescent="0.25">
      <c r="B6261" s="4">
        <f t="shared" si="113"/>
        <v>632.54999999994311</v>
      </c>
      <c r="C6261" s="199">
        <v>1475.3200329229071</v>
      </c>
      <c r="D6261" s="8"/>
    </row>
    <row r="6262" spans="2:4" x14ac:dyDescent="0.25">
      <c r="B6262" s="4">
        <f t="shared" si="113"/>
        <v>632.5599999999431</v>
      </c>
      <c r="C6262" s="199">
        <v>1475.5802033891775</v>
      </c>
      <c r="D6262" s="8"/>
    </row>
    <row r="6263" spans="2:4" x14ac:dyDescent="0.25">
      <c r="B6263" s="4">
        <f t="shared" si="113"/>
        <v>632.56999999994309</v>
      </c>
      <c r="C6263" s="199">
        <v>1475.8403738554482</v>
      </c>
      <c r="D6263" s="8"/>
    </row>
    <row r="6264" spans="2:4" x14ac:dyDescent="0.25">
      <c r="B6264" s="4">
        <f t="shared" si="113"/>
        <v>632.57999999994308</v>
      </c>
      <c r="C6264" s="199">
        <v>1476.10054432172</v>
      </c>
      <c r="D6264" s="8"/>
    </row>
    <row r="6265" spans="2:4" x14ac:dyDescent="0.25">
      <c r="B6265" s="4">
        <f t="shared" si="113"/>
        <v>632.58999999994307</v>
      </c>
      <c r="C6265" s="199">
        <v>1476.3607147879904</v>
      </c>
      <c r="D6265" s="8"/>
    </row>
    <row r="6266" spans="2:4" x14ac:dyDescent="0.25">
      <c r="B6266" s="4">
        <f t="shared" si="113"/>
        <v>632.59999999994307</v>
      </c>
      <c r="C6266" s="199">
        <v>1476.6208852542611</v>
      </c>
      <c r="D6266" s="8"/>
    </row>
    <row r="6267" spans="2:4" x14ac:dyDescent="0.25">
      <c r="B6267" s="4">
        <f t="shared" si="113"/>
        <v>632.60999999994306</v>
      </c>
      <c r="C6267" s="199">
        <v>1476.8810557205329</v>
      </c>
      <c r="D6267" s="8"/>
    </row>
    <row r="6268" spans="2:4" x14ac:dyDescent="0.25">
      <c r="B6268" s="4">
        <f t="shared" si="113"/>
        <v>632.61999999994305</v>
      </c>
      <c r="C6268" s="199">
        <v>1477.1414400785623</v>
      </c>
      <c r="D6268" s="8"/>
    </row>
    <row r="6269" spans="2:4" x14ac:dyDescent="0.25">
      <c r="B6269" s="4">
        <f t="shared" si="113"/>
        <v>632.62999999994304</v>
      </c>
      <c r="C6269" s="199">
        <v>1477.4018244365918</v>
      </c>
      <c r="D6269" s="8"/>
    </row>
    <row r="6270" spans="2:4" x14ac:dyDescent="0.25">
      <c r="B6270" s="4">
        <f t="shared" si="113"/>
        <v>632.63999999994303</v>
      </c>
      <c r="C6270" s="199">
        <v>1477.6622087946209</v>
      </c>
      <c r="D6270" s="8"/>
    </row>
    <row r="6271" spans="2:4" x14ac:dyDescent="0.25">
      <c r="B6271" s="4">
        <f t="shared" si="113"/>
        <v>632.64999999994302</v>
      </c>
      <c r="C6271" s="199">
        <v>1477.9225931526501</v>
      </c>
      <c r="D6271" s="8"/>
    </row>
    <row r="6272" spans="2:4" x14ac:dyDescent="0.25">
      <c r="B6272" s="4">
        <f t="shared" si="113"/>
        <v>632.65999999994301</v>
      </c>
      <c r="C6272" s="199">
        <v>1478.1829775106803</v>
      </c>
      <c r="D6272" s="8"/>
    </row>
    <row r="6273" spans="2:4" x14ac:dyDescent="0.25">
      <c r="B6273" s="4">
        <f t="shared" si="113"/>
        <v>632.669999999943</v>
      </c>
      <c r="C6273" s="199">
        <v>1478.4433618687096</v>
      </c>
      <c r="D6273" s="8"/>
    </row>
    <row r="6274" spans="2:4" x14ac:dyDescent="0.25">
      <c r="B6274" s="4">
        <f t="shared" si="113"/>
        <v>632.67999999994299</v>
      </c>
      <c r="C6274" s="199">
        <v>1478.703746226739</v>
      </c>
      <c r="D6274" s="8"/>
    </row>
    <row r="6275" spans="2:4" x14ac:dyDescent="0.25">
      <c r="B6275" s="4">
        <f t="shared" si="113"/>
        <v>632.68999999994298</v>
      </c>
      <c r="C6275" s="199">
        <v>1478.9641305847679</v>
      </c>
      <c r="D6275" s="8"/>
    </row>
    <row r="6276" spans="2:4" x14ac:dyDescent="0.25">
      <c r="B6276" s="4">
        <f t="shared" si="113"/>
        <v>632.69999999994297</v>
      </c>
      <c r="C6276" s="199">
        <v>1479.2245149427972</v>
      </c>
      <c r="D6276" s="8"/>
    </row>
    <row r="6277" spans="2:4" x14ac:dyDescent="0.25">
      <c r="B6277" s="4">
        <f t="shared" si="113"/>
        <v>632.70999999994297</v>
      </c>
      <c r="C6277" s="199">
        <v>1479.4848993008266</v>
      </c>
      <c r="D6277" s="8"/>
    </row>
    <row r="6278" spans="2:4" x14ac:dyDescent="0.25">
      <c r="B6278" s="4">
        <f t="shared" si="113"/>
        <v>632.71999999994296</v>
      </c>
      <c r="C6278" s="199">
        <v>1479.7455026688951</v>
      </c>
      <c r="D6278" s="8"/>
    </row>
    <row r="6279" spans="2:4" x14ac:dyDescent="0.25">
      <c r="B6279" s="4">
        <f t="shared" si="113"/>
        <v>632.72999999994295</v>
      </c>
      <c r="C6279" s="199">
        <v>1480.0061060369685</v>
      </c>
      <c r="D6279" s="8"/>
    </row>
    <row r="6280" spans="2:4" x14ac:dyDescent="0.25">
      <c r="B6280" s="4">
        <f t="shared" ref="B6280:B6343" si="114">+B6279+0.01</f>
        <v>632.73999999994294</v>
      </c>
      <c r="C6280" s="199">
        <v>1480.2667094050423</v>
      </c>
      <c r="D6280" s="8"/>
    </row>
    <row r="6281" spans="2:4" x14ac:dyDescent="0.25">
      <c r="B6281" s="4">
        <f t="shared" si="114"/>
        <v>632.74999999994293</v>
      </c>
      <c r="C6281" s="199">
        <v>1480.5273127731164</v>
      </c>
      <c r="D6281" s="8"/>
    </row>
    <row r="6282" spans="2:4" x14ac:dyDescent="0.25">
      <c r="B6282" s="4">
        <f t="shared" si="114"/>
        <v>632.75999999994292</v>
      </c>
      <c r="C6282" s="199">
        <v>1480.7879161411909</v>
      </c>
      <c r="D6282" s="8"/>
    </row>
    <row r="6283" spans="2:4" x14ac:dyDescent="0.25">
      <c r="B6283" s="4">
        <f t="shared" si="114"/>
        <v>632.76999999994291</v>
      </c>
      <c r="C6283" s="199">
        <v>1481.0485195092651</v>
      </c>
      <c r="D6283" s="8"/>
    </row>
    <row r="6284" spans="2:4" x14ac:dyDescent="0.25">
      <c r="B6284" s="4">
        <f t="shared" si="114"/>
        <v>632.7799999999429</v>
      </c>
      <c r="C6284" s="199">
        <v>1481.3091228773378</v>
      </c>
      <c r="D6284" s="8"/>
    </row>
    <row r="6285" spans="2:4" x14ac:dyDescent="0.25">
      <c r="B6285" s="4">
        <f t="shared" si="114"/>
        <v>632.78999999994289</v>
      </c>
      <c r="C6285" s="199">
        <v>1481.5697262454123</v>
      </c>
      <c r="D6285" s="8"/>
    </row>
    <row r="6286" spans="2:4" x14ac:dyDescent="0.25">
      <c r="B6286" s="4">
        <f t="shared" si="114"/>
        <v>632.79999999994288</v>
      </c>
      <c r="C6286" s="199">
        <v>1481.8303296134864</v>
      </c>
      <c r="D6286" s="8"/>
    </row>
    <row r="6287" spans="2:4" x14ac:dyDescent="0.25">
      <c r="B6287" s="4">
        <f t="shared" si="114"/>
        <v>632.80999999994287</v>
      </c>
      <c r="C6287" s="199">
        <v>1482.0909329815604</v>
      </c>
      <c r="D6287" s="8"/>
    </row>
    <row r="6288" spans="2:4" x14ac:dyDescent="0.25">
      <c r="B6288" s="4">
        <f t="shared" si="114"/>
        <v>632.81999999994287</v>
      </c>
      <c r="C6288" s="199">
        <v>1482.3517533193381</v>
      </c>
      <c r="D6288" s="8"/>
    </row>
    <row r="6289" spans="2:4" x14ac:dyDescent="0.25">
      <c r="B6289" s="4">
        <f t="shared" si="114"/>
        <v>632.82999999994286</v>
      </c>
      <c r="C6289" s="199">
        <v>1482.6125736571153</v>
      </c>
      <c r="D6289" s="8"/>
    </row>
    <row r="6290" spans="2:4" x14ac:dyDescent="0.25">
      <c r="B6290" s="4">
        <f t="shared" si="114"/>
        <v>632.83999999994285</v>
      </c>
      <c r="C6290" s="199">
        <v>1482.8733939948925</v>
      </c>
      <c r="D6290" s="8"/>
    </row>
    <row r="6291" spans="2:4" x14ac:dyDescent="0.25">
      <c r="B6291" s="4">
        <f t="shared" si="114"/>
        <v>632.84999999994284</v>
      </c>
      <c r="C6291" s="199">
        <v>1483.1342143326708</v>
      </c>
      <c r="D6291" s="8"/>
    </row>
    <row r="6292" spans="2:4" x14ac:dyDescent="0.25">
      <c r="B6292" s="4">
        <f t="shared" si="114"/>
        <v>632.85999999994283</v>
      </c>
      <c r="C6292" s="199">
        <v>1483.3950346704478</v>
      </c>
      <c r="D6292" s="8"/>
    </row>
    <row r="6293" spans="2:4" x14ac:dyDescent="0.25">
      <c r="B6293" s="4">
        <f t="shared" si="114"/>
        <v>632.86999999994282</v>
      </c>
      <c r="C6293" s="199">
        <v>1483.6558550082245</v>
      </c>
      <c r="D6293" s="8"/>
    </row>
    <row r="6294" spans="2:4" x14ac:dyDescent="0.25">
      <c r="B6294" s="4">
        <f t="shared" si="114"/>
        <v>632.87999999994281</v>
      </c>
      <c r="C6294" s="199">
        <v>1483.9166753460015</v>
      </c>
      <c r="D6294" s="8"/>
    </row>
    <row r="6295" spans="2:4" x14ac:dyDescent="0.25">
      <c r="B6295" s="4">
        <f t="shared" si="114"/>
        <v>632.8899999999428</v>
      </c>
      <c r="C6295" s="199">
        <v>1484.1774956837796</v>
      </c>
      <c r="D6295" s="8"/>
    </row>
    <row r="6296" spans="2:4" x14ac:dyDescent="0.25">
      <c r="B6296" s="4">
        <f t="shared" si="114"/>
        <v>632.89999999994279</v>
      </c>
      <c r="C6296" s="199">
        <v>1484.4383160215568</v>
      </c>
      <c r="D6296" s="8"/>
    </row>
    <row r="6297" spans="2:4" x14ac:dyDescent="0.25">
      <c r="B6297" s="4">
        <f t="shared" si="114"/>
        <v>632.90999999994278</v>
      </c>
      <c r="C6297" s="199">
        <v>1484.6991363593338</v>
      </c>
      <c r="D6297" s="8"/>
    </row>
    <row r="6298" spans="2:4" x14ac:dyDescent="0.25">
      <c r="B6298" s="4">
        <f t="shared" si="114"/>
        <v>632.91999999994277</v>
      </c>
      <c r="C6298" s="199">
        <v>1484.9601796116553</v>
      </c>
      <c r="D6298" s="8"/>
    </row>
    <row r="6299" spans="2:4" x14ac:dyDescent="0.25">
      <c r="B6299" s="4">
        <f t="shared" si="114"/>
        <v>632.92999999994277</v>
      </c>
      <c r="C6299" s="199">
        <v>1485.2212228639817</v>
      </c>
      <c r="D6299" s="8"/>
    </row>
    <row r="6300" spans="2:4" x14ac:dyDescent="0.25">
      <c r="B6300" s="4">
        <f t="shared" si="114"/>
        <v>632.93999999994276</v>
      </c>
      <c r="C6300" s="199">
        <v>1485.4822661163087</v>
      </c>
      <c r="D6300" s="8"/>
    </row>
    <row r="6301" spans="2:4" x14ac:dyDescent="0.25">
      <c r="B6301" s="4">
        <f t="shared" si="114"/>
        <v>632.94999999994275</v>
      </c>
      <c r="C6301" s="199">
        <v>1485.743309368635</v>
      </c>
      <c r="D6301" s="8"/>
    </row>
    <row r="6302" spans="2:4" x14ac:dyDescent="0.25">
      <c r="B6302" s="4">
        <f t="shared" si="114"/>
        <v>632.95999999994274</v>
      </c>
      <c r="C6302" s="199">
        <v>1486.0043526209618</v>
      </c>
      <c r="D6302" s="8"/>
    </row>
    <row r="6303" spans="2:4" x14ac:dyDescent="0.25">
      <c r="B6303" s="4">
        <f t="shared" si="114"/>
        <v>632.96999999994273</v>
      </c>
      <c r="C6303" s="199">
        <v>1486.2653958732878</v>
      </c>
      <c r="D6303" s="8"/>
    </row>
    <row r="6304" spans="2:4" x14ac:dyDescent="0.25">
      <c r="B6304" s="4">
        <f t="shared" si="114"/>
        <v>632.97999999994272</v>
      </c>
      <c r="C6304" s="199">
        <v>1486.5264391256151</v>
      </c>
      <c r="D6304" s="8"/>
    </row>
    <row r="6305" spans="2:4" x14ac:dyDescent="0.25">
      <c r="B6305" s="4">
        <f t="shared" si="114"/>
        <v>632.98999999994271</v>
      </c>
      <c r="C6305" s="199">
        <v>1486.7874823779407</v>
      </c>
      <c r="D6305" s="8"/>
    </row>
    <row r="6306" spans="2:4" x14ac:dyDescent="0.25">
      <c r="B6306" s="4">
        <f t="shared" si="114"/>
        <v>632.9999999999427</v>
      </c>
      <c r="C6306" s="199">
        <v>1487.0485256302672</v>
      </c>
      <c r="D6306" s="8"/>
    </row>
    <row r="6307" spans="2:4" x14ac:dyDescent="0.25">
      <c r="B6307" s="4">
        <f t="shared" si="114"/>
        <v>633.00999999994269</v>
      </c>
      <c r="C6307" s="199">
        <v>1487.3095688825947</v>
      </c>
      <c r="D6307" s="8"/>
    </row>
    <row r="6308" spans="2:4" x14ac:dyDescent="0.25">
      <c r="B6308" s="4">
        <f t="shared" si="114"/>
        <v>633.01999999994268</v>
      </c>
      <c r="C6308" s="199">
        <v>1487.5708380611004</v>
      </c>
      <c r="D6308" s="8"/>
    </row>
    <row r="6309" spans="2:4" x14ac:dyDescent="0.25">
      <c r="B6309" s="4">
        <f t="shared" si="114"/>
        <v>633.02999999994267</v>
      </c>
      <c r="C6309" s="199">
        <v>1487.8321072396072</v>
      </c>
      <c r="D6309" s="8"/>
    </row>
    <row r="6310" spans="2:4" x14ac:dyDescent="0.25">
      <c r="B6310" s="4">
        <f t="shared" si="114"/>
        <v>633.03999999994267</v>
      </c>
      <c r="C6310" s="199">
        <v>1488.0933764181141</v>
      </c>
      <c r="D6310" s="8"/>
    </row>
    <row r="6311" spans="2:4" x14ac:dyDescent="0.25">
      <c r="B6311" s="4">
        <f t="shared" si="114"/>
        <v>633.04999999994266</v>
      </c>
      <c r="C6311" s="199">
        <v>1488.3546455966202</v>
      </c>
      <c r="D6311" s="8"/>
    </row>
    <row r="6312" spans="2:4" x14ac:dyDescent="0.25">
      <c r="B6312" s="4">
        <f t="shared" si="114"/>
        <v>633.05999999994265</v>
      </c>
      <c r="C6312" s="199">
        <v>1488.6159147751259</v>
      </c>
      <c r="D6312" s="8"/>
    </row>
    <row r="6313" spans="2:4" x14ac:dyDescent="0.25">
      <c r="B6313" s="4">
        <f t="shared" si="114"/>
        <v>633.06999999994264</v>
      </c>
      <c r="C6313" s="199">
        <v>1488.8771839536328</v>
      </c>
      <c r="D6313" s="8"/>
    </row>
    <row r="6314" spans="2:4" x14ac:dyDescent="0.25">
      <c r="B6314" s="4">
        <f t="shared" si="114"/>
        <v>633.07999999994263</v>
      </c>
      <c r="C6314" s="199">
        <v>1489.1384531321394</v>
      </c>
      <c r="D6314" s="8"/>
    </row>
    <row r="6315" spans="2:4" x14ac:dyDescent="0.25">
      <c r="B6315" s="4">
        <f t="shared" si="114"/>
        <v>633.08999999994262</v>
      </c>
      <c r="C6315" s="199">
        <v>1489.3997223106455</v>
      </c>
      <c r="D6315" s="8"/>
    </row>
    <row r="6316" spans="2:4" x14ac:dyDescent="0.25">
      <c r="B6316" s="4">
        <f t="shared" si="114"/>
        <v>633.09999999994261</v>
      </c>
      <c r="C6316" s="199">
        <v>1489.6609914891519</v>
      </c>
      <c r="D6316" s="8"/>
    </row>
    <row r="6317" spans="2:4" x14ac:dyDescent="0.25">
      <c r="B6317" s="4">
        <f t="shared" si="114"/>
        <v>633.1099999999426</v>
      </c>
      <c r="C6317" s="199">
        <v>1489.9222606676587</v>
      </c>
      <c r="D6317" s="8"/>
    </row>
    <row r="6318" spans="2:4" x14ac:dyDescent="0.25">
      <c r="B6318" s="4">
        <f t="shared" si="114"/>
        <v>633.11999999994259</v>
      </c>
      <c r="C6318" s="199">
        <v>1490.1837567061698</v>
      </c>
      <c r="D6318" s="8"/>
    </row>
    <row r="6319" spans="2:4" x14ac:dyDescent="0.25">
      <c r="B6319" s="4">
        <f t="shared" si="114"/>
        <v>633.12999999994258</v>
      </c>
      <c r="C6319" s="199">
        <v>1490.4452527446863</v>
      </c>
      <c r="D6319" s="8"/>
    </row>
    <row r="6320" spans="2:4" x14ac:dyDescent="0.25">
      <c r="B6320" s="4">
        <f t="shared" si="114"/>
        <v>633.13999999994257</v>
      </c>
      <c r="C6320" s="199">
        <v>1490.7067487832041</v>
      </c>
      <c r="D6320" s="8"/>
    </row>
    <row r="6321" spans="2:4" x14ac:dyDescent="0.25">
      <c r="B6321" s="4">
        <f t="shared" si="114"/>
        <v>633.14999999994257</v>
      </c>
      <c r="C6321" s="199">
        <v>1490.968244821722</v>
      </c>
      <c r="D6321" s="8"/>
    </row>
    <row r="6322" spans="2:4" x14ac:dyDescent="0.25">
      <c r="B6322" s="4">
        <f t="shared" si="114"/>
        <v>633.15999999994256</v>
      </c>
      <c r="C6322" s="199">
        <v>1491.2297408602396</v>
      </c>
      <c r="D6322" s="8"/>
    </row>
    <row r="6323" spans="2:4" x14ac:dyDescent="0.25">
      <c r="B6323" s="4">
        <f t="shared" si="114"/>
        <v>633.16999999994255</v>
      </c>
      <c r="C6323" s="199">
        <v>1491.4912368987575</v>
      </c>
      <c r="D6323" s="8"/>
    </row>
    <row r="6324" spans="2:4" x14ac:dyDescent="0.25">
      <c r="B6324" s="4">
        <f t="shared" si="114"/>
        <v>633.17999999994254</v>
      </c>
      <c r="C6324" s="199">
        <v>1491.7527329372751</v>
      </c>
      <c r="D6324" s="8"/>
    </row>
    <row r="6325" spans="2:4" x14ac:dyDescent="0.25">
      <c r="B6325" s="4">
        <f t="shared" si="114"/>
        <v>633.18999999994253</v>
      </c>
      <c r="C6325" s="199">
        <v>1492.0142289757919</v>
      </c>
      <c r="D6325" s="8"/>
    </row>
    <row r="6326" spans="2:4" x14ac:dyDescent="0.25">
      <c r="B6326" s="4">
        <f t="shared" si="114"/>
        <v>633.19999999994252</v>
      </c>
      <c r="C6326" s="199">
        <v>1492.2757250143097</v>
      </c>
      <c r="D6326" s="8"/>
    </row>
    <row r="6327" spans="2:4" x14ac:dyDescent="0.25">
      <c r="B6327" s="4">
        <f t="shared" si="114"/>
        <v>633.20999999994251</v>
      </c>
      <c r="C6327" s="199">
        <v>1492.5372210528271</v>
      </c>
      <c r="D6327" s="8"/>
    </row>
    <row r="6328" spans="2:4" x14ac:dyDescent="0.25">
      <c r="B6328" s="4">
        <f t="shared" si="114"/>
        <v>633.2199999999425</v>
      </c>
      <c r="C6328" s="199">
        <v>1492.7989523491735</v>
      </c>
      <c r="D6328" s="8"/>
    </row>
    <row r="6329" spans="2:4" x14ac:dyDescent="0.25">
      <c r="B6329" s="4">
        <f t="shared" si="114"/>
        <v>633.22999999994249</v>
      </c>
      <c r="C6329" s="199">
        <v>1493.0606836455183</v>
      </c>
      <c r="D6329" s="8"/>
    </row>
    <row r="6330" spans="2:4" x14ac:dyDescent="0.25">
      <c r="B6330" s="4">
        <f t="shared" si="114"/>
        <v>633.23999999994248</v>
      </c>
      <c r="C6330" s="199">
        <v>1493.3224149418636</v>
      </c>
      <c r="D6330" s="8"/>
    </row>
    <row r="6331" spans="2:4" x14ac:dyDescent="0.25">
      <c r="B6331" s="4">
        <f t="shared" si="114"/>
        <v>633.24999999994247</v>
      </c>
      <c r="C6331" s="199">
        <v>1493.5841462382086</v>
      </c>
      <c r="D6331" s="8"/>
    </row>
    <row r="6332" spans="2:4" x14ac:dyDescent="0.25">
      <c r="B6332" s="4">
        <f t="shared" si="114"/>
        <v>633.25999999994247</v>
      </c>
      <c r="C6332" s="199">
        <v>1493.8458775345537</v>
      </c>
      <c r="D6332" s="8"/>
    </row>
    <row r="6333" spans="2:4" x14ac:dyDescent="0.25">
      <c r="B6333" s="4">
        <f t="shared" si="114"/>
        <v>633.26999999994246</v>
      </c>
      <c r="C6333" s="199">
        <v>1494.1076088309007</v>
      </c>
      <c r="D6333" s="8"/>
    </row>
    <row r="6334" spans="2:4" x14ac:dyDescent="0.25">
      <c r="B6334" s="4">
        <f t="shared" si="114"/>
        <v>633.27999999994245</v>
      </c>
      <c r="C6334" s="199">
        <v>1494.3693401272456</v>
      </c>
      <c r="D6334" s="8"/>
    </row>
    <row r="6335" spans="2:4" x14ac:dyDescent="0.25">
      <c r="B6335" s="4">
        <f t="shared" si="114"/>
        <v>633.28999999994244</v>
      </c>
      <c r="C6335" s="199">
        <v>1494.6310714235908</v>
      </c>
      <c r="D6335" s="8"/>
    </row>
    <row r="6336" spans="2:4" x14ac:dyDescent="0.25">
      <c r="B6336" s="4">
        <f t="shared" si="114"/>
        <v>633.29999999994243</v>
      </c>
      <c r="C6336" s="199">
        <v>1494.8928027199361</v>
      </c>
      <c r="D6336" s="8"/>
    </row>
    <row r="6337" spans="2:4" x14ac:dyDescent="0.25">
      <c r="B6337" s="4">
        <f t="shared" si="114"/>
        <v>633.30999999994242</v>
      </c>
      <c r="C6337" s="199">
        <v>1495.1545340162818</v>
      </c>
      <c r="D6337" s="8"/>
    </row>
    <row r="6338" spans="2:4" x14ac:dyDescent="0.25">
      <c r="B6338" s="4">
        <f t="shared" si="114"/>
        <v>633.31999999994241</v>
      </c>
      <c r="C6338" s="199">
        <v>1495.4165032358246</v>
      </c>
      <c r="D6338" s="8"/>
    </row>
    <row r="6339" spans="2:4" x14ac:dyDescent="0.25">
      <c r="B6339" s="4">
        <f t="shared" si="114"/>
        <v>633.3299999999424</v>
      </c>
      <c r="C6339" s="199">
        <v>1495.6784724553738</v>
      </c>
      <c r="D6339" s="8"/>
    </row>
    <row r="6340" spans="2:4" x14ac:dyDescent="0.25">
      <c r="B6340" s="4">
        <f t="shared" si="114"/>
        <v>633.33999999994239</v>
      </c>
      <c r="C6340" s="199">
        <v>1495.9404416749237</v>
      </c>
      <c r="D6340" s="8"/>
    </row>
    <row r="6341" spans="2:4" x14ac:dyDescent="0.25">
      <c r="B6341" s="4">
        <f t="shared" si="114"/>
        <v>633.34999999994238</v>
      </c>
      <c r="C6341" s="199">
        <v>1496.2024108944738</v>
      </c>
      <c r="D6341" s="8"/>
    </row>
    <row r="6342" spans="2:4" x14ac:dyDescent="0.25">
      <c r="B6342" s="4">
        <f t="shared" si="114"/>
        <v>633.35999999994237</v>
      </c>
      <c r="C6342" s="199">
        <v>1496.4643801140235</v>
      </c>
      <c r="D6342" s="8"/>
    </row>
    <row r="6343" spans="2:4" x14ac:dyDescent="0.25">
      <c r="B6343" s="4">
        <f t="shared" si="114"/>
        <v>633.36999999994237</v>
      </c>
      <c r="C6343" s="199">
        <v>1496.7263493335731</v>
      </c>
      <c r="D6343" s="8"/>
    </row>
    <row r="6344" spans="2:4" x14ac:dyDescent="0.25">
      <c r="B6344" s="4">
        <f t="shared" ref="B6344:B6407" si="115">+B6343+0.01</f>
        <v>633.37999999994236</v>
      </c>
      <c r="C6344" s="199">
        <v>1496.9883185531226</v>
      </c>
      <c r="D6344" s="8"/>
    </row>
    <row r="6345" spans="2:4" x14ac:dyDescent="0.25">
      <c r="B6345" s="4">
        <f t="shared" si="115"/>
        <v>633.38999999994235</v>
      </c>
      <c r="C6345" s="199">
        <v>1497.2502877726718</v>
      </c>
      <c r="D6345" s="8"/>
    </row>
    <row r="6346" spans="2:4" x14ac:dyDescent="0.25">
      <c r="B6346" s="4">
        <f t="shared" si="115"/>
        <v>633.39999999994234</v>
      </c>
      <c r="C6346" s="199">
        <v>1497.5122569922225</v>
      </c>
      <c r="D6346" s="8"/>
    </row>
    <row r="6347" spans="2:4" x14ac:dyDescent="0.25">
      <c r="B6347" s="4">
        <f t="shared" si="115"/>
        <v>633.40999999994233</v>
      </c>
      <c r="C6347" s="199">
        <v>1497.7742262117717</v>
      </c>
      <c r="D6347" s="8"/>
    </row>
    <row r="6348" spans="2:4" x14ac:dyDescent="0.25">
      <c r="B6348" s="4">
        <f t="shared" si="115"/>
        <v>633.41999999994232</v>
      </c>
      <c r="C6348" s="199">
        <v>1498.0364406370318</v>
      </c>
      <c r="D6348" s="8"/>
    </row>
    <row r="6349" spans="2:4" x14ac:dyDescent="0.25">
      <c r="B6349" s="4">
        <f t="shared" si="115"/>
        <v>633.42999999994231</v>
      </c>
      <c r="C6349" s="199">
        <v>1498.2986550622913</v>
      </c>
      <c r="D6349" s="8"/>
    </row>
    <row r="6350" spans="2:4" x14ac:dyDescent="0.25">
      <c r="B6350" s="4">
        <f t="shared" si="115"/>
        <v>633.4399999999423</v>
      </c>
      <c r="C6350" s="199">
        <v>1498.5608694875523</v>
      </c>
      <c r="D6350" s="8"/>
    </row>
    <row r="6351" spans="2:4" x14ac:dyDescent="0.25">
      <c r="B6351" s="4">
        <f t="shared" si="115"/>
        <v>633.44999999994229</v>
      </c>
      <c r="C6351" s="199">
        <v>1498.8230839128116</v>
      </c>
      <c r="D6351" s="8"/>
    </row>
    <row r="6352" spans="2:4" x14ac:dyDescent="0.25">
      <c r="B6352" s="4">
        <f t="shared" si="115"/>
        <v>633.45999999994228</v>
      </c>
      <c r="C6352" s="199">
        <v>1499.0852983380721</v>
      </c>
      <c r="D6352" s="8"/>
    </row>
    <row r="6353" spans="2:4" x14ac:dyDescent="0.25">
      <c r="B6353" s="4">
        <f t="shared" si="115"/>
        <v>633.46999999994227</v>
      </c>
      <c r="C6353" s="199">
        <v>1499.3475127633326</v>
      </c>
      <c r="D6353" s="8"/>
    </row>
    <row r="6354" spans="2:4" x14ac:dyDescent="0.25">
      <c r="B6354" s="4">
        <f t="shared" si="115"/>
        <v>633.47999999994227</v>
      </c>
      <c r="C6354" s="199">
        <v>1499.6097271885922</v>
      </c>
      <c r="D6354" s="8"/>
    </row>
    <row r="6355" spans="2:4" x14ac:dyDescent="0.25">
      <c r="B6355" s="4">
        <f t="shared" si="115"/>
        <v>633.48999999994226</v>
      </c>
      <c r="C6355" s="199">
        <v>1499.8719416138531</v>
      </c>
      <c r="D6355" s="8"/>
    </row>
    <row r="6356" spans="2:4" x14ac:dyDescent="0.25">
      <c r="B6356" s="4">
        <f t="shared" si="115"/>
        <v>633.49999999994225</v>
      </c>
      <c r="C6356" s="199">
        <v>1500.1341560391129</v>
      </c>
      <c r="D6356" s="8"/>
    </row>
    <row r="6357" spans="2:4" x14ac:dyDescent="0.25">
      <c r="B6357" s="4">
        <f t="shared" si="115"/>
        <v>633.50999999994224</v>
      </c>
      <c r="C6357" s="199">
        <v>1500.3963704643738</v>
      </c>
      <c r="D6357" s="8"/>
    </row>
    <row r="6358" spans="2:4" x14ac:dyDescent="0.25">
      <c r="B6358" s="4">
        <f t="shared" si="115"/>
        <v>633.51999999994223</v>
      </c>
      <c r="C6358" s="199">
        <v>1500.6588322784075</v>
      </c>
      <c r="D6358" s="8"/>
    </row>
    <row r="6359" spans="2:4" x14ac:dyDescent="0.25">
      <c r="B6359" s="4">
        <f t="shared" si="115"/>
        <v>633.52999999994222</v>
      </c>
      <c r="C6359" s="199">
        <v>1500.9212940924469</v>
      </c>
      <c r="D6359" s="8"/>
    </row>
    <row r="6360" spans="2:4" x14ac:dyDescent="0.25">
      <c r="B6360" s="4">
        <f t="shared" si="115"/>
        <v>633.53999999994221</v>
      </c>
      <c r="C6360" s="199">
        <v>1501.1837559064868</v>
      </c>
      <c r="D6360" s="8"/>
    </row>
    <row r="6361" spans="2:4" x14ac:dyDescent="0.25">
      <c r="B6361" s="4">
        <f t="shared" si="115"/>
        <v>633.5499999999422</v>
      </c>
      <c r="C6361" s="199">
        <v>1501.4462177205269</v>
      </c>
      <c r="D6361" s="8"/>
    </row>
    <row r="6362" spans="2:4" x14ac:dyDescent="0.25">
      <c r="B6362" s="4">
        <f t="shared" si="115"/>
        <v>633.55999999994219</v>
      </c>
      <c r="C6362" s="199">
        <v>1501.7086795345667</v>
      </c>
      <c r="D6362" s="8"/>
    </row>
    <row r="6363" spans="2:4" x14ac:dyDescent="0.25">
      <c r="B6363" s="4">
        <f t="shared" si="115"/>
        <v>633.56999999994218</v>
      </c>
      <c r="C6363" s="199">
        <v>1501.9711413486061</v>
      </c>
      <c r="D6363" s="8"/>
    </row>
    <row r="6364" spans="2:4" x14ac:dyDescent="0.25">
      <c r="B6364" s="4">
        <f t="shared" si="115"/>
        <v>633.57999999994217</v>
      </c>
      <c r="C6364" s="199">
        <v>1502.2336031626453</v>
      </c>
      <c r="D6364" s="8"/>
    </row>
    <row r="6365" spans="2:4" x14ac:dyDescent="0.25">
      <c r="B6365" s="4">
        <f t="shared" si="115"/>
        <v>633.58999999994217</v>
      </c>
      <c r="C6365" s="199">
        <v>1502.4960649766847</v>
      </c>
      <c r="D6365" s="8"/>
    </row>
    <row r="6366" spans="2:4" x14ac:dyDescent="0.25">
      <c r="B6366" s="4">
        <f t="shared" si="115"/>
        <v>633.59999999994216</v>
      </c>
      <c r="C6366" s="199">
        <v>1502.7585267907243</v>
      </c>
      <c r="D6366" s="8"/>
    </row>
    <row r="6367" spans="2:4" x14ac:dyDescent="0.25">
      <c r="B6367" s="4">
        <f t="shared" si="115"/>
        <v>633.60999999994215</v>
      </c>
      <c r="C6367" s="199">
        <v>1503.0209886047639</v>
      </c>
      <c r="D6367" s="8"/>
    </row>
    <row r="6368" spans="2:4" x14ac:dyDescent="0.25">
      <c r="B6368" s="4">
        <f t="shared" si="115"/>
        <v>633.61999999994214</v>
      </c>
      <c r="C6368" s="199">
        <v>1503.2836992195937</v>
      </c>
      <c r="D6368" s="8"/>
    </row>
    <row r="6369" spans="2:4" x14ac:dyDescent="0.25">
      <c r="B6369" s="4">
        <f t="shared" si="115"/>
        <v>633.62999999994213</v>
      </c>
      <c r="C6369" s="199">
        <v>1503.5464098344237</v>
      </c>
      <c r="D6369" s="8"/>
    </row>
    <row r="6370" spans="2:4" x14ac:dyDescent="0.25">
      <c r="B6370" s="4">
        <f t="shared" si="115"/>
        <v>633.63999999994212</v>
      </c>
      <c r="C6370" s="199">
        <v>1503.8091204492546</v>
      </c>
      <c r="D6370" s="8"/>
    </row>
    <row r="6371" spans="2:4" x14ac:dyDescent="0.25">
      <c r="B6371" s="4">
        <f t="shared" si="115"/>
        <v>633.64999999994211</v>
      </c>
      <c r="C6371" s="199">
        <v>1504.0718310640857</v>
      </c>
      <c r="D6371" s="8"/>
    </row>
    <row r="6372" spans="2:4" x14ac:dyDescent="0.25">
      <c r="B6372" s="4">
        <f t="shared" si="115"/>
        <v>633.6599999999421</v>
      </c>
      <c r="C6372" s="199">
        <v>1504.3345416789157</v>
      </c>
      <c r="D6372" s="8"/>
    </row>
    <row r="6373" spans="2:4" x14ac:dyDescent="0.25">
      <c r="B6373" s="4">
        <f t="shared" si="115"/>
        <v>633.66999999994209</v>
      </c>
      <c r="C6373" s="199">
        <v>1504.5972522937468</v>
      </c>
      <c r="D6373" s="8"/>
    </row>
    <row r="6374" spans="2:4" x14ac:dyDescent="0.25">
      <c r="B6374" s="4">
        <f t="shared" si="115"/>
        <v>633.67999999994208</v>
      </c>
      <c r="C6374" s="199">
        <v>1504.8599629085768</v>
      </c>
      <c r="D6374" s="8"/>
    </row>
    <row r="6375" spans="2:4" x14ac:dyDescent="0.25">
      <c r="B6375" s="4">
        <f t="shared" si="115"/>
        <v>633.68999999994207</v>
      </c>
      <c r="C6375" s="199">
        <v>1505.1226735234072</v>
      </c>
      <c r="D6375" s="8"/>
    </row>
    <row r="6376" spans="2:4" x14ac:dyDescent="0.25">
      <c r="B6376" s="4">
        <f t="shared" si="115"/>
        <v>633.69999999994207</v>
      </c>
      <c r="C6376" s="199">
        <v>1505.3853841382377</v>
      </c>
      <c r="D6376" s="8"/>
    </row>
    <row r="6377" spans="2:4" x14ac:dyDescent="0.25">
      <c r="B6377" s="4">
        <f t="shared" si="115"/>
        <v>633.70999999994206</v>
      </c>
      <c r="C6377" s="199">
        <v>1505.6480947530683</v>
      </c>
      <c r="D6377" s="8"/>
    </row>
    <row r="6378" spans="2:4" x14ac:dyDescent="0.25">
      <c r="B6378" s="4">
        <f t="shared" si="115"/>
        <v>633.71999999994205</v>
      </c>
      <c r="C6378" s="199">
        <v>1505.9110535799416</v>
      </c>
      <c r="D6378" s="8"/>
    </row>
    <row r="6379" spans="2:4" x14ac:dyDescent="0.25">
      <c r="B6379" s="4">
        <f t="shared" si="115"/>
        <v>633.72999999994204</v>
      </c>
      <c r="C6379" s="199">
        <v>1506.1740124068215</v>
      </c>
      <c r="D6379" s="8"/>
    </row>
    <row r="6380" spans="2:4" x14ac:dyDescent="0.25">
      <c r="B6380" s="4">
        <f t="shared" si="115"/>
        <v>633.73999999994203</v>
      </c>
      <c r="C6380" s="199">
        <v>1506.4369712337023</v>
      </c>
      <c r="D6380" s="8"/>
    </row>
    <row r="6381" spans="2:4" x14ac:dyDescent="0.25">
      <c r="B6381" s="4">
        <f t="shared" si="115"/>
        <v>633.74999999994202</v>
      </c>
      <c r="C6381" s="199">
        <v>1506.6999300605817</v>
      </c>
      <c r="D6381" s="8"/>
    </row>
    <row r="6382" spans="2:4" x14ac:dyDescent="0.25">
      <c r="B6382" s="4">
        <f t="shared" si="115"/>
        <v>633.75999999994201</v>
      </c>
      <c r="C6382" s="199">
        <v>1506.9628888874618</v>
      </c>
      <c r="D6382" s="8"/>
    </row>
    <row r="6383" spans="2:4" x14ac:dyDescent="0.25">
      <c r="B6383" s="4">
        <f t="shared" si="115"/>
        <v>633.769999999942</v>
      </c>
      <c r="C6383" s="199">
        <v>1507.2258477143414</v>
      </c>
      <c r="D6383" s="8"/>
    </row>
    <row r="6384" spans="2:4" x14ac:dyDescent="0.25">
      <c r="B6384" s="4">
        <f t="shared" si="115"/>
        <v>633.77999999994199</v>
      </c>
      <c r="C6384" s="199">
        <v>1507.4888065412217</v>
      </c>
      <c r="D6384" s="8"/>
    </row>
    <row r="6385" spans="2:4" x14ac:dyDescent="0.25">
      <c r="B6385" s="4">
        <f t="shared" si="115"/>
        <v>633.78999999994198</v>
      </c>
      <c r="C6385" s="199">
        <v>1507.751765368102</v>
      </c>
      <c r="D6385" s="8"/>
    </row>
    <row r="6386" spans="2:4" x14ac:dyDescent="0.25">
      <c r="B6386" s="4">
        <f t="shared" si="115"/>
        <v>633.79999999994197</v>
      </c>
      <c r="C6386" s="199">
        <v>1508.0147241949821</v>
      </c>
      <c r="D6386" s="8"/>
    </row>
    <row r="6387" spans="2:4" x14ac:dyDescent="0.25">
      <c r="B6387" s="4">
        <f t="shared" si="115"/>
        <v>633.80999999994197</v>
      </c>
      <c r="C6387" s="199">
        <v>1508.2776830218618</v>
      </c>
      <c r="D6387" s="8"/>
    </row>
    <row r="6388" spans="2:4" x14ac:dyDescent="0.25">
      <c r="B6388" s="4">
        <f t="shared" si="115"/>
        <v>633.81999999994196</v>
      </c>
      <c r="C6388" s="199">
        <v>1508.5408850907115</v>
      </c>
      <c r="D6388" s="8"/>
    </row>
    <row r="6389" spans="2:4" x14ac:dyDescent="0.25">
      <c r="B6389" s="4">
        <f t="shared" si="115"/>
        <v>633.82999999994195</v>
      </c>
      <c r="C6389" s="199">
        <v>1508.8040871595595</v>
      </c>
      <c r="D6389" s="8"/>
    </row>
    <row r="6390" spans="2:4" x14ac:dyDescent="0.25">
      <c r="B6390" s="4">
        <f t="shared" si="115"/>
        <v>633.83999999994194</v>
      </c>
      <c r="C6390" s="199">
        <v>1509.0672892284078</v>
      </c>
      <c r="D6390" s="8"/>
    </row>
    <row r="6391" spans="2:4" x14ac:dyDescent="0.25">
      <c r="B6391" s="4">
        <f t="shared" si="115"/>
        <v>633.84999999994193</v>
      </c>
      <c r="C6391" s="199">
        <v>1509.3304912972574</v>
      </c>
      <c r="D6391" s="8"/>
    </row>
    <row r="6392" spans="2:4" x14ac:dyDescent="0.25">
      <c r="B6392" s="4">
        <f t="shared" si="115"/>
        <v>633.85999999994192</v>
      </c>
      <c r="C6392" s="199">
        <v>1509.5936933661055</v>
      </c>
      <c r="D6392" s="8"/>
    </row>
    <row r="6393" spans="2:4" x14ac:dyDescent="0.25">
      <c r="B6393" s="4">
        <f t="shared" si="115"/>
        <v>633.86999999994191</v>
      </c>
      <c r="C6393" s="199">
        <v>1509.8568954349537</v>
      </c>
      <c r="D6393" s="8"/>
    </row>
    <row r="6394" spans="2:4" x14ac:dyDescent="0.25">
      <c r="B6394" s="4">
        <f t="shared" si="115"/>
        <v>633.8799999999419</v>
      </c>
      <c r="C6394" s="199">
        <v>1510.120097503803</v>
      </c>
      <c r="D6394" s="8"/>
    </row>
    <row r="6395" spans="2:4" x14ac:dyDescent="0.25">
      <c r="B6395" s="4">
        <f t="shared" si="115"/>
        <v>633.88999999994189</v>
      </c>
      <c r="C6395" s="199">
        <v>1510.3832995726514</v>
      </c>
      <c r="D6395" s="8"/>
    </row>
    <row r="6396" spans="2:4" x14ac:dyDescent="0.25">
      <c r="B6396" s="4">
        <f t="shared" si="115"/>
        <v>633.89999999994188</v>
      </c>
      <c r="C6396" s="199">
        <v>1510.6465016415004</v>
      </c>
      <c r="D6396" s="8"/>
    </row>
    <row r="6397" spans="2:4" x14ac:dyDescent="0.25">
      <c r="B6397" s="4">
        <f t="shared" si="115"/>
        <v>633.90999999994187</v>
      </c>
      <c r="C6397" s="199">
        <v>1510.9097037103493</v>
      </c>
      <c r="D6397" s="8"/>
    </row>
    <row r="6398" spans="2:4" x14ac:dyDescent="0.25">
      <c r="B6398" s="4">
        <f t="shared" si="115"/>
        <v>633.91999999994187</v>
      </c>
      <c r="C6398" s="199">
        <v>1511.1731417675633</v>
      </c>
      <c r="D6398" s="8"/>
    </row>
    <row r="6399" spans="2:4" x14ac:dyDescent="0.25">
      <c r="B6399" s="4">
        <f t="shared" si="115"/>
        <v>633.92999999994186</v>
      </c>
      <c r="C6399" s="199">
        <v>1511.4365798247861</v>
      </c>
      <c r="D6399" s="8"/>
    </row>
    <row r="6400" spans="2:4" x14ac:dyDescent="0.25">
      <c r="B6400" s="4">
        <f t="shared" si="115"/>
        <v>633.93999999994185</v>
      </c>
      <c r="C6400" s="199">
        <v>1511.7000178820074</v>
      </c>
      <c r="D6400" s="8"/>
    </row>
    <row r="6401" spans="2:4" x14ac:dyDescent="0.25">
      <c r="B6401" s="4">
        <f t="shared" si="115"/>
        <v>633.94999999994184</v>
      </c>
      <c r="C6401" s="199">
        <v>1511.9634559392291</v>
      </c>
      <c r="D6401" s="8"/>
    </row>
    <row r="6402" spans="2:4" x14ac:dyDescent="0.25">
      <c r="B6402" s="4">
        <f t="shared" si="115"/>
        <v>633.95999999994183</v>
      </c>
      <c r="C6402" s="199">
        <v>1512.2268939964499</v>
      </c>
      <c r="D6402" s="8"/>
    </row>
    <row r="6403" spans="2:4" x14ac:dyDescent="0.25">
      <c r="B6403" s="4">
        <f t="shared" si="115"/>
        <v>633.96999999994182</v>
      </c>
      <c r="C6403" s="199">
        <v>1512.4903320536723</v>
      </c>
      <c r="D6403" s="8"/>
    </row>
    <row r="6404" spans="2:4" x14ac:dyDescent="0.25">
      <c r="B6404" s="4">
        <f t="shared" si="115"/>
        <v>633.97999999994181</v>
      </c>
      <c r="C6404" s="199">
        <v>1512.7537701108936</v>
      </c>
      <c r="D6404" s="8"/>
    </row>
    <row r="6405" spans="2:4" x14ac:dyDescent="0.25">
      <c r="B6405" s="4">
        <f t="shared" si="115"/>
        <v>633.9899999999418</v>
      </c>
      <c r="C6405" s="199">
        <v>1513.0172081681151</v>
      </c>
      <c r="D6405" s="8"/>
    </row>
    <row r="6406" spans="2:4" x14ac:dyDescent="0.25">
      <c r="B6406" s="4">
        <f t="shared" si="115"/>
        <v>633.99999999994179</v>
      </c>
      <c r="C6406" s="199">
        <v>1513.2806462253373</v>
      </c>
      <c r="D6406" s="8"/>
    </row>
    <row r="6407" spans="2:4" x14ac:dyDescent="0.25">
      <c r="B6407" s="4">
        <f t="shared" si="115"/>
        <v>634.00999999994178</v>
      </c>
      <c r="C6407" s="199">
        <v>1513.5440842825587</v>
      </c>
      <c r="D6407" s="8"/>
    </row>
    <row r="6408" spans="2:4" x14ac:dyDescent="0.25">
      <c r="B6408" s="4">
        <f t="shared" ref="B6408:B6471" si="116">+B6407+0.01</f>
        <v>634.01999999994177</v>
      </c>
      <c r="C6408" s="199">
        <v>1513.8077572140846</v>
      </c>
      <c r="D6408" s="8"/>
    </row>
    <row r="6409" spans="2:4" x14ac:dyDescent="0.25">
      <c r="B6409" s="4">
        <f t="shared" si="116"/>
        <v>634.02999999994177</v>
      </c>
      <c r="C6409" s="199">
        <v>1514.071430145611</v>
      </c>
      <c r="D6409" s="8"/>
    </row>
    <row r="6410" spans="2:4" x14ac:dyDescent="0.25">
      <c r="B6410" s="4">
        <f t="shared" si="116"/>
        <v>634.03999999994176</v>
      </c>
      <c r="C6410" s="199">
        <v>1514.3351030771373</v>
      </c>
      <c r="D6410" s="8"/>
    </row>
    <row r="6411" spans="2:4" x14ac:dyDescent="0.25">
      <c r="B6411" s="4">
        <f t="shared" si="116"/>
        <v>634.04999999994175</v>
      </c>
      <c r="C6411" s="199">
        <v>1514.5987760086634</v>
      </c>
      <c r="D6411" s="8"/>
    </row>
    <row r="6412" spans="2:4" x14ac:dyDescent="0.25">
      <c r="B6412" s="4">
        <f t="shared" si="116"/>
        <v>634.05999999994174</v>
      </c>
      <c r="C6412" s="199">
        <v>1514.8624489401893</v>
      </c>
      <c r="D6412" s="8"/>
    </row>
    <row r="6413" spans="2:4" x14ac:dyDescent="0.25">
      <c r="B6413" s="4">
        <f t="shared" si="116"/>
        <v>634.06999999994173</v>
      </c>
      <c r="C6413" s="199">
        <v>1515.1261218717157</v>
      </c>
      <c r="D6413" s="8"/>
    </row>
    <row r="6414" spans="2:4" x14ac:dyDescent="0.25">
      <c r="B6414" s="4">
        <f t="shared" si="116"/>
        <v>634.07999999994172</v>
      </c>
      <c r="C6414" s="199">
        <v>1515.3897948032418</v>
      </c>
      <c r="D6414" s="8"/>
    </row>
    <row r="6415" spans="2:4" x14ac:dyDescent="0.25">
      <c r="B6415" s="4">
        <f t="shared" si="116"/>
        <v>634.08999999994171</v>
      </c>
      <c r="C6415" s="199">
        <v>1515.6534677347681</v>
      </c>
      <c r="D6415" s="8"/>
    </row>
    <row r="6416" spans="2:4" x14ac:dyDescent="0.25">
      <c r="B6416" s="4">
        <f t="shared" si="116"/>
        <v>634.0999999999417</v>
      </c>
      <c r="C6416" s="199">
        <v>1515.9171406662947</v>
      </c>
      <c r="D6416" s="8"/>
    </row>
    <row r="6417" spans="2:4" x14ac:dyDescent="0.25">
      <c r="B6417" s="4">
        <f t="shared" si="116"/>
        <v>634.10999999994169</v>
      </c>
      <c r="C6417" s="199">
        <v>1516.1808135978208</v>
      </c>
      <c r="D6417" s="8"/>
    </row>
    <row r="6418" spans="2:4" x14ac:dyDescent="0.25">
      <c r="B6418" s="4">
        <f t="shared" si="116"/>
        <v>634.11999999994168</v>
      </c>
      <c r="C6418" s="199">
        <v>1516.4447129901839</v>
      </c>
      <c r="D6418" s="8"/>
    </row>
    <row r="6419" spans="2:4" x14ac:dyDescent="0.25">
      <c r="B6419" s="4">
        <f t="shared" si="116"/>
        <v>634.12999999994167</v>
      </c>
      <c r="C6419" s="199">
        <v>1516.7086123825518</v>
      </c>
      <c r="D6419" s="8"/>
    </row>
    <row r="6420" spans="2:4" x14ac:dyDescent="0.25">
      <c r="B6420" s="4">
        <f t="shared" si="116"/>
        <v>634.13999999994167</v>
      </c>
      <c r="C6420" s="199">
        <v>1516.9725117749217</v>
      </c>
      <c r="D6420" s="8"/>
    </row>
    <row r="6421" spans="2:4" x14ac:dyDescent="0.25">
      <c r="B6421" s="4">
        <f t="shared" si="116"/>
        <v>634.14999999994166</v>
      </c>
      <c r="C6421" s="199">
        <v>1517.2364111672896</v>
      </c>
      <c r="D6421" s="8"/>
    </row>
    <row r="6422" spans="2:4" x14ac:dyDescent="0.25">
      <c r="B6422" s="4">
        <f t="shared" si="116"/>
        <v>634.15999999994165</v>
      </c>
      <c r="C6422" s="199">
        <v>1517.5003105596584</v>
      </c>
      <c r="D6422" s="8"/>
    </row>
    <row r="6423" spans="2:4" x14ac:dyDescent="0.25">
      <c r="B6423" s="4">
        <f t="shared" si="116"/>
        <v>634.16999999994164</v>
      </c>
      <c r="C6423" s="199">
        <v>1517.7642099520262</v>
      </c>
      <c r="D6423" s="8"/>
    </row>
    <row r="6424" spans="2:4" x14ac:dyDescent="0.25">
      <c r="B6424" s="4">
        <f t="shared" si="116"/>
        <v>634.17999999994163</v>
      </c>
      <c r="C6424" s="199">
        <v>1518.0281093443953</v>
      </c>
      <c r="D6424" s="8"/>
    </row>
    <row r="6425" spans="2:4" x14ac:dyDescent="0.25">
      <c r="B6425" s="4">
        <f t="shared" si="116"/>
        <v>634.18999999994162</v>
      </c>
      <c r="C6425" s="199">
        <v>1518.2920087367631</v>
      </c>
      <c r="D6425" s="8"/>
    </row>
    <row r="6426" spans="2:4" x14ac:dyDescent="0.25">
      <c r="B6426" s="4">
        <f t="shared" si="116"/>
        <v>634.19999999994161</v>
      </c>
      <c r="C6426" s="199">
        <v>1518.5559081291312</v>
      </c>
      <c r="D6426" s="8"/>
    </row>
    <row r="6427" spans="2:4" x14ac:dyDescent="0.25">
      <c r="B6427" s="4">
        <f t="shared" si="116"/>
        <v>634.2099999999416</v>
      </c>
      <c r="C6427" s="199">
        <v>1518.8198075214996</v>
      </c>
      <c r="D6427" s="8"/>
    </row>
    <row r="6428" spans="2:4" x14ac:dyDescent="0.25">
      <c r="B6428" s="4">
        <f t="shared" si="116"/>
        <v>634.21999999994159</v>
      </c>
      <c r="C6428" s="199">
        <v>1519.0839366532616</v>
      </c>
      <c r="D6428" s="8"/>
    </row>
    <row r="6429" spans="2:4" x14ac:dyDescent="0.25">
      <c r="B6429" s="4">
        <f t="shared" si="116"/>
        <v>634.22999999994158</v>
      </c>
      <c r="C6429" s="199">
        <v>1519.3480657850223</v>
      </c>
      <c r="D6429" s="8"/>
    </row>
    <row r="6430" spans="2:4" x14ac:dyDescent="0.25">
      <c r="B6430" s="4">
        <f t="shared" si="116"/>
        <v>634.23999999994157</v>
      </c>
      <c r="C6430" s="199">
        <v>1519.6121949167843</v>
      </c>
      <c r="D6430" s="8"/>
    </row>
    <row r="6431" spans="2:4" x14ac:dyDescent="0.25">
      <c r="B6431" s="4">
        <f t="shared" si="116"/>
        <v>634.24999999994156</v>
      </c>
      <c r="C6431" s="199">
        <v>1519.876324048545</v>
      </c>
      <c r="D6431" s="8"/>
    </row>
    <row r="6432" spans="2:4" x14ac:dyDescent="0.25">
      <c r="B6432" s="4">
        <f t="shared" si="116"/>
        <v>634.25999999994156</v>
      </c>
      <c r="C6432" s="199">
        <v>1520.1404531803062</v>
      </c>
      <c r="D6432" s="8"/>
    </row>
    <row r="6433" spans="2:4" x14ac:dyDescent="0.25">
      <c r="B6433" s="4">
        <f t="shared" si="116"/>
        <v>634.26999999994155</v>
      </c>
      <c r="C6433" s="199">
        <v>1520.4045823120673</v>
      </c>
      <c r="D6433" s="8"/>
    </row>
    <row r="6434" spans="2:4" x14ac:dyDescent="0.25">
      <c r="B6434" s="4">
        <f t="shared" si="116"/>
        <v>634.27999999994154</v>
      </c>
      <c r="C6434" s="199">
        <v>1520.6687114438296</v>
      </c>
      <c r="D6434" s="8"/>
    </row>
    <row r="6435" spans="2:4" x14ac:dyDescent="0.25">
      <c r="B6435" s="4">
        <f t="shared" si="116"/>
        <v>634.28999999994153</v>
      </c>
      <c r="C6435" s="199">
        <v>1520.9328405755907</v>
      </c>
      <c r="D6435" s="8"/>
    </row>
    <row r="6436" spans="2:4" x14ac:dyDescent="0.25">
      <c r="B6436" s="4">
        <f t="shared" si="116"/>
        <v>634.29999999994152</v>
      </c>
      <c r="C6436" s="199">
        <v>1521.1969697073519</v>
      </c>
      <c r="D6436" s="8"/>
    </row>
    <row r="6437" spans="2:4" x14ac:dyDescent="0.25">
      <c r="B6437" s="4">
        <f t="shared" si="116"/>
        <v>634.30999999994151</v>
      </c>
      <c r="C6437" s="199">
        <v>1521.4610988391134</v>
      </c>
      <c r="D6437" s="8"/>
    </row>
    <row r="6438" spans="2:4" x14ac:dyDescent="0.25">
      <c r="B6438" s="4">
        <f t="shared" si="116"/>
        <v>634.3199999999415</v>
      </c>
      <c r="C6438" s="199">
        <v>1521.7254525819494</v>
      </c>
      <c r="D6438" s="8"/>
    </row>
    <row r="6439" spans="2:4" x14ac:dyDescent="0.25">
      <c r="B6439" s="4">
        <f t="shared" si="116"/>
        <v>634.32999999994149</v>
      </c>
      <c r="C6439" s="199">
        <v>1521.989806324792</v>
      </c>
      <c r="D6439" s="8"/>
    </row>
    <row r="6440" spans="2:4" x14ac:dyDescent="0.25">
      <c r="B6440" s="4">
        <f t="shared" si="116"/>
        <v>634.33999999994148</v>
      </c>
      <c r="C6440" s="199">
        <v>1522.2541600676352</v>
      </c>
      <c r="D6440" s="8"/>
    </row>
    <row r="6441" spans="2:4" x14ac:dyDescent="0.25">
      <c r="B6441" s="4">
        <f t="shared" si="116"/>
        <v>634.34999999994147</v>
      </c>
      <c r="C6441" s="199">
        <v>1522.5185138104775</v>
      </c>
      <c r="D6441" s="8"/>
    </row>
    <row r="6442" spans="2:4" x14ac:dyDescent="0.25">
      <c r="B6442" s="4">
        <f t="shared" si="116"/>
        <v>634.35999999994146</v>
      </c>
      <c r="C6442" s="199">
        <v>1522.7828675533199</v>
      </c>
      <c r="D6442" s="8"/>
    </row>
    <row r="6443" spans="2:4" x14ac:dyDescent="0.25">
      <c r="B6443" s="4">
        <f t="shared" si="116"/>
        <v>634.36999999994146</v>
      </c>
      <c r="C6443" s="199">
        <v>1523.0472212961622</v>
      </c>
      <c r="D6443" s="8"/>
    </row>
    <row r="6444" spans="2:4" x14ac:dyDescent="0.25">
      <c r="B6444" s="4">
        <f t="shared" si="116"/>
        <v>634.37999999994145</v>
      </c>
      <c r="C6444" s="199">
        <v>1523.3115750390048</v>
      </c>
      <c r="D6444" s="8"/>
    </row>
    <row r="6445" spans="2:4" x14ac:dyDescent="0.25">
      <c r="B6445" s="4">
        <f t="shared" si="116"/>
        <v>634.38999999994144</v>
      </c>
      <c r="C6445" s="199">
        <v>1523.5759287818471</v>
      </c>
      <c r="D6445" s="8"/>
    </row>
    <row r="6446" spans="2:4" x14ac:dyDescent="0.25">
      <c r="B6446" s="4">
        <f t="shared" si="116"/>
        <v>634.39999999994143</v>
      </c>
      <c r="C6446" s="199">
        <v>1523.8402825246903</v>
      </c>
      <c r="D6446" s="8"/>
    </row>
    <row r="6447" spans="2:4" x14ac:dyDescent="0.25">
      <c r="B6447" s="4">
        <f t="shared" si="116"/>
        <v>634.40999999994142</v>
      </c>
      <c r="C6447" s="199">
        <v>1524.1046362675331</v>
      </c>
      <c r="D6447" s="8"/>
    </row>
    <row r="6448" spans="2:4" x14ac:dyDescent="0.25">
      <c r="B6448" s="4">
        <f t="shared" si="116"/>
        <v>634.41999999994141</v>
      </c>
      <c r="C6448" s="199">
        <v>1524.3692147486795</v>
      </c>
      <c r="D6448" s="8"/>
    </row>
    <row r="6449" spans="2:4" x14ac:dyDescent="0.25">
      <c r="B6449" s="4">
        <f t="shared" si="116"/>
        <v>634.4299999999414</v>
      </c>
      <c r="C6449" s="199">
        <v>1524.6337932298284</v>
      </c>
      <c r="D6449" s="8"/>
    </row>
    <row r="6450" spans="2:4" x14ac:dyDescent="0.25">
      <c r="B6450" s="4">
        <f t="shared" si="116"/>
        <v>634.43999999994139</v>
      </c>
      <c r="C6450" s="199">
        <v>1524.898371710977</v>
      </c>
      <c r="D6450" s="8"/>
    </row>
    <row r="6451" spans="2:4" x14ac:dyDescent="0.25">
      <c r="B6451" s="4">
        <f t="shared" si="116"/>
        <v>634.44999999994138</v>
      </c>
      <c r="C6451" s="199">
        <v>1525.1629501921254</v>
      </c>
      <c r="D6451" s="8"/>
    </row>
    <row r="6452" spans="2:4" x14ac:dyDescent="0.25">
      <c r="B6452" s="4">
        <f t="shared" si="116"/>
        <v>634.45999999994137</v>
      </c>
      <c r="C6452" s="199">
        <v>1525.4275286732729</v>
      </c>
      <c r="D6452" s="8"/>
    </row>
    <row r="6453" spans="2:4" x14ac:dyDescent="0.25">
      <c r="B6453" s="4">
        <f t="shared" si="116"/>
        <v>634.46999999994136</v>
      </c>
      <c r="C6453" s="199">
        <v>1525.692107154422</v>
      </c>
      <c r="D6453" s="8"/>
    </row>
    <row r="6454" spans="2:4" x14ac:dyDescent="0.25">
      <c r="B6454" s="4">
        <f t="shared" si="116"/>
        <v>634.47999999994136</v>
      </c>
      <c r="C6454" s="199">
        <v>1525.95668563557</v>
      </c>
      <c r="D6454" s="8"/>
    </row>
    <row r="6455" spans="2:4" x14ac:dyDescent="0.25">
      <c r="B6455" s="4">
        <f t="shared" si="116"/>
        <v>634.48999999994135</v>
      </c>
      <c r="C6455" s="199">
        <v>1526.2212641167187</v>
      </c>
      <c r="D6455" s="8"/>
    </row>
    <row r="6456" spans="2:4" x14ac:dyDescent="0.25">
      <c r="B6456" s="4">
        <f t="shared" si="116"/>
        <v>634.49999999994134</v>
      </c>
      <c r="C6456" s="199">
        <v>1526.4858425978671</v>
      </c>
      <c r="D6456" s="8"/>
    </row>
    <row r="6457" spans="2:4" x14ac:dyDescent="0.25">
      <c r="B6457" s="4">
        <f t="shared" si="116"/>
        <v>634.50999999994133</v>
      </c>
      <c r="C6457" s="199">
        <v>1526.7504210790148</v>
      </c>
      <c r="D6457" s="8"/>
    </row>
    <row r="6458" spans="2:4" x14ac:dyDescent="0.25">
      <c r="B6458" s="4">
        <f t="shared" si="116"/>
        <v>634.51999999994132</v>
      </c>
      <c r="C6458" s="199">
        <v>1527.0152284843437</v>
      </c>
      <c r="D6458" s="8"/>
    </row>
    <row r="6459" spans="2:4" x14ac:dyDescent="0.25">
      <c r="B6459" s="4">
        <f t="shared" si="116"/>
        <v>634.52999999994131</v>
      </c>
      <c r="C6459" s="199">
        <v>1527.2800358896789</v>
      </c>
      <c r="D6459" s="8"/>
    </row>
    <row r="6460" spans="2:4" x14ac:dyDescent="0.25">
      <c r="B6460" s="4">
        <f t="shared" si="116"/>
        <v>634.5399999999413</v>
      </c>
      <c r="C6460" s="199">
        <v>1527.5448432950141</v>
      </c>
      <c r="D6460" s="8"/>
    </row>
    <row r="6461" spans="2:4" x14ac:dyDescent="0.25">
      <c r="B6461" s="4">
        <f t="shared" si="116"/>
        <v>634.54999999994129</v>
      </c>
      <c r="C6461" s="199">
        <v>1527.8096507003488</v>
      </c>
      <c r="D6461" s="8"/>
    </row>
    <row r="6462" spans="2:4" x14ac:dyDescent="0.25">
      <c r="B6462" s="4">
        <f t="shared" si="116"/>
        <v>634.55999999994128</v>
      </c>
      <c r="C6462" s="199">
        <v>1528.0744581056842</v>
      </c>
      <c r="D6462" s="8"/>
    </row>
    <row r="6463" spans="2:4" x14ac:dyDescent="0.25">
      <c r="B6463" s="4">
        <f t="shared" si="116"/>
        <v>634.56999999994127</v>
      </c>
      <c r="C6463" s="199">
        <v>1528.3392655110183</v>
      </c>
      <c r="D6463" s="8"/>
    </row>
    <row r="6464" spans="2:4" x14ac:dyDescent="0.25">
      <c r="B6464" s="4">
        <f t="shared" si="116"/>
        <v>634.57999999994126</v>
      </c>
      <c r="C6464" s="199">
        <v>1528.6040729163537</v>
      </c>
      <c r="D6464" s="8"/>
    </row>
    <row r="6465" spans="2:4" x14ac:dyDescent="0.25">
      <c r="B6465" s="4">
        <f t="shared" si="116"/>
        <v>634.58999999994126</v>
      </c>
      <c r="C6465" s="199">
        <v>1528.8688803216883</v>
      </c>
      <c r="D6465" s="8"/>
    </row>
    <row r="6466" spans="2:4" x14ac:dyDescent="0.25">
      <c r="B6466" s="4">
        <f t="shared" si="116"/>
        <v>634.59999999994125</v>
      </c>
      <c r="C6466" s="199">
        <v>1529.1336877270239</v>
      </c>
      <c r="D6466" s="8"/>
    </row>
    <row r="6467" spans="2:4" x14ac:dyDescent="0.25">
      <c r="B6467" s="4">
        <f t="shared" si="116"/>
        <v>634.60999999994124</v>
      </c>
      <c r="C6467" s="199">
        <v>1529.3984951323587</v>
      </c>
      <c r="D6467" s="8"/>
    </row>
    <row r="6468" spans="2:4" x14ac:dyDescent="0.25">
      <c r="B6468" s="4">
        <f t="shared" si="116"/>
        <v>634.61999999994123</v>
      </c>
      <c r="C6468" s="199">
        <v>1529.6635287730141</v>
      </c>
      <c r="D6468" s="8"/>
    </row>
    <row r="6469" spans="2:4" x14ac:dyDescent="0.25">
      <c r="B6469" s="4">
        <f t="shared" si="116"/>
        <v>634.62999999994122</v>
      </c>
      <c r="C6469" s="199">
        <v>1529.9285624136703</v>
      </c>
      <c r="D6469" s="8"/>
    </row>
    <row r="6470" spans="2:4" x14ac:dyDescent="0.25">
      <c r="B6470" s="4">
        <f t="shared" si="116"/>
        <v>634.63999999994121</v>
      </c>
      <c r="C6470" s="199">
        <v>1530.1935960543265</v>
      </c>
      <c r="D6470" s="8"/>
    </row>
    <row r="6471" spans="2:4" x14ac:dyDescent="0.25">
      <c r="B6471" s="4">
        <f t="shared" si="116"/>
        <v>634.6499999999412</v>
      </c>
      <c r="C6471" s="199">
        <v>1530.4586296949819</v>
      </c>
      <c r="D6471" s="8"/>
    </row>
    <row r="6472" spans="2:4" x14ac:dyDescent="0.25">
      <c r="B6472" s="4">
        <f t="shared" ref="B6472:B6535" si="117">+B6471+0.01</f>
        <v>634.65999999994119</v>
      </c>
      <c r="C6472" s="199">
        <v>1530.7236633356388</v>
      </c>
      <c r="D6472" s="8"/>
    </row>
    <row r="6473" spans="2:4" x14ac:dyDescent="0.25">
      <c r="B6473" s="4">
        <f t="shared" si="117"/>
        <v>634.66999999994118</v>
      </c>
      <c r="C6473" s="199">
        <v>1530.9886969762954</v>
      </c>
      <c r="D6473" s="8"/>
    </row>
    <row r="6474" spans="2:4" x14ac:dyDescent="0.25">
      <c r="B6474" s="4">
        <f t="shared" si="117"/>
        <v>634.67999999994117</v>
      </c>
      <c r="C6474" s="199">
        <v>1531.2537306169509</v>
      </c>
      <c r="D6474" s="8"/>
    </row>
    <row r="6475" spans="2:4" x14ac:dyDescent="0.25">
      <c r="B6475" s="4">
        <f t="shared" si="117"/>
        <v>634.68999999994116</v>
      </c>
      <c r="C6475" s="199">
        <v>1531.518764257607</v>
      </c>
      <c r="D6475" s="8"/>
    </row>
    <row r="6476" spans="2:4" x14ac:dyDescent="0.25">
      <c r="B6476" s="4">
        <f t="shared" si="117"/>
        <v>634.69999999994116</v>
      </c>
      <c r="C6476" s="199">
        <v>1531.7837978982627</v>
      </c>
      <c r="D6476" s="8"/>
    </row>
    <row r="6477" spans="2:4" x14ac:dyDescent="0.25">
      <c r="B6477" s="4">
        <f t="shared" si="117"/>
        <v>634.70999999994115</v>
      </c>
      <c r="C6477" s="199">
        <v>1532.0488315389198</v>
      </c>
      <c r="D6477" s="8"/>
    </row>
    <row r="6478" spans="2:4" x14ac:dyDescent="0.25">
      <c r="B6478" s="4">
        <f t="shared" si="117"/>
        <v>634.71999999994114</v>
      </c>
      <c r="C6478" s="199">
        <v>1532.3140873796683</v>
      </c>
      <c r="D6478" s="8"/>
    </row>
    <row r="6479" spans="2:4" x14ac:dyDescent="0.25">
      <c r="B6479" s="4">
        <f t="shared" si="117"/>
        <v>634.72999999994113</v>
      </c>
      <c r="C6479" s="199">
        <v>1532.5793432204221</v>
      </c>
      <c r="D6479" s="8"/>
    </row>
    <row r="6480" spans="2:4" x14ac:dyDescent="0.25">
      <c r="B6480" s="4">
        <f t="shared" si="117"/>
        <v>634.73999999994112</v>
      </c>
      <c r="C6480" s="199">
        <v>1532.844599061177</v>
      </c>
      <c r="D6480" s="8"/>
    </row>
    <row r="6481" spans="2:4" x14ac:dyDescent="0.25">
      <c r="B6481" s="4">
        <f t="shared" si="117"/>
        <v>634.74999999994111</v>
      </c>
      <c r="C6481" s="199">
        <v>1533.1098549019314</v>
      </c>
      <c r="D6481" s="8"/>
    </row>
    <row r="6482" spans="2:4" x14ac:dyDescent="0.25">
      <c r="B6482" s="4">
        <f t="shared" si="117"/>
        <v>634.7599999999411</v>
      </c>
      <c r="C6482" s="199">
        <v>1533.3751107426854</v>
      </c>
      <c r="D6482" s="8"/>
    </row>
    <row r="6483" spans="2:4" x14ac:dyDescent="0.25">
      <c r="B6483" s="4">
        <f t="shared" si="117"/>
        <v>634.76999999994109</v>
      </c>
      <c r="C6483" s="199">
        <v>1533.6403665834393</v>
      </c>
      <c r="D6483" s="8"/>
    </row>
    <row r="6484" spans="2:4" x14ac:dyDescent="0.25">
      <c r="B6484" s="4">
        <f t="shared" si="117"/>
        <v>634.77999999994108</v>
      </c>
      <c r="C6484" s="199">
        <v>1533.9056224241945</v>
      </c>
      <c r="D6484" s="8"/>
    </row>
    <row r="6485" spans="2:4" x14ac:dyDescent="0.25">
      <c r="B6485" s="4">
        <f t="shared" si="117"/>
        <v>634.78999999994107</v>
      </c>
      <c r="C6485" s="199">
        <v>1534.1708782649482</v>
      </c>
      <c r="D6485" s="8"/>
    </row>
    <row r="6486" spans="2:4" x14ac:dyDescent="0.25">
      <c r="B6486" s="4">
        <f t="shared" si="117"/>
        <v>634.79999999994106</v>
      </c>
      <c r="C6486" s="199">
        <v>1534.4361341057026</v>
      </c>
      <c r="D6486" s="8"/>
    </row>
    <row r="6487" spans="2:4" x14ac:dyDescent="0.25">
      <c r="B6487" s="4">
        <f t="shared" si="117"/>
        <v>634.80999999994106</v>
      </c>
      <c r="C6487" s="199">
        <v>1534.7013899464573</v>
      </c>
      <c r="D6487" s="8"/>
    </row>
    <row r="6488" spans="2:4" x14ac:dyDescent="0.25">
      <c r="B6488" s="4">
        <f t="shared" si="117"/>
        <v>634.81999999994105</v>
      </c>
      <c r="C6488" s="199">
        <v>1534.966869055286</v>
      </c>
      <c r="D6488" s="8"/>
    </row>
    <row r="6489" spans="2:4" x14ac:dyDescent="0.25">
      <c r="B6489" s="4">
        <f t="shared" si="117"/>
        <v>634.82999999994104</v>
      </c>
      <c r="C6489" s="199">
        <v>1535.2323481641151</v>
      </c>
      <c r="D6489" s="8"/>
    </row>
    <row r="6490" spans="2:4" x14ac:dyDescent="0.25">
      <c r="B6490" s="4">
        <f t="shared" si="117"/>
        <v>634.83999999994103</v>
      </c>
      <c r="C6490" s="199">
        <v>1535.4978272729452</v>
      </c>
      <c r="D6490" s="8"/>
    </row>
    <row r="6491" spans="2:4" x14ac:dyDescent="0.25">
      <c r="B6491" s="4">
        <f t="shared" si="117"/>
        <v>634.84999999994102</v>
      </c>
      <c r="C6491" s="199">
        <v>1535.7633063817755</v>
      </c>
      <c r="D6491" s="8"/>
    </row>
    <row r="6492" spans="2:4" x14ac:dyDescent="0.25">
      <c r="B6492" s="4">
        <f t="shared" si="117"/>
        <v>634.85999999994101</v>
      </c>
      <c r="C6492" s="199">
        <v>1536.0287854906048</v>
      </c>
      <c r="D6492" s="8"/>
    </row>
    <row r="6493" spans="2:4" x14ac:dyDescent="0.25">
      <c r="B6493" s="4">
        <f t="shared" si="117"/>
        <v>634.869999999941</v>
      </c>
      <c r="C6493" s="199">
        <v>1536.294264599434</v>
      </c>
      <c r="D6493" s="8"/>
    </row>
    <row r="6494" spans="2:4" x14ac:dyDescent="0.25">
      <c r="B6494" s="4">
        <f t="shared" si="117"/>
        <v>634.87999999994099</v>
      </c>
      <c r="C6494" s="199">
        <v>1536.5597437082649</v>
      </c>
      <c r="D6494" s="8"/>
    </row>
    <row r="6495" spans="2:4" x14ac:dyDescent="0.25">
      <c r="B6495" s="4">
        <f t="shared" si="117"/>
        <v>634.88999999994098</v>
      </c>
      <c r="C6495" s="199">
        <v>1536.8252228170943</v>
      </c>
      <c r="D6495" s="8"/>
    </row>
    <row r="6496" spans="2:4" x14ac:dyDescent="0.25">
      <c r="B6496" s="4">
        <f t="shared" si="117"/>
        <v>634.89999999994097</v>
      </c>
      <c r="C6496" s="199">
        <v>1537.0907019259234</v>
      </c>
      <c r="D6496" s="8"/>
    </row>
    <row r="6497" spans="2:4" x14ac:dyDescent="0.25">
      <c r="B6497" s="4">
        <f t="shared" si="117"/>
        <v>634.90999999994096</v>
      </c>
      <c r="C6497" s="199">
        <v>1537.3561810347539</v>
      </c>
      <c r="D6497" s="8"/>
    </row>
    <row r="6498" spans="2:4" x14ac:dyDescent="0.25">
      <c r="B6498" s="4">
        <f t="shared" si="117"/>
        <v>634.91999999994096</v>
      </c>
      <c r="C6498" s="199">
        <v>1537.6218757737895</v>
      </c>
      <c r="D6498" s="8"/>
    </row>
    <row r="6499" spans="2:4" x14ac:dyDescent="0.25">
      <c r="B6499" s="4">
        <f t="shared" si="117"/>
        <v>634.92999999994095</v>
      </c>
      <c r="C6499" s="199">
        <v>1537.8875705128307</v>
      </c>
      <c r="D6499" s="8"/>
    </row>
    <row r="6500" spans="2:4" x14ac:dyDescent="0.25">
      <c r="B6500" s="4">
        <f t="shared" si="117"/>
        <v>634.93999999994094</v>
      </c>
      <c r="C6500" s="199">
        <v>1538.153265251872</v>
      </c>
      <c r="D6500" s="8"/>
    </row>
    <row r="6501" spans="2:4" x14ac:dyDescent="0.25">
      <c r="B6501" s="4">
        <f t="shared" si="117"/>
        <v>634.94999999994093</v>
      </c>
      <c r="C6501" s="199">
        <v>1538.4189599909132</v>
      </c>
      <c r="D6501" s="8"/>
    </row>
    <row r="6502" spans="2:4" x14ac:dyDescent="0.25">
      <c r="B6502" s="4">
        <f t="shared" si="117"/>
        <v>634.95999999994092</v>
      </c>
      <c r="C6502" s="199">
        <v>1538.684654729954</v>
      </c>
      <c r="D6502" s="8"/>
    </row>
    <row r="6503" spans="2:4" x14ac:dyDescent="0.25">
      <c r="B6503" s="4">
        <f t="shared" si="117"/>
        <v>634.96999999994091</v>
      </c>
      <c r="C6503" s="199">
        <v>1538.9503494689964</v>
      </c>
      <c r="D6503" s="8"/>
    </row>
    <row r="6504" spans="2:4" x14ac:dyDescent="0.25">
      <c r="B6504" s="4">
        <f t="shared" si="117"/>
        <v>634.9799999999409</v>
      </c>
      <c r="C6504" s="199">
        <v>1539.2160442080376</v>
      </c>
      <c r="D6504" s="8"/>
    </row>
    <row r="6505" spans="2:4" x14ac:dyDescent="0.25">
      <c r="B6505" s="4">
        <f t="shared" si="117"/>
        <v>634.98999999994089</v>
      </c>
      <c r="C6505" s="199">
        <v>1539.4817389470784</v>
      </c>
      <c r="D6505" s="8"/>
    </row>
    <row r="6506" spans="2:4" x14ac:dyDescent="0.25">
      <c r="B6506" s="4">
        <f t="shared" si="117"/>
        <v>634.99999999994088</v>
      </c>
      <c r="C6506" s="199">
        <v>1539.7474336861194</v>
      </c>
      <c r="D6506" s="8"/>
    </row>
    <row r="6507" spans="2:4" x14ac:dyDescent="0.25">
      <c r="B6507" s="4">
        <f t="shared" si="117"/>
        <v>635.00999999994087</v>
      </c>
      <c r="C6507" s="199">
        <v>1540.0131284251611</v>
      </c>
      <c r="D6507" s="8"/>
    </row>
    <row r="6508" spans="2:4" x14ac:dyDescent="0.25">
      <c r="B6508" s="4">
        <f t="shared" si="117"/>
        <v>635.01999999994086</v>
      </c>
      <c r="C6508" s="199">
        <v>1540.2790411200074</v>
      </c>
      <c r="D6508" s="8"/>
    </row>
    <row r="6509" spans="2:4" x14ac:dyDescent="0.25">
      <c r="B6509" s="4">
        <f t="shared" si="117"/>
        <v>635.02999999994086</v>
      </c>
      <c r="C6509" s="199">
        <v>1540.5449538148523</v>
      </c>
      <c r="D6509" s="8"/>
    </row>
    <row r="6510" spans="2:4" x14ac:dyDescent="0.25">
      <c r="B6510" s="4">
        <f t="shared" si="117"/>
        <v>635.03999999994085</v>
      </c>
      <c r="C6510" s="199">
        <v>1540.8108665096975</v>
      </c>
      <c r="D6510" s="8"/>
    </row>
    <row r="6511" spans="2:4" x14ac:dyDescent="0.25">
      <c r="B6511" s="4">
        <f t="shared" si="117"/>
        <v>635.04999999994084</v>
      </c>
      <c r="C6511" s="199">
        <v>1541.0767792045431</v>
      </c>
      <c r="D6511" s="8"/>
    </row>
    <row r="6512" spans="2:4" x14ac:dyDescent="0.25">
      <c r="B6512" s="4">
        <f t="shared" si="117"/>
        <v>635.05999999994083</v>
      </c>
      <c r="C6512" s="199">
        <v>1541.3426918993885</v>
      </c>
      <c r="D6512" s="8"/>
    </row>
    <row r="6513" spans="2:4" x14ac:dyDescent="0.25">
      <c r="B6513" s="4">
        <f t="shared" si="117"/>
        <v>635.06999999994082</v>
      </c>
      <c r="C6513" s="199">
        <v>1541.6086045942334</v>
      </c>
      <c r="D6513" s="8"/>
    </row>
    <row r="6514" spans="2:4" x14ac:dyDescent="0.25">
      <c r="B6514" s="4">
        <f t="shared" si="117"/>
        <v>635.07999999994081</v>
      </c>
      <c r="C6514" s="199">
        <v>1541.8745172890788</v>
      </c>
      <c r="D6514" s="8"/>
    </row>
    <row r="6515" spans="2:4" x14ac:dyDescent="0.25">
      <c r="B6515" s="4">
        <f t="shared" si="117"/>
        <v>635.0899999999408</v>
      </c>
      <c r="C6515" s="199">
        <v>1542.140429983923</v>
      </c>
      <c r="D6515" s="8"/>
    </row>
    <row r="6516" spans="2:4" x14ac:dyDescent="0.25">
      <c r="B6516" s="4">
        <f t="shared" si="117"/>
        <v>635.09999999994079</v>
      </c>
      <c r="C6516" s="199">
        <v>1542.4063426787691</v>
      </c>
      <c r="D6516" s="8"/>
    </row>
    <row r="6517" spans="2:4" x14ac:dyDescent="0.25">
      <c r="B6517" s="4">
        <f t="shared" si="117"/>
        <v>635.10999999994078</v>
      </c>
      <c r="C6517" s="199">
        <v>1542.6722553736142</v>
      </c>
      <c r="D6517" s="8"/>
    </row>
    <row r="6518" spans="2:4" x14ac:dyDescent="0.25">
      <c r="B6518" s="4">
        <f t="shared" si="117"/>
        <v>635.11999999994077</v>
      </c>
      <c r="C6518" s="199">
        <v>1542.9383799479492</v>
      </c>
      <c r="D6518" s="8"/>
    </row>
    <row r="6519" spans="2:4" x14ac:dyDescent="0.25">
      <c r="B6519" s="4">
        <f t="shared" si="117"/>
        <v>635.12999999994076</v>
      </c>
      <c r="C6519" s="199">
        <v>1543.2045045222908</v>
      </c>
      <c r="D6519" s="8"/>
    </row>
    <row r="6520" spans="2:4" x14ac:dyDescent="0.25">
      <c r="B6520" s="4">
        <f t="shared" si="117"/>
        <v>635.13999999994076</v>
      </c>
      <c r="C6520" s="199">
        <v>1543.4706290966333</v>
      </c>
      <c r="D6520" s="8"/>
    </row>
    <row r="6521" spans="2:4" x14ac:dyDescent="0.25">
      <c r="B6521" s="4">
        <f t="shared" si="117"/>
        <v>635.14999999994075</v>
      </c>
      <c r="C6521" s="199">
        <v>1543.7367536709753</v>
      </c>
      <c r="D6521" s="8"/>
    </row>
    <row r="6522" spans="2:4" x14ac:dyDescent="0.25">
      <c r="B6522" s="4">
        <f t="shared" si="117"/>
        <v>635.15999999994074</v>
      </c>
      <c r="C6522" s="199">
        <v>1544.0028782453169</v>
      </c>
      <c r="D6522" s="8"/>
    </row>
    <row r="6523" spans="2:4" x14ac:dyDescent="0.25">
      <c r="B6523" s="4">
        <f t="shared" si="117"/>
        <v>635.16999999994073</v>
      </c>
      <c r="C6523" s="199">
        <v>1544.2690028196591</v>
      </c>
      <c r="D6523" s="8"/>
    </row>
    <row r="6524" spans="2:4" x14ac:dyDescent="0.25">
      <c r="B6524" s="4">
        <f t="shared" si="117"/>
        <v>635.17999999994072</v>
      </c>
      <c r="C6524" s="199">
        <v>1544.5351273940012</v>
      </c>
      <c r="D6524" s="8"/>
    </row>
    <row r="6525" spans="2:4" x14ac:dyDescent="0.25">
      <c r="B6525" s="4">
        <f t="shared" si="117"/>
        <v>635.18999999994071</v>
      </c>
      <c r="C6525" s="199">
        <v>1544.8012519683427</v>
      </c>
      <c r="D6525" s="8"/>
    </row>
    <row r="6526" spans="2:4" x14ac:dyDescent="0.25">
      <c r="B6526" s="4">
        <f t="shared" si="117"/>
        <v>635.1999999999407</v>
      </c>
      <c r="C6526" s="199">
        <v>1545.067376542685</v>
      </c>
      <c r="D6526" s="8"/>
    </row>
    <row r="6527" spans="2:4" x14ac:dyDescent="0.25">
      <c r="B6527" s="4">
        <f t="shared" si="117"/>
        <v>635.20999999994069</v>
      </c>
      <c r="C6527" s="199">
        <v>1545.3335011170268</v>
      </c>
      <c r="D6527" s="8"/>
    </row>
    <row r="6528" spans="2:4" x14ac:dyDescent="0.25">
      <c r="B6528" s="4">
        <f t="shared" si="117"/>
        <v>635.21999999994068</v>
      </c>
      <c r="C6528" s="199">
        <v>1545.5998374607598</v>
      </c>
      <c r="D6528" s="8"/>
    </row>
    <row r="6529" spans="2:4" x14ac:dyDescent="0.25">
      <c r="B6529" s="4">
        <f t="shared" si="117"/>
        <v>635.22999999994067</v>
      </c>
      <c r="C6529" s="199">
        <v>1545.8661738044923</v>
      </c>
      <c r="D6529" s="8"/>
    </row>
    <row r="6530" spans="2:4" x14ac:dyDescent="0.25">
      <c r="B6530" s="4">
        <f t="shared" si="117"/>
        <v>635.23999999994066</v>
      </c>
      <c r="C6530" s="199">
        <v>1546.1325101482253</v>
      </c>
      <c r="D6530" s="8"/>
    </row>
    <row r="6531" spans="2:4" x14ac:dyDescent="0.25">
      <c r="B6531" s="4">
        <f t="shared" si="117"/>
        <v>635.24999999994066</v>
      </c>
      <c r="C6531" s="199">
        <v>1546.3988464919573</v>
      </c>
      <c r="D6531" s="8"/>
    </row>
    <row r="6532" spans="2:4" x14ac:dyDescent="0.25">
      <c r="B6532" s="4">
        <f t="shared" si="117"/>
        <v>635.25999999994065</v>
      </c>
      <c r="C6532" s="199">
        <v>1546.6651828356901</v>
      </c>
      <c r="D6532" s="8"/>
    </row>
    <row r="6533" spans="2:4" x14ac:dyDescent="0.25">
      <c r="B6533" s="4">
        <f t="shared" si="117"/>
        <v>635.26999999994064</v>
      </c>
      <c r="C6533" s="199">
        <v>1546.9315191794224</v>
      </c>
      <c r="D6533" s="8"/>
    </row>
    <row r="6534" spans="2:4" x14ac:dyDescent="0.25">
      <c r="B6534" s="4">
        <f t="shared" si="117"/>
        <v>635.27999999994063</v>
      </c>
      <c r="C6534" s="199">
        <v>1547.1978555231556</v>
      </c>
      <c r="D6534" s="8"/>
    </row>
    <row r="6535" spans="2:4" x14ac:dyDescent="0.25">
      <c r="B6535" s="4">
        <f t="shared" si="117"/>
        <v>635.28999999994062</v>
      </c>
      <c r="C6535" s="199">
        <v>1547.4641918668879</v>
      </c>
      <c r="D6535" s="8"/>
    </row>
    <row r="6536" spans="2:4" x14ac:dyDescent="0.25">
      <c r="B6536" s="4">
        <f t="shared" ref="B6536:B6599" si="118">+B6535+0.01</f>
        <v>635.29999999994061</v>
      </c>
      <c r="C6536" s="199">
        <v>1547.7305282106208</v>
      </c>
      <c r="D6536" s="8"/>
    </row>
    <row r="6537" spans="2:4" x14ac:dyDescent="0.25">
      <c r="B6537" s="4">
        <f t="shared" si="118"/>
        <v>635.3099999999406</v>
      </c>
      <c r="C6537" s="199">
        <v>1547.9968645543527</v>
      </c>
      <c r="D6537" s="8"/>
    </row>
    <row r="6538" spans="2:4" x14ac:dyDescent="0.25">
      <c r="B6538" s="4">
        <f t="shared" si="118"/>
        <v>635.31999999994059</v>
      </c>
      <c r="C6538" s="199">
        <v>1548.2634139094373</v>
      </c>
      <c r="D6538" s="8"/>
    </row>
    <row r="6539" spans="2:4" x14ac:dyDescent="0.25">
      <c r="B6539" s="4">
        <f t="shared" si="118"/>
        <v>635.32999999994058</v>
      </c>
      <c r="C6539" s="199">
        <v>1548.5299632645283</v>
      </c>
      <c r="D6539" s="8"/>
    </row>
    <row r="6540" spans="2:4" x14ac:dyDescent="0.25">
      <c r="B6540" s="4">
        <f t="shared" si="118"/>
        <v>635.33999999994057</v>
      </c>
      <c r="C6540" s="199">
        <v>1548.7965126196182</v>
      </c>
      <c r="D6540" s="8"/>
    </row>
    <row r="6541" spans="2:4" x14ac:dyDescent="0.25">
      <c r="B6541" s="4">
        <f t="shared" si="118"/>
        <v>635.34999999994056</v>
      </c>
      <c r="C6541" s="199">
        <v>1549.0630619747092</v>
      </c>
      <c r="D6541" s="8"/>
    </row>
    <row r="6542" spans="2:4" x14ac:dyDescent="0.25">
      <c r="B6542" s="4">
        <f t="shared" si="118"/>
        <v>635.35999999994056</v>
      </c>
      <c r="C6542" s="199">
        <v>1549.3296113298006</v>
      </c>
      <c r="D6542" s="8"/>
    </row>
    <row r="6543" spans="2:4" x14ac:dyDescent="0.25">
      <c r="B6543" s="4">
        <f t="shared" si="118"/>
        <v>635.36999999994055</v>
      </c>
      <c r="C6543" s="199">
        <v>1549.5961606848914</v>
      </c>
      <c r="D6543" s="8"/>
    </row>
    <row r="6544" spans="2:4" x14ac:dyDescent="0.25">
      <c r="B6544" s="4">
        <f t="shared" si="118"/>
        <v>635.37999999994054</v>
      </c>
      <c r="C6544" s="199">
        <v>1549.8627100399824</v>
      </c>
      <c r="D6544" s="8"/>
    </row>
    <row r="6545" spans="2:4" x14ac:dyDescent="0.25">
      <c r="B6545" s="4">
        <f t="shared" si="118"/>
        <v>635.38999999994053</v>
      </c>
      <c r="C6545" s="199">
        <v>1550.1292593950723</v>
      </c>
      <c r="D6545" s="8"/>
    </row>
    <row r="6546" spans="2:4" x14ac:dyDescent="0.25">
      <c r="B6546" s="4">
        <f t="shared" si="118"/>
        <v>635.39999999994052</v>
      </c>
      <c r="C6546" s="199">
        <v>1550.3958087501633</v>
      </c>
      <c r="D6546" s="8"/>
    </row>
    <row r="6547" spans="2:4" x14ac:dyDescent="0.25">
      <c r="B6547" s="4">
        <f t="shared" si="118"/>
        <v>635.40999999994051</v>
      </c>
      <c r="C6547" s="199">
        <v>1550.6623581052547</v>
      </c>
      <c r="D6547" s="8"/>
    </row>
    <row r="6548" spans="2:4" x14ac:dyDescent="0.25">
      <c r="B6548" s="4">
        <f t="shared" si="118"/>
        <v>635.4199999999405</v>
      </c>
      <c r="C6548" s="199">
        <v>1550.9291215371625</v>
      </c>
      <c r="D6548" s="8"/>
    </row>
    <row r="6549" spans="2:4" x14ac:dyDescent="0.25">
      <c r="B6549" s="4">
        <f t="shared" si="118"/>
        <v>635.42999999994049</v>
      </c>
      <c r="C6549" s="199">
        <v>1551.1958849690711</v>
      </c>
      <c r="D6549" s="8"/>
    </row>
    <row r="6550" spans="2:4" x14ac:dyDescent="0.25">
      <c r="B6550" s="4">
        <f t="shared" si="118"/>
        <v>635.43999999994048</v>
      </c>
      <c r="C6550" s="199">
        <v>1551.4626484009775</v>
      </c>
      <c r="D6550" s="8"/>
    </row>
    <row r="6551" spans="2:4" x14ac:dyDescent="0.25">
      <c r="B6551" s="4">
        <f t="shared" si="118"/>
        <v>635.44999999994047</v>
      </c>
      <c r="C6551" s="199">
        <v>1551.7294118328857</v>
      </c>
      <c r="D6551" s="8"/>
    </row>
    <row r="6552" spans="2:4" x14ac:dyDescent="0.25">
      <c r="B6552" s="4">
        <f t="shared" si="118"/>
        <v>635.45999999994046</v>
      </c>
      <c r="C6552" s="199">
        <v>1551.9961752647935</v>
      </c>
      <c r="D6552" s="8"/>
    </row>
    <row r="6553" spans="2:4" x14ac:dyDescent="0.25">
      <c r="B6553" s="4">
        <f t="shared" si="118"/>
        <v>635.46999999994046</v>
      </c>
      <c r="C6553" s="199">
        <v>1552.2629386967008</v>
      </c>
      <c r="D6553" s="8"/>
    </row>
    <row r="6554" spans="2:4" x14ac:dyDescent="0.25">
      <c r="B6554" s="4">
        <f t="shared" si="118"/>
        <v>635.47999999994045</v>
      </c>
      <c r="C6554" s="199">
        <v>1552.5297021286085</v>
      </c>
      <c r="D6554" s="8"/>
    </row>
    <row r="6555" spans="2:4" x14ac:dyDescent="0.25">
      <c r="B6555" s="4">
        <f t="shared" si="118"/>
        <v>635.48999999994044</v>
      </c>
      <c r="C6555" s="199">
        <v>1552.7964655605167</v>
      </c>
      <c r="D6555" s="8"/>
    </row>
    <row r="6556" spans="2:4" x14ac:dyDescent="0.25">
      <c r="B6556" s="4">
        <f t="shared" si="118"/>
        <v>635.49999999994043</v>
      </c>
      <c r="C6556" s="199">
        <v>1553.0632289924238</v>
      </c>
      <c r="D6556" s="8"/>
    </row>
    <row r="6557" spans="2:4" x14ac:dyDescent="0.25">
      <c r="B6557" s="4">
        <f t="shared" si="118"/>
        <v>635.50999999994042</v>
      </c>
      <c r="C6557" s="199">
        <v>1553.3299924243315</v>
      </c>
      <c r="D6557" s="8"/>
    </row>
    <row r="6558" spans="2:4" x14ac:dyDescent="0.25">
      <c r="B6558" s="4">
        <f t="shared" si="118"/>
        <v>635.51999999994041</v>
      </c>
      <c r="C6558" s="199">
        <v>1553.5969798136448</v>
      </c>
      <c r="D6558" s="8"/>
    </row>
    <row r="6559" spans="2:4" x14ac:dyDescent="0.25">
      <c r="B6559" s="4">
        <f t="shared" si="118"/>
        <v>635.5299999999404</v>
      </c>
      <c r="C6559" s="199">
        <v>1553.8639672029642</v>
      </c>
      <c r="D6559" s="8"/>
    </row>
    <row r="6560" spans="2:4" x14ac:dyDescent="0.25">
      <c r="B6560" s="4">
        <f t="shared" si="118"/>
        <v>635.53999999994039</v>
      </c>
      <c r="C6560" s="199">
        <v>1554.1309545922818</v>
      </c>
      <c r="D6560" s="8"/>
    </row>
    <row r="6561" spans="2:4" x14ac:dyDescent="0.25">
      <c r="B6561" s="4">
        <f t="shared" si="118"/>
        <v>635.54999999994038</v>
      </c>
      <c r="C6561" s="199">
        <v>1554.3979419816005</v>
      </c>
      <c r="D6561" s="8"/>
    </row>
    <row r="6562" spans="2:4" x14ac:dyDescent="0.25">
      <c r="B6562" s="4">
        <f t="shared" si="118"/>
        <v>635.55999999994037</v>
      </c>
      <c r="C6562" s="199">
        <v>1554.6649293709197</v>
      </c>
      <c r="D6562" s="8"/>
    </row>
    <row r="6563" spans="2:4" x14ac:dyDescent="0.25">
      <c r="B6563" s="4">
        <f t="shared" si="118"/>
        <v>635.56999999994036</v>
      </c>
      <c r="C6563" s="199">
        <v>1554.9319167602387</v>
      </c>
      <c r="D6563" s="8"/>
    </row>
    <row r="6564" spans="2:4" x14ac:dyDescent="0.25">
      <c r="B6564" s="4">
        <f t="shared" si="118"/>
        <v>635.57999999994036</v>
      </c>
      <c r="C6564" s="199">
        <v>1555.1989041495572</v>
      </c>
      <c r="D6564" s="8"/>
    </row>
    <row r="6565" spans="2:4" x14ac:dyDescent="0.25">
      <c r="B6565" s="4">
        <f t="shared" si="118"/>
        <v>635.58999999994035</v>
      </c>
      <c r="C6565" s="199">
        <v>1555.4658915388759</v>
      </c>
      <c r="D6565" s="8"/>
    </row>
    <row r="6566" spans="2:4" x14ac:dyDescent="0.25">
      <c r="B6566" s="4">
        <f t="shared" si="118"/>
        <v>635.59999999994034</v>
      </c>
      <c r="C6566" s="199">
        <v>1555.7328789281949</v>
      </c>
      <c r="D6566" s="8"/>
    </row>
    <row r="6567" spans="2:4" x14ac:dyDescent="0.25">
      <c r="B6567" s="4">
        <f t="shared" si="118"/>
        <v>635.60999999994033</v>
      </c>
      <c r="C6567" s="199">
        <v>1555.9998663175129</v>
      </c>
      <c r="D6567" s="8"/>
    </row>
    <row r="6568" spans="2:4" x14ac:dyDescent="0.25">
      <c r="B6568" s="4">
        <f t="shared" si="118"/>
        <v>635.61999999994032</v>
      </c>
      <c r="C6568" s="199">
        <v>1556.2670787043185</v>
      </c>
      <c r="D6568" s="8"/>
    </row>
    <row r="6569" spans="2:4" x14ac:dyDescent="0.25">
      <c r="B6569" s="4">
        <f t="shared" si="118"/>
        <v>635.62999999994031</v>
      </c>
      <c r="C6569" s="199">
        <v>1556.5342910911236</v>
      </c>
      <c r="D6569" s="8"/>
    </row>
    <row r="6570" spans="2:4" x14ac:dyDescent="0.25">
      <c r="B6570" s="4">
        <f t="shared" si="118"/>
        <v>635.6399999999403</v>
      </c>
      <c r="C6570" s="199">
        <v>1556.8015034779289</v>
      </c>
      <c r="D6570" s="8"/>
    </row>
    <row r="6571" spans="2:4" x14ac:dyDescent="0.25">
      <c r="B6571" s="4">
        <f t="shared" si="118"/>
        <v>635.64999999994029</v>
      </c>
      <c r="C6571" s="199">
        <v>1557.0687158647345</v>
      </c>
      <c r="D6571" s="8"/>
    </row>
    <row r="6572" spans="2:4" x14ac:dyDescent="0.25">
      <c r="B6572" s="4">
        <f t="shared" si="118"/>
        <v>635.65999999994028</v>
      </c>
      <c r="C6572" s="199">
        <v>1557.335928251541</v>
      </c>
      <c r="D6572" s="8"/>
    </row>
    <row r="6573" spans="2:4" x14ac:dyDescent="0.25">
      <c r="B6573" s="4">
        <f t="shared" si="118"/>
        <v>635.66999999994027</v>
      </c>
      <c r="C6573" s="199">
        <v>1557.6031406383456</v>
      </c>
      <c r="D6573" s="8"/>
    </row>
    <row r="6574" spans="2:4" x14ac:dyDescent="0.25">
      <c r="B6574" s="4">
        <f t="shared" si="118"/>
        <v>635.67999999994026</v>
      </c>
      <c r="C6574" s="199">
        <v>1557.8703530251507</v>
      </c>
      <c r="D6574" s="8"/>
    </row>
    <row r="6575" spans="2:4" x14ac:dyDescent="0.25">
      <c r="B6575" s="4">
        <f t="shared" si="118"/>
        <v>635.68999999994026</v>
      </c>
      <c r="C6575" s="199">
        <v>1558.1375654119568</v>
      </c>
      <c r="D6575" s="8"/>
    </row>
    <row r="6576" spans="2:4" x14ac:dyDescent="0.25">
      <c r="B6576" s="4">
        <f t="shared" si="118"/>
        <v>635.69999999994025</v>
      </c>
      <c r="C6576" s="199">
        <v>1558.4047777987619</v>
      </c>
      <c r="D6576" s="8"/>
    </row>
    <row r="6577" spans="2:4" x14ac:dyDescent="0.25">
      <c r="B6577" s="4">
        <f t="shared" si="118"/>
        <v>635.70999999994024</v>
      </c>
      <c r="C6577" s="199">
        <v>1558.6719901855672</v>
      </c>
      <c r="D6577" s="8"/>
    </row>
    <row r="6578" spans="2:4" x14ac:dyDescent="0.25">
      <c r="B6578" s="4">
        <f t="shared" si="118"/>
        <v>635.71999999994023</v>
      </c>
      <c r="C6578" s="199">
        <v>1558.9394285249755</v>
      </c>
      <c r="D6578" s="8"/>
    </row>
    <row r="6579" spans="2:4" x14ac:dyDescent="0.25">
      <c r="B6579" s="4">
        <f t="shared" si="118"/>
        <v>635.72999999994022</v>
      </c>
      <c r="C6579" s="199">
        <v>1559.2068668643917</v>
      </c>
      <c r="D6579" s="8"/>
    </row>
    <row r="6580" spans="2:4" x14ac:dyDescent="0.25">
      <c r="B6580" s="4">
        <f t="shared" si="118"/>
        <v>635.73999999994021</v>
      </c>
      <c r="C6580" s="199">
        <v>1559.474305203807</v>
      </c>
      <c r="D6580" s="8"/>
    </row>
    <row r="6581" spans="2:4" x14ac:dyDescent="0.25">
      <c r="B6581" s="4">
        <f t="shared" si="118"/>
        <v>635.7499999999402</v>
      </c>
      <c r="C6581" s="199">
        <v>1559.7417435432221</v>
      </c>
      <c r="D6581" s="8"/>
    </row>
    <row r="6582" spans="2:4" x14ac:dyDescent="0.25">
      <c r="B6582" s="4">
        <f t="shared" si="118"/>
        <v>635.75999999994019</v>
      </c>
      <c r="C6582" s="199">
        <v>1560.0091818826379</v>
      </c>
      <c r="D6582" s="8"/>
    </row>
    <row r="6583" spans="2:4" x14ac:dyDescent="0.25">
      <c r="B6583" s="4">
        <f t="shared" si="118"/>
        <v>635.76999999994018</v>
      </c>
      <c r="C6583" s="199">
        <v>1560.276620222053</v>
      </c>
      <c r="D6583" s="8"/>
    </row>
    <row r="6584" spans="2:4" x14ac:dyDescent="0.25">
      <c r="B6584" s="4">
        <f t="shared" si="118"/>
        <v>635.77999999994017</v>
      </c>
      <c r="C6584" s="199">
        <v>1560.5440585614692</v>
      </c>
      <c r="D6584" s="8"/>
    </row>
    <row r="6585" spans="2:4" x14ac:dyDescent="0.25">
      <c r="B6585" s="4">
        <f t="shared" si="118"/>
        <v>635.78999999994016</v>
      </c>
      <c r="C6585" s="199">
        <v>1560.8114969008843</v>
      </c>
      <c r="D6585" s="8"/>
    </row>
    <row r="6586" spans="2:4" x14ac:dyDescent="0.25">
      <c r="B6586" s="4">
        <f t="shared" si="118"/>
        <v>635.79999999994016</v>
      </c>
      <c r="C6586" s="199">
        <v>1561.0789352402994</v>
      </c>
      <c r="D6586" s="8"/>
    </row>
    <row r="6587" spans="2:4" x14ac:dyDescent="0.25">
      <c r="B6587" s="4">
        <f t="shared" si="118"/>
        <v>635.80999999994015</v>
      </c>
      <c r="C6587" s="199">
        <v>1561.3463735797152</v>
      </c>
      <c r="D6587" s="8"/>
    </row>
    <row r="6588" spans="2:4" x14ac:dyDescent="0.25">
      <c r="B6588" s="4">
        <f t="shared" si="118"/>
        <v>635.81999999994014</v>
      </c>
      <c r="C6588" s="199">
        <v>1561.6140406718987</v>
      </c>
      <c r="D6588" s="8"/>
    </row>
    <row r="6589" spans="2:4" x14ac:dyDescent="0.25">
      <c r="B6589" s="4">
        <f t="shared" si="118"/>
        <v>635.82999999994013</v>
      </c>
      <c r="C6589" s="199">
        <v>1561.8817077640836</v>
      </c>
      <c r="D6589" s="8"/>
    </row>
    <row r="6590" spans="2:4" x14ac:dyDescent="0.25">
      <c r="B6590" s="4">
        <f t="shared" si="118"/>
        <v>635.83999999994012</v>
      </c>
      <c r="C6590" s="199">
        <v>1562.1493748562664</v>
      </c>
      <c r="D6590" s="8"/>
    </row>
    <row r="6591" spans="2:4" x14ac:dyDescent="0.25">
      <c r="B6591" s="4">
        <f t="shared" si="118"/>
        <v>635.84999999994011</v>
      </c>
      <c r="C6591" s="199">
        <v>1562.4170419484506</v>
      </c>
      <c r="D6591" s="8"/>
    </row>
    <row r="6592" spans="2:4" x14ac:dyDescent="0.25">
      <c r="B6592" s="4">
        <f t="shared" si="118"/>
        <v>635.8599999999401</v>
      </c>
      <c r="C6592" s="199">
        <v>1562.6847090406357</v>
      </c>
      <c r="D6592" s="8"/>
    </row>
    <row r="6593" spans="2:4" x14ac:dyDescent="0.25">
      <c r="B6593" s="4">
        <f t="shared" si="118"/>
        <v>635.86999999994009</v>
      </c>
      <c r="C6593" s="199">
        <v>1562.9523761328187</v>
      </c>
      <c r="D6593" s="8"/>
    </row>
    <row r="6594" spans="2:4" x14ac:dyDescent="0.25">
      <c r="B6594" s="4">
        <f t="shared" si="118"/>
        <v>635.87999999994008</v>
      </c>
      <c r="C6594" s="199">
        <v>1563.2200432250038</v>
      </c>
      <c r="D6594" s="8"/>
    </row>
    <row r="6595" spans="2:4" x14ac:dyDescent="0.25">
      <c r="B6595" s="4">
        <f t="shared" si="118"/>
        <v>635.88999999994007</v>
      </c>
      <c r="C6595" s="199">
        <v>1563.4877103171864</v>
      </c>
      <c r="D6595" s="8"/>
    </row>
    <row r="6596" spans="2:4" x14ac:dyDescent="0.25">
      <c r="B6596" s="4">
        <f t="shared" si="118"/>
        <v>635.89999999994006</v>
      </c>
      <c r="C6596" s="199">
        <v>1563.755377409371</v>
      </c>
      <c r="D6596" s="8"/>
    </row>
    <row r="6597" spans="2:4" x14ac:dyDescent="0.25">
      <c r="B6597" s="4">
        <f t="shared" si="118"/>
        <v>635.90999999994006</v>
      </c>
      <c r="C6597" s="199">
        <v>1564.0230445015545</v>
      </c>
      <c r="D6597" s="8"/>
    </row>
    <row r="6598" spans="2:4" x14ac:dyDescent="0.25">
      <c r="B6598" s="4">
        <f t="shared" si="118"/>
        <v>635.91999999994005</v>
      </c>
      <c r="C6598" s="199">
        <v>1564.2909437025132</v>
      </c>
      <c r="D6598" s="8"/>
    </row>
    <row r="6599" spans="2:4" x14ac:dyDescent="0.25">
      <c r="B6599" s="4">
        <f t="shared" si="118"/>
        <v>635.92999999994004</v>
      </c>
      <c r="C6599" s="199">
        <v>1564.5588429034772</v>
      </c>
      <c r="D6599" s="8"/>
    </row>
    <row r="6600" spans="2:4" x14ac:dyDescent="0.25">
      <c r="B6600" s="4">
        <f t="shared" ref="B6600:B6663" si="119">+B6599+0.01</f>
        <v>635.93999999994003</v>
      </c>
      <c r="C6600" s="199">
        <v>1564.8267421044409</v>
      </c>
      <c r="D6600" s="8"/>
    </row>
    <row r="6601" spans="2:4" x14ac:dyDescent="0.25">
      <c r="B6601" s="4">
        <f t="shared" si="119"/>
        <v>635.94999999994002</v>
      </c>
      <c r="C6601" s="199">
        <v>1565.0946413054046</v>
      </c>
      <c r="D6601" s="8"/>
    </row>
    <row r="6602" spans="2:4" x14ac:dyDescent="0.25">
      <c r="B6602" s="4">
        <f t="shared" si="119"/>
        <v>635.95999999994001</v>
      </c>
      <c r="C6602" s="199">
        <v>1565.362540506369</v>
      </c>
      <c r="D6602" s="8"/>
    </row>
    <row r="6603" spans="2:4" x14ac:dyDescent="0.25">
      <c r="B6603" s="4">
        <f t="shared" si="119"/>
        <v>635.96999999994</v>
      </c>
      <c r="C6603" s="199">
        <v>1565.6304397073322</v>
      </c>
      <c r="D6603" s="8"/>
    </row>
    <row r="6604" spans="2:4" x14ac:dyDescent="0.25">
      <c r="B6604" s="4">
        <f t="shared" si="119"/>
        <v>635.97999999993999</v>
      </c>
      <c r="C6604" s="199">
        <v>1565.8983389082964</v>
      </c>
      <c r="D6604" s="8"/>
    </row>
    <row r="6605" spans="2:4" x14ac:dyDescent="0.25">
      <c r="B6605" s="4">
        <f t="shared" si="119"/>
        <v>635.98999999993998</v>
      </c>
      <c r="C6605" s="199">
        <v>1566.166238109261</v>
      </c>
      <c r="D6605" s="8"/>
    </row>
    <row r="6606" spans="2:4" x14ac:dyDescent="0.25">
      <c r="B6606" s="4">
        <f t="shared" si="119"/>
        <v>635.99999999993997</v>
      </c>
      <c r="C6606" s="199">
        <v>1566.4341373102238</v>
      </c>
      <c r="D6606" s="8"/>
    </row>
    <row r="6607" spans="2:4" x14ac:dyDescent="0.25">
      <c r="B6607" s="4">
        <f t="shared" si="119"/>
        <v>636.00999999993996</v>
      </c>
      <c r="C6607" s="199">
        <v>1566.7020365111878</v>
      </c>
      <c r="D6607" s="8"/>
    </row>
    <row r="6608" spans="2:4" x14ac:dyDescent="0.25">
      <c r="B6608" s="4">
        <f t="shared" si="119"/>
        <v>636.01999999993996</v>
      </c>
      <c r="C6608" s="199">
        <v>1566.9701700993003</v>
      </c>
      <c r="D6608" s="8"/>
    </row>
    <row r="6609" spans="2:4" x14ac:dyDescent="0.25">
      <c r="B6609" s="4">
        <f t="shared" si="119"/>
        <v>636.02999999993995</v>
      </c>
      <c r="C6609" s="199">
        <v>1567.2383036874119</v>
      </c>
      <c r="D6609" s="8"/>
    </row>
    <row r="6610" spans="2:4" x14ac:dyDescent="0.25">
      <c r="B6610" s="4">
        <f t="shared" si="119"/>
        <v>636.03999999993994</v>
      </c>
      <c r="C6610" s="199">
        <v>1567.5064372755246</v>
      </c>
      <c r="D6610" s="8"/>
    </row>
    <row r="6611" spans="2:4" x14ac:dyDescent="0.25">
      <c r="B6611" s="4">
        <f t="shared" si="119"/>
        <v>636.04999999993993</v>
      </c>
      <c r="C6611" s="199">
        <v>1567.7745708636364</v>
      </c>
      <c r="D6611" s="8"/>
    </row>
    <row r="6612" spans="2:4" x14ac:dyDescent="0.25">
      <c r="B6612" s="4">
        <f t="shared" si="119"/>
        <v>636.05999999993992</v>
      </c>
      <c r="C6612" s="199">
        <v>1568.0427044517485</v>
      </c>
      <c r="D6612" s="8"/>
    </row>
    <row r="6613" spans="2:4" x14ac:dyDescent="0.25">
      <c r="B6613" s="4">
        <f t="shared" si="119"/>
        <v>636.06999999993991</v>
      </c>
      <c r="C6613" s="199">
        <v>1568.3108380398612</v>
      </c>
      <c r="D6613" s="8"/>
    </row>
    <row r="6614" spans="2:4" x14ac:dyDescent="0.25">
      <c r="B6614" s="4">
        <f t="shared" si="119"/>
        <v>636.0799999999399</v>
      </c>
      <c r="C6614" s="199">
        <v>1568.5789716279735</v>
      </c>
      <c r="D6614" s="8"/>
    </row>
    <row r="6615" spans="2:4" x14ac:dyDescent="0.25">
      <c r="B6615" s="4">
        <f t="shared" si="119"/>
        <v>636.08999999993989</v>
      </c>
      <c r="C6615" s="199">
        <v>1568.8471052160853</v>
      </c>
      <c r="D6615" s="8"/>
    </row>
    <row r="6616" spans="2:4" x14ac:dyDescent="0.25">
      <c r="B6616" s="4">
        <f t="shared" si="119"/>
        <v>636.09999999993988</v>
      </c>
      <c r="C6616" s="199">
        <v>1569.1152388041976</v>
      </c>
      <c r="D6616" s="8"/>
    </row>
    <row r="6617" spans="2:4" x14ac:dyDescent="0.25">
      <c r="B6617" s="4">
        <f t="shared" si="119"/>
        <v>636.10999999993987</v>
      </c>
      <c r="C6617" s="199">
        <v>1569.3833723923099</v>
      </c>
      <c r="D6617" s="8"/>
    </row>
    <row r="6618" spans="2:4" x14ac:dyDescent="0.25">
      <c r="B6618" s="4">
        <f t="shared" si="119"/>
        <v>636.11999999993986</v>
      </c>
      <c r="C6618" s="199">
        <v>1569.6517391584898</v>
      </c>
      <c r="D6618" s="8"/>
    </row>
    <row r="6619" spans="2:4" x14ac:dyDescent="0.25">
      <c r="B6619" s="4">
        <f t="shared" si="119"/>
        <v>636.12999999993986</v>
      </c>
      <c r="C6619" s="199">
        <v>1569.9201059246775</v>
      </c>
      <c r="D6619" s="8"/>
    </row>
    <row r="6620" spans="2:4" x14ac:dyDescent="0.25">
      <c r="B6620" s="4">
        <f t="shared" si="119"/>
        <v>636.13999999993985</v>
      </c>
      <c r="C6620" s="199">
        <v>1570.1884726908647</v>
      </c>
      <c r="D6620" s="8"/>
    </row>
    <row r="6621" spans="2:4" x14ac:dyDescent="0.25">
      <c r="B6621" s="4">
        <f t="shared" si="119"/>
        <v>636.14999999993984</v>
      </c>
      <c r="C6621" s="199">
        <v>1570.4568394570513</v>
      </c>
      <c r="D6621" s="8"/>
    </row>
    <row r="6622" spans="2:4" x14ac:dyDescent="0.25">
      <c r="B6622" s="4">
        <f t="shared" si="119"/>
        <v>636.15999999993983</v>
      </c>
      <c r="C6622" s="199">
        <v>1570.7252062232392</v>
      </c>
      <c r="D6622" s="8"/>
    </row>
    <row r="6623" spans="2:4" x14ac:dyDescent="0.25">
      <c r="B6623" s="4">
        <f t="shared" si="119"/>
        <v>636.16999999993982</v>
      </c>
      <c r="C6623" s="199">
        <v>1570.9935729894255</v>
      </c>
      <c r="D6623" s="8"/>
    </row>
    <row r="6624" spans="2:4" x14ac:dyDescent="0.25">
      <c r="B6624" s="4">
        <f t="shared" si="119"/>
        <v>636.17999999993981</v>
      </c>
      <c r="C6624" s="199">
        <v>1571.261939755613</v>
      </c>
      <c r="D6624" s="8"/>
    </row>
    <row r="6625" spans="2:4" x14ac:dyDescent="0.25">
      <c r="B6625" s="4">
        <f t="shared" si="119"/>
        <v>636.1899999999398</v>
      </c>
      <c r="C6625" s="199">
        <v>1571.5303065218004</v>
      </c>
      <c r="D6625" s="8"/>
    </row>
    <row r="6626" spans="2:4" x14ac:dyDescent="0.25">
      <c r="B6626" s="4">
        <f t="shared" si="119"/>
        <v>636.19999999993979</v>
      </c>
      <c r="C6626" s="199">
        <v>1571.798673287987</v>
      </c>
      <c r="D6626" s="8"/>
    </row>
    <row r="6627" spans="2:4" x14ac:dyDescent="0.25">
      <c r="B6627" s="4">
        <f t="shared" si="119"/>
        <v>636.20999999993978</v>
      </c>
      <c r="C6627" s="199">
        <v>1572.0670400541735</v>
      </c>
      <c r="D6627" s="8"/>
    </row>
    <row r="6628" spans="2:4" x14ac:dyDescent="0.25">
      <c r="B6628" s="4">
        <f t="shared" si="119"/>
        <v>636.21999999993977</v>
      </c>
      <c r="C6628" s="199">
        <v>1572.3356341016763</v>
      </c>
      <c r="D6628" s="8"/>
    </row>
    <row r="6629" spans="2:4" x14ac:dyDescent="0.25">
      <c r="B6629" s="4">
        <f t="shared" si="119"/>
        <v>636.22999999993976</v>
      </c>
      <c r="C6629" s="199">
        <v>1572.6042281491789</v>
      </c>
      <c r="D6629" s="8"/>
    </row>
    <row r="6630" spans="2:4" x14ac:dyDescent="0.25">
      <c r="B6630" s="4">
        <f t="shared" si="119"/>
        <v>636.23999999993976</v>
      </c>
      <c r="C6630" s="199">
        <v>1572.8728221966805</v>
      </c>
      <c r="D6630" s="8"/>
    </row>
    <row r="6631" spans="2:4" x14ac:dyDescent="0.25">
      <c r="B6631" s="4">
        <f t="shared" si="119"/>
        <v>636.24999999993975</v>
      </c>
      <c r="C6631" s="199">
        <v>1573.1414162441824</v>
      </c>
      <c r="D6631" s="8"/>
    </row>
    <row r="6632" spans="2:4" x14ac:dyDescent="0.25">
      <c r="B6632" s="4">
        <f t="shared" si="119"/>
        <v>636.25999999993974</v>
      </c>
      <c r="C6632" s="199">
        <v>1573.410010291685</v>
      </c>
      <c r="D6632" s="8"/>
    </row>
    <row r="6633" spans="2:4" x14ac:dyDescent="0.25">
      <c r="B6633" s="4">
        <f t="shared" si="119"/>
        <v>636.26999999993973</v>
      </c>
      <c r="C6633" s="199">
        <v>1573.6786043391874</v>
      </c>
      <c r="D6633" s="8"/>
    </row>
    <row r="6634" spans="2:4" x14ac:dyDescent="0.25">
      <c r="B6634" s="4">
        <f t="shared" si="119"/>
        <v>636.27999999993972</v>
      </c>
      <c r="C6634" s="199">
        <v>1573.9471983866897</v>
      </c>
      <c r="D6634" s="8"/>
    </row>
    <row r="6635" spans="2:4" x14ac:dyDescent="0.25">
      <c r="B6635" s="4">
        <f t="shared" si="119"/>
        <v>636.28999999993971</v>
      </c>
      <c r="C6635" s="199">
        <v>1574.2157924341923</v>
      </c>
      <c r="D6635" s="8"/>
    </row>
    <row r="6636" spans="2:4" x14ac:dyDescent="0.25">
      <c r="B6636" s="4">
        <f t="shared" si="119"/>
        <v>636.2999999999397</v>
      </c>
      <c r="C6636" s="199">
        <v>1574.4843864816949</v>
      </c>
      <c r="D6636" s="8"/>
    </row>
    <row r="6637" spans="2:4" x14ac:dyDescent="0.25">
      <c r="B6637" s="4">
        <f t="shared" si="119"/>
        <v>636.30999999993969</v>
      </c>
      <c r="C6637" s="199">
        <v>1574.752980529197</v>
      </c>
      <c r="D6637" s="8"/>
    </row>
    <row r="6638" spans="2:4" x14ac:dyDescent="0.25">
      <c r="B6638" s="4">
        <f t="shared" si="119"/>
        <v>636.31999999993968</v>
      </c>
      <c r="C6638" s="199">
        <v>1575.0218012315604</v>
      </c>
      <c r="D6638" s="8"/>
    </row>
    <row r="6639" spans="2:4" x14ac:dyDescent="0.25">
      <c r="B6639" s="4">
        <f t="shared" si="119"/>
        <v>636.32999999993967</v>
      </c>
      <c r="C6639" s="199">
        <v>1575.2906219339304</v>
      </c>
      <c r="D6639" s="8"/>
    </row>
    <row r="6640" spans="2:4" x14ac:dyDescent="0.25">
      <c r="B6640" s="4">
        <f t="shared" si="119"/>
        <v>636.33999999993966</v>
      </c>
      <c r="C6640" s="199">
        <v>1575.5594426362995</v>
      </c>
      <c r="D6640" s="8"/>
    </row>
    <row r="6641" spans="2:4" x14ac:dyDescent="0.25">
      <c r="B6641" s="4">
        <f t="shared" si="119"/>
        <v>636.34999999993966</v>
      </c>
      <c r="C6641" s="199">
        <v>1575.8282633386696</v>
      </c>
      <c r="D6641" s="8"/>
    </row>
    <row r="6642" spans="2:4" x14ac:dyDescent="0.25">
      <c r="B6642" s="4">
        <f t="shared" si="119"/>
        <v>636.35999999993965</v>
      </c>
      <c r="C6642" s="199">
        <v>1576.0970840410398</v>
      </c>
      <c r="D6642" s="8"/>
    </row>
    <row r="6643" spans="2:4" x14ac:dyDescent="0.25">
      <c r="B6643" s="4">
        <f t="shared" si="119"/>
        <v>636.36999999993964</v>
      </c>
      <c r="C6643" s="199">
        <v>1576.3659047434096</v>
      </c>
      <c r="D6643" s="8"/>
    </row>
    <row r="6644" spans="2:4" x14ac:dyDescent="0.25">
      <c r="B6644" s="4">
        <f t="shared" si="119"/>
        <v>636.37999999993963</v>
      </c>
      <c r="C6644" s="199">
        <v>1576.6347254457803</v>
      </c>
      <c r="D6644" s="8"/>
    </row>
    <row r="6645" spans="2:4" x14ac:dyDescent="0.25">
      <c r="B6645" s="4">
        <f t="shared" si="119"/>
        <v>636.38999999993962</v>
      </c>
      <c r="C6645" s="199">
        <v>1576.9035461481494</v>
      </c>
      <c r="D6645" s="8"/>
    </row>
    <row r="6646" spans="2:4" x14ac:dyDescent="0.25">
      <c r="B6646" s="4">
        <f t="shared" si="119"/>
        <v>636.39999999993961</v>
      </c>
      <c r="C6646" s="199">
        <v>1577.1723668505194</v>
      </c>
      <c r="D6646" s="8"/>
    </row>
    <row r="6647" spans="2:4" x14ac:dyDescent="0.25">
      <c r="B6647" s="4">
        <f t="shared" si="119"/>
        <v>636.4099999999396</v>
      </c>
      <c r="C6647" s="199">
        <v>1577.4411875528899</v>
      </c>
      <c r="D6647" s="8"/>
    </row>
    <row r="6648" spans="2:4" x14ac:dyDescent="0.25">
      <c r="B6648" s="4">
        <f t="shared" si="119"/>
        <v>636.41999999993959</v>
      </c>
      <c r="C6648" s="199">
        <v>1577.7102310051514</v>
      </c>
      <c r="D6648" s="8"/>
    </row>
    <row r="6649" spans="2:4" x14ac:dyDescent="0.25">
      <c r="B6649" s="4">
        <f t="shared" si="119"/>
        <v>636.42999999993958</v>
      </c>
      <c r="C6649" s="199">
        <v>1577.9792744574142</v>
      </c>
      <c r="D6649" s="8"/>
    </row>
    <row r="6650" spans="2:4" x14ac:dyDescent="0.25">
      <c r="B6650" s="4">
        <f t="shared" si="119"/>
        <v>636.43999999993957</v>
      </c>
      <c r="C6650" s="199">
        <v>1578.2483179096773</v>
      </c>
      <c r="D6650" s="8"/>
    </row>
    <row r="6651" spans="2:4" x14ac:dyDescent="0.25">
      <c r="B6651" s="4">
        <f t="shared" si="119"/>
        <v>636.44999999993956</v>
      </c>
      <c r="C6651" s="199">
        <v>1578.5173613619395</v>
      </c>
      <c r="D6651" s="8"/>
    </row>
    <row r="6652" spans="2:4" x14ac:dyDescent="0.25">
      <c r="B6652" s="4">
        <f t="shared" si="119"/>
        <v>636.45999999993955</v>
      </c>
      <c r="C6652" s="199">
        <v>1578.7864048142019</v>
      </c>
      <c r="D6652" s="8"/>
    </row>
    <row r="6653" spans="2:4" x14ac:dyDescent="0.25">
      <c r="B6653" s="4">
        <f t="shared" si="119"/>
        <v>636.46999999993955</v>
      </c>
      <c r="C6653" s="199">
        <v>1579.0554482664641</v>
      </c>
      <c r="D6653" s="8"/>
    </row>
    <row r="6654" spans="2:4" x14ac:dyDescent="0.25">
      <c r="B6654" s="4">
        <f t="shared" si="119"/>
        <v>636.47999999993954</v>
      </c>
      <c r="C6654" s="199">
        <v>1579.3244917187269</v>
      </c>
      <c r="D6654" s="8"/>
    </row>
    <row r="6655" spans="2:4" x14ac:dyDescent="0.25">
      <c r="B6655" s="4">
        <f t="shared" si="119"/>
        <v>636.48999999993953</v>
      </c>
      <c r="C6655" s="199">
        <v>1579.5935351709891</v>
      </c>
      <c r="D6655" s="8"/>
    </row>
    <row r="6656" spans="2:4" x14ac:dyDescent="0.25">
      <c r="B6656" s="4">
        <f t="shared" si="119"/>
        <v>636.49999999993952</v>
      </c>
      <c r="C6656" s="199">
        <v>1579.8625786232521</v>
      </c>
      <c r="D6656" s="8"/>
    </row>
    <row r="6657" spans="2:4" x14ac:dyDescent="0.25">
      <c r="B6657" s="4">
        <f t="shared" si="119"/>
        <v>636.50999999993951</v>
      </c>
      <c r="C6657" s="199">
        <v>1580.1316220755132</v>
      </c>
      <c r="D6657" s="8"/>
    </row>
    <row r="6658" spans="2:4" x14ac:dyDescent="0.25">
      <c r="B6658" s="4">
        <f t="shared" si="119"/>
        <v>636.5199999999395</v>
      </c>
      <c r="C6658" s="199">
        <v>1580.4008911604017</v>
      </c>
      <c r="D6658" s="8"/>
    </row>
    <row r="6659" spans="2:4" x14ac:dyDescent="0.25">
      <c r="B6659" s="4">
        <f t="shared" si="119"/>
        <v>636.52999999993949</v>
      </c>
      <c r="C6659" s="199">
        <v>1580.6701602452949</v>
      </c>
      <c r="D6659" s="8"/>
    </row>
    <row r="6660" spans="2:4" x14ac:dyDescent="0.25">
      <c r="B6660" s="4">
        <f t="shared" si="119"/>
        <v>636.53999999993948</v>
      </c>
      <c r="C6660" s="199">
        <v>1580.9394293301882</v>
      </c>
      <c r="D6660" s="8"/>
    </row>
    <row r="6661" spans="2:4" x14ac:dyDescent="0.25">
      <c r="B6661" s="4">
        <f t="shared" si="119"/>
        <v>636.54999999993947</v>
      </c>
      <c r="C6661" s="199">
        <v>1581.2086984150801</v>
      </c>
      <c r="D6661" s="8"/>
    </row>
    <row r="6662" spans="2:4" x14ac:dyDescent="0.25">
      <c r="B6662" s="4">
        <f t="shared" si="119"/>
        <v>636.55999999993946</v>
      </c>
      <c r="C6662" s="199">
        <v>1581.4779674999736</v>
      </c>
      <c r="D6662" s="8"/>
    </row>
    <row r="6663" spans="2:4" x14ac:dyDescent="0.25">
      <c r="B6663" s="4">
        <f t="shared" si="119"/>
        <v>636.56999999993945</v>
      </c>
      <c r="C6663" s="199">
        <v>1581.7472365848666</v>
      </c>
      <c r="D6663" s="8"/>
    </row>
    <row r="6664" spans="2:4" x14ac:dyDescent="0.25">
      <c r="B6664" s="4">
        <f t="shared" ref="B6664:B6727" si="120">+B6663+0.01</f>
        <v>636.57999999993945</v>
      </c>
      <c r="C6664" s="199">
        <v>1582.016505669759</v>
      </c>
      <c r="D6664" s="8"/>
    </row>
    <row r="6665" spans="2:4" x14ac:dyDescent="0.25">
      <c r="B6665" s="4">
        <f t="shared" si="120"/>
        <v>636.58999999993944</v>
      </c>
      <c r="C6665" s="199">
        <v>1582.2857747546523</v>
      </c>
      <c r="D6665" s="8"/>
    </row>
    <row r="6666" spans="2:4" x14ac:dyDescent="0.25">
      <c r="B6666" s="4">
        <f t="shared" si="120"/>
        <v>636.59999999993943</v>
      </c>
      <c r="C6666" s="199">
        <v>1582.5550438395453</v>
      </c>
      <c r="D6666" s="8"/>
    </row>
    <row r="6667" spans="2:4" x14ac:dyDescent="0.25">
      <c r="B6667" s="4">
        <f t="shared" si="120"/>
        <v>636.60999999993942</v>
      </c>
      <c r="C6667" s="199">
        <v>1582.8243129244377</v>
      </c>
      <c r="D6667" s="8"/>
    </row>
    <row r="6668" spans="2:4" x14ac:dyDescent="0.25">
      <c r="B6668" s="4">
        <f t="shared" si="120"/>
        <v>636.61999999993941</v>
      </c>
      <c r="C6668" s="199">
        <v>1583.0937991881995</v>
      </c>
      <c r="D6668" s="8"/>
    </row>
    <row r="6669" spans="2:4" x14ac:dyDescent="0.25">
      <c r="B6669" s="4">
        <f t="shared" si="120"/>
        <v>636.6299999999394</v>
      </c>
      <c r="C6669" s="199">
        <v>1583.363285451964</v>
      </c>
      <c r="D6669" s="8"/>
    </row>
    <row r="6670" spans="2:4" x14ac:dyDescent="0.25">
      <c r="B6670" s="4">
        <f t="shared" si="120"/>
        <v>636.63999999993939</v>
      </c>
      <c r="C6670" s="199">
        <v>1583.632771715728</v>
      </c>
      <c r="D6670" s="8"/>
    </row>
    <row r="6671" spans="2:4" x14ac:dyDescent="0.25">
      <c r="B6671" s="4">
        <f t="shared" si="120"/>
        <v>636.64999999993938</v>
      </c>
      <c r="C6671" s="199">
        <v>1583.9022579794917</v>
      </c>
      <c r="D6671" s="8"/>
    </row>
    <row r="6672" spans="2:4" x14ac:dyDescent="0.25">
      <c r="B6672" s="4">
        <f t="shared" si="120"/>
        <v>636.65999999993937</v>
      </c>
      <c r="C6672" s="199">
        <v>1584.1717442432553</v>
      </c>
      <c r="D6672" s="8"/>
    </row>
    <row r="6673" spans="2:4" x14ac:dyDescent="0.25">
      <c r="B6673" s="4">
        <f t="shared" si="120"/>
        <v>636.66999999993936</v>
      </c>
      <c r="C6673" s="199">
        <v>1584.4412305070198</v>
      </c>
      <c r="D6673" s="8"/>
    </row>
    <row r="6674" spans="2:4" x14ac:dyDescent="0.25">
      <c r="B6674" s="4">
        <f t="shared" si="120"/>
        <v>636.67999999993935</v>
      </c>
      <c r="C6674" s="199">
        <v>1584.7107167707836</v>
      </c>
      <c r="D6674" s="8"/>
    </row>
    <row r="6675" spans="2:4" x14ac:dyDescent="0.25">
      <c r="B6675" s="4">
        <f t="shared" si="120"/>
        <v>636.68999999993935</v>
      </c>
      <c r="C6675" s="199">
        <v>1584.9802030345472</v>
      </c>
      <c r="D6675" s="8"/>
    </row>
    <row r="6676" spans="2:4" x14ac:dyDescent="0.25">
      <c r="B6676" s="4">
        <f t="shared" si="120"/>
        <v>636.69999999993934</v>
      </c>
      <c r="C6676" s="199">
        <v>1585.2496892983108</v>
      </c>
      <c r="D6676" s="8"/>
    </row>
    <row r="6677" spans="2:4" x14ac:dyDescent="0.25">
      <c r="B6677" s="4">
        <f t="shared" si="120"/>
        <v>636.70999999993933</v>
      </c>
      <c r="C6677" s="199">
        <v>1585.5191755620747</v>
      </c>
      <c r="D6677" s="8"/>
    </row>
    <row r="6678" spans="2:4" x14ac:dyDescent="0.25">
      <c r="B6678" s="4">
        <f t="shared" si="120"/>
        <v>636.71999999993932</v>
      </c>
      <c r="C6678" s="199">
        <v>1585.7888819808134</v>
      </c>
      <c r="D6678" s="8"/>
    </row>
    <row r="6679" spans="2:4" x14ac:dyDescent="0.25">
      <c r="B6679" s="4">
        <f t="shared" si="120"/>
        <v>636.72999999993931</v>
      </c>
      <c r="C6679" s="199">
        <v>1586.0585883995573</v>
      </c>
      <c r="D6679" s="8"/>
    </row>
    <row r="6680" spans="2:4" x14ac:dyDescent="0.25">
      <c r="B6680" s="4">
        <f t="shared" si="120"/>
        <v>636.7399999999393</v>
      </c>
      <c r="C6680" s="199">
        <v>1586.3282948183012</v>
      </c>
      <c r="D6680" s="8"/>
    </row>
    <row r="6681" spans="2:4" x14ac:dyDescent="0.25">
      <c r="B6681" s="4">
        <f t="shared" si="120"/>
        <v>636.74999999993929</v>
      </c>
      <c r="C6681" s="199">
        <v>1586.5980012370449</v>
      </c>
      <c r="D6681" s="8"/>
    </row>
    <row r="6682" spans="2:4" x14ac:dyDescent="0.25">
      <c r="B6682" s="4">
        <f t="shared" si="120"/>
        <v>636.75999999993928</v>
      </c>
      <c r="C6682" s="199">
        <v>1586.8677076557888</v>
      </c>
      <c r="D6682" s="8"/>
    </row>
    <row r="6683" spans="2:4" x14ac:dyDescent="0.25">
      <c r="B6683" s="4">
        <f t="shared" si="120"/>
        <v>636.76999999993927</v>
      </c>
      <c r="C6683" s="199">
        <v>1587.1374140745336</v>
      </c>
      <c r="D6683" s="8"/>
    </row>
    <row r="6684" spans="2:4" x14ac:dyDescent="0.25">
      <c r="B6684" s="4">
        <f t="shared" si="120"/>
        <v>636.77999999993926</v>
      </c>
      <c r="C6684" s="199">
        <v>1587.4071204932773</v>
      </c>
      <c r="D6684" s="8"/>
    </row>
    <row r="6685" spans="2:4" x14ac:dyDescent="0.25">
      <c r="B6685" s="4">
        <f t="shared" si="120"/>
        <v>636.78999999993925</v>
      </c>
      <c r="C6685" s="199">
        <v>1587.6768269120212</v>
      </c>
      <c r="D6685" s="8"/>
    </row>
    <row r="6686" spans="2:4" x14ac:dyDescent="0.25">
      <c r="B6686" s="4">
        <f t="shared" si="120"/>
        <v>636.79999999993925</v>
      </c>
      <c r="C6686" s="199">
        <v>1587.9465333307651</v>
      </c>
      <c r="D6686" s="8"/>
    </row>
    <row r="6687" spans="2:4" x14ac:dyDescent="0.25">
      <c r="B6687" s="4">
        <f t="shared" si="120"/>
        <v>636.80999999993924</v>
      </c>
      <c r="C6687" s="199">
        <v>1588.216239749509</v>
      </c>
      <c r="D6687" s="8"/>
    </row>
    <row r="6688" spans="2:4" x14ac:dyDescent="0.25">
      <c r="B6688" s="4">
        <f t="shared" si="120"/>
        <v>636.81999999993923</v>
      </c>
      <c r="C6688" s="199">
        <v>1588.4861619729686</v>
      </c>
      <c r="D6688" s="8"/>
    </row>
    <row r="6689" spans="2:4" x14ac:dyDescent="0.25">
      <c r="B6689" s="4">
        <f t="shared" si="120"/>
        <v>636.82999999993922</v>
      </c>
      <c r="C6689" s="199">
        <v>1588.7560841964278</v>
      </c>
      <c r="D6689" s="8"/>
    </row>
    <row r="6690" spans="2:4" x14ac:dyDescent="0.25">
      <c r="B6690" s="4">
        <f t="shared" si="120"/>
        <v>636.83999999993921</v>
      </c>
      <c r="C6690" s="199">
        <v>1589.0260064198876</v>
      </c>
      <c r="D6690" s="8"/>
    </row>
    <row r="6691" spans="2:4" x14ac:dyDescent="0.25">
      <c r="B6691" s="4">
        <f t="shared" si="120"/>
        <v>636.8499999999392</v>
      </c>
      <c r="C6691" s="199">
        <v>1589.2959286433461</v>
      </c>
      <c r="D6691" s="8"/>
    </row>
    <row r="6692" spans="2:4" x14ac:dyDescent="0.25">
      <c r="B6692" s="4">
        <f t="shared" si="120"/>
        <v>636.85999999993919</v>
      </c>
      <c r="C6692" s="199">
        <v>1589.5658508668055</v>
      </c>
      <c r="D6692" s="8"/>
    </row>
    <row r="6693" spans="2:4" x14ac:dyDescent="0.25">
      <c r="B6693" s="4">
        <f t="shared" si="120"/>
        <v>636.86999999993918</v>
      </c>
      <c r="C6693" s="199">
        <v>1589.8357730902646</v>
      </c>
      <c r="D6693" s="8"/>
    </row>
    <row r="6694" spans="2:4" x14ac:dyDescent="0.25">
      <c r="B6694" s="4">
        <f t="shared" si="120"/>
        <v>636.87999999993917</v>
      </c>
      <c r="C6694" s="199">
        <v>1590.105695313724</v>
      </c>
      <c r="D6694" s="8"/>
    </row>
    <row r="6695" spans="2:4" x14ac:dyDescent="0.25">
      <c r="B6695" s="4">
        <f t="shared" si="120"/>
        <v>636.88999999993916</v>
      </c>
      <c r="C6695" s="199">
        <v>1590.3756175371834</v>
      </c>
      <c r="D6695" s="8"/>
    </row>
    <row r="6696" spans="2:4" x14ac:dyDescent="0.25">
      <c r="B6696" s="4">
        <f t="shared" si="120"/>
        <v>636.89999999993915</v>
      </c>
      <c r="C6696" s="199">
        <v>1590.6455397606417</v>
      </c>
      <c r="D6696" s="8"/>
    </row>
    <row r="6697" spans="2:4" x14ac:dyDescent="0.25">
      <c r="B6697" s="4">
        <f t="shared" si="120"/>
        <v>636.90999999993915</v>
      </c>
      <c r="C6697" s="199">
        <v>1590.9154619841015</v>
      </c>
      <c r="D6697" s="8"/>
    </row>
    <row r="6698" spans="2:4" x14ac:dyDescent="0.25">
      <c r="B6698" s="4">
        <f t="shared" si="120"/>
        <v>636.91999999993914</v>
      </c>
      <c r="C6698" s="199">
        <v>1591.185599644765</v>
      </c>
      <c r="D6698" s="8"/>
    </row>
    <row r="6699" spans="2:4" x14ac:dyDescent="0.25">
      <c r="B6699" s="4">
        <f t="shared" si="120"/>
        <v>636.92999999993913</v>
      </c>
      <c r="C6699" s="199">
        <v>1591.4557373054345</v>
      </c>
      <c r="D6699" s="8"/>
    </row>
    <row r="6700" spans="2:4" x14ac:dyDescent="0.25">
      <c r="B6700" s="4">
        <f t="shared" si="120"/>
        <v>636.93999999993912</v>
      </c>
      <c r="C6700" s="199">
        <v>1591.7258749661053</v>
      </c>
      <c r="D6700" s="8"/>
    </row>
    <row r="6701" spans="2:4" x14ac:dyDescent="0.25">
      <c r="B6701" s="4">
        <f t="shared" si="120"/>
        <v>636.94999999993911</v>
      </c>
      <c r="C6701" s="199">
        <v>1591.9960126267749</v>
      </c>
      <c r="D6701" s="8"/>
    </row>
    <row r="6702" spans="2:4" x14ac:dyDescent="0.25">
      <c r="B6702" s="4">
        <f t="shared" si="120"/>
        <v>636.9599999999391</v>
      </c>
      <c r="C6702" s="199">
        <v>1592.2661502874444</v>
      </c>
      <c r="D6702" s="8"/>
    </row>
    <row r="6703" spans="2:4" x14ac:dyDescent="0.25">
      <c r="B6703" s="4">
        <f t="shared" si="120"/>
        <v>636.96999999993909</v>
      </c>
      <c r="C6703" s="199">
        <v>1592.5362879481149</v>
      </c>
      <c r="D6703" s="8"/>
    </row>
    <row r="6704" spans="2:4" x14ac:dyDescent="0.25">
      <c r="B6704" s="4">
        <f t="shared" si="120"/>
        <v>636.97999999993908</v>
      </c>
      <c r="C6704" s="199">
        <v>1592.8064256087844</v>
      </c>
      <c r="D6704" s="8"/>
    </row>
    <row r="6705" spans="2:4" x14ac:dyDescent="0.25">
      <c r="B6705" s="4">
        <f t="shared" si="120"/>
        <v>636.98999999993907</v>
      </c>
      <c r="C6705" s="199">
        <v>1593.076563269454</v>
      </c>
      <c r="D6705" s="8"/>
    </row>
    <row r="6706" spans="2:4" x14ac:dyDescent="0.25">
      <c r="B6706" s="4">
        <f t="shared" si="120"/>
        <v>636.99999999993906</v>
      </c>
      <c r="C6706" s="199">
        <v>1593.3467009301246</v>
      </c>
      <c r="D6706" s="8"/>
    </row>
    <row r="6707" spans="2:4" x14ac:dyDescent="0.25">
      <c r="B6707" s="4">
        <f t="shared" si="120"/>
        <v>637.00999999993905</v>
      </c>
      <c r="C6707" s="199">
        <v>1593.616838590794</v>
      </c>
      <c r="D6707" s="8"/>
    </row>
    <row r="6708" spans="2:4" x14ac:dyDescent="0.25">
      <c r="B6708" s="4">
        <f t="shared" si="120"/>
        <v>637.01999999993905</v>
      </c>
      <c r="C6708" s="199">
        <v>1593.8871888724989</v>
      </c>
      <c r="D6708" s="8"/>
    </row>
    <row r="6709" spans="2:4" x14ac:dyDescent="0.25">
      <c r="B6709" s="4">
        <f t="shared" si="120"/>
        <v>637.02999999993904</v>
      </c>
      <c r="C6709" s="199">
        <v>1594.1575391542037</v>
      </c>
      <c r="D6709" s="8"/>
    </row>
    <row r="6710" spans="2:4" x14ac:dyDescent="0.25">
      <c r="B6710" s="4">
        <f t="shared" si="120"/>
        <v>637.03999999993903</v>
      </c>
      <c r="C6710" s="199">
        <v>1594.4278894359074</v>
      </c>
      <c r="D6710" s="8"/>
    </row>
    <row r="6711" spans="2:4" x14ac:dyDescent="0.25">
      <c r="B6711" s="4">
        <f t="shared" si="120"/>
        <v>637.04999999993902</v>
      </c>
      <c r="C6711" s="199">
        <v>1594.6982397176118</v>
      </c>
      <c r="D6711" s="8"/>
    </row>
    <row r="6712" spans="2:4" x14ac:dyDescent="0.25">
      <c r="B6712" s="4">
        <f t="shared" si="120"/>
        <v>637.05999999993901</v>
      </c>
      <c r="C6712" s="199">
        <v>1594.9685899993162</v>
      </c>
      <c r="D6712" s="8"/>
    </row>
    <row r="6713" spans="2:4" x14ac:dyDescent="0.25">
      <c r="B6713" s="4">
        <f t="shared" si="120"/>
        <v>637.069999999939</v>
      </c>
      <c r="C6713" s="199">
        <v>1595.2389402810199</v>
      </c>
      <c r="D6713" s="8"/>
    </row>
    <row r="6714" spans="2:4" x14ac:dyDescent="0.25">
      <c r="B6714" s="4">
        <f t="shared" si="120"/>
        <v>637.07999999993899</v>
      </c>
      <c r="C6714" s="199">
        <v>1595.5092905627253</v>
      </c>
      <c r="D6714" s="8"/>
    </row>
    <row r="6715" spans="2:4" x14ac:dyDescent="0.25">
      <c r="B6715" s="4">
        <f t="shared" si="120"/>
        <v>637.08999999993898</v>
      </c>
      <c r="C6715" s="199">
        <v>1595.7796408444292</v>
      </c>
      <c r="D6715" s="8"/>
    </row>
    <row r="6716" spans="2:4" x14ac:dyDescent="0.25">
      <c r="B6716" s="4">
        <f t="shared" si="120"/>
        <v>637.09999999993897</v>
      </c>
      <c r="C6716" s="199">
        <v>1596.0499911261334</v>
      </c>
      <c r="D6716" s="8"/>
    </row>
    <row r="6717" spans="2:4" x14ac:dyDescent="0.25">
      <c r="B6717" s="4">
        <f t="shared" si="120"/>
        <v>637.10999999993896</v>
      </c>
      <c r="C6717" s="199">
        <v>1596.320341407838</v>
      </c>
      <c r="D6717" s="8"/>
    </row>
    <row r="6718" spans="2:4" x14ac:dyDescent="0.25">
      <c r="B6718" s="4">
        <f t="shared" si="120"/>
        <v>637.11999999993895</v>
      </c>
      <c r="C6718" s="199">
        <v>1596.5909054907981</v>
      </c>
      <c r="D6718" s="8"/>
    </row>
    <row r="6719" spans="2:4" x14ac:dyDescent="0.25">
      <c r="B6719" s="4">
        <f t="shared" si="120"/>
        <v>637.12999999993895</v>
      </c>
      <c r="C6719" s="199">
        <v>1596.8614695737654</v>
      </c>
      <c r="D6719" s="8"/>
    </row>
    <row r="6720" spans="2:4" x14ac:dyDescent="0.25">
      <c r="B6720" s="4">
        <f t="shared" si="120"/>
        <v>637.13999999993894</v>
      </c>
      <c r="C6720" s="199">
        <v>1597.1320336567328</v>
      </c>
      <c r="D6720" s="8"/>
    </row>
    <row r="6721" spans="2:4" x14ac:dyDescent="0.25">
      <c r="B6721" s="4">
        <f t="shared" si="120"/>
        <v>637.14999999993893</v>
      </c>
      <c r="C6721" s="199">
        <v>1597.4025977396998</v>
      </c>
      <c r="D6721" s="8"/>
    </row>
    <row r="6722" spans="2:4" x14ac:dyDescent="0.25">
      <c r="B6722" s="4">
        <f t="shared" si="120"/>
        <v>637.15999999993892</v>
      </c>
      <c r="C6722" s="199">
        <v>1597.6731618226661</v>
      </c>
      <c r="D6722" s="8"/>
    </row>
    <row r="6723" spans="2:4" x14ac:dyDescent="0.25">
      <c r="B6723" s="4">
        <f t="shared" si="120"/>
        <v>637.16999999993891</v>
      </c>
      <c r="C6723" s="199">
        <v>1597.9437259056333</v>
      </c>
      <c r="D6723" s="8"/>
    </row>
    <row r="6724" spans="2:4" x14ac:dyDescent="0.25">
      <c r="B6724" s="4">
        <f t="shared" si="120"/>
        <v>637.1799999999389</v>
      </c>
      <c r="C6724" s="199">
        <v>1598.2142899886001</v>
      </c>
      <c r="D6724" s="8"/>
    </row>
    <row r="6725" spans="2:4" x14ac:dyDescent="0.25">
      <c r="B6725" s="4">
        <f t="shared" si="120"/>
        <v>637.18999999993889</v>
      </c>
      <c r="C6725" s="199">
        <v>1598.484854071568</v>
      </c>
      <c r="D6725" s="8"/>
    </row>
    <row r="6726" spans="2:4" x14ac:dyDescent="0.25">
      <c r="B6726" s="4">
        <f t="shared" si="120"/>
        <v>637.19999999993888</v>
      </c>
      <c r="C6726" s="199">
        <v>1598.7554181545333</v>
      </c>
      <c r="D6726" s="8"/>
    </row>
    <row r="6727" spans="2:4" x14ac:dyDescent="0.25">
      <c r="B6727" s="4">
        <f t="shared" si="120"/>
        <v>637.20999999993887</v>
      </c>
      <c r="C6727" s="199">
        <v>1599.025982237501</v>
      </c>
      <c r="D6727" s="8"/>
    </row>
    <row r="6728" spans="2:4" x14ac:dyDescent="0.25">
      <c r="B6728" s="4">
        <f t="shared" ref="B6728:B6791" si="121">+B6727+0.01</f>
        <v>637.21999999993886</v>
      </c>
      <c r="C6728" s="199">
        <v>1599.2967607645928</v>
      </c>
      <c r="D6728" s="8"/>
    </row>
    <row r="6729" spans="2:4" x14ac:dyDescent="0.25">
      <c r="B6729" s="4">
        <f t="shared" si="121"/>
        <v>637.22999999993885</v>
      </c>
      <c r="C6729" s="199">
        <v>1599.5675392916858</v>
      </c>
      <c r="D6729" s="8"/>
    </row>
    <row r="6730" spans="2:4" x14ac:dyDescent="0.25">
      <c r="B6730" s="4">
        <f t="shared" si="121"/>
        <v>637.23999999993885</v>
      </c>
      <c r="C6730" s="199">
        <v>1599.8383178187794</v>
      </c>
      <c r="D6730" s="8"/>
    </row>
    <row r="6731" spans="2:4" x14ac:dyDescent="0.25">
      <c r="B6731" s="4">
        <f t="shared" si="121"/>
        <v>637.24999999993884</v>
      </c>
      <c r="C6731" s="199">
        <v>1600.1090963458728</v>
      </c>
      <c r="D6731" s="8"/>
    </row>
    <row r="6732" spans="2:4" x14ac:dyDescent="0.25">
      <c r="B6732" s="4">
        <f t="shared" si="121"/>
        <v>637.25999999993883</v>
      </c>
      <c r="C6732" s="199">
        <v>1600.379874872966</v>
      </c>
      <c r="D6732" s="8"/>
    </row>
    <row r="6733" spans="2:4" x14ac:dyDescent="0.25">
      <c r="B6733" s="4">
        <f t="shared" si="121"/>
        <v>637.26999999993882</v>
      </c>
      <c r="C6733" s="199">
        <v>1600.6506534000587</v>
      </c>
      <c r="D6733" s="8"/>
    </row>
    <row r="6734" spans="2:4" x14ac:dyDescent="0.25">
      <c r="B6734" s="4">
        <f t="shared" si="121"/>
        <v>637.27999999993881</v>
      </c>
      <c r="C6734" s="199">
        <v>1600.9214319271523</v>
      </c>
      <c r="D6734" s="8"/>
    </row>
    <row r="6735" spans="2:4" x14ac:dyDescent="0.25">
      <c r="B6735" s="4">
        <f t="shared" si="121"/>
        <v>637.2899999999388</v>
      </c>
      <c r="C6735" s="199">
        <v>1601.1922104542462</v>
      </c>
      <c r="D6735" s="8"/>
    </row>
    <row r="6736" spans="2:4" x14ac:dyDescent="0.25">
      <c r="B6736" s="4">
        <f t="shared" si="121"/>
        <v>637.29999999993879</v>
      </c>
      <c r="C6736" s="199">
        <v>1601.4629889813393</v>
      </c>
      <c r="D6736" s="8"/>
    </row>
    <row r="6737" spans="2:4" x14ac:dyDescent="0.25">
      <c r="B6737" s="4">
        <f t="shared" si="121"/>
        <v>637.30999999993878</v>
      </c>
      <c r="C6737" s="199">
        <v>1601.7337675084327</v>
      </c>
      <c r="D6737" s="8"/>
    </row>
    <row r="6738" spans="2:4" x14ac:dyDescent="0.25">
      <c r="B6738" s="4">
        <f t="shared" si="121"/>
        <v>637.31999999993877</v>
      </c>
      <c r="C6738" s="199">
        <v>1602.0047623356274</v>
      </c>
      <c r="D6738" s="8"/>
    </row>
    <row r="6739" spans="2:4" x14ac:dyDescent="0.25">
      <c r="B6739" s="4">
        <f t="shared" si="121"/>
        <v>637.32999999993876</v>
      </c>
      <c r="C6739" s="199">
        <v>1602.2757571628276</v>
      </c>
      <c r="D6739" s="8"/>
    </row>
    <row r="6740" spans="2:4" x14ac:dyDescent="0.25">
      <c r="B6740" s="4">
        <f t="shared" si="121"/>
        <v>637.33999999993875</v>
      </c>
      <c r="C6740" s="199">
        <v>1602.5467519900267</v>
      </c>
      <c r="D6740" s="8"/>
    </row>
    <row r="6741" spans="2:4" x14ac:dyDescent="0.25">
      <c r="B6741" s="4">
        <f t="shared" si="121"/>
        <v>637.34999999993875</v>
      </c>
      <c r="C6741" s="199">
        <v>1602.8177468172264</v>
      </c>
      <c r="D6741" s="8"/>
    </row>
    <row r="6742" spans="2:4" x14ac:dyDescent="0.25">
      <c r="B6742" s="4">
        <f t="shared" si="121"/>
        <v>637.35999999993874</v>
      </c>
      <c r="C6742" s="199">
        <v>1603.0887416444259</v>
      </c>
      <c r="D6742" s="8"/>
    </row>
    <row r="6743" spans="2:4" x14ac:dyDescent="0.25">
      <c r="B6743" s="4">
        <f t="shared" si="121"/>
        <v>637.36999999993873</v>
      </c>
      <c r="C6743" s="199">
        <v>1603.3597364716259</v>
      </c>
      <c r="D6743" s="8"/>
    </row>
    <row r="6744" spans="2:4" x14ac:dyDescent="0.25">
      <c r="B6744" s="4">
        <f t="shared" si="121"/>
        <v>637.37999999993872</v>
      </c>
      <c r="C6744" s="199">
        <v>1603.6307312988256</v>
      </c>
      <c r="D6744" s="8"/>
    </row>
    <row r="6745" spans="2:4" x14ac:dyDescent="0.25">
      <c r="B6745" s="4">
        <f t="shared" si="121"/>
        <v>637.38999999993871</v>
      </c>
      <c r="C6745" s="199">
        <v>1603.9017261260253</v>
      </c>
      <c r="D6745" s="8"/>
    </row>
    <row r="6746" spans="2:4" x14ac:dyDescent="0.25">
      <c r="B6746" s="4">
        <f t="shared" si="121"/>
        <v>637.3999999999387</v>
      </c>
      <c r="C6746" s="199">
        <v>1604.1727209532251</v>
      </c>
      <c r="D6746" s="8"/>
    </row>
    <row r="6747" spans="2:4" x14ac:dyDescent="0.25">
      <c r="B6747" s="4">
        <f t="shared" si="121"/>
        <v>637.40999999993869</v>
      </c>
      <c r="C6747" s="199">
        <v>1604.4437157804252</v>
      </c>
      <c r="D6747" s="8"/>
    </row>
    <row r="6748" spans="2:4" x14ac:dyDescent="0.25">
      <c r="B6748" s="4">
        <f t="shared" si="121"/>
        <v>637.41999999993868</v>
      </c>
      <c r="C6748" s="199">
        <v>1604.7149287495647</v>
      </c>
      <c r="D6748" s="8"/>
    </row>
    <row r="6749" spans="2:4" x14ac:dyDescent="0.25">
      <c r="B6749" s="4">
        <f t="shared" si="121"/>
        <v>637.42999999993867</v>
      </c>
      <c r="C6749" s="199">
        <v>1604.9861417187055</v>
      </c>
      <c r="D6749" s="8"/>
    </row>
    <row r="6750" spans="2:4" x14ac:dyDescent="0.25">
      <c r="B6750" s="4">
        <f t="shared" si="121"/>
        <v>637.43999999993866</v>
      </c>
      <c r="C6750" s="199">
        <v>1605.2573546878446</v>
      </c>
      <c r="D6750" s="8"/>
    </row>
    <row r="6751" spans="2:4" x14ac:dyDescent="0.25">
      <c r="B6751" s="4">
        <f t="shared" si="121"/>
        <v>637.44999999993865</v>
      </c>
      <c r="C6751" s="199">
        <v>1605.528567656984</v>
      </c>
      <c r="D6751" s="8"/>
    </row>
    <row r="6752" spans="2:4" x14ac:dyDescent="0.25">
      <c r="B6752" s="4">
        <f t="shared" si="121"/>
        <v>637.45999999993865</v>
      </c>
      <c r="C6752" s="199">
        <v>1605.7997806261249</v>
      </c>
      <c r="D6752" s="8"/>
    </row>
    <row r="6753" spans="2:4" x14ac:dyDescent="0.25">
      <c r="B6753" s="4">
        <f t="shared" si="121"/>
        <v>637.46999999993864</v>
      </c>
      <c r="C6753" s="199">
        <v>1606.0709935952643</v>
      </c>
      <c r="D6753" s="8"/>
    </row>
    <row r="6754" spans="2:4" x14ac:dyDescent="0.25">
      <c r="B6754" s="4">
        <f t="shared" si="121"/>
        <v>637.47999999993863</v>
      </c>
      <c r="C6754" s="199">
        <v>1606.3422065644049</v>
      </c>
      <c r="D6754" s="8"/>
    </row>
    <row r="6755" spans="2:4" x14ac:dyDescent="0.25">
      <c r="B6755" s="4">
        <f t="shared" si="121"/>
        <v>637.48999999993862</v>
      </c>
      <c r="C6755" s="199">
        <v>1606.6134195335446</v>
      </c>
      <c r="D6755" s="8"/>
    </row>
    <row r="6756" spans="2:4" x14ac:dyDescent="0.25">
      <c r="B6756" s="4">
        <f t="shared" si="121"/>
        <v>637.49999999993861</v>
      </c>
      <c r="C6756" s="199">
        <v>1606.8846325026839</v>
      </c>
      <c r="D6756" s="8"/>
    </row>
    <row r="6757" spans="2:4" x14ac:dyDescent="0.25">
      <c r="B6757" s="4">
        <f t="shared" si="121"/>
        <v>637.5099999999386</v>
      </c>
      <c r="C6757" s="199">
        <v>1607.1558454718243</v>
      </c>
      <c r="D6757" s="8"/>
    </row>
    <row r="6758" spans="2:4" x14ac:dyDescent="0.25">
      <c r="B6758" s="4">
        <f t="shared" si="121"/>
        <v>637.51999999993859</v>
      </c>
      <c r="C6758" s="199">
        <v>1607.4272767424766</v>
      </c>
      <c r="D6758" s="8"/>
    </row>
    <row r="6759" spans="2:4" x14ac:dyDescent="0.25">
      <c r="B6759" s="4">
        <f t="shared" si="121"/>
        <v>637.52999999993858</v>
      </c>
      <c r="C6759" s="199">
        <v>1607.6987080131348</v>
      </c>
      <c r="D6759" s="8"/>
    </row>
    <row r="6760" spans="2:4" x14ac:dyDescent="0.25">
      <c r="B6760" s="4">
        <f t="shared" si="121"/>
        <v>637.53999999993857</v>
      </c>
      <c r="C6760" s="199">
        <v>1607.9701392837924</v>
      </c>
      <c r="D6760" s="8"/>
    </row>
    <row r="6761" spans="2:4" x14ac:dyDescent="0.25">
      <c r="B6761" s="4">
        <f t="shared" si="121"/>
        <v>637.54999999993856</v>
      </c>
      <c r="C6761" s="199">
        <v>1608.2415705544511</v>
      </c>
      <c r="D6761" s="8"/>
    </row>
    <row r="6762" spans="2:4" x14ac:dyDescent="0.25">
      <c r="B6762" s="4">
        <f t="shared" si="121"/>
        <v>637.55999999993855</v>
      </c>
      <c r="C6762" s="199">
        <v>1608.5130018251091</v>
      </c>
      <c r="D6762" s="8"/>
    </row>
    <row r="6763" spans="2:4" x14ac:dyDescent="0.25">
      <c r="B6763" s="4">
        <f t="shared" si="121"/>
        <v>637.56999999993855</v>
      </c>
      <c r="C6763" s="199">
        <v>1608.784433095768</v>
      </c>
      <c r="D6763" s="8"/>
    </row>
    <row r="6764" spans="2:4" x14ac:dyDescent="0.25">
      <c r="B6764" s="4">
        <f t="shared" si="121"/>
        <v>637.57999999993854</v>
      </c>
      <c r="C6764" s="199">
        <v>1609.0558643664258</v>
      </c>
      <c r="D6764" s="8"/>
    </row>
    <row r="6765" spans="2:4" x14ac:dyDescent="0.25">
      <c r="B6765" s="4">
        <f t="shared" si="121"/>
        <v>637.58999999993853</v>
      </c>
      <c r="C6765" s="199">
        <v>1609.3272956370843</v>
      </c>
      <c r="D6765" s="8"/>
    </row>
    <row r="6766" spans="2:4" x14ac:dyDescent="0.25">
      <c r="B6766" s="4">
        <f t="shared" si="121"/>
        <v>637.59999999993852</v>
      </c>
      <c r="C6766" s="199">
        <v>1609.5987269077425</v>
      </c>
      <c r="D6766" s="8"/>
    </row>
    <row r="6767" spans="2:4" x14ac:dyDescent="0.25">
      <c r="B6767" s="4">
        <f t="shared" si="121"/>
        <v>637.60999999993851</v>
      </c>
      <c r="C6767" s="199">
        <v>1609.8701581784014</v>
      </c>
      <c r="D6767" s="8"/>
    </row>
    <row r="6768" spans="2:4" x14ac:dyDescent="0.25">
      <c r="B6768" s="4">
        <f t="shared" si="121"/>
        <v>637.6199999999385</v>
      </c>
      <c r="C6768" s="199">
        <v>1610.1417982221126</v>
      </c>
      <c r="D6768" s="8"/>
    </row>
    <row r="6769" spans="2:4" x14ac:dyDescent="0.25">
      <c r="B6769" s="4">
        <f t="shared" si="121"/>
        <v>637.62999999993849</v>
      </c>
      <c r="C6769" s="199">
        <v>1610.4134382658253</v>
      </c>
      <c r="D6769" s="8"/>
    </row>
    <row r="6770" spans="2:4" x14ac:dyDescent="0.25">
      <c r="B6770" s="4">
        <f t="shared" si="121"/>
        <v>637.63999999993848</v>
      </c>
      <c r="C6770" s="199">
        <v>1610.6850783095376</v>
      </c>
      <c r="D6770" s="8"/>
    </row>
    <row r="6771" spans="2:4" x14ac:dyDescent="0.25">
      <c r="B6771" s="4">
        <f t="shared" si="121"/>
        <v>637.64999999993847</v>
      </c>
      <c r="C6771" s="199">
        <v>1610.9567183532513</v>
      </c>
      <c r="D6771" s="8"/>
    </row>
    <row r="6772" spans="2:4" x14ac:dyDescent="0.25">
      <c r="B6772" s="4">
        <f t="shared" si="121"/>
        <v>637.65999999993846</v>
      </c>
      <c r="C6772" s="199">
        <v>1611.2283583969634</v>
      </c>
      <c r="D6772" s="8"/>
    </row>
    <row r="6773" spans="2:4" x14ac:dyDescent="0.25">
      <c r="B6773" s="4">
        <f t="shared" si="121"/>
        <v>637.66999999993845</v>
      </c>
      <c r="C6773" s="199">
        <v>1611.4999984406761</v>
      </c>
      <c r="D6773" s="8"/>
    </row>
    <row r="6774" spans="2:4" x14ac:dyDescent="0.25">
      <c r="B6774" s="4">
        <f t="shared" si="121"/>
        <v>637.67999999993845</v>
      </c>
      <c r="C6774" s="199">
        <v>1611.7716384843884</v>
      </c>
      <c r="D6774" s="8"/>
    </row>
    <row r="6775" spans="2:4" x14ac:dyDescent="0.25">
      <c r="B6775" s="4">
        <f t="shared" si="121"/>
        <v>637.68999999993844</v>
      </c>
      <c r="C6775" s="199">
        <v>1612.0432785281012</v>
      </c>
      <c r="D6775" s="8"/>
    </row>
    <row r="6776" spans="2:4" x14ac:dyDescent="0.25">
      <c r="B6776" s="4">
        <f t="shared" si="121"/>
        <v>637.69999999993843</v>
      </c>
      <c r="C6776" s="199">
        <v>1612.3149185718132</v>
      </c>
      <c r="D6776" s="8"/>
    </row>
    <row r="6777" spans="2:4" x14ac:dyDescent="0.25">
      <c r="B6777" s="4">
        <f t="shared" si="121"/>
        <v>637.70999999993842</v>
      </c>
      <c r="C6777" s="199">
        <v>1612.5865586155269</v>
      </c>
      <c r="D6777" s="8"/>
    </row>
    <row r="6778" spans="2:4" x14ac:dyDescent="0.25">
      <c r="B6778" s="4">
        <f t="shared" si="121"/>
        <v>637.71999999993841</v>
      </c>
      <c r="C6778" s="199">
        <v>1612.8584125117086</v>
      </c>
      <c r="D6778" s="8"/>
    </row>
    <row r="6779" spans="2:4" x14ac:dyDescent="0.25">
      <c r="B6779" s="4">
        <f t="shared" si="121"/>
        <v>637.7299999999384</v>
      </c>
      <c r="C6779" s="199">
        <v>1613.1302664078969</v>
      </c>
      <c r="D6779" s="8"/>
    </row>
    <row r="6780" spans="2:4" x14ac:dyDescent="0.25">
      <c r="B6780" s="4">
        <f t="shared" si="121"/>
        <v>637.73999999993839</v>
      </c>
      <c r="C6780" s="199">
        <v>1613.4021203040861</v>
      </c>
      <c r="D6780" s="8"/>
    </row>
    <row r="6781" spans="2:4" x14ac:dyDescent="0.25">
      <c r="B6781" s="4">
        <f t="shared" si="121"/>
        <v>637.74999999993838</v>
      </c>
      <c r="C6781" s="199">
        <v>1613.6739742002742</v>
      </c>
      <c r="D6781" s="8"/>
    </row>
    <row r="6782" spans="2:4" x14ac:dyDescent="0.25">
      <c r="B6782" s="4">
        <f t="shared" si="121"/>
        <v>637.75999999993837</v>
      </c>
      <c r="C6782" s="199">
        <v>1613.9458280964634</v>
      </c>
      <c r="D6782" s="8"/>
    </row>
    <row r="6783" spans="2:4" x14ac:dyDescent="0.25">
      <c r="B6783" s="4">
        <f t="shared" si="121"/>
        <v>637.76999999993836</v>
      </c>
      <c r="C6783" s="199">
        <v>1614.2176819926513</v>
      </c>
      <c r="D6783" s="8"/>
    </row>
    <row r="6784" spans="2:4" x14ac:dyDescent="0.25">
      <c r="B6784" s="4">
        <f t="shared" si="121"/>
        <v>637.77999999993835</v>
      </c>
      <c r="C6784" s="199">
        <v>1614.4895358888407</v>
      </c>
      <c r="D6784" s="8"/>
    </row>
    <row r="6785" spans="2:4" x14ac:dyDescent="0.25">
      <c r="B6785" s="4">
        <f t="shared" si="121"/>
        <v>637.78999999993835</v>
      </c>
      <c r="C6785" s="199">
        <v>1614.7613897850292</v>
      </c>
      <c r="D6785" s="8"/>
    </row>
    <row r="6786" spans="2:4" x14ac:dyDescent="0.25">
      <c r="B6786" s="4">
        <f t="shared" si="121"/>
        <v>637.79999999993834</v>
      </c>
      <c r="C6786" s="199">
        <v>1615.033243681218</v>
      </c>
      <c r="D6786" s="8"/>
    </row>
    <row r="6787" spans="2:4" x14ac:dyDescent="0.25">
      <c r="B6787" s="4">
        <f t="shared" si="121"/>
        <v>637.80999999993833</v>
      </c>
      <c r="C6787" s="199">
        <v>1615.3050975774058</v>
      </c>
      <c r="D6787" s="8"/>
    </row>
    <row r="6788" spans="2:4" x14ac:dyDescent="0.25">
      <c r="B6788" s="4">
        <f t="shared" si="121"/>
        <v>637.81999999993832</v>
      </c>
      <c r="C6788" s="199">
        <v>1615.5771652696806</v>
      </c>
      <c r="D6788" s="8"/>
    </row>
    <row r="6789" spans="2:4" x14ac:dyDescent="0.25">
      <c r="B6789" s="4">
        <f t="shared" si="121"/>
        <v>637.82999999993831</v>
      </c>
      <c r="C6789" s="199">
        <v>1615.8492329619557</v>
      </c>
      <c r="D6789" s="8"/>
    </row>
    <row r="6790" spans="2:4" x14ac:dyDescent="0.25">
      <c r="B6790" s="4">
        <f t="shared" si="121"/>
        <v>637.8399999999383</v>
      </c>
      <c r="C6790" s="199">
        <v>1616.1213006542309</v>
      </c>
      <c r="D6790" s="8"/>
    </row>
    <row r="6791" spans="2:4" x14ac:dyDescent="0.25">
      <c r="B6791" s="4">
        <f t="shared" si="121"/>
        <v>637.84999999993829</v>
      </c>
      <c r="C6791" s="199">
        <v>1616.3933683465059</v>
      </c>
      <c r="D6791" s="8"/>
    </row>
    <row r="6792" spans="2:4" x14ac:dyDescent="0.25">
      <c r="B6792" s="4">
        <f t="shared" ref="B6792:B6855" si="122">+B6791+0.01</f>
        <v>637.85999999993828</v>
      </c>
      <c r="C6792" s="199">
        <v>1616.6654360387813</v>
      </c>
      <c r="D6792" s="8"/>
    </row>
    <row r="6793" spans="2:4" x14ac:dyDescent="0.25">
      <c r="B6793" s="4">
        <f t="shared" si="122"/>
        <v>637.86999999993827</v>
      </c>
      <c r="C6793" s="199">
        <v>1616.9375037310556</v>
      </c>
      <c r="D6793" s="8"/>
    </row>
    <row r="6794" spans="2:4" x14ac:dyDescent="0.25">
      <c r="B6794" s="4">
        <f t="shared" si="122"/>
        <v>637.87999999993826</v>
      </c>
      <c r="C6794" s="199">
        <v>1617.2095714233312</v>
      </c>
      <c r="D6794" s="8"/>
    </row>
    <row r="6795" spans="2:4" x14ac:dyDescent="0.25">
      <c r="B6795" s="4">
        <f t="shared" si="122"/>
        <v>637.88999999993825</v>
      </c>
      <c r="C6795" s="199">
        <v>1617.4816391156055</v>
      </c>
      <c r="D6795" s="8"/>
    </row>
    <row r="6796" spans="2:4" x14ac:dyDescent="0.25">
      <c r="B6796" s="4">
        <f t="shared" si="122"/>
        <v>637.89999999993825</v>
      </c>
      <c r="C6796" s="199">
        <v>1617.7537068078809</v>
      </c>
      <c r="D6796" s="8"/>
    </row>
    <row r="6797" spans="2:4" x14ac:dyDescent="0.25">
      <c r="B6797" s="4">
        <f t="shared" si="122"/>
        <v>637.90999999993824</v>
      </c>
      <c r="C6797" s="199">
        <v>1618.0257745001563</v>
      </c>
      <c r="D6797" s="8"/>
    </row>
    <row r="6798" spans="2:4" x14ac:dyDescent="0.25">
      <c r="B6798" s="4">
        <f t="shared" si="122"/>
        <v>637.91999999993823</v>
      </c>
      <c r="C6798" s="199">
        <v>1618.2980588156661</v>
      </c>
      <c r="D6798" s="8"/>
    </row>
    <row r="6799" spans="2:4" x14ac:dyDescent="0.25">
      <c r="B6799" s="4">
        <f t="shared" si="122"/>
        <v>637.92999999993822</v>
      </c>
      <c r="C6799" s="199">
        <v>1618.5703431311822</v>
      </c>
      <c r="D6799" s="8"/>
    </row>
    <row r="6800" spans="2:4" x14ac:dyDescent="0.25">
      <c r="B6800" s="4">
        <f t="shared" si="122"/>
        <v>637.93999999993821</v>
      </c>
      <c r="C6800" s="199">
        <v>1618.8426274466988</v>
      </c>
      <c r="D6800" s="8"/>
    </row>
    <row r="6801" spans="2:4" x14ac:dyDescent="0.25">
      <c r="B6801" s="4">
        <f t="shared" si="122"/>
        <v>637.9499999999382</v>
      </c>
      <c r="C6801" s="199">
        <v>1619.1149117622144</v>
      </c>
      <c r="D6801" s="8"/>
    </row>
    <row r="6802" spans="2:4" x14ac:dyDescent="0.25">
      <c r="B6802" s="4">
        <f t="shared" si="122"/>
        <v>637.95999999993819</v>
      </c>
      <c r="C6802" s="199">
        <v>1619.3871960777303</v>
      </c>
      <c r="D6802" s="8"/>
    </row>
    <row r="6803" spans="2:4" x14ac:dyDescent="0.25">
      <c r="B6803" s="4">
        <f t="shared" si="122"/>
        <v>637.96999999993818</v>
      </c>
      <c r="C6803" s="199">
        <v>1619.6594803932471</v>
      </c>
      <c r="D6803" s="8"/>
    </row>
    <row r="6804" spans="2:4" x14ac:dyDescent="0.25">
      <c r="B6804" s="4">
        <f t="shared" si="122"/>
        <v>637.97999999993817</v>
      </c>
      <c r="C6804" s="199">
        <v>1619.9317647087632</v>
      </c>
      <c r="D6804" s="8"/>
    </row>
    <row r="6805" spans="2:4" x14ac:dyDescent="0.25">
      <c r="B6805" s="4">
        <f t="shared" si="122"/>
        <v>637.98999999993816</v>
      </c>
      <c r="C6805" s="199">
        <v>1620.2040490242798</v>
      </c>
      <c r="D6805" s="8"/>
    </row>
    <row r="6806" spans="2:4" x14ac:dyDescent="0.25">
      <c r="B6806" s="4">
        <f t="shared" si="122"/>
        <v>637.99999999993815</v>
      </c>
      <c r="C6806" s="199">
        <v>1620.4763333397952</v>
      </c>
      <c r="D6806" s="8"/>
    </row>
    <row r="6807" spans="2:4" x14ac:dyDescent="0.25">
      <c r="B6807" s="4">
        <f t="shared" si="122"/>
        <v>638.00999999993815</v>
      </c>
      <c r="C6807" s="199">
        <v>1620.7486176553125</v>
      </c>
      <c r="D6807" s="8"/>
    </row>
    <row r="6808" spans="2:4" x14ac:dyDescent="0.25">
      <c r="B6808" s="4">
        <f t="shared" si="122"/>
        <v>638.01999999993814</v>
      </c>
      <c r="C6808" s="199">
        <v>1621.0211168298931</v>
      </c>
      <c r="D6808" s="8"/>
    </row>
    <row r="6809" spans="2:4" x14ac:dyDescent="0.25">
      <c r="B6809" s="4">
        <f t="shared" si="122"/>
        <v>638.02999999993813</v>
      </c>
      <c r="C6809" s="199">
        <v>1621.2936160044737</v>
      </c>
      <c r="D6809" s="8"/>
    </row>
    <row r="6810" spans="2:4" x14ac:dyDescent="0.25">
      <c r="B6810" s="4">
        <f t="shared" si="122"/>
        <v>638.03999999993812</v>
      </c>
      <c r="C6810" s="199">
        <v>1621.566115179053</v>
      </c>
      <c r="D6810" s="8"/>
    </row>
    <row r="6811" spans="2:4" x14ac:dyDescent="0.25">
      <c r="B6811" s="4">
        <f t="shared" si="122"/>
        <v>638.04999999993811</v>
      </c>
      <c r="C6811" s="199">
        <v>1621.8386143536338</v>
      </c>
      <c r="D6811" s="8"/>
    </row>
    <row r="6812" spans="2:4" x14ac:dyDescent="0.25">
      <c r="B6812" s="4">
        <f t="shared" si="122"/>
        <v>638.0599999999381</v>
      </c>
      <c r="C6812" s="199">
        <v>1622.1111135282144</v>
      </c>
      <c r="D6812" s="8"/>
    </row>
    <row r="6813" spans="2:4" x14ac:dyDescent="0.25">
      <c r="B6813" s="4">
        <f t="shared" si="122"/>
        <v>638.06999999993809</v>
      </c>
      <c r="C6813" s="199">
        <v>1622.3836127027937</v>
      </c>
      <c r="D6813" s="8"/>
    </row>
    <row r="6814" spans="2:4" x14ac:dyDescent="0.25">
      <c r="B6814" s="4">
        <f t="shared" si="122"/>
        <v>638.07999999993808</v>
      </c>
      <c r="C6814" s="199">
        <v>1622.6561118773748</v>
      </c>
      <c r="D6814" s="8"/>
    </row>
    <row r="6815" spans="2:4" x14ac:dyDescent="0.25">
      <c r="B6815" s="4">
        <f t="shared" si="122"/>
        <v>638.08999999993807</v>
      </c>
      <c r="C6815" s="199">
        <v>1622.9286110519552</v>
      </c>
      <c r="D6815" s="8"/>
    </row>
    <row r="6816" spans="2:4" x14ac:dyDescent="0.25">
      <c r="B6816" s="4">
        <f t="shared" si="122"/>
        <v>638.09999999993806</v>
      </c>
      <c r="C6816" s="199">
        <v>1623.2011102265346</v>
      </c>
      <c r="D6816" s="8"/>
    </row>
    <row r="6817" spans="2:4" x14ac:dyDescent="0.25">
      <c r="B6817" s="4">
        <f t="shared" si="122"/>
        <v>638.10999999993805</v>
      </c>
      <c r="C6817" s="199">
        <v>1623.4736094011153</v>
      </c>
      <c r="D6817" s="8"/>
    </row>
    <row r="6818" spans="2:4" x14ac:dyDescent="0.25">
      <c r="B6818" s="4">
        <f t="shared" si="122"/>
        <v>638.11999999993805</v>
      </c>
      <c r="C6818" s="199">
        <v>1623.7463159576766</v>
      </c>
      <c r="D6818" s="8"/>
    </row>
    <row r="6819" spans="2:4" x14ac:dyDescent="0.25">
      <c r="B6819" s="4">
        <f t="shared" si="122"/>
        <v>638.12999999993804</v>
      </c>
      <c r="C6819" s="199">
        <v>1624.0190225142437</v>
      </c>
      <c r="D6819" s="8"/>
    </row>
    <row r="6820" spans="2:4" x14ac:dyDescent="0.25">
      <c r="B6820" s="4">
        <f t="shared" si="122"/>
        <v>638.13999999993803</v>
      </c>
      <c r="C6820" s="199">
        <v>1624.291729070811</v>
      </c>
      <c r="D6820" s="8"/>
    </row>
    <row r="6821" spans="2:4" x14ac:dyDescent="0.25">
      <c r="B6821" s="4">
        <f t="shared" si="122"/>
        <v>638.14999999993802</v>
      </c>
      <c r="C6821" s="199">
        <v>1624.5644356273779</v>
      </c>
      <c r="D6821" s="8"/>
    </row>
    <row r="6822" spans="2:4" x14ac:dyDescent="0.25">
      <c r="B6822" s="4">
        <f t="shared" si="122"/>
        <v>638.15999999993801</v>
      </c>
      <c r="C6822" s="199">
        <v>1624.8371421839445</v>
      </c>
      <c r="D6822" s="8"/>
    </row>
    <row r="6823" spans="2:4" x14ac:dyDescent="0.25">
      <c r="B6823" s="4">
        <f t="shared" si="122"/>
        <v>638.169999999938</v>
      </c>
      <c r="C6823" s="199">
        <v>1625.1098487405118</v>
      </c>
      <c r="D6823" s="8"/>
    </row>
    <row r="6824" spans="2:4" x14ac:dyDescent="0.25">
      <c r="B6824" s="4">
        <f t="shared" si="122"/>
        <v>638.17999999993799</v>
      </c>
      <c r="C6824" s="199">
        <v>1625.3825552970784</v>
      </c>
      <c r="D6824" s="8"/>
    </row>
    <row r="6825" spans="2:4" x14ac:dyDescent="0.25">
      <c r="B6825" s="4">
        <f t="shared" si="122"/>
        <v>638.18999999993798</v>
      </c>
      <c r="C6825" s="199">
        <v>1625.6552618536455</v>
      </c>
      <c r="D6825" s="8"/>
    </row>
    <row r="6826" spans="2:4" x14ac:dyDescent="0.25">
      <c r="B6826" s="4">
        <f t="shared" si="122"/>
        <v>638.19999999993797</v>
      </c>
      <c r="C6826" s="199">
        <v>1625.927968410213</v>
      </c>
      <c r="D6826" s="8"/>
    </row>
    <row r="6827" spans="2:4" x14ac:dyDescent="0.25">
      <c r="B6827" s="4">
        <f t="shared" si="122"/>
        <v>638.20999999993796</v>
      </c>
      <c r="C6827" s="199">
        <v>1626.2006749667798</v>
      </c>
      <c r="D6827" s="8"/>
    </row>
    <row r="6828" spans="2:4" x14ac:dyDescent="0.25">
      <c r="B6828" s="4">
        <f t="shared" si="122"/>
        <v>638.21999999993795</v>
      </c>
      <c r="C6828" s="199">
        <v>1626.4735927865445</v>
      </c>
      <c r="D6828" s="8"/>
    </row>
    <row r="6829" spans="2:4" x14ac:dyDescent="0.25">
      <c r="B6829" s="4">
        <f t="shared" si="122"/>
        <v>638.22999999993795</v>
      </c>
      <c r="C6829" s="199">
        <v>1626.7465106063094</v>
      </c>
      <c r="D6829" s="8"/>
    </row>
    <row r="6830" spans="2:4" x14ac:dyDescent="0.25">
      <c r="B6830" s="4">
        <f t="shared" si="122"/>
        <v>638.23999999993794</v>
      </c>
      <c r="C6830" s="199">
        <v>1627.0194284260745</v>
      </c>
      <c r="D6830" s="8"/>
    </row>
    <row r="6831" spans="2:4" x14ac:dyDescent="0.25">
      <c r="B6831" s="4">
        <f t="shared" si="122"/>
        <v>638.24999999993793</v>
      </c>
      <c r="C6831" s="199">
        <v>1627.2923462458391</v>
      </c>
      <c r="D6831" s="8"/>
    </row>
    <row r="6832" spans="2:4" x14ac:dyDescent="0.25">
      <c r="B6832" s="4">
        <f t="shared" si="122"/>
        <v>638.25999999993792</v>
      </c>
      <c r="C6832" s="199">
        <v>1627.565264065604</v>
      </c>
      <c r="D6832" s="8"/>
    </row>
    <row r="6833" spans="2:4" x14ac:dyDescent="0.25">
      <c r="B6833" s="4">
        <f t="shared" si="122"/>
        <v>638.26999999993791</v>
      </c>
      <c r="C6833" s="199">
        <v>1627.8381818853688</v>
      </c>
      <c r="D6833" s="8"/>
    </row>
    <row r="6834" spans="2:4" x14ac:dyDescent="0.25">
      <c r="B6834" s="4">
        <f t="shared" si="122"/>
        <v>638.2799999999379</v>
      </c>
      <c r="C6834" s="199">
        <v>1628.1110997051335</v>
      </c>
      <c r="D6834" s="8"/>
    </row>
    <row r="6835" spans="2:4" x14ac:dyDescent="0.25">
      <c r="B6835" s="4">
        <f t="shared" si="122"/>
        <v>638.28999999993789</v>
      </c>
      <c r="C6835" s="199">
        <v>1628.3840175248986</v>
      </c>
      <c r="D6835" s="8"/>
    </row>
    <row r="6836" spans="2:4" x14ac:dyDescent="0.25">
      <c r="B6836" s="4">
        <f t="shared" si="122"/>
        <v>638.29999999993788</v>
      </c>
      <c r="C6836" s="199">
        <v>1628.6569353446632</v>
      </c>
      <c r="D6836" s="8"/>
    </row>
    <row r="6837" spans="2:4" x14ac:dyDescent="0.25">
      <c r="B6837" s="4">
        <f t="shared" si="122"/>
        <v>638.30999999993787</v>
      </c>
      <c r="C6837" s="199">
        <v>1628.9298531644283</v>
      </c>
      <c r="D6837" s="8"/>
    </row>
    <row r="6838" spans="2:4" x14ac:dyDescent="0.25">
      <c r="B6838" s="4">
        <f t="shared" si="122"/>
        <v>638.31999999993786</v>
      </c>
      <c r="C6838" s="199">
        <v>1629.2029793700351</v>
      </c>
      <c r="D6838" s="8"/>
    </row>
    <row r="6839" spans="2:4" x14ac:dyDescent="0.25">
      <c r="B6839" s="4">
        <f t="shared" si="122"/>
        <v>638.32999999993785</v>
      </c>
      <c r="C6839" s="199">
        <v>1629.4761055756458</v>
      </c>
      <c r="D6839" s="8"/>
    </row>
    <row r="6840" spans="2:4" x14ac:dyDescent="0.25">
      <c r="B6840" s="4">
        <f t="shared" si="122"/>
        <v>638.33999999993785</v>
      </c>
      <c r="C6840" s="199">
        <v>1629.7492317812571</v>
      </c>
      <c r="D6840" s="8"/>
    </row>
    <row r="6841" spans="2:4" x14ac:dyDescent="0.25">
      <c r="B6841" s="4">
        <f t="shared" si="122"/>
        <v>638.34999999993784</v>
      </c>
      <c r="C6841" s="199">
        <v>1630.0223579868691</v>
      </c>
      <c r="D6841" s="8"/>
    </row>
    <row r="6842" spans="2:4" x14ac:dyDescent="0.25">
      <c r="B6842" s="4">
        <f t="shared" si="122"/>
        <v>638.35999999993783</v>
      </c>
      <c r="C6842" s="199">
        <v>1630.29548419248</v>
      </c>
      <c r="D6842" s="8"/>
    </row>
    <row r="6843" spans="2:4" x14ac:dyDescent="0.25">
      <c r="B6843" s="4">
        <f t="shared" si="122"/>
        <v>638.36999999993782</v>
      </c>
      <c r="C6843" s="199">
        <v>1630.5686103980916</v>
      </c>
      <c r="D6843" s="8"/>
    </row>
    <row r="6844" spans="2:4" x14ac:dyDescent="0.25">
      <c r="B6844" s="4">
        <f t="shared" si="122"/>
        <v>638.37999999993781</v>
      </c>
      <c r="C6844" s="199">
        <v>1630.8417366037038</v>
      </c>
      <c r="D6844" s="8"/>
    </row>
    <row r="6845" spans="2:4" x14ac:dyDescent="0.25">
      <c r="B6845" s="4">
        <f t="shared" si="122"/>
        <v>638.3899999999378</v>
      </c>
      <c r="C6845" s="199">
        <v>1631.1148628093142</v>
      </c>
      <c r="D6845" s="8"/>
    </row>
    <row r="6846" spans="2:4" x14ac:dyDescent="0.25">
      <c r="B6846" s="4">
        <f t="shared" si="122"/>
        <v>638.39999999993779</v>
      </c>
      <c r="C6846" s="199">
        <v>1631.3879890149258</v>
      </c>
      <c r="D6846" s="8"/>
    </row>
    <row r="6847" spans="2:4" x14ac:dyDescent="0.25">
      <c r="B6847" s="4">
        <f t="shared" si="122"/>
        <v>638.40999999993778</v>
      </c>
      <c r="C6847" s="199">
        <v>1631.661115220538</v>
      </c>
      <c r="D6847" s="8"/>
    </row>
    <row r="6848" spans="2:4" x14ac:dyDescent="0.25">
      <c r="B6848" s="4">
        <f t="shared" si="122"/>
        <v>638.41999999993777</v>
      </c>
      <c r="C6848" s="199">
        <v>1631.934453266734</v>
      </c>
      <c r="D6848" s="8"/>
    </row>
    <row r="6849" spans="2:4" x14ac:dyDescent="0.25">
      <c r="B6849" s="4">
        <f t="shared" si="122"/>
        <v>638.42999999993776</v>
      </c>
      <c r="C6849" s="199">
        <v>1632.2077913129315</v>
      </c>
      <c r="D6849" s="8"/>
    </row>
    <row r="6850" spans="2:4" x14ac:dyDescent="0.25">
      <c r="B6850" s="4">
        <f t="shared" si="122"/>
        <v>638.43999999993775</v>
      </c>
      <c r="C6850" s="199">
        <v>1632.4811293591292</v>
      </c>
      <c r="D6850" s="8"/>
    </row>
    <row r="6851" spans="2:4" x14ac:dyDescent="0.25">
      <c r="B6851" s="4">
        <f t="shared" si="122"/>
        <v>638.44999999993775</v>
      </c>
      <c r="C6851" s="199">
        <v>1632.7544674053272</v>
      </c>
      <c r="D6851" s="8"/>
    </row>
    <row r="6852" spans="2:4" x14ac:dyDescent="0.25">
      <c r="B6852" s="4">
        <f t="shared" si="122"/>
        <v>638.45999999993774</v>
      </c>
      <c r="C6852" s="199">
        <v>1633.027805451525</v>
      </c>
      <c r="D6852" s="8"/>
    </row>
    <row r="6853" spans="2:4" x14ac:dyDescent="0.25">
      <c r="B6853" s="4">
        <f t="shared" si="122"/>
        <v>638.46999999993773</v>
      </c>
      <c r="C6853" s="199">
        <v>1633.3011434977223</v>
      </c>
      <c r="D6853" s="8"/>
    </row>
    <row r="6854" spans="2:4" x14ac:dyDescent="0.25">
      <c r="B6854" s="4">
        <f t="shared" si="122"/>
        <v>638.47999999993772</v>
      </c>
      <c r="C6854" s="199">
        <v>1633.5744815439202</v>
      </c>
      <c r="D6854" s="8"/>
    </row>
    <row r="6855" spans="2:4" x14ac:dyDescent="0.25">
      <c r="B6855" s="4">
        <f t="shared" si="122"/>
        <v>638.48999999993771</v>
      </c>
      <c r="C6855" s="199">
        <v>1633.8478195901178</v>
      </c>
      <c r="D6855" s="8"/>
    </row>
    <row r="6856" spans="2:4" x14ac:dyDescent="0.25">
      <c r="B6856" s="4">
        <f t="shared" ref="B6856:B6919" si="123">+B6855+0.01</f>
        <v>638.4999999999377</v>
      </c>
      <c r="C6856" s="199">
        <v>1634.121157636315</v>
      </c>
      <c r="D6856" s="8"/>
    </row>
    <row r="6857" spans="2:4" x14ac:dyDescent="0.25">
      <c r="B6857" s="4">
        <f t="shared" si="123"/>
        <v>638.50999999993769</v>
      </c>
      <c r="C6857" s="199">
        <v>1634.3944956825128</v>
      </c>
      <c r="D6857" s="8"/>
    </row>
    <row r="6858" spans="2:4" x14ac:dyDescent="0.25">
      <c r="B6858" s="4">
        <f t="shared" si="123"/>
        <v>638.51999999993768</v>
      </c>
      <c r="C6858" s="199">
        <v>1634.6680489697762</v>
      </c>
      <c r="D6858" s="8"/>
    </row>
    <row r="6859" spans="2:4" x14ac:dyDescent="0.25">
      <c r="B6859" s="4">
        <f t="shared" si="123"/>
        <v>638.52999999993767</v>
      </c>
      <c r="C6859" s="199">
        <v>1634.9416022570456</v>
      </c>
      <c r="D6859" s="8"/>
    </row>
    <row r="6860" spans="2:4" x14ac:dyDescent="0.25">
      <c r="B6860" s="4">
        <f t="shared" si="123"/>
        <v>638.53999999993766</v>
      </c>
      <c r="C6860" s="199">
        <v>1635.2151555443156</v>
      </c>
      <c r="D6860" s="8"/>
    </row>
    <row r="6861" spans="2:4" x14ac:dyDescent="0.25">
      <c r="B6861" s="4">
        <f t="shared" si="123"/>
        <v>638.54999999993765</v>
      </c>
      <c r="C6861" s="199">
        <v>1635.4887088315854</v>
      </c>
      <c r="D6861" s="8"/>
    </row>
    <row r="6862" spans="2:4" x14ac:dyDescent="0.25">
      <c r="B6862" s="4">
        <f t="shared" si="123"/>
        <v>638.55999999993765</v>
      </c>
      <c r="C6862" s="199">
        <v>1635.7622621188541</v>
      </c>
      <c r="D6862" s="8"/>
    </row>
    <row r="6863" spans="2:4" x14ac:dyDescent="0.25">
      <c r="B6863" s="4">
        <f t="shared" si="123"/>
        <v>638.56999999993764</v>
      </c>
      <c r="C6863" s="199">
        <v>1636.0358154061239</v>
      </c>
      <c r="D6863" s="8"/>
    </row>
    <row r="6864" spans="2:4" x14ac:dyDescent="0.25">
      <c r="B6864" s="4">
        <f t="shared" si="123"/>
        <v>638.57999999993763</v>
      </c>
      <c r="C6864" s="199">
        <v>1636.3093686933939</v>
      </c>
      <c r="D6864" s="8"/>
    </row>
    <row r="6865" spans="2:4" x14ac:dyDescent="0.25">
      <c r="B6865" s="4">
        <f t="shared" si="123"/>
        <v>638.58999999993762</v>
      </c>
      <c r="C6865" s="199">
        <v>1636.5829219806635</v>
      </c>
      <c r="D6865" s="8"/>
    </row>
    <row r="6866" spans="2:4" x14ac:dyDescent="0.25">
      <c r="B6866" s="4">
        <f t="shared" si="123"/>
        <v>638.59999999993761</v>
      </c>
      <c r="C6866" s="199">
        <v>1636.8564752679329</v>
      </c>
      <c r="D6866" s="8"/>
    </row>
    <row r="6867" spans="2:4" x14ac:dyDescent="0.25">
      <c r="B6867" s="4">
        <f t="shared" si="123"/>
        <v>638.6099999999376</v>
      </c>
      <c r="C6867" s="199">
        <v>1637.1300285552029</v>
      </c>
      <c r="D6867" s="8"/>
    </row>
    <row r="6868" spans="2:4" x14ac:dyDescent="0.25">
      <c r="B6868" s="4">
        <f t="shared" si="123"/>
        <v>638.61999999993759</v>
      </c>
      <c r="C6868" s="199">
        <v>1637.4037940801495</v>
      </c>
      <c r="D6868" s="8"/>
    </row>
    <row r="6869" spans="2:4" x14ac:dyDescent="0.25">
      <c r="B6869" s="4">
        <f t="shared" si="123"/>
        <v>638.62999999993758</v>
      </c>
      <c r="C6869" s="199">
        <v>1637.6775596050957</v>
      </c>
      <c r="D6869" s="8"/>
    </row>
    <row r="6870" spans="2:4" x14ac:dyDescent="0.25">
      <c r="B6870" s="4">
        <f t="shared" si="123"/>
        <v>638.63999999993757</v>
      </c>
      <c r="C6870" s="199">
        <v>1637.9513251300421</v>
      </c>
      <c r="D6870" s="8"/>
    </row>
    <row r="6871" spans="2:4" x14ac:dyDescent="0.25">
      <c r="B6871" s="4">
        <f t="shared" si="123"/>
        <v>638.64999999993756</v>
      </c>
      <c r="C6871" s="199">
        <v>1638.2250906549882</v>
      </c>
      <c r="D6871" s="8"/>
    </row>
    <row r="6872" spans="2:4" x14ac:dyDescent="0.25">
      <c r="B6872" s="4">
        <f t="shared" si="123"/>
        <v>638.65999999993755</v>
      </c>
      <c r="C6872" s="199">
        <v>1638.4988561799348</v>
      </c>
      <c r="D6872" s="8"/>
    </row>
    <row r="6873" spans="2:4" x14ac:dyDescent="0.25">
      <c r="B6873" s="4">
        <f t="shared" si="123"/>
        <v>638.66999999993754</v>
      </c>
      <c r="C6873" s="199">
        <v>1638.7726217048801</v>
      </c>
      <c r="D6873" s="8"/>
    </row>
    <row r="6874" spans="2:4" x14ac:dyDescent="0.25">
      <c r="B6874" s="4">
        <f t="shared" si="123"/>
        <v>638.67999999993754</v>
      </c>
      <c r="C6874" s="199">
        <v>1639.0463872298267</v>
      </c>
      <c r="D6874" s="8"/>
    </row>
    <row r="6875" spans="2:4" x14ac:dyDescent="0.25">
      <c r="B6875" s="4">
        <f t="shared" si="123"/>
        <v>638.68999999993753</v>
      </c>
      <c r="C6875" s="199">
        <v>1639.3201527547731</v>
      </c>
      <c r="D6875" s="8"/>
    </row>
    <row r="6876" spans="2:4" x14ac:dyDescent="0.25">
      <c r="B6876" s="4">
        <f t="shared" si="123"/>
        <v>638.69999999993752</v>
      </c>
      <c r="C6876" s="199">
        <v>1639.5939182797192</v>
      </c>
      <c r="D6876" s="8"/>
    </row>
    <row r="6877" spans="2:4" x14ac:dyDescent="0.25">
      <c r="B6877" s="4">
        <f t="shared" si="123"/>
        <v>638.70999999993751</v>
      </c>
      <c r="C6877" s="199">
        <v>1639.8676838046656</v>
      </c>
      <c r="D6877" s="8"/>
    </row>
    <row r="6878" spans="2:4" x14ac:dyDescent="0.25">
      <c r="B6878" s="4">
        <f t="shared" si="123"/>
        <v>638.7199999999375</v>
      </c>
      <c r="C6878" s="199">
        <v>1640.1416627695414</v>
      </c>
      <c r="D6878" s="8"/>
    </row>
    <row r="6879" spans="2:4" x14ac:dyDescent="0.25">
      <c r="B6879" s="4">
        <f t="shared" si="123"/>
        <v>638.72999999993749</v>
      </c>
      <c r="C6879" s="199">
        <v>1640.4156417344252</v>
      </c>
      <c r="D6879" s="8"/>
    </row>
    <row r="6880" spans="2:4" x14ac:dyDescent="0.25">
      <c r="B6880" s="4">
        <f t="shared" si="123"/>
        <v>638.73999999993748</v>
      </c>
      <c r="C6880" s="199">
        <v>1640.6896206993085</v>
      </c>
      <c r="D6880" s="8"/>
    </row>
    <row r="6881" spans="2:4" x14ac:dyDescent="0.25">
      <c r="B6881" s="4">
        <f t="shared" si="123"/>
        <v>638.74999999993747</v>
      </c>
      <c r="C6881" s="199">
        <v>1640.963599664193</v>
      </c>
      <c r="D6881" s="8"/>
    </row>
    <row r="6882" spans="2:4" x14ac:dyDescent="0.25">
      <c r="B6882" s="4">
        <f t="shared" si="123"/>
        <v>638.75999999993746</v>
      </c>
      <c r="C6882" s="199">
        <v>1641.2375786290761</v>
      </c>
      <c r="D6882" s="8"/>
    </row>
    <row r="6883" spans="2:4" x14ac:dyDescent="0.25">
      <c r="B6883" s="4">
        <f t="shared" si="123"/>
        <v>638.76999999993745</v>
      </c>
      <c r="C6883" s="199">
        <v>1641.5115575939597</v>
      </c>
      <c r="D6883" s="8"/>
    </row>
    <row r="6884" spans="2:4" x14ac:dyDescent="0.25">
      <c r="B6884" s="4">
        <f t="shared" si="123"/>
        <v>638.77999999993744</v>
      </c>
      <c r="C6884" s="199">
        <v>1641.7855365588432</v>
      </c>
      <c r="D6884" s="8"/>
    </row>
    <row r="6885" spans="2:4" x14ac:dyDescent="0.25">
      <c r="B6885" s="4">
        <f t="shared" si="123"/>
        <v>638.78999999993744</v>
      </c>
      <c r="C6885" s="199">
        <v>1642.0595155237261</v>
      </c>
      <c r="D6885" s="8"/>
    </row>
    <row r="6886" spans="2:4" x14ac:dyDescent="0.25">
      <c r="B6886" s="4">
        <f t="shared" si="123"/>
        <v>638.79999999993743</v>
      </c>
      <c r="C6886" s="199">
        <v>1642.3334944886099</v>
      </c>
      <c r="D6886" s="8"/>
    </row>
    <row r="6887" spans="2:4" x14ac:dyDescent="0.25">
      <c r="B6887" s="4">
        <f t="shared" si="123"/>
        <v>638.80999999993742</v>
      </c>
      <c r="C6887" s="199">
        <v>1642.6074734534927</v>
      </c>
      <c r="D6887" s="8"/>
    </row>
    <row r="6888" spans="2:4" x14ac:dyDescent="0.25">
      <c r="B6888" s="4">
        <f t="shared" si="123"/>
        <v>638.81999999993741</v>
      </c>
      <c r="C6888" s="199">
        <v>1642.8816683677023</v>
      </c>
      <c r="D6888" s="8"/>
    </row>
    <row r="6889" spans="2:4" x14ac:dyDescent="0.25">
      <c r="B6889" s="4">
        <f t="shared" si="123"/>
        <v>638.8299999999374</v>
      </c>
      <c r="C6889" s="199">
        <v>1643.1558632819119</v>
      </c>
      <c r="D6889" s="8"/>
    </row>
    <row r="6890" spans="2:4" x14ac:dyDescent="0.25">
      <c r="B6890" s="4">
        <f t="shared" si="123"/>
        <v>638.83999999993739</v>
      </c>
      <c r="C6890" s="199">
        <v>1643.4300581961213</v>
      </c>
      <c r="D6890" s="8"/>
    </row>
    <row r="6891" spans="2:4" x14ac:dyDescent="0.25">
      <c r="B6891" s="4">
        <f t="shared" si="123"/>
        <v>638.84999999993738</v>
      </c>
      <c r="C6891" s="199">
        <v>1643.7042531103307</v>
      </c>
      <c r="D6891" s="8"/>
    </row>
    <row r="6892" spans="2:4" x14ac:dyDescent="0.25">
      <c r="B6892" s="4">
        <f t="shared" si="123"/>
        <v>638.85999999993737</v>
      </c>
      <c r="C6892" s="199">
        <v>1643.9784480245391</v>
      </c>
      <c r="D6892" s="8"/>
    </row>
    <row r="6893" spans="2:4" x14ac:dyDescent="0.25">
      <c r="B6893" s="4">
        <f t="shared" si="123"/>
        <v>638.86999999993736</v>
      </c>
      <c r="C6893" s="199">
        <v>1644.2526429387485</v>
      </c>
      <c r="D6893" s="8"/>
    </row>
    <row r="6894" spans="2:4" x14ac:dyDescent="0.25">
      <c r="B6894" s="4">
        <f t="shared" si="123"/>
        <v>638.87999999993735</v>
      </c>
      <c r="C6894" s="199">
        <v>1644.5268378529577</v>
      </c>
      <c r="D6894" s="8"/>
    </row>
    <row r="6895" spans="2:4" x14ac:dyDescent="0.25">
      <c r="B6895" s="4">
        <f t="shared" si="123"/>
        <v>638.88999999993734</v>
      </c>
      <c r="C6895" s="199">
        <v>1644.8010327671668</v>
      </c>
      <c r="D6895" s="8"/>
    </row>
    <row r="6896" spans="2:4" x14ac:dyDescent="0.25">
      <c r="B6896" s="4">
        <f t="shared" si="123"/>
        <v>638.89999999993734</v>
      </c>
      <c r="C6896" s="199">
        <v>1645.0752276813762</v>
      </c>
      <c r="D6896" s="8"/>
    </row>
    <row r="6897" spans="2:4" x14ac:dyDescent="0.25">
      <c r="B6897" s="4">
        <f t="shared" si="123"/>
        <v>638.90999999993733</v>
      </c>
      <c r="C6897" s="199">
        <v>1645.3494225955856</v>
      </c>
      <c r="D6897" s="8"/>
    </row>
    <row r="6898" spans="2:4" x14ac:dyDescent="0.25">
      <c r="B6898" s="4">
        <f t="shared" si="123"/>
        <v>638.91999999993732</v>
      </c>
      <c r="C6898" s="199">
        <v>1645.6238313156396</v>
      </c>
      <c r="D6898" s="8"/>
    </row>
    <row r="6899" spans="2:4" x14ac:dyDescent="0.25">
      <c r="B6899" s="4">
        <f t="shared" si="123"/>
        <v>638.92999999993731</v>
      </c>
      <c r="C6899" s="199">
        <v>1645.8982400357006</v>
      </c>
      <c r="D6899" s="8"/>
    </row>
    <row r="6900" spans="2:4" x14ac:dyDescent="0.25">
      <c r="B6900" s="4">
        <f t="shared" si="123"/>
        <v>638.9399999999373</v>
      </c>
      <c r="C6900" s="199">
        <v>1646.1726487557601</v>
      </c>
      <c r="D6900" s="8"/>
    </row>
    <row r="6901" spans="2:4" x14ac:dyDescent="0.25">
      <c r="B6901" s="4">
        <f t="shared" si="123"/>
        <v>638.94999999993729</v>
      </c>
      <c r="C6901" s="199">
        <v>1646.4470574758216</v>
      </c>
      <c r="D6901" s="8"/>
    </row>
    <row r="6902" spans="2:4" x14ac:dyDescent="0.25">
      <c r="B6902" s="4">
        <f t="shared" si="123"/>
        <v>638.95999999993728</v>
      </c>
      <c r="C6902" s="199">
        <v>1646.721466195881</v>
      </c>
      <c r="D6902" s="8"/>
    </row>
    <row r="6903" spans="2:4" x14ac:dyDescent="0.25">
      <c r="B6903" s="4">
        <f t="shared" si="123"/>
        <v>638.96999999993727</v>
      </c>
      <c r="C6903" s="199">
        <v>1646.9958749159421</v>
      </c>
      <c r="D6903" s="8"/>
    </row>
    <row r="6904" spans="2:4" x14ac:dyDescent="0.25">
      <c r="B6904" s="4">
        <f t="shared" si="123"/>
        <v>638.97999999993726</v>
      </c>
      <c r="C6904" s="199">
        <v>1647.2702836360027</v>
      </c>
      <c r="D6904" s="8"/>
    </row>
    <row r="6905" spans="2:4" x14ac:dyDescent="0.25">
      <c r="B6905" s="4">
        <f t="shared" si="123"/>
        <v>638.98999999993725</v>
      </c>
      <c r="C6905" s="199">
        <v>1647.5446923560633</v>
      </c>
      <c r="D6905" s="8"/>
    </row>
    <row r="6906" spans="2:4" x14ac:dyDescent="0.25">
      <c r="B6906" s="4">
        <f t="shared" si="123"/>
        <v>638.99999999993724</v>
      </c>
      <c r="C6906" s="199">
        <v>1647.8191010761232</v>
      </c>
      <c r="D6906" s="8"/>
    </row>
    <row r="6907" spans="2:4" x14ac:dyDescent="0.25">
      <c r="B6907" s="4">
        <f t="shared" si="123"/>
        <v>639.00999999993724</v>
      </c>
      <c r="C6907" s="199">
        <v>1648.0935097961842</v>
      </c>
      <c r="D6907" s="8"/>
    </row>
    <row r="6908" spans="2:4" x14ac:dyDescent="0.25">
      <c r="B6908" s="4">
        <f t="shared" si="123"/>
        <v>639.01999999993723</v>
      </c>
      <c r="C6908" s="199">
        <v>1648.3681354009227</v>
      </c>
      <c r="D6908" s="8"/>
    </row>
    <row r="6909" spans="2:4" x14ac:dyDescent="0.25">
      <c r="B6909" s="4">
        <f t="shared" si="123"/>
        <v>639.02999999993722</v>
      </c>
      <c r="C6909" s="199">
        <v>1648.6427610056637</v>
      </c>
      <c r="D6909" s="8"/>
    </row>
    <row r="6910" spans="2:4" x14ac:dyDescent="0.25">
      <c r="B6910" s="4">
        <f t="shared" si="123"/>
        <v>639.03999999993721</v>
      </c>
      <c r="C6910" s="199">
        <v>1648.9173866104027</v>
      </c>
      <c r="D6910" s="8"/>
    </row>
    <row r="6911" spans="2:4" x14ac:dyDescent="0.25">
      <c r="B6911" s="4">
        <f t="shared" si="123"/>
        <v>639.0499999999372</v>
      </c>
      <c r="C6911" s="199">
        <v>1649.1920122151419</v>
      </c>
      <c r="D6911" s="8"/>
    </row>
    <row r="6912" spans="2:4" x14ac:dyDescent="0.25">
      <c r="B6912" s="4">
        <f t="shared" si="123"/>
        <v>639.05999999993719</v>
      </c>
      <c r="C6912" s="199">
        <v>1649.4666378198829</v>
      </c>
      <c r="D6912" s="8"/>
    </row>
    <row r="6913" spans="2:4" x14ac:dyDescent="0.25">
      <c r="B6913" s="4">
        <f t="shared" si="123"/>
        <v>639.06999999993718</v>
      </c>
      <c r="C6913" s="199">
        <v>1649.7412634246216</v>
      </c>
      <c r="D6913" s="8"/>
    </row>
    <row r="6914" spans="2:4" x14ac:dyDescent="0.25">
      <c r="B6914" s="4">
        <f t="shared" si="123"/>
        <v>639.07999999993717</v>
      </c>
      <c r="C6914" s="199">
        <v>1650.0158890293624</v>
      </c>
      <c r="D6914" s="8"/>
    </row>
    <row r="6915" spans="2:4" x14ac:dyDescent="0.25">
      <c r="B6915" s="4">
        <f t="shared" si="123"/>
        <v>639.08999999993716</v>
      </c>
      <c r="C6915" s="199">
        <v>1650.2905146341016</v>
      </c>
      <c r="D6915" s="8"/>
    </row>
    <row r="6916" spans="2:4" x14ac:dyDescent="0.25">
      <c r="B6916" s="4">
        <f t="shared" si="123"/>
        <v>639.09999999993715</v>
      </c>
      <c r="C6916" s="199">
        <v>1650.5651402388405</v>
      </c>
      <c r="D6916" s="8"/>
    </row>
    <row r="6917" spans="2:4" x14ac:dyDescent="0.25">
      <c r="B6917" s="4">
        <f t="shared" si="123"/>
        <v>639.10999999993714</v>
      </c>
      <c r="C6917" s="199">
        <v>1650.8397658435815</v>
      </c>
      <c r="D6917" s="8"/>
    </row>
    <row r="6918" spans="2:4" x14ac:dyDescent="0.25">
      <c r="B6918" s="4">
        <f t="shared" si="123"/>
        <v>639.11999999993714</v>
      </c>
      <c r="C6918" s="199">
        <v>1651.1145996362652</v>
      </c>
      <c r="D6918" s="8"/>
    </row>
    <row r="6919" spans="2:4" x14ac:dyDescent="0.25">
      <c r="B6919" s="4">
        <f t="shared" si="123"/>
        <v>639.12999999993713</v>
      </c>
      <c r="C6919" s="199">
        <v>1651.3894334289544</v>
      </c>
      <c r="D6919" s="8"/>
    </row>
    <row r="6920" spans="2:4" x14ac:dyDescent="0.25">
      <c r="B6920" s="4">
        <f t="shared" ref="B6920:B6983" si="124">+B6919+0.01</f>
        <v>639.13999999993712</v>
      </c>
      <c r="C6920" s="199">
        <v>1651.6642672216442</v>
      </c>
      <c r="D6920" s="8"/>
    </row>
    <row r="6921" spans="2:4" x14ac:dyDescent="0.25">
      <c r="B6921" s="4">
        <f t="shared" si="124"/>
        <v>639.14999999993711</v>
      </c>
      <c r="C6921" s="199">
        <v>1651.9391010143333</v>
      </c>
      <c r="D6921" s="8"/>
    </row>
    <row r="6922" spans="2:4" x14ac:dyDescent="0.25">
      <c r="B6922" s="4">
        <f t="shared" si="124"/>
        <v>639.1599999999371</v>
      </c>
      <c r="C6922" s="199">
        <v>1652.2139348070225</v>
      </c>
      <c r="D6922" s="8"/>
    </row>
    <row r="6923" spans="2:4" x14ac:dyDescent="0.25">
      <c r="B6923" s="4">
        <f t="shared" si="124"/>
        <v>639.16999999993709</v>
      </c>
      <c r="C6923" s="199">
        <v>1652.4887685997121</v>
      </c>
      <c r="D6923" s="8"/>
    </row>
    <row r="6924" spans="2:4" x14ac:dyDescent="0.25">
      <c r="B6924" s="4">
        <f t="shared" si="124"/>
        <v>639.17999999993708</v>
      </c>
      <c r="C6924" s="199">
        <v>1652.7636023924015</v>
      </c>
      <c r="D6924" s="8"/>
    </row>
    <row r="6925" spans="2:4" x14ac:dyDescent="0.25">
      <c r="B6925" s="4">
        <f t="shared" si="124"/>
        <v>639.18999999993707</v>
      </c>
      <c r="C6925" s="199">
        <v>1653.0384361850906</v>
      </c>
      <c r="D6925" s="8"/>
    </row>
    <row r="6926" spans="2:4" x14ac:dyDescent="0.25">
      <c r="B6926" s="4">
        <f t="shared" si="124"/>
        <v>639.19999999993706</v>
      </c>
      <c r="C6926" s="199">
        <v>1653.3132699777818</v>
      </c>
      <c r="D6926" s="8"/>
    </row>
    <row r="6927" spans="2:4" x14ac:dyDescent="0.25">
      <c r="B6927" s="4">
        <f t="shared" si="124"/>
        <v>639.20999999993705</v>
      </c>
      <c r="C6927" s="199">
        <v>1653.5881037704714</v>
      </c>
      <c r="D6927" s="8"/>
    </row>
    <row r="6928" spans="2:4" x14ac:dyDescent="0.25">
      <c r="B6928" s="4">
        <f t="shared" si="124"/>
        <v>639.21999999993704</v>
      </c>
      <c r="C6928" s="199">
        <v>1653.8631498013469</v>
      </c>
      <c r="D6928" s="8"/>
    </row>
    <row r="6929" spans="2:4" x14ac:dyDescent="0.25">
      <c r="B6929" s="4">
        <f t="shared" si="124"/>
        <v>639.22999999993704</v>
      </c>
      <c r="C6929" s="199">
        <v>1654.1381958322231</v>
      </c>
      <c r="D6929" s="8"/>
    </row>
    <row r="6930" spans="2:4" x14ac:dyDescent="0.25">
      <c r="B6930" s="4">
        <f t="shared" si="124"/>
        <v>639.23999999993703</v>
      </c>
      <c r="C6930" s="199">
        <v>1654.4132418630993</v>
      </c>
      <c r="D6930" s="8"/>
    </row>
    <row r="6931" spans="2:4" x14ac:dyDescent="0.25">
      <c r="B6931" s="4">
        <f t="shared" si="124"/>
        <v>639.24999999993702</v>
      </c>
      <c r="C6931" s="199">
        <v>1654.6882878939755</v>
      </c>
      <c r="D6931" s="8"/>
    </row>
    <row r="6932" spans="2:4" x14ac:dyDescent="0.25">
      <c r="B6932" s="4">
        <f t="shared" si="124"/>
        <v>639.25999999993701</v>
      </c>
      <c r="C6932" s="199">
        <v>1654.9633339248496</v>
      </c>
      <c r="D6932" s="8"/>
    </row>
    <row r="6933" spans="2:4" x14ac:dyDescent="0.25">
      <c r="B6933" s="4">
        <f t="shared" si="124"/>
        <v>639.269999999937</v>
      </c>
      <c r="C6933" s="199">
        <v>1655.2383799557258</v>
      </c>
      <c r="D6933" s="8"/>
    </row>
    <row r="6934" spans="2:4" x14ac:dyDescent="0.25">
      <c r="B6934" s="4">
        <f t="shared" si="124"/>
        <v>639.27999999993699</v>
      </c>
      <c r="C6934" s="199">
        <v>1655.5134259866018</v>
      </c>
      <c r="D6934" s="8"/>
    </row>
    <row r="6935" spans="2:4" x14ac:dyDescent="0.25">
      <c r="B6935" s="4">
        <f t="shared" si="124"/>
        <v>639.28999999993698</v>
      </c>
      <c r="C6935" s="199">
        <v>1655.7884720174786</v>
      </c>
      <c r="D6935" s="8"/>
    </row>
    <row r="6936" spans="2:4" x14ac:dyDescent="0.25">
      <c r="B6936" s="4">
        <f t="shared" si="124"/>
        <v>639.29999999993697</v>
      </c>
      <c r="C6936" s="199">
        <v>1656.0635180483544</v>
      </c>
      <c r="D6936" s="8"/>
    </row>
    <row r="6937" spans="2:4" x14ac:dyDescent="0.25">
      <c r="B6937" s="4">
        <f t="shared" si="124"/>
        <v>639.30999999993696</v>
      </c>
      <c r="C6937" s="199">
        <v>1656.338564079231</v>
      </c>
      <c r="D6937" s="8"/>
    </row>
    <row r="6938" spans="2:4" x14ac:dyDescent="0.25">
      <c r="B6938" s="4">
        <f t="shared" si="124"/>
        <v>639.31999999993695</v>
      </c>
      <c r="C6938" s="199">
        <v>1656.6138221325782</v>
      </c>
      <c r="D6938" s="8"/>
    </row>
    <row r="6939" spans="2:4" x14ac:dyDescent="0.25">
      <c r="B6939" s="4">
        <f t="shared" si="124"/>
        <v>639.32999999993694</v>
      </c>
      <c r="C6939" s="199">
        <v>1656.8890801859343</v>
      </c>
      <c r="D6939" s="8"/>
    </row>
    <row r="6940" spans="2:4" x14ac:dyDescent="0.25">
      <c r="B6940" s="4">
        <f t="shared" si="124"/>
        <v>639.33999999993694</v>
      </c>
      <c r="C6940" s="199">
        <v>1657.1643382392876</v>
      </c>
      <c r="D6940" s="8"/>
    </row>
    <row r="6941" spans="2:4" x14ac:dyDescent="0.25">
      <c r="B6941" s="4">
        <f t="shared" si="124"/>
        <v>639.34999999993693</v>
      </c>
      <c r="C6941" s="199">
        <v>1657.4395962926433</v>
      </c>
      <c r="D6941" s="8"/>
    </row>
    <row r="6942" spans="2:4" x14ac:dyDescent="0.25">
      <c r="B6942" s="4">
        <f t="shared" si="124"/>
        <v>639.35999999993692</v>
      </c>
      <c r="C6942" s="199">
        <v>1657.7148543459991</v>
      </c>
      <c r="D6942" s="8"/>
    </row>
    <row r="6943" spans="2:4" x14ac:dyDescent="0.25">
      <c r="B6943" s="4">
        <f t="shared" si="124"/>
        <v>639.36999999993691</v>
      </c>
      <c r="C6943" s="199">
        <v>1657.9901123993525</v>
      </c>
      <c r="D6943" s="8"/>
    </row>
    <row r="6944" spans="2:4" x14ac:dyDescent="0.25">
      <c r="B6944" s="4">
        <f t="shared" si="124"/>
        <v>639.3799999999369</v>
      </c>
      <c r="C6944" s="199">
        <v>1658.2653704527086</v>
      </c>
      <c r="D6944" s="8"/>
    </row>
    <row r="6945" spans="2:4" x14ac:dyDescent="0.25">
      <c r="B6945" s="4">
        <f t="shared" si="124"/>
        <v>639.38999999993689</v>
      </c>
      <c r="C6945" s="199">
        <v>1658.5406285060617</v>
      </c>
      <c r="D6945" s="8"/>
    </row>
    <row r="6946" spans="2:4" x14ac:dyDescent="0.25">
      <c r="B6946" s="4">
        <f t="shared" si="124"/>
        <v>639.39999999993688</v>
      </c>
      <c r="C6946" s="199">
        <v>1658.8158865594173</v>
      </c>
      <c r="D6946" s="8"/>
    </row>
    <row r="6947" spans="2:4" x14ac:dyDescent="0.25">
      <c r="B6947" s="4">
        <f t="shared" si="124"/>
        <v>639.40999999993687</v>
      </c>
      <c r="C6947" s="199">
        <v>1659.0911446127727</v>
      </c>
      <c r="D6947" s="8"/>
    </row>
    <row r="6948" spans="2:4" x14ac:dyDescent="0.25">
      <c r="B6948" s="4">
        <f t="shared" si="124"/>
        <v>639.41999999993686</v>
      </c>
      <c r="C6948" s="199">
        <v>1659.3666157784646</v>
      </c>
      <c r="D6948" s="8"/>
    </row>
    <row r="6949" spans="2:4" x14ac:dyDescent="0.25">
      <c r="B6949" s="4">
        <f t="shared" si="124"/>
        <v>639.42999999993685</v>
      </c>
      <c r="C6949" s="199">
        <v>1659.6420869441597</v>
      </c>
      <c r="D6949" s="8"/>
    </row>
    <row r="6950" spans="2:4" x14ac:dyDescent="0.25">
      <c r="B6950" s="4">
        <f t="shared" si="124"/>
        <v>639.43999999993684</v>
      </c>
      <c r="C6950" s="199">
        <v>1659.9175581098523</v>
      </c>
      <c r="D6950" s="8"/>
    </row>
    <row r="6951" spans="2:4" x14ac:dyDescent="0.25">
      <c r="B6951" s="4">
        <f t="shared" si="124"/>
        <v>639.44999999993684</v>
      </c>
      <c r="C6951" s="199">
        <v>1660.1930292755471</v>
      </c>
      <c r="D6951" s="8"/>
    </row>
    <row r="6952" spans="2:4" x14ac:dyDescent="0.25">
      <c r="B6952" s="4">
        <f t="shared" si="124"/>
        <v>639.45999999993683</v>
      </c>
      <c r="C6952" s="199">
        <v>1660.4685004412395</v>
      </c>
      <c r="D6952" s="8"/>
    </row>
    <row r="6953" spans="2:4" x14ac:dyDescent="0.25">
      <c r="B6953" s="4">
        <f t="shared" si="124"/>
        <v>639.46999999993682</v>
      </c>
      <c r="C6953" s="199">
        <v>1660.7439716069327</v>
      </c>
      <c r="D6953" s="8"/>
    </row>
    <row r="6954" spans="2:4" x14ac:dyDescent="0.25">
      <c r="B6954" s="4">
        <f t="shared" si="124"/>
        <v>639.47999999993681</v>
      </c>
      <c r="C6954" s="199">
        <v>1661.0194427726276</v>
      </c>
      <c r="D6954" s="8"/>
    </row>
    <row r="6955" spans="2:4" x14ac:dyDescent="0.25">
      <c r="B6955" s="4">
        <f t="shared" si="124"/>
        <v>639.4899999999368</v>
      </c>
      <c r="C6955" s="199">
        <v>1661.2949139383204</v>
      </c>
      <c r="D6955" s="8"/>
    </row>
    <row r="6956" spans="2:4" x14ac:dyDescent="0.25">
      <c r="B6956" s="4">
        <f t="shared" si="124"/>
        <v>639.49999999993679</v>
      </c>
      <c r="C6956" s="199">
        <v>1661.5703851040143</v>
      </c>
      <c r="D6956" s="8"/>
    </row>
    <row r="6957" spans="2:4" x14ac:dyDescent="0.25">
      <c r="B6957" s="4">
        <f t="shared" si="124"/>
        <v>639.50999999993678</v>
      </c>
      <c r="C6957" s="199">
        <v>1661.8458562697081</v>
      </c>
      <c r="D6957" s="8"/>
    </row>
    <row r="6958" spans="2:4" x14ac:dyDescent="0.25">
      <c r="B6958" s="4">
        <f t="shared" si="124"/>
        <v>639.51999999993677</v>
      </c>
      <c r="C6958" s="199">
        <v>1662.1215388845835</v>
      </c>
      <c r="D6958" s="8"/>
    </row>
    <row r="6959" spans="2:4" x14ac:dyDescent="0.25">
      <c r="B6959" s="4">
        <f t="shared" si="124"/>
        <v>639.52999999993676</v>
      </c>
      <c r="C6959" s="199">
        <v>1662.3972214994646</v>
      </c>
      <c r="D6959" s="8"/>
    </row>
    <row r="6960" spans="2:4" x14ac:dyDescent="0.25">
      <c r="B6960" s="4">
        <f t="shared" si="124"/>
        <v>639.53999999993675</v>
      </c>
      <c r="C6960" s="199">
        <v>1662.6729041143462</v>
      </c>
      <c r="D6960" s="8"/>
    </row>
    <row r="6961" spans="2:4" x14ac:dyDescent="0.25">
      <c r="B6961" s="4">
        <f t="shared" si="124"/>
        <v>639.54999999993674</v>
      </c>
      <c r="C6961" s="199">
        <v>1662.9485867292258</v>
      </c>
      <c r="D6961" s="8"/>
    </row>
    <row r="6962" spans="2:4" x14ac:dyDescent="0.25">
      <c r="B6962" s="4">
        <f t="shared" si="124"/>
        <v>639.55999999993674</v>
      </c>
      <c r="C6962" s="199">
        <v>1663.2242693441078</v>
      </c>
      <c r="D6962" s="8"/>
    </row>
    <row r="6963" spans="2:4" x14ac:dyDescent="0.25">
      <c r="B6963" s="4">
        <f t="shared" si="124"/>
        <v>639.56999999993673</v>
      </c>
      <c r="C6963" s="199">
        <v>1663.4999519589896</v>
      </c>
      <c r="D6963" s="8"/>
    </row>
    <row r="6964" spans="2:4" x14ac:dyDescent="0.25">
      <c r="B6964" s="4">
        <f t="shared" si="124"/>
        <v>639.57999999993672</v>
      </c>
      <c r="C6964" s="199">
        <v>1663.7756345738687</v>
      </c>
      <c r="D6964" s="8"/>
    </row>
    <row r="6965" spans="2:4" x14ac:dyDescent="0.25">
      <c r="B6965" s="4">
        <f t="shared" si="124"/>
        <v>639.58999999993671</v>
      </c>
      <c r="C6965" s="199">
        <v>1664.0513171887503</v>
      </c>
      <c r="D6965" s="8"/>
    </row>
    <row r="6966" spans="2:4" x14ac:dyDescent="0.25">
      <c r="B6966" s="4">
        <f t="shared" si="124"/>
        <v>639.5999999999367</v>
      </c>
      <c r="C6966" s="199">
        <v>1664.3269998036324</v>
      </c>
      <c r="D6966" s="8"/>
    </row>
    <row r="6967" spans="2:4" x14ac:dyDescent="0.25">
      <c r="B6967" s="4">
        <f t="shared" si="124"/>
        <v>639.60999999993669</v>
      </c>
      <c r="C6967" s="199">
        <v>1664.6026824185121</v>
      </c>
      <c r="D6967" s="8"/>
    </row>
    <row r="6968" spans="2:4" x14ac:dyDescent="0.25">
      <c r="B6968" s="4">
        <f t="shared" si="124"/>
        <v>639.61999999993668</v>
      </c>
      <c r="C6968" s="199">
        <v>1664.8785753517998</v>
      </c>
      <c r="D6968" s="8"/>
    </row>
    <row r="6969" spans="2:4" x14ac:dyDescent="0.25">
      <c r="B6969" s="4">
        <f t="shared" si="124"/>
        <v>639.62999999993667</v>
      </c>
      <c r="C6969" s="199">
        <v>1665.1544682850865</v>
      </c>
      <c r="D6969" s="8"/>
    </row>
    <row r="6970" spans="2:4" x14ac:dyDescent="0.25">
      <c r="B6970" s="4">
        <f t="shared" si="124"/>
        <v>639.63999999993666</v>
      </c>
      <c r="C6970" s="199">
        <v>1665.4303612183708</v>
      </c>
      <c r="D6970" s="8"/>
    </row>
    <row r="6971" spans="2:4" x14ac:dyDescent="0.25">
      <c r="B6971" s="4">
        <f t="shared" si="124"/>
        <v>639.64999999993665</v>
      </c>
      <c r="C6971" s="199">
        <v>1665.7062541516568</v>
      </c>
      <c r="D6971" s="8"/>
    </row>
    <row r="6972" spans="2:4" x14ac:dyDescent="0.25">
      <c r="B6972" s="4">
        <f t="shared" si="124"/>
        <v>639.65999999993664</v>
      </c>
      <c r="C6972" s="199">
        <v>1665.9821470849433</v>
      </c>
      <c r="D6972" s="8"/>
    </row>
    <row r="6973" spans="2:4" x14ac:dyDescent="0.25">
      <c r="B6973" s="4">
        <f t="shared" si="124"/>
        <v>639.66999999993664</v>
      </c>
      <c r="C6973" s="199">
        <v>1666.2580400182294</v>
      </c>
      <c r="D6973" s="8"/>
    </row>
    <row r="6974" spans="2:4" x14ac:dyDescent="0.25">
      <c r="B6974" s="4">
        <f t="shared" si="124"/>
        <v>639.67999999993663</v>
      </c>
      <c r="C6974" s="199">
        <v>1666.5339329515159</v>
      </c>
      <c r="D6974" s="8"/>
    </row>
    <row r="6975" spans="2:4" x14ac:dyDescent="0.25">
      <c r="B6975" s="4">
        <f t="shared" si="124"/>
        <v>639.68999999993662</v>
      </c>
      <c r="C6975" s="199">
        <v>1666.8098258848024</v>
      </c>
      <c r="D6975" s="8"/>
    </row>
    <row r="6976" spans="2:4" x14ac:dyDescent="0.25">
      <c r="B6976" s="4">
        <f t="shared" si="124"/>
        <v>639.69999999993661</v>
      </c>
      <c r="C6976" s="199">
        <v>1667.0857188180885</v>
      </c>
      <c r="D6976" s="8"/>
    </row>
    <row r="6977" spans="2:4" x14ac:dyDescent="0.25">
      <c r="B6977" s="4">
        <f t="shared" si="124"/>
        <v>639.7099999999366</v>
      </c>
      <c r="C6977" s="199">
        <v>1667.3616117513725</v>
      </c>
      <c r="D6977" s="8"/>
    </row>
    <row r="6978" spans="2:4" x14ac:dyDescent="0.25">
      <c r="B6978" s="4">
        <f t="shared" si="124"/>
        <v>639.71999999993659</v>
      </c>
      <c r="C6978" s="199">
        <v>1667.6377144131209</v>
      </c>
      <c r="D6978" s="8"/>
    </row>
    <row r="6979" spans="2:4" x14ac:dyDescent="0.25">
      <c r="B6979" s="4">
        <f t="shared" si="124"/>
        <v>639.72999999993658</v>
      </c>
      <c r="C6979" s="199">
        <v>1667.9138170748743</v>
      </c>
      <c r="D6979" s="8"/>
    </row>
    <row r="6980" spans="2:4" x14ac:dyDescent="0.25">
      <c r="B6980" s="4">
        <f t="shared" si="124"/>
        <v>639.73999999993657</v>
      </c>
      <c r="C6980" s="199">
        <v>1668.1899197366267</v>
      </c>
      <c r="D6980" s="8"/>
    </row>
    <row r="6981" spans="2:4" x14ac:dyDescent="0.25">
      <c r="B6981" s="4">
        <f t="shared" si="124"/>
        <v>639.74999999993656</v>
      </c>
      <c r="C6981" s="199">
        <v>1668.4660223983813</v>
      </c>
      <c r="D6981" s="8"/>
    </row>
    <row r="6982" spans="2:4" x14ac:dyDescent="0.25">
      <c r="B6982" s="4">
        <f t="shared" si="124"/>
        <v>639.75999999993655</v>
      </c>
      <c r="C6982" s="199">
        <v>1668.7421250601335</v>
      </c>
      <c r="D6982" s="8"/>
    </row>
    <row r="6983" spans="2:4" x14ac:dyDescent="0.25">
      <c r="B6983" s="4">
        <f t="shared" si="124"/>
        <v>639.76999999993654</v>
      </c>
      <c r="C6983" s="199">
        <v>1669.0182277218858</v>
      </c>
      <c r="D6983" s="8"/>
    </row>
    <row r="6984" spans="2:4" x14ac:dyDescent="0.25">
      <c r="B6984" s="4">
        <f t="shared" ref="B6984:B7047" si="125">+B6983+0.01</f>
        <v>639.77999999993654</v>
      </c>
      <c r="C6984" s="199">
        <v>1669.2943303836398</v>
      </c>
      <c r="D6984" s="8"/>
    </row>
    <row r="6985" spans="2:4" x14ac:dyDescent="0.25">
      <c r="B6985" s="4">
        <f t="shared" si="125"/>
        <v>639.78999999993653</v>
      </c>
      <c r="C6985" s="199">
        <v>1669.5704330453923</v>
      </c>
      <c r="D6985" s="8"/>
    </row>
    <row r="6986" spans="2:4" x14ac:dyDescent="0.25">
      <c r="B6986" s="4">
        <f t="shared" si="125"/>
        <v>639.79999999993652</v>
      </c>
      <c r="C6986" s="199">
        <v>1669.8465357071468</v>
      </c>
      <c r="D6986" s="8"/>
    </row>
    <row r="6987" spans="2:4" x14ac:dyDescent="0.25">
      <c r="B6987" s="4">
        <f t="shared" si="125"/>
        <v>639.80999999993651</v>
      </c>
      <c r="C6987" s="199">
        <v>1670.1226383688991</v>
      </c>
      <c r="D6987" s="8"/>
    </row>
    <row r="6988" spans="2:4" x14ac:dyDescent="0.25">
      <c r="B6988" s="4">
        <f t="shared" si="125"/>
        <v>639.8199999999365</v>
      </c>
      <c r="C6988" s="199">
        <v>1670.3989525493589</v>
      </c>
      <c r="D6988" s="8"/>
    </row>
    <row r="6989" spans="2:4" x14ac:dyDescent="0.25">
      <c r="B6989" s="4">
        <f t="shared" si="125"/>
        <v>639.82999999993649</v>
      </c>
      <c r="C6989" s="199">
        <v>1670.6752667298226</v>
      </c>
      <c r="D6989" s="8"/>
    </row>
    <row r="6990" spans="2:4" x14ac:dyDescent="0.25">
      <c r="B6990" s="4">
        <f t="shared" si="125"/>
        <v>639.83999999993648</v>
      </c>
      <c r="C6990" s="199">
        <v>1670.951580910287</v>
      </c>
      <c r="D6990" s="8"/>
    </row>
    <row r="6991" spans="2:4" x14ac:dyDescent="0.25">
      <c r="B6991" s="4">
        <f t="shared" si="125"/>
        <v>639.84999999993647</v>
      </c>
      <c r="C6991" s="199">
        <v>1671.2278950907512</v>
      </c>
      <c r="D6991" s="8"/>
    </row>
    <row r="6992" spans="2:4" x14ac:dyDescent="0.25">
      <c r="B6992" s="4">
        <f t="shared" si="125"/>
        <v>639.85999999993646</v>
      </c>
      <c r="C6992" s="199">
        <v>1671.5042092712154</v>
      </c>
      <c r="D6992" s="8"/>
    </row>
    <row r="6993" spans="2:4" x14ac:dyDescent="0.25">
      <c r="B6993" s="4">
        <f t="shared" si="125"/>
        <v>639.86999999993645</v>
      </c>
      <c r="C6993" s="199">
        <v>1671.7805234516791</v>
      </c>
      <c r="D6993" s="8"/>
    </row>
    <row r="6994" spans="2:4" x14ac:dyDescent="0.25">
      <c r="B6994" s="4">
        <f t="shared" si="125"/>
        <v>639.87999999993644</v>
      </c>
      <c r="C6994" s="199">
        <v>1672.056837632141</v>
      </c>
      <c r="D6994" s="8"/>
    </row>
    <row r="6995" spans="2:4" x14ac:dyDescent="0.25">
      <c r="B6995" s="4">
        <f t="shared" si="125"/>
        <v>639.88999999993644</v>
      </c>
      <c r="C6995" s="199">
        <v>1672.3331518126054</v>
      </c>
      <c r="D6995" s="8"/>
    </row>
    <row r="6996" spans="2:4" x14ac:dyDescent="0.25">
      <c r="B6996" s="4">
        <f t="shared" si="125"/>
        <v>639.89999999993643</v>
      </c>
      <c r="C6996" s="199">
        <v>1672.6094659930695</v>
      </c>
      <c r="D6996" s="8"/>
    </row>
    <row r="6997" spans="2:4" x14ac:dyDescent="0.25">
      <c r="B6997" s="4">
        <f t="shared" si="125"/>
        <v>639.90999999993642</v>
      </c>
      <c r="C6997" s="199">
        <v>1672.8857801735332</v>
      </c>
      <c r="D6997" s="8"/>
    </row>
    <row r="6998" spans="2:4" x14ac:dyDescent="0.25">
      <c r="B6998" s="4">
        <f t="shared" si="125"/>
        <v>639.91999999993641</v>
      </c>
      <c r="C6998" s="199">
        <v>1673.1623040498107</v>
      </c>
      <c r="D6998" s="8"/>
    </row>
    <row r="6999" spans="2:4" x14ac:dyDescent="0.25">
      <c r="B6999" s="4">
        <f t="shared" si="125"/>
        <v>639.9299999999364</v>
      </c>
      <c r="C6999" s="199">
        <v>1673.4388279260932</v>
      </c>
      <c r="D6999" s="8"/>
    </row>
    <row r="7000" spans="2:4" x14ac:dyDescent="0.25">
      <c r="B7000" s="4">
        <f t="shared" si="125"/>
        <v>639.93999999993639</v>
      </c>
      <c r="C7000" s="199">
        <v>1673.7153518023736</v>
      </c>
      <c r="D7000" s="8"/>
    </row>
    <row r="7001" spans="2:4" x14ac:dyDescent="0.25">
      <c r="B7001" s="4">
        <f t="shared" si="125"/>
        <v>639.94999999993638</v>
      </c>
      <c r="C7001" s="199">
        <v>1673.9918756786562</v>
      </c>
      <c r="D7001" s="8"/>
    </row>
    <row r="7002" spans="2:4" x14ac:dyDescent="0.25">
      <c r="B7002" s="4">
        <f t="shared" si="125"/>
        <v>639.95999999993637</v>
      </c>
      <c r="C7002" s="199">
        <v>1674.2683995549369</v>
      </c>
      <c r="D7002" s="8"/>
    </row>
    <row r="7003" spans="2:4" x14ac:dyDescent="0.25">
      <c r="B7003" s="4">
        <f t="shared" si="125"/>
        <v>639.96999999993636</v>
      </c>
      <c r="C7003" s="199">
        <v>1674.5449234312198</v>
      </c>
      <c r="D7003" s="8"/>
    </row>
    <row r="7004" spans="2:4" x14ac:dyDescent="0.25">
      <c r="B7004" s="4">
        <f t="shared" si="125"/>
        <v>639.97999999993635</v>
      </c>
      <c r="C7004" s="199">
        <v>1674.8214473075002</v>
      </c>
      <c r="D7004" s="8"/>
    </row>
    <row r="7005" spans="2:4" x14ac:dyDescent="0.25">
      <c r="B7005" s="4">
        <f t="shared" si="125"/>
        <v>639.98999999993634</v>
      </c>
      <c r="C7005" s="199">
        <v>1675.0979711837831</v>
      </c>
      <c r="D7005" s="8"/>
    </row>
    <row r="7006" spans="2:4" x14ac:dyDescent="0.25">
      <c r="B7006" s="4">
        <f t="shared" si="125"/>
        <v>639.99999999993634</v>
      </c>
      <c r="C7006" s="199">
        <v>1675.3744950600633</v>
      </c>
      <c r="D7006" s="8"/>
    </row>
    <row r="7007" spans="2:4" x14ac:dyDescent="0.25">
      <c r="B7007" s="4">
        <f t="shared" si="125"/>
        <v>640.00999999993633</v>
      </c>
      <c r="C7007" s="199">
        <v>1675.6510189363457</v>
      </c>
      <c r="D7007" s="8"/>
    </row>
    <row r="7008" spans="2:4" x14ac:dyDescent="0.25">
      <c r="B7008" s="4">
        <f t="shared" si="125"/>
        <v>640.01999999993632</v>
      </c>
      <c r="C7008" s="199">
        <v>1675.9277543506821</v>
      </c>
      <c r="D7008" s="8"/>
    </row>
    <row r="7009" spans="2:4" x14ac:dyDescent="0.25">
      <c r="B7009" s="4">
        <f t="shared" si="125"/>
        <v>640.02999999993631</v>
      </c>
      <c r="C7009" s="199">
        <v>1676.2044897650183</v>
      </c>
      <c r="D7009" s="8"/>
    </row>
    <row r="7010" spans="2:4" x14ac:dyDescent="0.25">
      <c r="B7010" s="4">
        <f t="shared" si="125"/>
        <v>640.0399999999363</v>
      </c>
      <c r="C7010" s="199">
        <v>1676.4812251793567</v>
      </c>
      <c r="D7010" s="8"/>
    </row>
    <row r="7011" spans="2:4" x14ac:dyDescent="0.25">
      <c r="B7011" s="4">
        <f t="shared" si="125"/>
        <v>640.04999999993629</v>
      </c>
      <c r="C7011" s="199">
        <v>1676.757960593693</v>
      </c>
      <c r="D7011" s="8"/>
    </row>
    <row r="7012" spans="2:4" x14ac:dyDescent="0.25">
      <c r="B7012" s="4">
        <f t="shared" si="125"/>
        <v>640.05999999993628</v>
      </c>
      <c r="C7012" s="199">
        <v>1677.0346960080296</v>
      </c>
      <c r="D7012" s="8"/>
    </row>
    <row r="7013" spans="2:4" x14ac:dyDescent="0.25">
      <c r="B7013" s="4">
        <f t="shared" si="125"/>
        <v>640.06999999993627</v>
      </c>
      <c r="C7013" s="199">
        <v>1677.3114314223676</v>
      </c>
      <c r="D7013" s="8"/>
    </row>
    <row r="7014" spans="2:4" x14ac:dyDescent="0.25">
      <c r="B7014" s="4">
        <f t="shared" si="125"/>
        <v>640.07999999993626</v>
      </c>
      <c r="C7014" s="199">
        <v>1677.588166836704</v>
      </c>
      <c r="D7014" s="8"/>
    </row>
    <row r="7015" spans="2:4" x14ac:dyDescent="0.25">
      <c r="B7015" s="4">
        <f t="shared" si="125"/>
        <v>640.08999999993625</v>
      </c>
      <c r="C7015" s="199">
        <v>1677.8649022510403</v>
      </c>
      <c r="D7015" s="8"/>
    </row>
    <row r="7016" spans="2:4" x14ac:dyDescent="0.25">
      <c r="B7016" s="4">
        <f t="shared" si="125"/>
        <v>640.09999999993624</v>
      </c>
      <c r="C7016" s="199">
        <v>1678.1416376653765</v>
      </c>
      <c r="D7016" s="8"/>
    </row>
    <row r="7017" spans="2:4" x14ac:dyDescent="0.25">
      <c r="B7017" s="4">
        <f t="shared" si="125"/>
        <v>640.10999999993624</v>
      </c>
      <c r="C7017" s="199">
        <v>1678.4183730797149</v>
      </c>
      <c r="D7017" s="8"/>
    </row>
    <row r="7018" spans="2:4" x14ac:dyDescent="0.25">
      <c r="B7018" s="4">
        <f t="shared" si="125"/>
        <v>640.11999999993623</v>
      </c>
      <c r="C7018" s="199">
        <v>1678.6953167975444</v>
      </c>
      <c r="D7018" s="8"/>
    </row>
    <row r="7019" spans="2:4" x14ac:dyDescent="0.25">
      <c r="B7019" s="4">
        <f t="shared" si="125"/>
        <v>640.12999999993622</v>
      </c>
      <c r="C7019" s="199">
        <v>1678.972260515379</v>
      </c>
      <c r="D7019" s="8"/>
    </row>
    <row r="7020" spans="2:4" x14ac:dyDescent="0.25">
      <c r="B7020" s="4">
        <f t="shared" si="125"/>
        <v>640.13999999993621</v>
      </c>
      <c r="C7020" s="199">
        <v>1679.249204233214</v>
      </c>
      <c r="D7020" s="8"/>
    </row>
    <row r="7021" spans="2:4" x14ac:dyDescent="0.25">
      <c r="B7021" s="4">
        <f t="shared" si="125"/>
        <v>640.1499999999362</v>
      </c>
      <c r="C7021" s="199">
        <v>1679.5261479510489</v>
      </c>
      <c r="D7021" s="8"/>
    </row>
    <row r="7022" spans="2:4" x14ac:dyDescent="0.25">
      <c r="B7022" s="4">
        <f t="shared" si="125"/>
        <v>640.15999999993619</v>
      </c>
      <c r="C7022" s="199">
        <v>1679.8030916688856</v>
      </c>
      <c r="D7022" s="8"/>
    </row>
    <row r="7023" spans="2:4" x14ac:dyDescent="0.25">
      <c r="B7023" s="4">
        <f t="shared" si="125"/>
        <v>640.16999999993618</v>
      </c>
      <c r="C7023" s="199">
        <v>1680.0800353867203</v>
      </c>
      <c r="D7023" s="8"/>
    </row>
    <row r="7024" spans="2:4" x14ac:dyDescent="0.25">
      <c r="B7024" s="4">
        <f t="shared" si="125"/>
        <v>640.17999999993617</v>
      </c>
      <c r="C7024" s="199">
        <v>1680.356979104555</v>
      </c>
      <c r="D7024" s="8"/>
    </row>
    <row r="7025" spans="2:4" x14ac:dyDescent="0.25">
      <c r="B7025" s="4">
        <f t="shared" si="125"/>
        <v>640.18999999993616</v>
      </c>
      <c r="C7025" s="199">
        <v>1680.6339228223901</v>
      </c>
      <c r="D7025" s="8"/>
    </row>
    <row r="7026" spans="2:4" x14ac:dyDescent="0.25">
      <c r="B7026" s="4">
        <f t="shared" si="125"/>
        <v>640.19999999993615</v>
      </c>
      <c r="C7026" s="199">
        <v>1680.9108665402248</v>
      </c>
      <c r="D7026" s="8"/>
    </row>
    <row r="7027" spans="2:4" x14ac:dyDescent="0.25">
      <c r="B7027" s="4">
        <f t="shared" si="125"/>
        <v>640.20999999993614</v>
      </c>
      <c r="C7027" s="199">
        <v>1681.1878102580615</v>
      </c>
      <c r="D7027" s="8"/>
    </row>
    <row r="7028" spans="2:4" x14ac:dyDescent="0.25">
      <c r="B7028" s="4">
        <f t="shared" si="125"/>
        <v>640.21999999993614</v>
      </c>
      <c r="C7028" s="199">
        <v>1681.4649603840692</v>
      </c>
      <c r="D7028" s="8"/>
    </row>
    <row r="7029" spans="2:4" x14ac:dyDescent="0.25">
      <c r="B7029" s="4">
        <f t="shared" si="125"/>
        <v>640.22999999993613</v>
      </c>
      <c r="C7029" s="199">
        <v>1681.7421105100743</v>
      </c>
      <c r="D7029" s="8"/>
    </row>
    <row r="7030" spans="2:4" x14ac:dyDescent="0.25">
      <c r="B7030" s="4">
        <f t="shared" si="125"/>
        <v>640.23999999993612</v>
      </c>
      <c r="C7030" s="199">
        <v>1682.0192606360811</v>
      </c>
      <c r="D7030" s="8"/>
    </row>
    <row r="7031" spans="2:4" x14ac:dyDescent="0.25">
      <c r="B7031" s="4">
        <f t="shared" si="125"/>
        <v>640.24999999993611</v>
      </c>
      <c r="C7031" s="199">
        <v>1682.2964107620887</v>
      </c>
      <c r="D7031" s="8"/>
    </row>
    <row r="7032" spans="2:4" x14ac:dyDescent="0.25">
      <c r="B7032" s="4">
        <f t="shared" si="125"/>
        <v>640.2599999999361</v>
      </c>
      <c r="C7032" s="199">
        <v>1682.5735608880937</v>
      </c>
      <c r="D7032" s="8"/>
    </row>
    <row r="7033" spans="2:4" x14ac:dyDescent="0.25">
      <c r="B7033" s="4">
        <f t="shared" si="125"/>
        <v>640.26999999993609</v>
      </c>
      <c r="C7033" s="199">
        <v>1682.8507110141006</v>
      </c>
      <c r="D7033" s="8"/>
    </row>
    <row r="7034" spans="2:4" x14ac:dyDescent="0.25">
      <c r="B7034" s="4">
        <f t="shared" si="125"/>
        <v>640.27999999993608</v>
      </c>
      <c r="C7034" s="199">
        <v>1683.1278611401078</v>
      </c>
      <c r="D7034" s="8"/>
    </row>
    <row r="7035" spans="2:4" x14ac:dyDescent="0.25">
      <c r="B7035" s="4">
        <f t="shared" si="125"/>
        <v>640.28999999993607</v>
      </c>
      <c r="C7035" s="199">
        <v>1683.4050112661155</v>
      </c>
      <c r="D7035" s="8"/>
    </row>
    <row r="7036" spans="2:4" x14ac:dyDescent="0.25">
      <c r="B7036" s="4">
        <f t="shared" si="125"/>
        <v>640.29999999993606</v>
      </c>
      <c r="C7036" s="199">
        <v>1683.6821613921206</v>
      </c>
      <c r="D7036" s="8"/>
    </row>
    <row r="7037" spans="2:4" x14ac:dyDescent="0.25">
      <c r="B7037" s="4">
        <f t="shared" si="125"/>
        <v>640.30999999993605</v>
      </c>
      <c r="C7037" s="199">
        <v>1683.9593115181272</v>
      </c>
      <c r="D7037" s="8"/>
    </row>
    <row r="7038" spans="2:4" x14ac:dyDescent="0.25">
      <c r="B7038" s="4">
        <f t="shared" si="125"/>
        <v>640.31999999993604</v>
      </c>
      <c r="C7038" s="199">
        <v>1684.2366696457586</v>
      </c>
      <c r="D7038" s="8"/>
    </row>
    <row r="7039" spans="2:4" x14ac:dyDescent="0.25">
      <c r="B7039" s="4">
        <f t="shared" si="125"/>
        <v>640.32999999993604</v>
      </c>
      <c r="C7039" s="199">
        <v>1684.5140277733969</v>
      </c>
      <c r="D7039" s="8"/>
    </row>
    <row r="7040" spans="2:4" x14ac:dyDescent="0.25">
      <c r="B7040" s="4">
        <f t="shared" si="125"/>
        <v>640.33999999993603</v>
      </c>
      <c r="C7040" s="199">
        <v>1684.7913859010371</v>
      </c>
      <c r="D7040" s="8"/>
    </row>
    <row r="7041" spans="2:4" x14ac:dyDescent="0.25">
      <c r="B7041" s="4">
        <f t="shared" si="125"/>
        <v>640.34999999993602</v>
      </c>
      <c r="C7041" s="199">
        <v>1685.0687440286752</v>
      </c>
      <c r="D7041" s="8"/>
    </row>
    <row r="7042" spans="2:4" x14ac:dyDescent="0.25">
      <c r="B7042" s="4">
        <f t="shared" si="125"/>
        <v>640.35999999993601</v>
      </c>
      <c r="C7042" s="199">
        <v>1685.3461021563155</v>
      </c>
      <c r="D7042" s="8"/>
    </row>
    <row r="7043" spans="2:4" x14ac:dyDescent="0.25">
      <c r="B7043" s="4">
        <f t="shared" si="125"/>
        <v>640.369999999936</v>
      </c>
      <c r="C7043" s="199">
        <v>1685.6234602839538</v>
      </c>
      <c r="D7043" s="8"/>
    </row>
    <row r="7044" spans="2:4" x14ac:dyDescent="0.25">
      <c r="B7044" s="4">
        <f t="shared" si="125"/>
        <v>640.37999999993599</v>
      </c>
      <c r="C7044" s="199">
        <v>1685.9008184115939</v>
      </c>
      <c r="D7044" s="8"/>
    </row>
    <row r="7045" spans="2:4" x14ac:dyDescent="0.25">
      <c r="B7045" s="4">
        <f t="shared" si="125"/>
        <v>640.38999999993598</v>
      </c>
      <c r="C7045" s="199">
        <v>1686.1781765392323</v>
      </c>
      <c r="D7045" s="8"/>
    </row>
    <row r="7046" spans="2:4" x14ac:dyDescent="0.25">
      <c r="B7046" s="4">
        <f t="shared" si="125"/>
        <v>640.39999999993597</v>
      </c>
      <c r="C7046" s="199">
        <v>1686.4555346668722</v>
      </c>
      <c r="D7046" s="8"/>
    </row>
    <row r="7047" spans="2:4" x14ac:dyDescent="0.25">
      <c r="B7047" s="4">
        <f t="shared" si="125"/>
        <v>640.40999999993596</v>
      </c>
      <c r="C7047" s="199">
        <v>1686.7328927945107</v>
      </c>
      <c r="D7047" s="8"/>
    </row>
    <row r="7048" spans="2:4" x14ac:dyDescent="0.25">
      <c r="B7048" s="4">
        <f t="shared" ref="B7048:B7111" si="126">+B7047+0.01</f>
        <v>640.41999999993595</v>
      </c>
      <c r="C7048" s="199">
        <v>1687.0104590583262</v>
      </c>
      <c r="D7048" s="8"/>
    </row>
    <row r="7049" spans="2:4" x14ac:dyDescent="0.25">
      <c r="B7049" s="4">
        <f t="shared" si="126"/>
        <v>640.42999999993594</v>
      </c>
      <c r="C7049" s="199">
        <v>1687.2880253221388</v>
      </c>
      <c r="D7049" s="8"/>
    </row>
    <row r="7050" spans="2:4" x14ac:dyDescent="0.25">
      <c r="B7050" s="4">
        <f t="shared" si="126"/>
        <v>640.43999999993594</v>
      </c>
      <c r="C7050" s="199">
        <v>1687.5655915859502</v>
      </c>
      <c r="D7050" s="8"/>
    </row>
    <row r="7051" spans="2:4" x14ac:dyDescent="0.25">
      <c r="B7051" s="4">
        <f t="shared" si="126"/>
        <v>640.44999999993593</v>
      </c>
      <c r="C7051" s="199">
        <v>1687.8431578497632</v>
      </c>
      <c r="D7051" s="8"/>
    </row>
    <row r="7052" spans="2:4" x14ac:dyDescent="0.25">
      <c r="B7052" s="4">
        <f t="shared" si="126"/>
        <v>640.45999999993592</v>
      </c>
      <c r="C7052" s="199">
        <v>1688.120724113576</v>
      </c>
      <c r="D7052" s="8"/>
    </row>
    <row r="7053" spans="2:4" x14ac:dyDescent="0.25">
      <c r="B7053" s="4">
        <f t="shared" si="126"/>
        <v>640.46999999993591</v>
      </c>
      <c r="C7053" s="199">
        <v>1688.398290377389</v>
      </c>
      <c r="D7053" s="8"/>
    </row>
    <row r="7054" spans="2:4" x14ac:dyDescent="0.25">
      <c r="B7054" s="4">
        <f t="shared" si="126"/>
        <v>640.4799999999359</v>
      </c>
      <c r="C7054" s="199">
        <v>1688.6758566412002</v>
      </c>
      <c r="D7054" s="8"/>
    </row>
    <row r="7055" spans="2:4" x14ac:dyDescent="0.25">
      <c r="B7055" s="4">
        <f t="shared" si="126"/>
        <v>640.48999999993589</v>
      </c>
      <c r="C7055" s="199">
        <v>1688.9534229050128</v>
      </c>
      <c r="D7055" s="8"/>
    </row>
    <row r="7056" spans="2:4" x14ac:dyDescent="0.25">
      <c r="B7056" s="4">
        <f t="shared" si="126"/>
        <v>640.49999999993588</v>
      </c>
      <c r="C7056" s="199">
        <v>1689.230989168826</v>
      </c>
      <c r="D7056" s="8"/>
    </row>
    <row r="7057" spans="2:4" x14ac:dyDescent="0.25">
      <c r="B7057" s="4">
        <f t="shared" si="126"/>
        <v>640.50999999993587</v>
      </c>
      <c r="C7057" s="199">
        <v>1689.508555432639</v>
      </c>
      <c r="D7057" s="8"/>
    </row>
    <row r="7058" spans="2:4" x14ac:dyDescent="0.25">
      <c r="B7058" s="4">
        <f t="shared" si="126"/>
        <v>640.51999999993586</v>
      </c>
      <c r="C7058" s="199">
        <v>1689.7863285339888</v>
      </c>
      <c r="D7058" s="8"/>
    </row>
    <row r="7059" spans="2:4" x14ac:dyDescent="0.25">
      <c r="B7059" s="4">
        <f t="shared" si="126"/>
        <v>640.52999999993585</v>
      </c>
      <c r="C7059" s="199">
        <v>1690.0641016353459</v>
      </c>
      <c r="D7059" s="8"/>
    </row>
    <row r="7060" spans="2:4" x14ac:dyDescent="0.25">
      <c r="B7060" s="4">
        <f t="shared" si="126"/>
        <v>640.53999999993584</v>
      </c>
      <c r="C7060" s="199">
        <v>1690.3418747367032</v>
      </c>
      <c r="D7060" s="8"/>
    </row>
    <row r="7061" spans="2:4" x14ac:dyDescent="0.25">
      <c r="B7061" s="4">
        <f t="shared" si="126"/>
        <v>640.54999999993584</v>
      </c>
      <c r="C7061" s="199">
        <v>1690.61964783806</v>
      </c>
      <c r="D7061" s="8"/>
    </row>
    <row r="7062" spans="2:4" x14ac:dyDescent="0.25">
      <c r="B7062" s="4">
        <f t="shared" si="126"/>
        <v>640.55999999993583</v>
      </c>
      <c r="C7062" s="199">
        <v>1690.8974209394178</v>
      </c>
      <c r="D7062" s="8"/>
    </row>
    <row r="7063" spans="2:4" x14ac:dyDescent="0.25">
      <c r="B7063" s="4">
        <f t="shared" si="126"/>
        <v>640.56999999993582</v>
      </c>
      <c r="C7063" s="199">
        <v>1691.1751940407744</v>
      </c>
      <c r="D7063" s="8"/>
    </row>
    <row r="7064" spans="2:4" x14ac:dyDescent="0.25">
      <c r="B7064" s="4">
        <f t="shared" si="126"/>
        <v>640.57999999993581</v>
      </c>
      <c r="C7064" s="199">
        <v>1691.4529671421319</v>
      </c>
      <c r="D7064" s="8"/>
    </row>
    <row r="7065" spans="2:4" x14ac:dyDescent="0.25">
      <c r="B7065" s="4">
        <f t="shared" si="126"/>
        <v>640.5899999999358</v>
      </c>
      <c r="C7065" s="199">
        <v>1691.7307402434888</v>
      </c>
      <c r="D7065" s="8"/>
    </row>
    <row r="7066" spans="2:4" x14ac:dyDescent="0.25">
      <c r="B7066" s="4">
        <f t="shared" si="126"/>
        <v>640.59999999993579</v>
      </c>
      <c r="C7066" s="199">
        <v>1692.0085133448461</v>
      </c>
      <c r="D7066" s="8"/>
    </row>
    <row r="7067" spans="2:4" x14ac:dyDescent="0.25">
      <c r="B7067" s="4">
        <f t="shared" si="126"/>
        <v>640.60999999993578</v>
      </c>
      <c r="C7067" s="199">
        <v>1692.2862864462029</v>
      </c>
      <c r="D7067" s="8"/>
    </row>
    <row r="7068" spans="2:4" x14ac:dyDescent="0.25">
      <c r="B7068" s="4">
        <f t="shared" si="126"/>
        <v>640.61999999993577</v>
      </c>
      <c r="C7068" s="199">
        <v>1692.5642663926953</v>
      </c>
      <c r="D7068" s="8"/>
    </row>
    <row r="7069" spans="2:4" x14ac:dyDescent="0.25">
      <c r="B7069" s="4">
        <f t="shared" si="126"/>
        <v>640.62999999993576</v>
      </c>
      <c r="C7069" s="199">
        <v>1692.8422463391871</v>
      </c>
      <c r="D7069" s="8"/>
    </row>
    <row r="7070" spans="2:4" x14ac:dyDescent="0.25">
      <c r="B7070" s="4">
        <f t="shared" si="126"/>
        <v>640.63999999993575</v>
      </c>
      <c r="C7070" s="199">
        <v>1693.1202262856789</v>
      </c>
      <c r="D7070" s="8"/>
    </row>
    <row r="7071" spans="2:4" x14ac:dyDescent="0.25">
      <c r="B7071" s="4">
        <f t="shared" si="126"/>
        <v>640.64999999993574</v>
      </c>
      <c r="C7071" s="199">
        <v>1693.39820623217</v>
      </c>
      <c r="D7071" s="8"/>
    </row>
    <row r="7072" spans="2:4" x14ac:dyDescent="0.25">
      <c r="B7072" s="4">
        <f t="shared" si="126"/>
        <v>640.65999999993574</v>
      </c>
      <c r="C7072" s="199">
        <v>1693.6761861786617</v>
      </c>
      <c r="D7072" s="8"/>
    </row>
    <row r="7073" spans="2:4" x14ac:dyDescent="0.25">
      <c r="B7073" s="4">
        <f t="shared" si="126"/>
        <v>640.66999999993573</v>
      </c>
      <c r="C7073" s="199">
        <v>1693.9541661251535</v>
      </c>
      <c r="D7073" s="8"/>
    </row>
    <row r="7074" spans="2:4" x14ac:dyDescent="0.25">
      <c r="B7074" s="4">
        <f t="shared" si="126"/>
        <v>640.67999999993572</v>
      </c>
      <c r="C7074" s="199">
        <v>1694.2321460716448</v>
      </c>
      <c r="D7074" s="8"/>
    </row>
    <row r="7075" spans="2:4" x14ac:dyDescent="0.25">
      <c r="B7075" s="4">
        <f t="shared" si="126"/>
        <v>640.68999999993571</v>
      </c>
      <c r="C7075" s="199">
        <v>1694.5101260181361</v>
      </c>
      <c r="D7075" s="8"/>
    </row>
    <row r="7076" spans="2:4" x14ac:dyDescent="0.25">
      <c r="B7076" s="4">
        <f t="shared" si="126"/>
        <v>640.6999999999357</v>
      </c>
      <c r="C7076" s="199">
        <v>1694.7881059646279</v>
      </c>
      <c r="D7076" s="8"/>
    </row>
    <row r="7077" spans="2:4" x14ac:dyDescent="0.25">
      <c r="B7077" s="4">
        <f t="shared" si="126"/>
        <v>640.70999999993569</v>
      </c>
      <c r="C7077" s="199">
        <v>1695.0660859111192</v>
      </c>
      <c r="D7077" s="8"/>
    </row>
    <row r="7078" spans="2:4" x14ac:dyDescent="0.25">
      <c r="B7078" s="4">
        <f t="shared" si="126"/>
        <v>640.71999999993568</v>
      </c>
      <c r="C7078" s="199">
        <v>1695.3442757230725</v>
      </c>
      <c r="D7078" s="8"/>
    </row>
    <row r="7079" spans="2:4" x14ac:dyDescent="0.25">
      <c r="B7079" s="4">
        <f t="shared" si="126"/>
        <v>640.72999999993567</v>
      </c>
      <c r="C7079" s="199">
        <v>1695.6224655350341</v>
      </c>
      <c r="D7079" s="8"/>
    </row>
    <row r="7080" spans="2:4" x14ac:dyDescent="0.25">
      <c r="B7080" s="4">
        <f t="shared" si="126"/>
        <v>640.73999999993566</v>
      </c>
      <c r="C7080" s="199">
        <v>1695.9006553469956</v>
      </c>
      <c r="D7080" s="8"/>
    </row>
    <row r="7081" spans="2:4" x14ac:dyDescent="0.25">
      <c r="B7081" s="4">
        <f t="shared" si="126"/>
        <v>640.74999999993565</v>
      </c>
      <c r="C7081" s="199">
        <v>1696.178845158955</v>
      </c>
      <c r="D7081" s="8"/>
    </row>
    <row r="7082" spans="2:4" x14ac:dyDescent="0.25">
      <c r="B7082" s="4">
        <f t="shared" si="126"/>
        <v>640.75999999993564</v>
      </c>
      <c r="C7082" s="199">
        <v>1696.4570349709163</v>
      </c>
      <c r="D7082" s="8"/>
    </row>
    <row r="7083" spans="2:4" x14ac:dyDescent="0.25">
      <c r="B7083" s="4">
        <f t="shared" si="126"/>
        <v>640.76999999993564</v>
      </c>
      <c r="C7083" s="199">
        <v>1696.7352247828776</v>
      </c>
      <c r="D7083" s="8"/>
    </row>
    <row r="7084" spans="2:4" x14ac:dyDescent="0.25">
      <c r="B7084" s="4">
        <f t="shared" si="126"/>
        <v>640.77999999993563</v>
      </c>
      <c r="C7084" s="199">
        <v>1697.0134145948389</v>
      </c>
      <c r="D7084" s="8"/>
    </row>
    <row r="7085" spans="2:4" x14ac:dyDescent="0.25">
      <c r="B7085" s="4">
        <f t="shared" si="126"/>
        <v>640.78999999993562</v>
      </c>
      <c r="C7085" s="199">
        <v>1697.2916044067988</v>
      </c>
      <c r="D7085" s="8"/>
    </row>
    <row r="7086" spans="2:4" x14ac:dyDescent="0.25">
      <c r="B7086" s="4">
        <f t="shared" si="126"/>
        <v>640.79999999993561</v>
      </c>
      <c r="C7086" s="199">
        <v>1697.5697942187603</v>
      </c>
      <c r="D7086" s="8"/>
    </row>
    <row r="7087" spans="2:4" x14ac:dyDescent="0.25">
      <c r="B7087" s="4">
        <f t="shared" si="126"/>
        <v>640.8099999999356</v>
      </c>
      <c r="C7087" s="199">
        <v>1697.8479840307216</v>
      </c>
      <c r="D7087" s="8"/>
    </row>
    <row r="7088" spans="2:4" x14ac:dyDescent="0.25">
      <c r="B7088" s="4">
        <f t="shared" si="126"/>
        <v>640.81999999993559</v>
      </c>
      <c r="C7088" s="199">
        <v>1698.1263830068319</v>
      </c>
      <c r="D7088" s="8"/>
    </row>
    <row r="7089" spans="2:4" x14ac:dyDescent="0.25">
      <c r="B7089" s="4">
        <f t="shared" si="126"/>
        <v>640.82999999993558</v>
      </c>
      <c r="C7089" s="199">
        <v>1698.4047819829402</v>
      </c>
      <c r="D7089" s="8"/>
    </row>
    <row r="7090" spans="2:4" x14ac:dyDescent="0.25">
      <c r="B7090" s="4">
        <f t="shared" si="126"/>
        <v>640.83999999993557</v>
      </c>
      <c r="C7090" s="199">
        <v>1698.6831809590503</v>
      </c>
      <c r="D7090" s="8"/>
    </row>
    <row r="7091" spans="2:4" x14ac:dyDescent="0.25">
      <c r="B7091" s="4">
        <f t="shared" si="126"/>
        <v>640.84999999993556</v>
      </c>
      <c r="C7091" s="199">
        <v>1698.9615799351586</v>
      </c>
      <c r="D7091" s="8"/>
    </row>
    <row r="7092" spans="2:4" x14ac:dyDescent="0.25">
      <c r="B7092" s="4">
        <f t="shared" si="126"/>
        <v>640.85999999993555</v>
      </c>
      <c r="C7092" s="199">
        <v>1699.2399789112694</v>
      </c>
      <c r="D7092" s="8"/>
    </row>
    <row r="7093" spans="2:4" x14ac:dyDescent="0.25">
      <c r="B7093" s="4">
        <f t="shared" si="126"/>
        <v>640.86999999993554</v>
      </c>
      <c r="C7093" s="199">
        <v>1699.5183778873777</v>
      </c>
      <c r="D7093" s="8"/>
    </row>
    <row r="7094" spans="2:4" x14ac:dyDescent="0.25">
      <c r="B7094" s="4">
        <f t="shared" si="126"/>
        <v>640.87999999993554</v>
      </c>
      <c r="C7094" s="199">
        <v>1699.7967768634878</v>
      </c>
      <c r="D7094" s="8"/>
    </row>
    <row r="7095" spans="2:4" x14ac:dyDescent="0.25">
      <c r="B7095" s="4">
        <f t="shared" si="126"/>
        <v>640.88999999993553</v>
      </c>
      <c r="C7095" s="199">
        <v>1700.0751758395963</v>
      </c>
      <c r="D7095" s="8"/>
    </row>
    <row r="7096" spans="2:4" x14ac:dyDescent="0.25">
      <c r="B7096" s="4">
        <f t="shared" si="126"/>
        <v>640.89999999993552</v>
      </c>
      <c r="C7096" s="199">
        <v>1700.3535748157069</v>
      </c>
      <c r="D7096" s="8"/>
    </row>
    <row r="7097" spans="2:4" x14ac:dyDescent="0.25">
      <c r="B7097" s="4">
        <f t="shared" si="126"/>
        <v>640.90999999993551</v>
      </c>
      <c r="C7097" s="199">
        <v>1700.6319737918152</v>
      </c>
      <c r="D7097" s="8"/>
    </row>
    <row r="7098" spans="2:4" x14ac:dyDescent="0.25">
      <c r="B7098" s="4">
        <f t="shared" si="126"/>
        <v>640.9199999999355</v>
      </c>
      <c r="C7098" s="199">
        <v>1700.9105845258182</v>
      </c>
      <c r="D7098" s="8"/>
    </row>
    <row r="7099" spans="2:4" x14ac:dyDescent="0.25">
      <c r="B7099" s="4">
        <f t="shared" si="126"/>
        <v>640.92999999993549</v>
      </c>
      <c r="C7099" s="199">
        <v>1701.1891952598303</v>
      </c>
      <c r="D7099" s="8"/>
    </row>
    <row r="7100" spans="2:4" x14ac:dyDescent="0.25">
      <c r="B7100" s="4">
        <f t="shared" si="126"/>
        <v>640.93999999993548</v>
      </c>
      <c r="C7100" s="199">
        <v>1701.4678059938399</v>
      </c>
      <c r="D7100" s="8"/>
    </row>
    <row r="7101" spans="2:4" x14ac:dyDescent="0.25">
      <c r="B7101" s="4">
        <f t="shared" si="126"/>
        <v>640.94999999993547</v>
      </c>
      <c r="C7101" s="199">
        <v>1701.7464167278506</v>
      </c>
      <c r="D7101" s="8"/>
    </row>
    <row r="7102" spans="2:4" x14ac:dyDescent="0.25">
      <c r="B7102" s="4">
        <f t="shared" si="126"/>
        <v>640.95999999993546</v>
      </c>
      <c r="C7102" s="199">
        <v>1702.025027461862</v>
      </c>
      <c r="D7102" s="8"/>
    </row>
    <row r="7103" spans="2:4" x14ac:dyDescent="0.25">
      <c r="B7103" s="4">
        <f t="shared" si="126"/>
        <v>640.96999999993545</v>
      </c>
      <c r="C7103" s="199">
        <v>1702.3036381958725</v>
      </c>
      <c r="D7103" s="8"/>
    </row>
    <row r="7104" spans="2:4" x14ac:dyDescent="0.25">
      <c r="B7104" s="4">
        <f t="shared" si="126"/>
        <v>640.97999999993544</v>
      </c>
      <c r="C7104" s="199">
        <v>1702.5822489298821</v>
      </c>
      <c r="D7104" s="8"/>
    </row>
    <row r="7105" spans="2:4" x14ac:dyDescent="0.25">
      <c r="B7105" s="4">
        <f t="shared" si="126"/>
        <v>640.98999999993543</v>
      </c>
      <c r="C7105" s="199">
        <v>1702.8608596638937</v>
      </c>
      <c r="D7105" s="8"/>
    </row>
    <row r="7106" spans="2:4" x14ac:dyDescent="0.25">
      <c r="B7106" s="4">
        <f t="shared" si="126"/>
        <v>640.99999999993543</v>
      </c>
      <c r="C7106" s="199">
        <v>1703.1394703979038</v>
      </c>
      <c r="D7106" s="8"/>
    </row>
    <row r="7107" spans="2:4" x14ac:dyDescent="0.25">
      <c r="B7107" s="4">
        <f t="shared" si="126"/>
        <v>641.00999999993542</v>
      </c>
      <c r="C7107" s="199">
        <v>1703.4180811319143</v>
      </c>
      <c r="D7107" s="8"/>
    </row>
    <row r="7108" spans="2:4" x14ac:dyDescent="0.25">
      <c r="B7108" s="4">
        <f t="shared" si="126"/>
        <v>641.01999999993541</v>
      </c>
      <c r="C7108" s="199">
        <v>1703.6969035299969</v>
      </c>
      <c r="D7108" s="8"/>
    </row>
    <row r="7109" spans="2:4" x14ac:dyDescent="0.25">
      <c r="B7109" s="4">
        <f t="shared" si="126"/>
        <v>641.0299999999354</v>
      </c>
      <c r="C7109" s="199">
        <v>1703.9757259280789</v>
      </c>
      <c r="D7109" s="8"/>
    </row>
    <row r="7110" spans="2:4" x14ac:dyDescent="0.25">
      <c r="B7110" s="4">
        <f t="shared" si="126"/>
        <v>641.03999999993539</v>
      </c>
      <c r="C7110" s="199">
        <v>1704.2545483261601</v>
      </c>
      <c r="D7110" s="8"/>
    </row>
    <row r="7111" spans="2:4" x14ac:dyDescent="0.25">
      <c r="B7111" s="4">
        <f t="shared" si="126"/>
        <v>641.04999999993538</v>
      </c>
      <c r="C7111" s="199">
        <v>1704.5333707242435</v>
      </c>
      <c r="D7111" s="8"/>
    </row>
    <row r="7112" spans="2:4" x14ac:dyDescent="0.25">
      <c r="B7112" s="4">
        <f t="shared" ref="B7112:B7175" si="127">+B7111+0.01</f>
        <v>641.05999999993537</v>
      </c>
      <c r="C7112" s="199">
        <v>1704.812193122325</v>
      </c>
      <c r="D7112" s="8"/>
    </row>
    <row r="7113" spans="2:4" x14ac:dyDescent="0.25">
      <c r="B7113" s="4">
        <f t="shared" si="127"/>
        <v>641.06999999993536</v>
      </c>
      <c r="C7113" s="199">
        <v>1705.0910155204067</v>
      </c>
      <c r="D7113" s="8"/>
    </row>
    <row r="7114" spans="2:4" x14ac:dyDescent="0.25">
      <c r="B7114" s="4">
        <f t="shared" si="127"/>
        <v>641.07999999993535</v>
      </c>
      <c r="C7114" s="199">
        <v>1705.3698379184882</v>
      </c>
      <c r="D7114" s="8"/>
    </row>
    <row r="7115" spans="2:4" x14ac:dyDescent="0.25">
      <c r="B7115" s="4">
        <f t="shared" si="127"/>
        <v>641.08999999993534</v>
      </c>
      <c r="C7115" s="199">
        <v>1705.6486603165697</v>
      </c>
      <c r="D7115" s="8"/>
    </row>
    <row r="7116" spans="2:4" x14ac:dyDescent="0.25">
      <c r="B7116" s="4">
        <f t="shared" si="127"/>
        <v>641.09999999993533</v>
      </c>
      <c r="C7116" s="199">
        <v>1705.9274827146514</v>
      </c>
      <c r="D7116" s="8"/>
    </row>
    <row r="7117" spans="2:4" x14ac:dyDescent="0.25">
      <c r="B7117" s="4">
        <f t="shared" si="127"/>
        <v>641.10999999993533</v>
      </c>
      <c r="C7117" s="199">
        <v>1706.2063051127332</v>
      </c>
      <c r="D7117" s="8"/>
    </row>
    <row r="7118" spans="2:4" x14ac:dyDescent="0.25">
      <c r="B7118" s="4">
        <f t="shared" si="127"/>
        <v>641.11999999993532</v>
      </c>
      <c r="C7118" s="199">
        <v>1706.4853373775356</v>
      </c>
      <c r="D7118" s="8"/>
    </row>
    <row r="7119" spans="2:4" x14ac:dyDescent="0.25">
      <c r="B7119" s="4">
        <f t="shared" si="127"/>
        <v>641.12999999993531</v>
      </c>
      <c r="C7119" s="199">
        <v>1706.7643696423452</v>
      </c>
      <c r="D7119" s="8"/>
    </row>
    <row r="7120" spans="2:4" x14ac:dyDescent="0.25">
      <c r="B7120" s="4">
        <f t="shared" si="127"/>
        <v>641.1399999999353</v>
      </c>
      <c r="C7120" s="199">
        <v>1707.0434019071545</v>
      </c>
      <c r="D7120" s="8"/>
    </row>
    <row r="7121" spans="2:4" x14ac:dyDescent="0.25">
      <c r="B7121" s="4">
        <f t="shared" si="127"/>
        <v>641.14999999993529</v>
      </c>
      <c r="C7121" s="199">
        <v>1707.3224341719638</v>
      </c>
      <c r="D7121" s="8"/>
    </row>
    <row r="7122" spans="2:4" x14ac:dyDescent="0.25">
      <c r="B7122" s="4">
        <f t="shared" si="127"/>
        <v>641.15999999993528</v>
      </c>
      <c r="C7122" s="199">
        <v>1707.6014664367754</v>
      </c>
      <c r="D7122" s="8"/>
    </row>
    <row r="7123" spans="2:4" x14ac:dyDescent="0.25">
      <c r="B7123" s="4">
        <f t="shared" si="127"/>
        <v>641.16999999993527</v>
      </c>
      <c r="C7123" s="199">
        <v>1707.8804987015849</v>
      </c>
      <c r="D7123" s="8"/>
    </row>
    <row r="7124" spans="2:4" x14ac:dyDescent="0.25">
      <c r="B7124" s="4">
        <f t="shared" si="127"/>
        <v>641.17999999993526</v>
      </c>
      <c r="C7124" s="199">
        <v>1708.159530966394</v>
      </c>
      <c r="D7124" s="8"/>
    </row>
    <row r="7125" spans="2:4" x14ac:dyDescent="0.25">
      <c r="B7125" s="4">
        <f t="shared" si="127"/>
        <v>641.18999999993525</v>
      </c>
      <c r="C7125" s="199">
        <v>1708.4385632312055</v>
      </c>
      <c r="D7125" s="8"/>
    </row>
    <row r="7126" spans="2:4" x14ac:dyDescent="0.25">
      <c r="B7126" s="4">
        <f t="shared" si="127"/>
        <v>641.19999999993524</v>
      </c>
      <c r="C7126" s="199">
        <v>1708.7175954960155</v>
      </c>
      <c r="D7126" s="8"/>
    </row>
    <row r="7127" spans="2:4" x14ac:dyDescent="0.25">
      <c r="B7127" s="4">
        <f t="shared" si="127"/>
        <v>641.20999999993523</v>
      </c>
      <c r="C7127" s="199">
        <v>1708.996627760825</v>
      </c>
      <c r="D7127" s="8"/>
    </row>
    <row r="7128" spans="2:4" x14ac:dyDescent="0.25">
      <c r="B7128" s="4">
        <f t="shared" si="127"/>
        <v>641.21999999993523</v>
      </c>
      <c r="C7128" s="199">
        <v>1709.2758678695432</v>
      </c>
      <c r="D7128" s="8"/>
    </row>
    <row r="7129" spans="2:4" x14ac:dyDescent="0.25">
      <c r="B7129" s="4">
        <f t="shared" si="127"/>
        <v>641.22999999993522</v>
      </c>
      <c r="C7129" s="199">
        <v>1709.5551079782595</v>
      </c>
      <c r="D7129" s="8"/>
    </row>
    <row r="7130" spans="2:4" x14ac:dyDescent="0.25">
      <c r="B7130" s="4">
        <f t="shared" si="127"/>
        <v>641.23999999993521</v>
      </c>
      <c r="C7130" s="199">
        <v>1709.834348086976</v>
      </c>
      <c r="D7130" s="8"/>
    </row>
    <row r="7131" spans="2:4" x14ac:dyDescent="0.25">
      <c r="B7131" s="4">
        <f t="shared" si="127"/>
        <v>641.2499999999352</v>
      </c>
      <c r="C7131" s="199">
        <v>1710.1135881956914</v>
      </c>
      <c r="D7131" s="8"/>
    </row>
    <row r="7132" spans="2:4" x14ac:dyDescent="0.25">
      <c r="B7132" s="4">
        <f t="shared" si="127"/>
        <v>641.25999999993519</v>
      </c>
      <c r="C7132" s="199">
        <v>1710.3928283044095</v>
      </c>
      <c r="D7132" s="8"/>
    </row>
    <row r="7133" spans="2:4" x14ac:dyDescent="0.25">
      <c r="B7133" s="4">
        <f t="shared" si="127"/>
        <v>641.26999999993518</v>
      </c>
      <c r="C7133" s="199">
        <v>1710.672068413126</v>
      </c>
      <c r="D7133" s="8"/>
    </row>
    <row r="7134" spans="2:4" x14ac:dyDescent="0.25">
      <c r="B7134" s="4">
        <f t="shared" si="127"/>
        <v>641.27999999993517</v>
      </c>
      <c r="C7134" s="199">
        <v>1710.9513085218421</v>
      </c>
      <c r="D7134" s="8"/>
    </row>
    <row r="7135" spans="2:4" x14ac:dyDescent="0.25">
      <c r="B7135" s="4">
        <f t="shared" si="127"/>
        <v>641.28999999993516</v>
      </c>
      <c r="C7135" s="199">
        <v>1711.2305486305581</v>
      </c>
      <c r="D7135" s="8"/>
    </row>
    <row r="7136" spans="2:4" x14ac:dyDescent="0.25">
      <c r="B7136" s="4">
        <f t="shared" si="127"/>
        <v>641.29999999993515</v>
      </c>
      <c r="C7136" s="199">
        <v>1711.5097887392756</v>
      </c>
      <c r="D7136" s="8"/>
    </row>
    <row r="7137" spans="2:4" x14ac:dyDescent="0.25">
      <c r="B7137" s="4">
        <f t="shared" si="127"/>
        <v>641.30999999993514</v>
      </c>
      <c r="C7137" s="199">
        <v>1711.7890288479919</v>
      </c>
      <c r="D7137" s="8"/>
    </row>
    <row r="7138" spans="2:4" x14ac:dyDescent="0.25">
      <c r="B7138" s="4">
        <f t="shared" si="127"/>
        <v>641.31999999993513</v>
      </c>
      <c r="C7138" s="199">
        <v>1712.0684784231905</v>
      </c>
      <c r="D7138" s="8"/>
    </row>
    <row r="7139" spans="2:4" x14ac:dyDescent="0.25">
      <c r="B7139" s="4">
        <f t="shared" si="127"/>
        <v>641.32999999993513</v>
      </c>
      <c r="C7139" s="199">
        <v>1712.3479279983942</v>
      </c>
      <c r="D7139" s="8"/>
    </row>
    <row r="7140" spans="2:4" x14ac:dyDescent="0.25">
      <c r="B7140" s="4">
        <f t="shared" si="127"/>
        <v>641.33999999993512</v>
      </c>
      <c r="C7140" s="199">
        <v>1712.6273775735997</v>
      </c>
      <c r="D7140" s="8"/>
    </row>
    <row r="7141" spans="2:4" x14ac:dyDescent="0.25">
      <c r="B7141" s="4">
        <f t="shared" si="127"/>
        <v>641.34999999993511</v>
      </c>
      <c r="C7141" s="199">
        <v>1712.906827148805</v>
      </c>
      <c r="D7141" s="8"/>
    </row>
    <row r="7142" spans="2:4" x14ac:dyDescent="0.25">
      <c r="B7142" s="4">
        <f t="shared" si="127"/>
        <v>641.3599999999351</v>
      </c>
      <c r="C7142" s="199">
        <v>1713.1862767240107</v>
      </c>
      <c r="D7142" s="8"/>
    </row>
    <row r="7143" spans="2:4" x14ac:dyDescent="0.25">
      <c r="B7143" s="4">
        <f t="shared" si="127"/>
        <v>641.36999999993509</v>
      </c>
      <c r="C7143" s="199">
        <v>1713.4657262992159</v>
      </c>
      <c r="D7143" s="8"/>
    </row>
    <row r="7144" spans="2:4" x14ac:dyDescent="0.25">
      <c r="B7144" s="4">
        <f t="shared" si="127"/>
        <v>641.37999999993508</v>
      </c>
      <c r="C7144" s="199">
        <v>1713.7451758744212</v>
      </c>
      <c r="D7144" s="8"/>
    </row>
    <row r="7145" spans="2:4" x14ac:dyDescent="0.25">
      <c r="B7145" s="4">
        <f t="shared" si="127"/>
        <v>641.38999999993507</v>
      </c>
      <c r="C7145" s="199">
        <v>1714.0246254496246</v>
      </c>
      <c r="D7145" s="8"/>
    </row>
    <row r="7146" spans="2:4" x14ac:dyDescent="0.25">
      <c r="B7146" s="4">
        <f t="shared" si="127"/>
        <v>641.39999999993506</v>
      </c>
      <c r="C7146" s="199">
        <v>1714.3040750248304</v>
      </c>
      <c r="D7146" s="8"/>
    </row>
    <row r="7147" spans="2:4" x14ac:dyDescent="0.25">
      <c r="B7147" s="4">
        <f t="shared" si="127"/>
        <v>641.40999999993505</v>
      </c>
      <c r="C7147" s="199">
        <v>1714.5835246000358</v>
      </c>
      <c r="D7147" s="8"/>
    </row>
    <row r="7148" spans="2:4" x14ac:dyDescent="0.25">
      <c r="B7148" s="4">
        <f t="shared" si="127"/>
        <v>641.41999999993504</v>
      </c>
      <c r="C7148" s="199">
        <v>1714.863183194167</v>
      </c>
      <c r="D7148" s="8"/>
    </row>
    <row r="7149" spans="2:4" x14ac:dyDescent="0.25">
      <c r="B7149" s="4">
        <f t="shared" si="127"/>
        <v>641.42999999993503</v>
      </c>
      <c r="C7149" s="199">
        <v>1715.142841788301</v>
      </c>
      <c r="D7149" s="8"/>
    </row>
    <row r="7150" spans="2:4" x14ac:dyDescent="0.25">
      <c r="B7150" s="4">
        <f t="shared" si="127"/>
        <v>641.43999999993503</v>
      </c>
      <c r="C7150" s="199">
        <v>1715.422500382434</v>
      </c>
      <c r="D7150" s="8"/>
    </row>
    <row r="7151" spans="2:4" x14ac:dyDescent="0.25">
      <c r="B7151" s="4">
        <f t="shared" si="127"/>
        <v>641.44999999993502</v>
      </c>
      <c r="C7151" s="199">
        <v>1715.7021589765664</v>
      </c>
      <c r="D7151" s="8"/>
    </row>
    <row r="7152" spans="2:4" x14ac:dyDescent="0.25">
      <c r="B7152" s="4">
        <f t="shared" si="127"/>
        <v>641.45999999993501</v>
      </c>
      <c r="C7152" s="199">
        <v>1715.9818175706982</v>
      </c>
      <c r="D7152" s="8"/>
    </row>
    <row r="7153" spans="2:4" x14ac:dyDescent="0.25">
      <c r="B7153" s="4">
        <f t="shared" si="127"/>
        <v>641.469999999935</v>
      </c>
      <c r="C7153" s="199">
        <v>1716.2614761648313</v>
      </c>
      <c r="D7153" s="8"/>
    </row>
    <row r="7154" spans="2:4" x14ac:dyDescent="0.25">
      <c r="B7154" s="4">
        <f t="shared" si="127"/>
        <v>641.47999999993499</v>
      </c>
      <c r="C7154" s="199">
        <v>1716.5411347589636</v>
      </c>
      <c r="D7154" s="8"/>
    </row>
    <row r="7155" spans="2:4" x14ac:dyDescent="0.25">
      <c r="B7155" s="4">
        <f t="shared" si="127"/>
        <v>641.48999999993498</v>
      </c>
      <c r="C7155" s="199">
        <v>1716.8207933530955</v>
      </c>
      <c r="D7155" s="8"/>
    </row>
    <row r="7156" spans="2:4" x14ac:dyDescent="0.25">
      <c r="B7156" s="4">
        <f t="shared" si="127"/>
        <v>641.49999999993497</v>
      </c>
      <c r="C7156" s="199">
        <v>1717.1004519472278</v>
      </c>
      <c r="D7156" s="8"/>
    </row>
    <row r="7157" spans="2:4" x14ac:dyDescent="0.25">
      <c r="B7157" s="4">
        <f t="shared" si="127"/>
        <v>641.50999999993496</v>
      </c>
      <c r="C7157" s="199">
        <v>1717.3801105413629</v>
      </c>
      <c r="D7157" s="8"/>
    </row>
    <row r="7158" spans="2:4" x14ac:dyDescent="0.25">
      <c r="B7158" s="4">
        <f t="shared" si="127"/>
        <v>641.51999999993495</v>
      </c>
      <c r="C7158" s="199">
        <v>1717.6599784980308</v>
      </c>
      <c r="D7158" s="8"/>
    </row>
    <row r="7159" spans="2:4" x14ac:dyDescent="0.25">
      <c r="B7159" s="4">
        <f t="shared" si="127"/>
        <v>641.52999999993494</v>
      </c>
      <c r="C7159" s="199">
        <v>1717.9398464547057</v>
      </c>
      <c r="D7159" s="8"/>
    </row>
    <row r="7160" spans="2:4" x14ac:dyDescent="0.25">
      <c r="B7160" s="4">
        <f t="shared" si="127"/>
        <v>641.53999999993493</v>
      </c>
      <c r="C7160" s="199">
        <v>1718.2197144113802</v>
      </c>
      <c r="D7160" s="8"/>
    </row>
    <row r="7161" spans="2:4" x14ac:dyDescent="0.25">
      <c r="B7161" s="4">
        <f t="shared" si="127"/>
        <v>641.54999999993493</v>
      </c>
      <c r="C7161" s="199">
        <v>1718.4995823680574</v>
      </c>
      <c r="D7161" s="8"/>
    </row>
    <row r="7162" spans="2:4" x14ac:dyDescent="0.25">
      <c r="B7162" s="4">
        <f t="shared" si="127"/>
        <v>641.55999999993492</v>
      </c>
      <c r="C7162" s="199">
        <v>1718.7794503247317</v>
      </c>
      <c r="D7162" s="8"/>
    </row>
    <row r="7163" spans="2:4" x14ac:dyDescent="0.25">
      <c r="B7163" s="4">
        <f t="shared" si="127"/>
        <v>641.56999999993491</v>
      </c>
      <c r="C7163" s="199">
        <v>1719.0593182814068</v>
      </c>
      <c r="D7163" s="8"/>
    </row>
    <row r="7164" spans="2:4" x14ac:dyDescent="0.25">
      <c r="B7164" s="4">
        <f t="shared" si="127"/>
        <v>641.5799999999349</v>
      </c>
      <c r="C7164" s="199">
        <v>1719.3391862380815</v>
      </c>
      <c r="D7164" s="8"/>
    </row>
    <row r="7165" spans="2:4" x14ac:dyDescent="0.25">
      <c r="B7165" s="4">
        <f t="shared" si="127"/>
        <v>641.58999999993489</v>
      </c>
      <c r="C7165" s="199">
        <v>1719.6190541947585</v>
      </c>
      <c r="D7165" s="8"/>
    </row>
    <row r="7166" spans="2:4" x14ac:dyDescent="0.25">
      <c r="B7166" s="4">
        <f t="shared" si="127"/>
        <v>641.59999999993488</v>
      </c>
      <c r="C7166" s="199">
        <v>1719.8989221514332</v>
      </c>
      <c r="D7166" s="8"/>
    </row>
    <row r="7167" spans="2:4" x14ac:dyDescent="0.25">
      <c r="B7167" s="4">
        <f t="shared" si="127"/>
        <v>641.60999999993487</v>
      </c>
      <c r="C7167" s="199">
        <v>1720.1787901081084</v>
      </c>
      <c r="D7167" s="8"/>
    </row>
    <row r="7168" spans="2:4" x14ac:dyDescent="0.25">
      <c r="B7168" s="4">
        <f t="shared" si="127"/>
        <v>641.61999999993486</v>
      </c>
      <c r="C7168" s="199">
        <v>1720.4588628972876</v>
      </c>
      <c r="D7168" s="8"/>
    </row>
    <row r="7169" spans="2:4" x14ac:dyDescent="0.25">
      <c r="B7169" s="4">
        <f t="shared" si="127"/>
        <v>641.62999999993485</v>
      </c>
      <c r="C7169" s="199">
        <v>1720.738935686466</v>
      </c>
      <c r="D7169" s="8"/>
    </row>
    <row r="7170" spans="2:4" x14ac:dyDescent="0.25">
      <c r="B7170" s="4">
        <f t="shared" si="127"/>
        <v>641.63999999993484</v>
      </c>
      <c r="C7170" s="199">
        <v>1721.0190084756453</v>
      </c>
      <c r="D7170" s="8"/>
    </row>
    <row r="7171" spans="2:4" x14ac:dyDescent="0.25">
      <c r="B7171" s="4">
        <f t="shared" si="127"/>
        <v>641.64999999993483</v>
      </c>
      <c r="C7171" s="199">
        <v>1721.2990812648231</v>
      </c>
      <c r="D7171" s="8"/>
    </row>
    <row r="7172" spans="2:4" x14ac:dyDescent="0.25">
      <c r="B7172" s="4">
        <f t="shared" si="127"/>
        <v>641.65999999993483</v>
      </c>
      <c r="C7172" s="199">
        <v>1721.5791540540008</v>
      </c>
      <c r="D7172" s="8"/>
    </row>
    <row r="7173" spans="2:4" x14ac:dyDescent="0.25">
      <c r="B7173" s="4">
        <f t="shared" si="127"/>
        <v>641.66999999993482</v>
      </c>
      <c r="C7173" s="199">
        <v>1721.8592268431789</v>
      </c>
      <c r="D7173" s="8"/>
    </row>
    <row r="7174" spans="2:4" x14ac:dyDescent="0.25">
      <c r="B7174" s="4">
        <f t="shared" si="127"/>
        <v>641.67999999993481</v>
      </c>
      <c r="C7174" s="199">
        <v>1722.139299632358</v>
      </c>
      <c r="D7174" s="8"/>
    </row>
    <row r="7175" spans="2:4" x14ac:dyDescent="0.25">
      <c r="B7175" s="4">
        <f t="shared" si="127"/>
        <v>641.6899999999348</v>
      </c>
      <c r="C7175" s="199">
        <v>1722.4193724215365</v>
      </c>
      <c r="D7175" s="8"/>
    </row>
    <row r="7176" spans="2:4" x14ac:dyDescent="0.25">
      <c r="B7176" s="4">
        <f t="shared" ref="B7176:B7239" si="128">+B7175+0.01</f>
        <v>641.69999999993479</v>
      </c>
      <c r="C7176" s="199">
        <v>1722.6994452107137</v>
      </c>
      <c r="D7176" s="8"/>
    </row>
    <row r="7177" spans="2:4" x14ac:dyDescent="0.25">
      <c r="B7177" s="4">
        <f t="shared" si="128"/>
        <v>641.70999999993478</v>
      </c>
      <c r="C7177" s="199">
        <v>1722.9795179998916</v>
      </c>
      <c r="D7177" s="8"/>
    </row>
    <row r="7178" spans="2:4" x14ac:dyDescent="0.25">
      <c r="B7178" s="4">
        <f t="shared" si="128"/>
        <v>641.71999999993477</v>
      </c>
      <c r="C7178" s="199">
        <v>1723.2597969014646</v>
      </c>
      <c r="D7178" s="8"/>
    </row>
    <row r="7179" spans="2:4" x14ac:dyDescent="0.25">
      <c r="B7179" s="4">
        <f t="shared" si="128"/>
        <v>641.72999999993476</v>
      </c>
      <c r="C7179" s="199">
        <v>1723.5400758030446</v>
      </c>
      <c r="D7179" s="8"/>
    </row>
    <row r="7180" spans="2:4" x14ac:dyDescent="0.25">
      <c r="B7180" s="4">
        <f t="shared" si="128"/>
        <v>641.73999999993475</v>
      </c>
      <c r="C7180" s="199">
        <v>1723.8203547046248</v>
      </c>
      <c r="D7180" s="8"/>
    </row>
    <row r="7181" spans="2:4" x14ac:dyDescent="0.25">
      <c r="B7181" s="4">
        <f t="shared" si="128"/>
        <v>641.74999999993474</v>
      </c>
      <c r="C7181" s="199">
        <v>1724.1006336062048</v>
      </c>
      <c r="D7181" s="8"/>
    </row>
    <row r="7182" spans="2:4" x14ac:dyDescent="0.25">
      <c r="B7182" s="4">
        <f t="shared" si="128"/>
        <v>641.75999999993473</v>
      </c>
      <c r="C7182" s="199">
        <v>1724.3809125077851</v>
      </c>
      <c r="D7182" s="8"/>
    </row>
    <row r="7183" spans="2:4" x14ac:dyDescent="0.25">
      <c r="B7183" s="4">
        <f t="shared" si="128"/>
        <v>641.76999999993473</v>
      </c>
      <c r="C7183" s="199">
        <v>1724.6611914093635</v>
      </c>
      <c r="D7183" s="8"/>
    </row>
    <row r="7184" spans="2:4" x14ac:dyDescent="0.25">
      <c r="B7184" s="4">
        <f t="shared" si="128"/>
        <v>641.77999999993472</v>
      </c>
      <c r="C7184" s="199">
        <v>1724.9414703109435</v>
      </c>
      <c r="D7184" s="8"/>
    </row>
    <row r="7185" spans="2:4" x14ac:dyDescent="0.25">
      <c r="B7185" s="4">
        <f t="shared" si="128"/>
        <v>641.78999999993471</v>
      </c>
      <c r="C7185" s="199">
        <v>1725.2217492125237</v>
      </c>
      <c r="D7185" s="8"/>
    </row>
    <row r="7186" spans="2:4" x14ac:dyDescent="0.25">
      <c r="B7186" s="4">
        <f t="shared" si="128"/>
        <v>641.7999999999347</v>
      </c>
      <c r="C7186" s="199">
        <v>1725.5020281141037</v>
      </c>
      <c r="D7186" s="8"/>
    </row>
    <row r="7187" spans="2:4" x14ac:dyDescent="0.25">
      <c r="B7187" s="4">
        <f t="shared" si="128"/>
        <v>641.80999999993469</v>
      </c>
      <c r="C7187" s="199">
        <v>1725.7823070156842</v>
      </c>
      <c r="D7187" s="8"/>
    </row>
    <row r="7188" spans="2:4" x14ac:dyDescent="0.25">
      <c r="B7188" s="4">
        <f t="shared" si="128"/>
        <v>641.81999999993468</v>
      </c>
      <c r="C7188" s="199">
        <v>1726.0627869553994</v>
      </c>
      <c r="D7188" s="8"/>
    </row>
    <row r="7189" spans="2:4" x14ac:dyDescent="0.25">
      <c r="B7189" s="4">
        <f t="shared" si="128"/>
        <v>641.82999999993467</v>
      </c>
      <c r="C7189" s="199">
        <v>1726.3432668951116</v>
      </c>
      <c r="D7189" s="8"/>
    </row>
    <row r="7190" spans="2:4" x14ac:dyDescent="0.25">
      <c r="B7190" s="4">
        <f t="shared" si="128"/>
        <v>641.83999999993466</v>
      </c>
      <c r="C7190" s="199">
        <v>1726.6237468348245</v>
      </c>
      <c r="D7190" s="8"/>
    </row>
    <row r="7191" spans="2:4" x14ac:dyDescent="0.25">
      <c r="B7191" s="4">
        <f t="shared" si="128"/>
        <v>641.84999999993465</v>
      </c>
      <c r="C7191" s="199">
        <v>1726.9042267745372</v>
      </c>
      <c r="D7191" s="8"/>
    </row>
    <row r="7192" spans="2:4" x14ac:dyDescent="0.25">
      <c r="B7192" s="4">
        <f t="shared" si="128"/>
        <v>641.85999999993464</v>
      </c>
      <c r="C7192" s="199">
        <v>1727.1847067142494</v>
      </c>
      <c r="D7192" s="8"/>
    </row>
    <row r="7193" spans="2:4" x14ac:dyDescent="0.25">
      <c r="B7193" s="4">
        <f t="shared" si="128"/>
        <v>641.86999999993463</v>
      </c>
      <c r="C7193" s="199">
        <v>1727.4651866539621</v>
      </c>
      <c r="D7193" s="8"/>
    </row>
    <row r="7194" spans="2:4" x14ac:dyDescent="0.25">
      <c r="B7194" s="4">
        <f t="shared" si="128"/>
        <v>641.87999999993463</v>
      </c>
      <c r="C7194" s="199">
        <v>1727.7456665936745</v>
      </c>
      <c r="D7194" s="8"/>
    </row>
    <row r="7195" spans="2:4" x14ac:dyDescent="0.25">
      <c r="B7195" s="4">
        <f t="shared" si="128"/>
        <v>641.88999999993462</v>
      </c>
      <c r="C7195" s="199">
        <v>1728.0261465333867</v>
      </c>
      <c r="D7195" s="8"/>
    </row>
    <row r="7196" spans="2:4" x14ac:dyDescent="0.25">
      <c r="B7196" s="4">
        <f t="shared" si="128"/>
        <v>641.89999999993461</v>
      </c>
      <c r="C7196" s="199">
        <v>1728.3066264730994</v>
      </c>
      <c r="D7196" s="8"/>
    </row>
    <row r="7197" spans="2:4" x14ac:dyDescent="0.25">
      <c r="B7197" s="4">
        <f t="shared" si="128"/>
        <v>641.9099999999346</v>
      </c>
      <c r="C7197" s="199">
        <v>1728.5871064128116</v>
      </c>
      <c r="D7197" s="8"/>
    </row>
    <row r="7198" spans="2:4" x14ac:dyDescent="0.25">
      <c r="B7198" s="4">
        <f t="shared" si="128"/>
        <v>641.91999999993459</v>
      </c>
      <c r="C7198" s="199">
        <v>1728.8677880779778</v>
      </c>
      <c r="D7198" s="8"/>
    </row>
    <row r="7199" spans="2:4" x14ac:dyDescent="0.25">
      <c r="B7199" s="4">
        <f t="shared" si="128"/>
        <v>641.92999999993458</v>
      </c>
      <c r="C7199" s="199">
        <v>1729.1484697431501</v>
      </c>
      <c r="D7199" s="8"/>
    </row>
    <row r="7200" spans="2:4" x14ac:dyDescent="0.25">
      <c r="B7200" s="4">
        <f t="shared" si="128"/>
        <v>641.93999999993457</v>
      </c>
      <c r="C7200" s="199">
        <v>1729.4291514083252</v>
      </c>
      <c r="D7200" s="8"/>
    </row>
    <row r="7201" spans="2:4" x14ac:dyDescent="0.25">
      <c r="B7201" s="4">
        <f t="shared" si="128"/>
        <v>641.94999999993456</v>
      </c>
      <c r="C7201" s="199">
        <v>1729.7098330735</v>
      </c>
      <c r="D7201" s="8"/>
    </row>
    <row r="7202" spans="2:4" x14ac:dyDescent="0.25">
      <c r="B7202" s="4">
        <f t="shared" si="128"/>
        <v>641.95999999993455</v>
      </c>
      <c r="C7202" s="199">
        <v>1729.9905147386726</v>
      </c>
      <c r="D7202" s="8"/>
    </row>
    <row r="7203" spans="2:4" x14ac:dyDescent="0.25">
      <c r="B7203" s="4">
        <f t="shared" si="128"/>
        <v>641.96999999993454</v>
      </c>
      <c r="C7203" s="199">
        <v>1730.2711964038472</v>
      </c>
      <c r="D7203" s="8"/>
    </row>
    <row r="7204" spans="2:4" x14ac:dyDescent="0.25">
      <c r="B7204" s="4">
        <f t="shared" si="128"/>
        <v>641.97999999993453</v>
      </c>
      <c r="C7204" s="199">
        <v>1730.5518780690202</v>
      </c>
      <c r="D7204" s="8"/>
    </row>
    <row r="7205" spans="2:4" x14ac:dyDescent="0.25">
      <c r="B7205" s="4">
        <f t="shared" si="128"/>
        <v>641.98999999993453</v>
      </c>
      <c r="C7205" s="199">
        <v>1730.8325597341948</v>
      </c>
      <c r="D7205" s="8"/>
    </row>
    <row r="7206" spans="2:4" x14ac:dyDescent="0.25">
      <c r="B7206" s="4">
        <f t="shared" si="128"/>
        <v>641.99999999993452</v>
      </c>
      <c r="C7206" s="199">
        <v>1731.1132413993694</v>
      </c>
      <c r="D7206" s="8"/>
    </row>
    <row r="7207" spans="2:4" x14ac:dyDescent="0.25">
      <c r="B7207" s="4">
        <f t="shared" si="128"/>
        <v>642.00999999993451</v>
      </c>
      <c r="C7207" s="199">
        <v>1731.3939230645424</v>
      </c>
      <c r="D7207" s="8"/>
    </row>
    <row r="7208" spans="2:4" x14ac:dyDescent="0.25">
      <c r="B7208" s="4">
        <f t="shared" si="128"/>
        <v>642.0199999999345</v>
      </c>
      <c r="C7208" s="199">
        <v>1731.6748069776809</v>
      </c>
      <c r="D7208" s="8"/>
    </row>
    <row r="7209" spans="2:4" x14ac:dyDescent="0.25">
      <c r="B7209" s="4">
        <f t="shared" si="128"/>
        <v>642.02999999993449</v>
      </c>
      <c r="C7209" s="199">
        <v>1731.955690890816</v>
      </c>
      <c r="D7209" s="8"/>
    </row>
    <row r="7210" spans="2:4" x14ac:dyDescent="0.25">
      <c r="B7210" s="4">
        <f t="shared" si="128"/>
        <v>642.03999999993448</v>
      </c>
      <c r="C7210" s="199">
        <v>1732.236574803951</v>
      </c>
      <c r="D7210" s="8"/>
    </row>
    <row r="7211" spans="2:4" x14ac:dyDescent="0.25">
      <c r="B7211" s="4">
        <f t="shared" si="128"/>
        <v>642.04999999993447</v>
      </c>
      <c r="C7211" s="199">
        <v>1732.5174587170859</v>
      </c>
      <c r="D7211" s="8"/>
    </row>
    <row r="7212" spans="2:4" x14ac:dyDescent="0.25">
      <c r="B7212" s="4">
        <f t="shared" si="128"/>
        <v>642.05999999993446</v>
      </c>
      <c r="C7212" s="199">
        <v>1732.798342630221</v>
      </c>
      <c r="D7212" s="8"/>
    </row>
    <row r="7213" spans="2:4" x14ac:dyDescent="0.25">
      <c r="B7213" s="4">
        <f t="shared" si="128"/>
        <v>642.06999999993445</v>
      </c>
      <c r="C7213" s="199">
        <v>1733.0792265433579</v>
      </c>
      <c r="D7213" s="8"/>
    </row>
    <row r="7214" spans="2:4" x14ac:dyDescent="0.25">
      <c r="B7214" s="4">
        <f t="shared" si="128"/>
        <v>642.07999999993444</v>
      </c>
      <c r="C7214" s="199">
        <v>1733.3601104564934</v>
      </c>
      <c r="D7214" s="8"/>
    </row>
    <row r="7215" spans="2:4" x14ac:dyDescent="0.25">
      <c r="B7215" s="4">
        <f t="shared" si="128"/>
        <v>642.08999999993443</v>
      </c>
      <c r="C7215" s="199">
        <v>1733.6409943696287</v>
      </c>
      <c r="D7215" s="8"/>
    </row>
    <row r="7216" spans="2:4" x14ac:dyDescent="0.25">
      <c r="B7216" s="4">
        <f t="shared" si="128"/>
        <v>642.09999999993443</v>
      </c>
      <c r="C7216" s="199">
        <v>1733.9218782827634</v>
      </c>
      <c r="D7216" s="8"/>
    </row>
    <row r="7217" spans="2:4" x14ac:dyDescent="0.25">
      <c r="B7217" s="4">
        <f t="shared" si="128"/>
        <v>642.10999999993442</v>
      </c>
      <c r="C7217" s="199">
        <v>1734.2027621959005</v>
      </c>
      <c r="D7217" s="8"/>
    </row>
    <row r="7218" spans="2:4" x14ac:dyDescent="0.25">
      <c r="B7218" s="4">
        <f t="shared" si="128"/>
        <v>642.11999999993441</v>
      </c>
      <c r="C7218" s="199">
        <v>1734.4838459519731</v>
      </c>
      <c r="D7218" s="8"/>
    </row>
    <row r="7219" spans="2:4" x14ac:dyDescent="0.25">
      <c r="B7219" s="4">
        <f t="shared" si="128"/>
        <v>642.1299999999344</v>
      </c>
      <c r="C7219" s="199">
        <v>1734.7649297080536</v>
      </c>
      <c r="D7219" s="8"/>
    </row>
    <row r="7220" spans="2:4" x14ac:dyDescent="0.25">
      <c r="B7220" s="4">
        <f t="shared" si="128"/>
        <v>642.13999999993439</v>
      </c>
      <c r="C7220" s="199">
        <v>1735.0460134641346</v>
      </c>
      <c r="D7220" s="8"/>
    </row>
    <row r="7221" spans="2:4" x14ac:dyDescent="0.25">
      <c r="B7221" s="4">
        <f t="shared" si="128"/>
        <v>642.14999999993438</v>
      </c>
      <c r="C7221" s="199">
        <v>1735.3270972202151</v>
      </c>
      <c r="D7221" s="8"/>
    </row>
    <row r="7222" spans="2:4" x14ac:dyDescent="0.25">
      <c r="B7222" s="4">
        <f t="shared" si="128"/>
        <v>642.15999999993437</v>
      </c>
      <c r="C7222" s="199">
        <v>1735.6081809762943</v>
      </c>
      <c r="D7222" s="8"/>
    </row>
    <row r="7223" spans="2:4" x14ac:dyDescent="0.25">
      <c r="B7223" s="4">
        <f t="shared" si="128"/>
        <v>642.16999999993436</v>
      </c>
      <c r="C7223" s="199">
        <v>1735.8892647323746</v>
      </c>
      <c r="D7223" s="8"/>
    </row>
    <row r="7224" spans="2:4" x14ac:dyDescent="0.25">
      <c r="B7224" s="4">
        <f t="shared" si="128"/>
        <v>642.17999999993435</v>
      </c>
      <c r="C7224" s="199">
        <v>1736.1703484884554</v>
      </c>
      <c r="D7224" s="8"/>
    </row>
    <row r="7225" spans="2:4" x14ac:dyDescent="0.25">
      <c r="B7225" s="4">
        <f t="shared" si="128"/>
        <v>642.18999999993434</v>
      </c>
      <c r="C7225" s="199">
        <v>1736.4514322445364</v>
      </c>
      <c r="D7225" s="8"/>
    </row>
    <row r="7226" spans="2:4" x14ac:dyDescent="0.25">
      <c r="B7226" s="4">
        <f t="shared" si="128"/>
        <v>642.19999999993433</v>
      </c>
      <c r="C7226" s="199">
        <v>1736.7325160006167</v>
      </c>
      <c r="D7226" s="8"/>
    </row>
    <row r="7227" spans="2:4" x14ac:dyDescent="0.25">
      <c r="B7227" s="4">
        <f t="shared" si="128"/>
        <v>642.20999999993433</v>
      </c>
      <c r="C7227" s="199">
        <v>1737.013599756697</v>
      </c>
      <c r="D7227" s="8"/>
    </row>
    <row r="7228" spans="2:4" x14ac:dyDescent="0.25">
      <c r="B7228" s="4">
        <f t="shared" si="128"/>
        <v>642.21999999993432</v>
      </c>
      <c r="C7228" s="199">
        <v>1737.294883212478</v>
      </c>
      <c r="D7228" s="8"/>
    </row>
    <row r="7229" spans="2:4" x14ac:dyDescent="0.25">
      <c r="B7229" s="4">
        <f t="shared" si="128"/>
        <v>642.22999999993431</v>
      </c>
      <c r="C7229" s="199">
        <v>1737.5761666682611</v>
      </c>
      <c r="D7229" s="8"/>
    </row>
    <row r="7230" spans="2:4" x14ac:dyDescent="0.25">
      <c r="B7230" s="4">
        <f t="shared" si="128"/>
        <v>642.2399999999343</v>
      </c>
      <c r="C7230" s="199">
        <v>1737.8574501240439</v>
      </c>
      <c r="D7230" s="8"/>
    </row>
    <row r="7231" spans="2:4" x14ac:dyDescent="0.25">
      <c r="B7231" s="4">
        <f t="shared" si="128"/>
        <v>642.24999999993429</v>
      </c>
      <c r="C7231" s="199">
        <v>1738.1387335798249</v>
      </c>
      <c r="D7231" s="8"/>
    </row>
    <row r="7232" spans="2:4" x14ac:dyDescent="0.25">
      <c r="B7232" s="4">
        <f t="shared" si="128"/>
        <v>642.25999999993428</v>
      </c>
      <c r="C7232" s="199">
        <v>1738.4200170356078</v>
      </c>
      <c r="D7232" s="8"/>
    </row>
    <row r="7233" spans="2:4" x14ac:dyDescent="0.25">
      <c r="B7233" s="4">
        <f t="shared" si="128"/>
        <v>642.26999999993427</v>
      </c>
      <c r="C7233" s="199">
        <v>1738.7013004913906</v>
      </c>
      <c r="D7233" s="8"/>
    </row>
    <row r="7234" spans="2:4" x14ac:dyDescent="0.25">
      <c r="B7234" s="4">
        <f t="shared" si="128"/>
        <v>642.27999999993426</v>
      </c>
      <c r="C7234" s="199">
        <v>1738.9825839471732</v>
      </c>
      <c r="D7234" s="8"/>
    </row>
    <row r="7235" spans="2:4" x14ac:dyDescent="0.25">
      <c r="B7235" s="4">
        <f t="shared" si="128"/>
        <v>642.28999999993425</v>
      </c>
      <c r="C7235" s="199">
        <v>1739.2638674029542</v>
      </c>
      <c r="D7235" s="8"/>
    </row>
    <row r="7236" spans="2:4" x14ac:dyDescent="0.25">
      <c r="B7236" s="4">
        <f t="shared" si="128"/>
        <v>642.29999999993424</v>
      </c>
      <c r="C7236" s="199">
        <v>1739.5451508587369</v>
      </c>
      <c r="D7236" s="8"/>
    </row>
    <row r="7237" spans="2:4" x14ac:dyDescent="0.25">
      <c r="B7237" s="4">
        <f t="shared" si="128"/>
        <v>642.30999999993423</v>
      </c>
      <c r="C7237" s="199">
        <v>1739.8264343145204</v>
      </c>
      <c r="D7237" s="8"/>
    </row>
    <row r="7238" spans="2:4" x14ac:dyDescent="0.25">
      <c r="B7238" s="4">
        <f t="shared" si="128"/>
        <v>642.31999999993423</v>
      </c>
      <c r="C7238" s="199">
        <v>1740.1079165832318</v>
      </c>
      <c r="D7238" s="8"/>
    </row>
    <row r="7239" spans="2:4" x14ac:dyDescent="0.25">
      <c r="B7239" s="4">
        <f t="shared" si="128"/>
        <v>642.32999999993422</v>
      </c>
      <c r="C7239" s="199">
        <v>1740.3893988519492</v>
      </c>
      <c r="D7239" s="8"/>
    </row>
    <row r="7240" spans="2:4" x14ac:dyDescent="0.25">
      <c r="B7240" s="4">
        <f t="shared" ref="B7240:B7303" si="129">+B7239+0.01</f>
        <v>642.33999999993421</v>
      </c>
      <c r="C7240" s="199">
        <v>1740.6708811206668</v>
      </c>
      <c r="D7240" s="8"/>
    </row>
    <row r="7241" spans="2:4" x14ac:dyDescent="0.25">
      <c r="B7241" s="4">
        <f t="shared" si="129"/>
        <v>642.3499999999342</v>
      </c>
      <c r="C7241" s="199">
        <v>1740.9523633893841</v>
      </c>
      <c r="D7241" s="8"/>
    </row>
    <row r="7242" spans="2:4" x14ac:dyDescent="0.25">
      <c r="B7242" s="4">
        <f t="shared" si="129"/>
        <v>642.35999999993419</v>
      </c>
      <c r="C7242" s="199">
        <v>1741.2338456581015</v>
      </c>
      <c r="D7242" s="8"/>
    </row>
    <row r="7243" spans="2:4" x14ac:dyDescent="0.25">
      <c r="B7243" s="4">
        <f t="shared" si="129"/>
        <v>642.36999999993418</v>
      </c>
      <c r="C7243" s="199">
        <v>1741.5153279268191</v>
      </c>
      <c r="D7243" s="8"/>
    </row>
    <row r="7244" spans="2:4" x14ac:dyDescent="0.25">
      <c r="B7244" s="4">
        <f t="shared" si="129"/>
        <v>642.37999999993417</v>
      </c>
      <c r="C7244" s="199">
        <v>1741.7968101955362</v>
      </c>
      <c r="D7244" s="8"/>
    </row>
    <row r="7245" spans="2:4" x14ac:dyDescent="0.25">
      <c r="B7245" s="4">
        <f t="shared" si="129"/>
        <v>642.38999999993416</v>
      </c>
      <c r="C7245" s="199">
        <v>1742.078292464254</v>
      </c>
      <c r="D7245" s="8"/>
    </row>
    <row r="7246" spans="2:4" x14ac:dyDescent="0.25">
      <c r="B7246" s="4">
        <f t="shared" si="129"/>
        <v>642.39999999993415</v>
      </c>
      <c r="C7246" s="199">
        <v>1742.3597747329695</v>
      </c>
      <c r="D7246" s="8"/>
    </row>
    <row r="7247" spans="2:4" x14ac:dyDescent="0.25">
      <c r="B7247" s="4">
        <f t="shared" si="129"/>
        <v>642.40999999993414</v>
      </c>
      <c r="C7247" s="199">
        <v>1742.6412570016867</v>
      </c>
      <c r="D7247" s="8"/>
    </row>
    <row r="7248" spans="2:4" x14ac:dyDescent="0.25">
      <c r="B7248" s="4">
        <f t="shared" si="129"/>
        <v>642.41999999993413</v>
      </c>
      <c r="C7248" s="199">
        <v>1742.9229339927238</v>
      </c>
      <c r="D7248" s="8"/>
    </row>
    <row r="7249" spans="2:4" x14ac:dyDescent="0.25">
      <c r="B7249" s="4">
        <f t="shared" si="129"/>
        <v>642.42999999993413</v>
      </c>
      <c r="C7249" s="199">
        <v>1743.2046109837606</v>
      </c>
      <c r="D7249" s="8"/>
    </row>
    <row r="7250" spans="2:4" x14ac:dyDescent="0.25">
      <c r="B7250" s="4">
        <f t="shared" si="129"/>
        <v>642.43999999993412</v>
      </c>
      <c r="C7250" s="199">
        <v>1743.4862879747977</v>
      </c>
      <c r="D7250" s="8"/>
    </row>
    <row r="7251" spans="2:4" x14ac:dyDescent="0.25">
      <c r="B7251" s="4">
        <f t="shared" si="129"/>
        <v>642.44999999993411</v>
      </c>
      <c r="C7251" s="199">
        <v>1743.7679649658364</v>
      </c>
      <c r="D7251" s="8"/>
    </row>
    <row r="7252" spans="2:4" x14ac:dyDescent="0.25">
      <c r="B7252" s="4">
        <f t="shared" si="129"/>
        <v>642.4599999999341</v>
      </c>
      <c r="C7252" s="199">
        <v>1744.0496419568733</v>
      </c>
      <c r="D7252" s="8"/>
    </row>
    <row r="7253" spans="2:4" x14ac:dyDescent="0.25">
      <c r="B7253" s="4">
        <f t="shared" si="129"/>
        <v>642.46999999993409</v>
      </c>
      <c r="C7253" s="199">
        <v>1744.3313189479104</v>
      </c>
      <c r="D7253" s="8"/>
    </row>
    <row r="7254" spans="2:4" x14ac:dyDescent="0.25">
      <c r="B7254" s="4">
        <f t="shared" si="129"/>
        <v>642.47999999993408</v>
      </c>
      <c r="C7254" s="199">
        <v>1744.6129959389471</v>
      </c>
      <c r="D7254" s="8"/>
    </row>
    <row r="7255" spans="2:4" x14ac:dyDescent="0.25">
      <c r="B7255" s="4">
        <f t="shared" si="129"/>
        <v>642.48999999993407</v>
      </c>
      <c r="C7255" s="199">
        <v>1744.8946729299839</v>
      </c>
      <c r="D7255" s="8"/>
    </row>
    <row r="7256" spans="2:4" x14ac:dyDescent="0.25">
      <c r="B7256" s="4">
        <f t="shared" si="129"/>
        <v>642.49999999993406</v>
      </c>
      <c r="C7256" s="199">
        <v>1745.1763499210231</v>
      </c>
      <c r="D7256" s="8"/>
    </row>
    <row r="7257" spans="2:4" x14ac:dyDescent="0.25">
      <c r="B7257" s="4">
        <f t="shared" si="129"/>
        <v>642.50999999993405</v>
      </c>
      <c r="C7257" s="199">
        <v>1745.4580269120597</v>
      </c>
      <c r="D7257" s="8"/>
    </row>
    <row r="7258" spans="2:4" x14ac:dyDescent="0.25">
      <c r="B7258" s="4">
        <f t="shared" si="129"/>
        <v>642.51999999993404</v>
      </c>
      <c r="C7258" s="199">
        <v>1745.7398984250187</v>
      </c>
      <c r="D7258" s="8"/>
    </row>
    <row r="7259" spans="2:4" x14ac:dyDescent="0.25">
      <c r="B7259" s="4">
        <f t="shared" si="129"/>
        <v>642.52999999993403</v>
      </c>
      <c r="C7259" s="199">
        <v>1746.0217699379866</v>
      </c>
      <c r="D7259" s="8"/>
    </row>
    <row r="7260" spans="2:4" x14ac:dyDescent="0.25">
      <c r="B7260" s="4">
        <f t="shared" si="129"/>
        <v>642.53999999993403</v>
      </c>
      <c r="C7260" s="199">
        <v>1746.3036414509522</v>
      </c>
      <c r="D7260" s="8"/>
    </row>
    <row r="7261" spans="2:4" x14ac:dyDescent="0.25">
      <c r="B7261" s="4">
        <f t="shared" si="129"/>
        <v>642.54999999993402</v>
      </c>
      <c r="C7261" s="199">
        <v>1746.5855129639178</v>
      </c>
      <c r="D7261" s="8"/>
    </row>
    <row r="7262" spans="2:4" x14ac:dyDescent="0.25">
      <c r="B7262" s="4">
        <f t="shared" si="129"/>
        <v>642.55999999993401</v>
      </c>
      <c r="C7262" s="199">
        <v>1746.8673844768837</v>
      </c>
      <c r="D7262" s="8"/>
    </row>
    <row r="7263" spans="2:4" x14ac:dyDescent="0.25">
      <c r="B7263" s="4">
        <f t="shared" si="129"/>
        <v>642.569999999934</v>
      </c>
      <c r="C7263" s="199">
        <v>1747.1492559898495</v>
      </c>
      <c r="D7263" s="8"/>
    </row>
    <row r="7264" spans="2:4" x14ac:dyDescent="0.25">
      <c r="B7264" s="4">
        <f t="shared" si="129"/>
        <v>642.57999999993399</v>
      </c>
      <c r="C7264" s="199">
        <v>1747.4311275028149</v>
      </c>
      <c r="D7264" s="8"/>
    </row>
    <row r="7265" spans="2:4" x14ac:dyDescent="0.25">
      <c r="B7265" s="4">
        <f t="shared" si="129"/>
        <v>642.58999999993398</v>
      </c>
      <c r="C7265" s="199">
        <v>1747.7129990157825</v>
      </c>
      <c r="D7265" s="8"/>
    </row>
    <row r="7266" spans="2:4" x14ac:dyDescent="0.25">
      <c r="B7266" s="4">
        <f t="shared" si="129"/>
        <v>642.59999999993397</v>
      </c>
      <c r="C7266" s="199">
        <v>1747.9948705287486</v>
      </c>
      <c r="D7266" s="8"/>
    </row>
    <row r="7267" spans="2:4" x14ac:dyDescent="0.25">
      <c r="B7267" s="4">
        <f t="shared" si="129"/>
        <v>642.60999999993396</v>
      </c>
      <c r="C7267" s="199">
        <v>1748.2767420417142</v>
      </c>
      <c r="D7267" s="8"/>
    </row>
    <row r="7268" spans="2:4" x14ac:dyDescent="0.25">
      <c r="B7268" s="4">
        <f t="shared" si="129"/>
        <v>642.61999999993395</v>
      </c>
      <c r="C7268" s="199">
        <v>1748.5588032575492</v>
      </c>
      <c r="D7268" s="8"/>
    </row>
    <row r="7269" spans="2:4" x14ac:dyDescent="0.25">
      <c r="B7269" s="4">
        <f t="shared" si="129"/>
        <v>642.62999999993394</v>
      </c>
      <c r="C7269" s="199">
        <v>1748.8408644733838</v>
      </c>
      <c r="D7269" s="8"/>
    </row>
    <row r="7270" spans="2:4" x14ac:dyDescent="0.25">
      <c r="B7270" s="4">
        <f t="shared" si="129"/>
        <v>642.63999999993393</v>
      </c>
      <c r="C7270" s="199">
        <v>1749.1229256892177</v>
      </c>
      <c r="D7270" s="8"/>
    </row>
    <row r="7271" spans="2:4" x14ac:dyDescent="0.25">
      <c r="B7271" s="4">
        <f t="shared" si="129"/>
        <v>642.64999999993393</v>
      </c>
      <c r="C7271" s="199">
        <v>1749.40498690505</v>
      </c>
      <c r="D7271" s="8"/>
    </row>
    <row r="7272" spans="2:4" x14ac:dyDescent="0.25">
      <c r="B7272" s="4">
        <f t="shared" si="129"/>
        <v>642.65999999993392</v>
      </c>
      <c r="C7272" s="199">
        <v>1749.6870481208839</v>
      </c>
      <c r="D7272" s="8"/>
    </row>
    <row r="7273" spans="2:4" x14ac:dyDescent="0.25">
      <c r="B7273" s="4">
        <f t="shared" si="129"/>
        <v>642.66999999993391</v>
      </c>
      <c r="C7273" s="199">
        <v>1749.9691093367182</v>
      </c>
      <c r="D7273" s="8"/>
    </row>
    <row r="7274" spans="2:4" x14ac:dyDescent="0.25">
      <c r="B7274" s="4">
        <f t="shared" si="129"/>
        <v>642.6799999999339</v>
      </c>
      <c r="C7274" s="199">
        <v>1750.2511705525528</v>
      </c>
      <c r="D7274" s="8"/>
    </row>
    <row r="7275" spans="2:4" x14ac:dyDescent="0.25">
      <c r="B7275" s="4">
        <f t="shared" si="129"/>
        <v>642.68999999993389</v>
      </c>
      <c r="C7275" s="199">
        <v>1750.5332317683851</v>
      </c>
      <c r="D7275" s="8"/>
    </row>
    <row r="7276" spans="2:4" x14ac:dyDescent="0.25">
      <c r="B7276" s="4">
        <f t="shared" si="129"/>
        <v>642.69999999993388</v>
      </c>
      <c r="C7276" s="199">
        <v>1750.815292984219</v>
      </c>
      <c r="D7276" s="8"/>
    </row>
    <row r="7277" spans="2:4" x14ac:dyDescent="0.25">
      <c r="B7277" s="4">
        <f t="shared" si="129"/>
        <v>642.70999999993387</v>
      </c>
      <c r="C7277" s="199">
        <v>1751.0973542000529</v>
      </c>
      <c r="D7277" s="8"/>
    </row>
    <row r="7278" spans="2:4" x14ac:dyDescent="0.25">
      <c r="B7278" s="4">
        <f t="shared" si="129"/>
        <v>642.71999999993386</v>
      </c>
      <c r="C7278" s="199">
        <v>1751.3796052899797</v>
      </c>
      <c r="D7278" s="8"/>
    </row>
    <row r="7279" spans="2:4" x14ac:dyDescent="0.25">
      <c r="B7279" s="4">
        <f t="shared" si="129"/>
        <v>642.72999999993385</v>
      </c>
      <c r="C7279" s="199">
        <v>1751.6618563799159</v>
      </c>
      <c r="D7279" s="8"/>
    </row>
    <row r="7280" spans="2:4" x14ac:dyDescent="0.25">
      <c r="B7280" s="4">
        <f t="shared" si="129"/>
        <v>642.73999999993384</v>
      </c>
      <c r="C7280" s="199">
        <v>1751.9441074698525</v>
      </c>
      <c r="D7280" s="8"/>
    </row>
    <row r="7281" spans="2:4" x14ac:dyDescent="0.25">
      <c r="B7281" s="4">
        <f t="shared" si="129"/>
        <v>642.74999999993383</v>
      </c>
      <c r="C7281" s="199">
        <v>1752.2263585597893</v>
      </c>
      <c r="D7281" s="8"/>
    </row>
    <row r="7282" spans="2:4" x14ac:dyDescent="0.25">
      <c r="B7282" s="4">
        <f t="shared" si="129"/>
        <v>642.75999999993383</v>
      </c>
      <c r="C7282" s="199">
        <v>1752.5086096497234</v>
      </c>
      <c r="D7282" s="8"/>
    </row>
    <row r="7283" spans="2:4" x14ac:dyDescent="0.25">
      <c r="B7283" s="4">
        <f t="shared" si="129"/>
        <v>642.76999999993382</v>
      </c>
      <c r="C7283" s="199">
        <v>1752.79086073966</v>
      </c>
      <c r="D7283" s="8"/>
    </row>
    <row r="7284" spans="2:4" x14ac:dyDescent="0.25">
      <c r="B7284" s="4">
        <f t="shared" si="129"/>
        <v>642.77999999993381</v>
      </c>
      <c r="C7284" s="199">
        <v>1753.0731118295962</v>
      </c>
      <c r="D7284" s="8"/>
    </row>
    <row r="7285" spans="2:4" x14ac:dyDescent="0.25">
      <c r="B7285" s="4">
        <f t="shared" si="129"/>
        <v>642.7899999999338</v>
      </c>
      <c r="C7285" s="199">
        <v>1753.3553629195326</v>
      </c>
      <c r="D7285" s="8"/>
    </row>
    <row r="7286" spans="2:4" x14ac:dyDescent="0.25">
      <c r="B7286" s="4">
        <f t="shared" si="129"/>
        <v>642.79999999993379</v>
      </c>
      <c r="C7286" s="199">
        <v>1753.6376140094674</v>
      </c>
      <c r="D7286" s="8"/>
    </row>
    <row r="7287" spans="2:4" x14ac:dyDescent="0.25">
      <c r="B7287" s="4">
        <f t="shared" si="129"/>
        <v>642.80999999993378</v>
      </c>
      <c r="C7287" s="199">
        <v>1753.9198650994035</v>
      </c>
      <c r="D7287" s="8"/>
    </row>
    <row r="7288" spans="2:4" x14ac:dyDescent="0.25">
      <c r="B7288" s="4">
        <f t="shared" si="129"/>
        <v>642.81999999993377</v>
      </c>
      <c r="C7288" s="199">
        <v>1754.2023031127305</v>
      </c>
      <c r="D7288" s="8"/>
    </row>
    <row r="7289" spans="2:4" x14ac:dyDescent="0.25">
      <c r="B7289" s="4">
        <f t="shared" si="129"/>
        <v>642.82999999993376</v>
      </c>
      <c r="C7289" s="199">
        <v>1754.4847411260585</v>
      </c>
      <c r="D7289" s="8"/>
    </row>
    <row r="7290" spans="2:4" x14ac:dyDescent="0.25">
      <c r="B7290" s="4">
        <f t="shared" si="129"/>
        <v>642.83999999993375</v>
      </c>
      <c r="C7290" s="199">
        <v>1754.7671791393866</v>
      </c>
      <c r="D7290" s="8"/>
    </row>
    <row r="7291" spans="2:4" x14ac:dyDescent="0.25">
      <c r="B7291" s="4">
        <f t="shared" si="129"/>
        <v>642.84999999993374</v>
      </c>
      <c r="C7291" s="199">
        <v>1755.0496171527136</v>
      </c>
      <c r="D7291" s="8"/>
    </row>
    <row r="7292" spans="2:4" x14ac:dyDescent="0.25">
      <c r="B7292" s="4">
        <f t="shared" si="129"/>
        <v>642.85999999993373</v>
      </c>
      <c r="C7292" s="199">
        <v>1755.3320551660399</v>
      </c>
      <c r="D7292" s="8"/>
    </row>
    <row r="7293" spans="2:4" x14ac:dyDescent="0.25">
      <c r="B7293" s="4">
        <f t="shared" si="129"/>
        <v>642.86999999993373</v>
      </c>
      <c r="C7293" s="199">
        <v>1755.6144931793667</v>
      </c>
      <c r="D7293" s="8"/>
    </row>
    <row r="7294" spans="2:4" x14ac:dyDescent="0.25">
      <c r="B7294" s="4">
        <f t="shared" si="129"/>
        <v>642.87999999993372</v>
      </c>
      <c r="C7294" s="199">
        <v>1755.8969311926951</v>
      </c>
      <c r="D7294" s="8"/>
    </row>
    <row r="7295" spans="2:4" x14ac:dyDescent="0.25">
      <c r="B7295" s="4">
        <f t="shared" si="129"/>
        <v>642.88999999993371</v>
      </c>
      <c r="C7295" s="199">
        <v>1756.1793692060226</v>
      </c>
      <c r="D7295" s="8"/>
    </row>
    <row r="7296" spans="2:4" x14ac:dyDescent="0.25">
      <c r="B7296" s="4">
        <f t="shared" si="129"/>
        <v>642.8999999999337</v>
      </c>
      <c r="C7296" s="199">
        <v>1756.4618072193482</v>
      </c>
      <c r="D7296" s="8"/>
    </row>
    <row r="7297" spans="2:4" x14ac:dyDescent="0.25">
      <c r="B7297" s="4">
        <f t="shared" si="129"/>
        <v>642.90999999993369</v>
      </c>
      <c r="C7297" s="199">
        <v>1756.7442452326763</v>
      </c>
      <c r="D7297" s="8"/>
    </row>
    <row r="7298" spans="2:4" x14ac:dyDescent="0.25">
      <c r="B7298" s="4">
        <f t="shared" si="129"/>
        <v>642.91999999993368</v>
      </c>
      <c r="C7298" s="199">
        <v>1757.0268675578991</v>
      </c>
      <c r="D7298" s="8"/>
    </row>
    <row r="7299" spans="2:4" x14ac:dyDescent="0.25">
      <c r="B7299" s="4">
        <f t="shared" si="129"/>
        <v>642.92999999993367</v>
      </c>
      <c r="C7299" s="199">
        <v>1757.309489883128</v>
      </c>
      <c r="D7299" s="8"/>
    </row>
    <row r="7300" spans="2:4" x14ac:dyDescent="0.25">
      <c r="B7300" s="4">
        <f t="shared" si="129"/>
        <v>642.93999999993366</v>
      </c>
      <c r="C7300" s="199">
        <v>1757.5921122083555</v>
      </c>
      <c r="D7300" s="8"/>
    </row>
    <row r="7301" spans="2:4" x14ac:dyDescent="0.25">
      <c r="B7301" s="4">
        <f t="shared" si="129"/>
        <v>642.94999999993365</v>
      </c>
      <c r="C7301" s="199">
        <v>1757.8747345335846</v>
      </c>
      <c r="D7301" s="8"/>
    </row>
    <row r="7302" spans="2:4" x14ac:dyDescent="0.25">
      <c r="B7302" s="4">
        <f t="shared" si="129"/>
        <v>642.95999999993364</v>
      </c>
      <c r="C7302" s="199">
        <v>1758.1573568588135</v>
      </c>
      <c r="D7302" s="8"/>
    </row>
    <row r="7303" spans="2:4" x14ac:dyDescent="0.25">
      <c r="B7303" s="4">
        <f t="shared" si="129"/>
        <v>642.96999999993363</v>
      </c>
      <c r="C7303" s="199">
        <v>1758.4399791840401</v>
      </c>
      <c r="D7303" s="8"/>
    </row>
    <row r="7304" spans="2:4" x14ac:dyDescent="0.25">
      <c r="B7304" s="4">
        <f t="shared" ref="B7304:B7367" si="130">+B7303+0.01</f>
        <v>642.97999999993363</v>
      </c>
      <c r="C7304" s="199">
        <v>1758.7226015092695</v>
      </c>
      <c r="D7304" s="8"/>
    </row>
    <row r="7305" spans="2:4" x14ac:dyDescent="0.25">
      <c r="B7305" s="4">
        <f t="shared" si="130"/>
        <v>642.98999999993362</v>
      </c>
      <c r="C7305" s="199">
        <v>1759.0052238344965</v>
      </c>
      <c r="D7305" s="8"/>
    </row>
    <row r="7306" spans="2:4" x14ac:dyDescent="0.25">
      <c r="B7306" s="4">
        <f t="shared" si="130"/>
        <v>642.99999999993361</v>
      </c>
      <c r="C7306" s="199">
        <v>1759.2878461597256</v>
      </c>
      <c r="D7306" s="8"/>
    </row>
    <row r="7307" spans="2:4" x14ac:dyDescent="0.25">
      <c r="B7307" s="4">
        <f t="shared" si="130"/>
        <v>643.0099999999336</v>
      </c>
      <c r="C7307" s="199">
        <v>1759.570468484955</v>
      </c>
      <c r="D7307" s="8"/>
    </row>
    <row r="7308" spans="2:4" x14ac:dyDescent="0.25">
      <c r="B7308" s="4">
        <f t="shared" si="130"/>
        <v>643.01999999993359</v>
      </c>
      <c r="C7308" s="199">
        <v>1759.8532743165354</v>
      </c>
      <c r="D7308" s="8"/>
    </row>
    <row r="7309" spans="2:4" x14ac:dyDescent="0.25">
      <c r="B7309" s="4">
        <f t="shared" si="130"/>
        <v>643.02999999993358</v>
      </c>
      <c r="C7309" s="199">
        <v>1760.1360801481198</v>
      </c>
      <c r="D7309" s="8"/>
    </row>
    <row r="7310" spans="2:4" x14ac:dyDescent="0.25">
      <c r="B7310" s="4">
        <f t="shared" si="130"/>
        <v>643.03999999993357</v>
      </c>
      <c r="C7310" s="199">
        <v>1760.4188859797021</v>
      </c>
      <c r="D7310" s="8"/>
    </row>
    <row r="7311" spans="2:4" x14ac:dyDescent="0.25">
      <c r="B7311" s="4">
        <f t="shared" si="130"/>
        <v>643.04999999993356</v>
      </c>
      <c r="C7311" s="199">
        <v>1760.7016918112849</v>
      </c>
      <c r="D7311" s="8"/>
    </row>
    <row r="7312" spans="2:4" x14ac:dyDescent="0.25">
      <c r="B7312" s="4">
        <f t="shared" si="130"/>
        <v>643.05999999993355</v>
      </c>
      <c r="C7312" s="199">
        <v>1760.9844976428669</v>
      </c>
      <c r="D7312" s="8"/>
    </row>
    <row r="7313" spans="2:4" x14ac:dyDescent="0.25">
      <c r="B7313" s="4">
        <f t="shared" si="130"/>
        <v>643.06999999993354</v>
      </c>
      <c r="C7313" s="199">
        <v>1761.2673034744489</v>
      </c>
      <c r="D7313" s="8"/>
    </row>
    <row r="7314" spans="2:4" x14ac:dyDescent="0.25">
      <c r="B7314" s="4">
        <f t="shared" si="130"/>
        <v>643.07999999993353</v>
      </c>
      <c r="C7314" s="199">
        <v>1761.5501093060316</v>
      </c>
      <c r="D7314" s="8"/>
    </row>
    <row r="7315" spans="2:4" x14ac:dyDescent="0.25">
      <c r="B7315" s="4">
        <f t="shared" si="130"/>
        <v>643.08999999993353</v>
      </c>
      <c r="C7315" s="199">
        <v>1761.832915137614</v>
      </c>
      <c r="D7315" s="8"/>
    </row>
    <row r="7316" spans="2:4" x14ac:dyDescent="0.25">
      <c r="B7316" s="4">
        <f t="shared" si="130"/>
        <v>643.09999999993352</v>
      </c>
      <c r="C7316" s="199">
        <v>1762.1157209691962</v>
      </c>
      <c r="D7316" s="8"/>
    </row>
    <row r="7317" spans="2:4" x14ac:dyDescent="0.25">
      <c r="B7317" s="4">
        <f t="shared" si="130"/>
        <v>643.10999999993351</v>
      </c>
      <c r="C7317" s="199">
        <v>1762.3985268007789</v>
      </c>
      <c r="D7317" s="8"/>
    </row>
    <row r="7318" spans="2:4" x14ac:dyDescent="0.25">
      <c r="B7318" s="4">
        <f t="shared" si="130"/>
        <v>643.1199999999335</v>
      </c>
      <c r="C7318" s="199">
        <v>1762.6815115206139</v>
      </c>
      <c r="D7318" s="8"/>
    </row>
    <row r="7319" spans="2:4" x14ac:dyDescent="0.25">
      <c r="B7319" s="4">
        <f t="shared" si="130"/>
        <v>643.12999999993349</v>
      </c>
      <c r="C7319" s="199">
        <v>1762.9644962404529</v>
      </c>
      <c r="D7319" s="8"/>
    </row>
    <row r="7320" spans="2:4" x14ac:dyDescent="0.25">
      <c r="B7320" s="4">
        <f t="shared" si="130"/>
        <v>643.13999999993348</v>
      </c>
      <c r="C7320" s="199">
        <v>1763.2474809602936</v>
      </c>
      <c r="D7320" s="8"/>
    </row>
    <row r="7321" spans="2:4" x14ac:dyDescent="0.25">
      <c r="B7321" s="4">
        <f t="shared" si="130"/>
        <v>643.14999999993347</v>
      </c>
      <c r="C7321" s="199">
        <v>1763.5304656801329</v>
      </c>
      <c r="D7321" s="8"/>
    </row>
    <row r="7322" spans="2:4" x14ac:dyDescent="0.25">
      <c r="B7322" s="4">
        <f t="shared" si="130"/>
        <v>643.15999999993346</v>
      </c>
      <c r="C7322" s="199">
        <v>1763.8134503999743</v>
      </c>
      <c r="D7322" s="8"/>
    </row>
    <row r="7323" spans="2:4" x14ac:dyDescent="0.25">
      <c r="B7323" s="4">
        <f t="shared" si="130"/>
        <v>643.16999999993345</v>
      </c>
      <c r="C7323" s="199">
        <v>1764.0964351198127</v>
      </c>
      <c r="D7323" s="8"/>
    </row>
    <row r="7324" spans="2:4" x14ac:dyDescent="0.25">
      <c r="B7324" s="4">
        <f t="shared" si="130"/>
        <v>643.17999999993344</v>
      </c>
      <c r="C7324" s="199">
        <v>1764.379419839654</v>
      </c>
      <c r="D7324" s="8"/>
    </row>
    <row r="7325" spans="2:4" x14ac:dyDescent="0.25">
      <c r="B7325" s="4">
        <f t="shared" si="130"/>
        <v>643.18999999993343</v>
      </c>
      <c r="C7325" s="199">
        <v>1764.6624045594931</v>
      </c>
      <c r="D7325" s="8"/>
    </row>
    <row r="7326" spans="2:4" x14ac:dyDescent="0.25">
      <c r="B7326" s="4">
        <f t="shared" si="130"/>
        <v>643.19999999993342</v>
      </c>
      <c r="C7326" s="199">
        <v>1764.9453892793319</v>
      </c>
      <c r="D7326" s="8"/>
    </row>
    <row r="7327" spans="2:4" x14ac:dyDescent="0.25">
      <c r="B7327" s="4">
        <f t="shared" si="130"/>
        <v>643.20999999993342</v>
      </c>
      <c r="C7327" s="199">
        <v>1765.2283739991728</v>
      </c>
      <c r="D7327" s="8"/>
    </row>
    <row r="7328" spans="2:4" x14ac:dyDescent="0.25">
      <c r="B7328" s="4">
        <f t="shared" si="130"/>
        <v>643.21999999993341</v>
      </c>
      <c r="C7328" s="199">
        <v>1765.5115394003162</v>
      </c>
      <c r="D7328" s="8"/>
    </row>
    <row r="7329" spans="2:4" x14ac:dyDescent="0.25">
      <c r="B7329" s="4">
        <f t="shared" si="130"/>
        <v>643.2299999999334</v>
      </c>
      <c r="C7329" s="199">
        <v>1765.7947048014605</v>
      </c>
      <c r="D7329" s="8"/>
    </row>
    <row r="7330" spans="2:4" x14ac:dyDescent="0.25">
      <c r="B7330" s="4">
        <f t="shared" si="130"/>
        <v>643.23999999993339</v>
      </c>
      <c r="C7330" s="199">
        <v>1766.0778702026028</v>
      </c>
      <c r="D7330" s="8"/>
    </row>
    <row r="7331" spans="2:4" x14ac:dyDescent="0.25">
      <c r="B7331" s="4">
        <f t="shared" si="130"/>
        <v>643.24999999993338</v>
      </c>
      <c r="C7331" s="199">
        <v>1766.361035603747</v>
      </c>
      <c r="D7331" s="8"/>
    </row>
    <row r="7332" spans="2:4" x14ac:dyDescent="0.25">
      <c r="B7332" s="4">
        <f t="shared" si="130"/>
        <v>643.25999999993337</v>
      </c>
      <c r="C7332" s="199">
        <v>1766.6442010048895</v>
      </c>
      <c r="D7332" s="8"/>
    </row>
    <row r="7333" spans="2:4" x14ac:dyDescent="0.25">
      <c r="B7333" s="4">
        <f t="shared" si="130"/>
        <v>643.26999999993336</v>
      </c>
      <c r="C7333" s="199">
        <v>1766.9273664060333</v>
      </c>
      <c r="D7333" s="8"/>
    </row>
    <row r="7334" spans="2:4" x14ac:dyDescent="0.25">
      <c r="B7334" s="4">
        <f t="shared" si="130"/>
        <v>643.27999999993335</v>
      </c>
      <c r="C7334" s="199">
        <v>1767.2105318071776</v>
      </c>
      <c r="D7334" s="8"/>
    </row>
    <row r="7335" spans="2:4" x14ac:dyDescent="0.25">
      <c r="B7335" s="4">
        <f t="shared" si="130"/>
        <v>643.28999999993334</v>
      </c>
      <c r="C7335" s="199">
        <v>1767.4936972083199</v>
      </c>
      <c r="D7335" s="8"/>
    </row>
    <row r="7336" spans="2:4" x14ac:dyDescent="0.25">
      <c r="B7336" s="4">
        <f t="shared" si="130"/>
        <v>643.29999999993333</v>
      </c>
      <c r="C7336" s="199">
        <v>1767.7768626094646</v>
      </c>
      <c r="D7336" s="8"/>
    </row>
    <row r="7337" spans="2:4" x14ac:dyDescent="0.25">
      <c r="B7337" s="4">
        <f t="shared" si="130"/>
        <v>643.30999999993332</v>
      </c>
      <c r="C7337" s="199">
        <v>1768.0600280106066</v>
      </c>
      <c r="D7337" s="8"/>
    </row>
    <row r="7338" spans="2:4" x14ac:dyDescent="0.25">
      <c r="B7338" s="4">
        <f t="shared" si="130"/>
        <v>643.31999999993332</v>
      </c>
      <c r="C7338" s="199">
        <v>1768.3433713724341</v>
      </c>
      <c r="D7338" s="8"/>
    </row>
    <row r="7339" spans="2:4" x14ac:dyDescent="0.25">
      <c r="B7339" s="4">
        <f t="shared" si="130"/>
        <v>643.32999999993331</v>
      </c>
      <c r="C7339" s="199">
        <v>1768.6267147342667</v>
      </c>
      <c r="D7339" s="8"/>
    </row>
    <row r="7340" spans="2:4" x14ac:dyDescent="0.25">
      <c r="B7340" s="4">
        <f t="shared" si="130"/>
        <v>643.3399999999333</v>
      </c>
      <c r="C7340" s="199">
        <v>1768.9100580960965</v>
      </c>
      <c r="D7340" s="8"/>
    </row>
    <row r="7341" spans="2:4" x14ac:dyDescent="0.25">
      <c r="B7341" s="4">
        <f t="shared" si="130"/>
        <v>643.34999999993329</v>
      </c>
      <c r="C7341" s="199">
        <v>1769.1934014579267</v>
      </c>
      <c r="D7341" s="8"/>
    </row>
    <row r="7342" spans="2:4" x14ac:dyDescent="0.25">
      <c r="B7342" s="4">
        <f t="shared" si="130"/>
        <v>643.35999999993328</v>
      </c>
      <c r="C7342" s="199">
        <v>1769.4767448197588</v>
      </c>
      <c r="D7342" s="8"/>
    </row>
    <row r="7343" spans="2:4" x14ac:dyDescent="0.25">
      <c r="B7343" s="4">
        <f t="shared" si="130"/>
        <v>643.36999999993327</v>
      </c>
      <c r="C7343" s="199">
        <v>1769.7600881815888</v>
      </c>
      <c r="D7343" s="8"/>
    </row>
    <row r="7344" spans="2:4" x14ac:dyDescent="0.25">
      <c r="B7344" s="4">
        <f t="shared" si="130"/>
        <v>643.37999999993326</v>
      </c>
      <c r="C7344" s="199">
        <v>1770.0434315434209</v>
      </c>
      <c r="D7344" s="8"/>
    </row>
    <row r="7345" spans="2:4" x14ac:dyDescent="0.25">
      <c r="B7345" s="4">
        <f t="shared" si="130"/>
        <v>643.38999999993325</v>
      </c>
      <c r="C7345" s="199">
        <v>1770.3267749052516</v>
      </c>
      <c r="D7345" s="8"/>
    </row>
    <row r="7346" spans="2:4" x14ac:dyDescent="0.25">
      <c r="B7346" s="4">
        <f t="shared" si="130"/>
        <v>643.39999999993324</v>
      </c>
      <c r="C7346" s="199">
        <v>1770.6101182670834</v>
      </c>
      <c r="D7346" s="8"/>
    </row>
    <row r="7347" spans="2:4" x14ac:dyDescent="0.25">
      <c r="B7347" s="4">
        <f t="shared" si="130"/>
        <v>643.40999999993323</v>
      </c>
      <c r="C7347" s="199">
        <v>1770.8934616289134</v>
      </c>
      <c r="D7347" s="8"/>
    </row>
    <row r="7348" spans="2:4" x14ac:dyDescent="0.25">
      <c r="B7348" s="4">
        <f t="shared" si="130"/>
        <v>643.41999999993322</v>
      </c>
      <c r="C7348" s="199">
        <v>1771.1769783120344</v>
      </c>
      <c r="D7348" s="8"/>
    </row>
    <row r="7349" spans="2:4" x14ac:dyDescent="0.25">
      <c r="B7349" s="4">
        <f t="shared" si="130"/>
        <v>643.42999999993322</v>
      </c>
      <c r="C7349" s="199">
        <v>1771.4604949951552</v>
      </c>
      <c r="D7349" s="8"/>
    </row>
    <row r="7350" spans="2:4" x14ac:dyDescent="0.25">
      <c r="B7350" s="4">
        <f t="shared" si="130"/>
        <v>643.43999999993321</v>
      </c>
      <c r="C7350" s="199">
        <v>1771.7440116782759</v>
      </c>
      <c r="D7350" s="8"/>
    </row>
    <row r="7351" spans="2:4" x14ac:dyDescent="0.25">
      <c r="B7351" s="4">
        <f t="shared" si="130"/>
        <v>643.4499999999332</v>
      </c>
      <c r="C7351" s="199">
        <v>1772.0275283613985</v>
      </c>
      <c r="D7351" s="8"/>
    </row>
    <row r="7352" spans="2:4" x14ac:dyDescent="0.25">
      <c r="B7352" s="4">
        <f t="shared" si="130"/>
        <v>643.45999999993319</v>
      </c>
      <c r="C7352" s="199">
        <v>1772.3110450445192</v>
      </c>
      <c r="D7352" s="8"/>
    </row>
    <row r="7353" spans="2:4" x14ac:dyDescent="0.25">
      <c r="B7353" s="4">
        <f t="shared" si="130"/>
        <v>643.46999999993318</v>
      </c>
      <c r="C7353" s="199">
        <v>1772.5945617276395</v>
      </c>
      <c r="D7353" s="8"/>
    </row>
    <row r="7354" spans="2:4" x14ac:dyDescent="0.25">
      <c r="B7354" s="4">
        <f t="shared" si="130"/>
        <v>643.47999999993317</v>
      </c>
      <c r="C7354" s="199">
        <v>1772.8780784107623</v>
      </c>
      <c r="D7354" s="8"/>
    </row>
    <row r="7355" spans="2:4" x14ac:dyDescent="0.25">
      <c r="B7355" s="4">
        <f t="shared" si="130"/>
        <v>643.48999999993316</v>
      </c>
      <c r="C7355" s="199">
        <v>1773.1615950938835</v>
      </c>
      <c r="D7355" s="8"/>
    </row>
    <row r="7356" spans="2:4" x14ac:dyDescent="0.25">
      <c r="B7356" s="4">
        <f t="shared" si="130"/>
        <v>643.49999999993315</v>
      </c>
      <c r="C7356" s="199">
        <v>1773.4451117770041</v>
      </c>
      <c r="D7356" s="8"/>
    </row>
    <row r="7357" spans="2:4" x14ac:dyDescent="0.25">
      <c r="B7357" s="4">
        <f t="shared" si="130"/>
        <v>643.50999999993314</v>
      </c>
      <c r="C7357" s="199">
        <v>1773.7286284601248</v>
      </c>
      <c r="D7357" s="8"/>
    </row>
    <row r="7358" spans="2:4" x14ac:dyDescent="0.25">
      <c r="B7358" s="4">
        <f t="shared" si="130"/>
        <v>643.51999999993313</v>
      </c>
      <c r="C7358" s="199">
        <v>1774.0123154804544</v>
      </c>
      <c r="D7358" s="8"/>
    </row>
    <row r="7359" spans="2:4" x14ac:dyDescent="0.25">
      <c r="B7359" s="4">
        <f t="shared" si="130"/>
        <v>643.52999999993312</v>
      </c>
      <c r="C7359" s="199">
        <v>1774.2960025007872</v>
      </c>
      <c r="D7359" s="8"/>
    </row>
    <row r="7360" spans="2:4" x14ac:dyDescent="0.25">
      <c r="B7360" s="4">
        <f t="shared" si="130"/>
        <v>643.53999999993312</v>
      </c>
      <c r="C7360" s="199">
        <v>1774.5796895211226</v>
      </c>
      <c r="D7360" s="8"/>
    </row>
    <row r="7361" spans="2:4" x14ac:dyDescent="0.25">
      <c r="B7361" s="4">
        <f t="shared" si="130"/>
        <v>643.54999999993311</v>
      </c>
      <c r="C7361" s="199">
        <v>1774.8633765414561</v>
      </c>
      <c r="D7361" s="8"/>
    </row>
    <row r="7362" spans="2:4" x14ac:dyDescent="0.25">
      <c r="B7362" s="4">
        <f t="shared" si="130"/>
        <v>643.5599999999331</v>
      </c>
      <c r="C7362" s="199">
        <v>1775.1470635617914</v>
      </c>
      <c r="D7362" s="8"/>
    </row>
    <row r="7363" spans="2:4" x14ac:dyDescent="0.25">
      <c r="B7363" s="4">
        <f t="shared" si="130"/>
        <v>643.56999999993309</v>
      </c>
      <c r="C7363" s="199">
        <v>1775.4307505821246</v>
      </c>
      <c r="D7363" s="8"/>
    </row>
    <row r="7364" spans="2:4" x14ac:dyDescent="0.25">
      <c r="B7364" s="4">
        <f t="shared" si="130"/>
        <v>643.57999999993308</v>
      </c>
      <c r="C7364" s="199">
        <v>1775.7144376024598</v>
      </c>
      <c r="D7364" s="8"/>
    </row>
    <row r="7365" spans="2:4" x14ac:dyDescent="0.25">
      <c r="B7365" s="4">
        <f t="shared" si="130"/>
        <v>643.58999999993307</v>
      </c>
      <c r="C7365" s="199">
        <v>1775.9981246227933</v>
      </c>
      <c r="D7365" s="8"/>
    </row>
    <row r="7366" spans="2:4" x14ac:dyDescent="0.25">
      <c r="B7366" s="4">
        <f t="shared" si="130"/>
        <v>643.59999999993306</v>
      </c>
      <c r="C7366" s="199">
        <v>1776.2818116431285</v>
      </c>
      <c r="D7366" s="8"/>
    </row>
    <row r="7367" spans="2:4" x14ac:dyDescent="0.25">
      <c r="B7367" s="4">
        <f t="shared" si="130"/>
        <v>643.60999999993305</v>
      </c>
      <c r="C7367" s="199">
        <v>1776.5654986634613</v>
      </c>
      <c r="D7367" s="8"/>
    </row>
    <row r="7368" spans="2:4" x14ac:dyDescent="0.25">
      <c r="B7368" s="4">
        <f t="shared" ref="B7368:B7431" si="131">+B7367+0.01</f>
        <v>643.61999999993304</v>
      </c>
      <c r="C7368" s="199">
        <v>1776.8493504337453</v>
      </c>
      <c r="D7368" s="8"/>
    </row>
    <row r="7369" spans="2:4" x14ac:dyDescent="0.25">
      <c r="B7369" s="4">
        <f t="shared" si="131"/>
        <v>643.62999999993303</v>
      </c>
      <c r="C7369" s="199">
        <v>1777.1332022040285</v>
      </c>
      <c r="D7369" s="8"/>
    </row>
    <row r="7370" spans="2:4" x14ac:dyDescent="0.25">
      <c r="B7370" s="4">
        <f t="shared" si="131"/>
        <v>643.63999999993302</v>
      </c>
      <c r="C7370" s="199">
        <v>1777.4170539743102</v>
      </c>
      <c r="D7370" s="8"/>
    </row>
    <row r="7371" spans="2:4" x14ac:dyDescent="0.25">
      <c r="B7371" s="4">
        <f t="shared" si="131"/>
        <v>643.64999999993302</v>
      </c>
      <c r="C7371" s="199">
        <v>1777.7009057445939</v>
      </c>
      <c r="D7371" s="8"/>
    </row>
    <row r="7372" spans="2:4" x14ac:dyDescent="0.25">
      <c r="B7372" s="4">
        <f t="shared" si="131"/>
        <v>643.65999999993301</v>
      </c>
      <c r="C7372" s="199">
        <v>1777.984757514876</v>
      </c>
      <c r="D7372" s="8"/>
    </row>
    <row r="7373" spans="2:4" x14ac:dyDescent="0.25">
      <c r="B7373" s="4">
        <f t="shared" si="131"/>
        <v>643.669999999933</v>
      </c>
      <c r="C7373" s="199">
        <v>1778.2686092851573</v>
      </c>
      <c r="D7373" s="8"/>
    </row>
    <row r="7374" spans="2:4" x14ac:dyDescent="0.25">
      <c r="B7374" s="4">
        <f t="shared" si="131"/>
        <v>643.67999999993299</v>
      </c>
      <c r="C7374" s="199">
        <v>1778.5524610554407</v>
      </c>
      <c r="D7374" s="8"/>
    </row>
    <row r="7375" spans="2:4" x14ac:dyDescent="0.25">
      <c r="B7375" s="4">
        <f t="shared" si="131"/>
        <v>643.68999999993298</v>
      </c>
      <c r="C7375" s="199">
        <v>1778.8363128257224</v>
      </c>
      <c r="D7375" s="8"/>
    </row>
    <row r="7376" spans="2:4" x14ac:dyDescent="0.25">
      <c r="B7376" s="4">
        <f t="shared" si="131"/>
        <v>643.69999999993297</v>
      </c>
      <c r="C7376" s="199">
        <v>1779.1201645960043</v>
      </c>
      <c r="D7376" s="8"/>
    </row>
    <row r="7377" spans="2:4" x14ac:dyDescent="0.25">
      <c r="B7377" s="4">
        <f t="shared" si="131"/>
        <v>643.70999999993296</v>
      </c>
      <c r="C7377" s="199">
        <v>1779.404016366288</v>
      </c>
      <c r="D7377" s="8"/>
    </row>
    <row r="7378" spans="2:4" x14ac:dyDescent="0.25">
      <c r="B7378" s="4">
        <f t="shared" si="131"/>
        <v>643.71999999993295</v>
      </c>
      <c r="C7378" s="199">
        <v>1779.6880286826583</v>
      </c>
      <c r="D7378" s="8"/>
    </row>
    <row r="7379" spans="2:4" x14ac:dyDescent="0.25">
      <c r="B7379" s="4">
        <f t="shared" si="131"/>
        <v>643.72999999993294</v>
      </c>
      <c r="C7379" s="199">
        <v>1779.9720409990337</v>
      </c>
      <c r="D7379" s="8"/>
    </row>
    <row r="7380" spans="2:4" x14ac:dyDescent="0.25">
      <c r="B7380" s="4">
        <f t="shared" si="131"/>
        <v>643.73999999993293</v>
      </c>
      <c r="C7380" s="199">
        <v>1780.2560533154094</v>
      </c>
      <c r="D7380" s="8"/>
    </row>
    <row r="7381" spans="2:4" x14ac:dyDescent="0.25">
      <c r="B7381" s="4">
        <f t="shared" si="131"/>
        <v>643.74999999993292</v>
      </c>
      <c r="C7381" s="199">
        <v>1780.5400656317854</v>
      </c>
      <c r="D7381" s="8"/>
    </row>
    <row r="7382" spans="2:4" x14ac:dyDescent="0.25">
      <c r="B7382" s="4">
        <f t="shared" si="131"/>
        <v>643.75999999993292</v>
      </c>
      <c r="C7382" s="199">
        <v>1780.8240779481605</v>
      </c>
      <c r="D7382" s="8"/>
    </row>
    <row r="7383" spans="2:4" x14ac:dyDescent="0.25">
      <c r="B7383" s="4">
        <f t="shared" si="131"/>
        <v>643.76999999993291</v>
      </c>
      <c r="C7383" s="199">
        <v>1781.1080902645369</v>
      </c>
      <c r="D7383" s="8"/>
    </row>
    <row r="7384" spans="2:4" x14ac:dyDescent="0.25">
      <c r="B7384" s="4">
        <f t="shared" si="131"/>
        <v>643.7799999999329</v>
      </c>
      <c r="C7384" s="199">
        <v>1781.3921025809127</v>
      </c>
      <c r="D7384" s="8"/>
    </row>
    <row r="7385" spans="2:4" x14ac:dyDescent="0.25">
      <c r="B7385" s="4">
        <f t="shared" si="131"/>
        <v>643.78999999993289</v>
      </c>
      <c r="C7385" s="199">
        <v>1781.6761148972882</v>
      </c>
      <c r="D7385" s="8"/>
    </row>
    <row r="7386" spans="2:4" x14ac:dyDescent="0.25">
      <c r="B7386" s="4">
        <f t="shared" si="131"/>
        <v>643.79999999993288</v>
      </c>
      <c r="C7386" s="199">
        <v>1781.960127213664</v>
      </c>
      <c r="D7386" s="8"/>
    </row>
    <row r="7387" spans="2:4" x14ac:dyDescent="0.25">
      <c r="B7387" s="4">
        <f t="shared" si="131"/>
        <v>643.80999999993287</v>
      </c>
      <c r="C7387" s="199">
        <v>1782.24413953004</v>
      </c>
      <c r="D7387" s="8"/>
    </row>
    <row r="7388" spans="2:4" x14ac:dyDescent="0.25">
      <c r="B7388" s="4">
        <f t="shared" si="131"/>
        <v>643.81999999993286</v>
      </c>
      <c r="C7388" s="199">
        <v>1782.5283084706493</v>
      </c>
      <c r="D7388" s="8"/>
    </row>
    <row r="7389" spans="2:4" x14ac:dyDescent="0.25">
      <c r="B7389" s="4">
        <f t="shared" si="131"/>
        <v>643.82999999993285</v>
      </c>
      <c r="C7389" s="199">
        <v>1782.812477411258</v>
      </c>
      <c r="D7389" s="8"/>
    </row>
    <row r="7390" spans="2:4" x14ac:dyDescent="0.25">
      <c r="B7390" s="4">
        <f t="shared" si="131"/>
        <v>643.83999999993284</v>
      </c>
      <c r="C7390" s="199">
        <v>1783.0966463518685</v>
      </c>
      <c r="D7390" s="8"/>
    </row>
    <row r="7391" spans="2:4" x14ac:dyDescent="0.25">
      <c r="B7391" s="4">
        <f t="shared" si="131"/>
        <v>643.84999999993283</v>
      </c>
      <c r="C7391" s="199">
        <v>1783.3808152924767</v>
      </c>
      <c r="D7391" s="8"/>
    </row>
    <row r="7392" spans="2:4" x14ac:dyDescent="0.25">
      <c r="B7392" s="4">
        <f t="shared" si="131"/>
        <v>643.85999999993282</v>
      </c>
      <c r="C7392" s="199">
        <v>1783.6649842330851</v>
      </c>
      <c r="D7392" s="8"/>
    </row>
    <row r="7393" spans="2:4" x14ac:dyDescent="0.25">
      <c r="B7393" s="4">
        <f t="shared" si="131"/>
        <v>643.86999999993282</v>
      </c>
      <c r="C7393" s="199">
        <v>1783.9491531736951</v>
      </c>
      <c r="D7393" s="8"/>
    </row>
    <row r="7394" spans="2:4" x14ac:dyDescent="0.25">
      <c r="B7394" s="4">
        <f t="shared" si="131"/>
        <v>643.87999999993281</v>
      </c>
      <c r="C7394" s="199">
        <v>1784.2333221143035</v>
      </c>
      <c r="D7394" s="8"/>
    </row>
    <row r="7395" spans="2:4" x14ac:dyDescent="0.25">
      <c r="B7395" s="4">
        <f t="shared" si="131"/>
        <v>643.8899999999328</v>
      </c>
      <c r="C7395" s="199">
        <v>1784.5174910549122</v>
      </c>
      <c r="D7395" s="8"/>
    </row>
    <row r="7396" spans="2:4" x14ac:dyDescent="0.25">
      <c r="B7396" s="4">
        <f t="shared" si="131"/>
        <v>643.89999999993279</v>
      </c>
      <c r="C7396" s="199">
        <v>1784.801659995522</v>
      </c>
      <c r="D7396" s="8"/>
    </row>
    <row r="7397" spans="2:4" x14ac:dyDescent="0.25">
      <c r="B7397" s="4">
        <f t="shared" si="131"/>
        <v>643.90999999993278</v>
      </c>
      <c r="C7397" s="199">
        <v>1785.0858289361306</v>
      </c>
      <c r="D7397" s="8"/>
    </row>
    <row r="7398" spans="2:4" x14ac:dyDescent="0.25">
      <c r="B7398" s="4">
        <f t="shared" si="131"/>
        <v>643.91999999993277</v>
      </c>
      <c r="C7398" s="199">
        <v>1785.3701490476831</v>
      </c>
      <c r="D7398" s="8"/>
    </row>
    <row r="7399" spans="2:4" x14ac:dyDescent="0.25">
      <c r="B7399" s="4">
        <f t="shared" si="131"/>
        <v>643.92999999993276</v>
      </c>
      <c r="C7399" s="199">
        <v>1785.6544691592421</v>
      </c>
      <c r="D7399" s="8"/>
    </row>
    <row r="7400" spans="2:4" x14ac:dyDescent="0.25">
      <c r="B7400" s="4">
        <f t="shared" si="131"/>
        <v>643.93999999993275</v>
      </c>
      <c r="C7400" s="199">
        <v>1785.9387892708003</v>
      </c>
      <c r="D7400" s="8"/>
    </row>
    <row r="7401" spans="2:4" x14ac:dyDescent="0.25">
      <c r="B7401" s="4">
        <f t="shared" si="131"/>
        <v>643.94999999993274</v>
      </c>
      <c r="C7401" s="199">
        <v>1786.2231093823596</v>
      </c>
      <c r="D7401" s="8"/>
    </row>
    <row r="7402" spans="2:4" x14ac:dyDescent="0.25">
      <c r="B7402" s="4">
        <f t="shared" si="131"/>
        <v>643.95999999993273</v>
      </c>
      <c r="C7402" s="199">
        <v>1786.5074294939182</v>
      </c>
      <c r="D7402" s="8"/>
    </row>
    <row r="7403" spans="2:4" x14ac:dyDescent="0.25">
      <c r="B7403" s="4">
        <f t="shared" si="131"/>
        <v>643.96999999993272</v>
      </c>
      <c r="C7403" s="199">
        <v>1786.7917496054777</v>
      </c>
      <c r="D7403" s="8"/>
    </row>
    <row r="7404" spans="2:4" x14ac:dyDescent="0.25">
      <c r="B7404" s="4">
        <f t="shared" si="131"/>
        <v>643.97999999993272</v>
      </c>
      <c r="C7404" s="199">
        <v>1787.0760697170363</v>
      </c>
      <c r="D7404" s="8"/>
    </row>
    <row r="7405" spans="2:4" x14ac:dyDescent="0.25">
      <c r="B7405" s="4">
        <f t="shared" si="131"/>
        <v>643.98999999993271</v>
      </c>
      <c r="C7405" s="199">
        <v>1787.3603898285953</v>
      </c>
      <c r="D7405" s="8"/>
    </row>
    <row r="7406" spans="2:4" x14ac:dyDescent="0.25">
      <c r="B7406" s="4">
        <f t="shared" si="131"/>
        <v>643.9999999999327</v>
      </c>
      <c r="C7406" s="199">
        <v>1787.6447099401537</v>
      </c>
      <c r="D7406" s="8"/>
    </row>
    <row r="7407" spans="2:4" x14ac:dyDescent="0.25">
      <c r="B7407" s="4">
        <f t="shared" si="131"/>
        <v>644.00999999993269</v>
      </c>
      <c r="C7407" s="199">
        <v>1787.9290300517127</v>
      </c>
      <c r="D7407" s="8"/>
    </row>
    <row r="7408" spans="2:4" x14ac:dyDescent="0.25">
      <c r="B7408" s="4">
        <f t="shared" si="131"/>
        <v>644.01999999993268</v>
      </c>
      <c r="C7408" s="199">
        <v>1788.2135017414703</v>
      </c>
      <c r="D7408" s="8"/>
    </row>
    <row r="7409" spans="2:4" x14ac:dyDescent="0.25">
      <c r="B7409" s="4">
        <f t="shared" si="131"/>
        <v>644.02999999993267</v>
      </c>
      <c r="C7409" s="199">
        <v>1788.4979734312287</v>
      </c>
      <c r="D7409" s="8"/>
    </row>
    <row r="7410" spans="2:4" x14ac:dyDescent="0.25">
      <c r="B7410" s="4">
        <f t="shared" si="131"/>
        <v>644.03999999993266</v>
      </c>
      <c r="C7410" s="199">
        <v>1788.7824451209876</v>
      </c>
      <c r="D7410" s="8"/>
    </row>
    <row r="7411" spans="2:4" x14ac:dyDescent="0.25">
      <c r="B7411" s="4">
        <f t="shared" si="131"/>
        <v>644.04999999993265</v>
      </c>
      <c r="C7411" s="199">
        <v>1789.0669168107465</v>
      </c>
      <c r="D7411" s="8"/>
    </row>
    <row r="7412" spans="2:4" x14ac:dyDescent="0.25">
      <c r="B7412" s="4">
        <f t="shared" si="131"/>
        <v>644.05999999993264</v>
      </c>
      <c r="C7412" s="199">
        <v>1789.351388500505</v>
      </c>
      <c r="D7412" s="8"/>
    </row>
    <row r="7413" spans="2:4" x14ac:dyDescent="0.25">
      <c r="B7413" s="4">
        <f t="shared" si="131"/>
        <v>644.06999999993263</v>
      </c>
      <c r="C7413" s="199">
        <v>1789.6358601902639</v>
      </c>
      <c r="D7413" s="8"/>
    </row>
    <row r="7414" spans="2:4" x14ac:dyDescent="0.25">
      <c r="B7414" s="4">
        <f t="shared" si="131"/>
        <v>644.07999999993262</v>
      </c>
      <c r="C7414" s="199">
        <v>1789.9203318800221</v>
      </c>
      <c r="D7414" s="8"/>
    </row>
    <row r="7415" spans="2:4" x14ac:dyDescent="0.25">
      <c r="B7415" s="4">
        <f t="shared" si="131"/>
        <v>644.08999999993262</v>
      </c>
      <c r="C7415" s="199">
        <v>1790.204803569781</v>
      </c>
      <c r="D7415" s="8"/>
    </row>
    <row r="7416" spans="2:4" x14ac:dyDescent="0.25">
      <c r="B7416" s="4">
        <f t="shared" si="131"/>
        <v>644.09999999993261</v>
      </c>
      <c r="C7416" s="199">
        <v>1790.4892752595399</v>
      </c>
      <c r="D7416" s="8"/>
    </row>
    <row r="7417" spans="2:4" x14ac:dyDescent="0.25">
      <c r="B7417" s="4">
        <f t="shared" si="131"/>
        <v>644.1099999999326</v>
      </c>
      <c r="C7417" s="199">
        <v>1790.7737469492965</v>
      </c>
      <c r="D7417" s="8"/>
    </row>
    <row r="7418" spans="2:4" x14ac:dyDescent="0.25">
      <c r="B7418" s="4">
        <f t="shared" si="131"/>
        <v>644.11999999993259</v>
      </c>
      <c r="C7418" s="199">
        <v>1791.0583673484291</v>
      </c>
      <c r="D7418" s="8"/>
    </row>
    <row r="7419" spans="2:4" x14ac:dyDescent="0.25">
      <c r="B7419" s="4">
        <f t="shared" si="131"/>
        <v>644.12999999993258</v>
      </c>
      <c r="C7419" s="199">
        <v>1791.3429877475651</v>
      </c>
      <c r="D7419" s="8"/>
    </row>
    <row r="7420" spans="2:4" x14ac:dyDescent="0.25">
      <c r="B7420" s="4">
        <f t="shared" si="131"/>
        <v>644.13999999993257</v>
      </c>
      <c r="C7420" s="199">
        <v>1791.6276081467008</v>
      </c>
      <c r="D7420" s="8"/>
    </row>
    <row r="7421" spans="2:4" x14ac:dyDescent="0.25">
      <c r="B7421" s="4">
        <f t="shared" si="131"/>
        <v>644.14999999993256</v>
      </c>
      <c r="C7421" s="199">
        <v>1791.9122285458368</v>
      </c>
      <c r="D7421" s="8"/>
    </row>
    <row r="7422" spans="2:4" x14ac:dyDescent="0.25">
      <c r="B7422" s="4">
        <f t="shared" si="131"/>
        <v>644.15999999993255</v>
      </c>
      <c r="C7422" s="199">
        <v>1792.196848944973</v>
      </c>
      <c r="D7422" s="8"/>
    </row>
    <row r="7423" spans="2:4" x14ac:dyDescent="0.25">
      <c r="B7423" s="4">
        <f t="shared" si="131"/>
        <v>644.16999999993254</v>
      </c>
      <c r="C7423" s="199">
        <v>1792.4814693441092</v>
      </c>
      <c r="D7423" s="8"/>
    </row>
    <row r="7424" spans="2:4" x14ac:dyDescent="0.25">
      <c r="B7424" s="4">
        <f t="shared" si="131"/>
        <v>644.17999999993253</v>
      </c>
      <c r="C7424" s="199">
        <v>1792.7660897432447</v>
      </c>
      <c r="D7424" s="8"/>
    </row>
    <row r="7425" spans="2:4" x14ac:dyDescent="0.25">
      <c r="B7425" s="4">
        <f t="shared" si="131"/>
        <v>644.18999999993252</v>
      </c>
      <c r="C7425" s="199">
        <v>1793.0507101423809</v>
      </c>
      <c r="D7425" s="8"/>
    </row>
    <row r="7426" spans="2:4" x14ac:dyDescent="0.25">
      <c r="B7426" s="4">
        <f t="shared" si="131"/>
        <v>644.19999999993252</v>
      </c>
      <c r="C7426" s="199">
        <v>1793.3353305415169</v>
      </c>
      <c r="D7426" s="8"/>
    </row>
    <row r="7427" spans="2:4" x14ac:dyDescent="0.25">
      <c r="B7427" s="4">
        <f t="shared" si="131"/>
        <v>644.20999999993251</v>
      </c>
      <c r="C7427" s="199">
        <v>1793.6199509406526</v>
      </c>
      <c r="D7427" s="8"/>
    </row>
    <row r="7428" spans="2:4" x14ac:dyDescent="0.25">
      <c r="B7428" s="4">
        <f t="shared" si="131"/>
        <v>644.2199999999325</v>
      </c>
      <c r="C7428" s="199">
        <v>1793.9047208624609</v>
      </c>
      <c r="D7428" s="8"/>
    </row>
    <row r="7429" spans="2:4" x14ac:dyDescent="0.25">
      <c r="B7429" s="4">
        <f t="shared" si="131"/>
        <v>644.22999999993249</v>
      </c>
      <c r="C7429" s="199">
        <v>1794.1894907842691</v>
      </c>
      <c r="D7429" s="8"/>
    </row>
    <row r="7430" spans="2:4" x14ac:dyDescent="0.25">
      <c r="B7430" s="4">
        <f t="shared" si="131"/>
        <v>644.23999999993248</v>
      </c>
      <c r="C7430" s="199">
        <v>1794.4742607060778</v>
      </c>
      <c r="D7430" s="8"/>
    </row>
    <row r="7431" spans="2:4" x14ac:dyDescent="0.25">
      <c r="B7431" s="4">
        <f t="shared" si="131"/>
        <v>644.24999999993247</v>
      </c>
      <c r="C7431" s="199">
        <v>1794.7590306278864</v>
      </c>
      <c r="D7431" s="8"/>
    </row>
    <row r="7432" spans="2:4" x14ac:dyDescent="0.25">
      <c r="B7432" s="4">
        <f t="shared" ref="B7432:B7495" si="132">+B7431+0.01</f>
        <v>644.25999999993246</v>
      </c>
      <c r="C7432" s="199">
        <v>1795.0438005496942</v>
      </c>
      <c r="D7432" s="8"/>
    </row>
    <row r="7433" spans="2:4" x14ac:dyDescent="0.25">
      <c r="B7433" s="4">
        <f t="shared" si="132"/>
        <v>644.26999999993245</v>
      </c>
      <c r="C7433" s="199">
        <v>1795.3285704715031</v>
      </c>
      <c r="D7433" s="8"/>
    </row>
    <row r="7434" spans="2:4" x14ac:dyDescent="0.25">
      <c r="B7434" s="4">
        <f t="shared" si="132"/>
        <v>644.27999999993244</v>
      </c>
      <c r="C7434" s="199">
        <v>1795.6133403933118</v>
      </c>
      <c r="D7434" s="8"/>
    </row>
    <row r="7435" spans="2:4" x14ac:dyDescent="0.25">
      <c r="B7435" s="4">
        <f t="shared" si="132"/>
        <v>644.28999999993243</v>
      </c>
      <c r="C7435" s="199">
        <v>1795.8981103151198</v>
      </c>
      <c r="D7435" s="8"/>
    </row>
    <row r="7436" spans="2:4" x14ac:dyDescent="0.25">
      <c r="B7436" s="4">
        <f t="shared" si="132"/>
        <v>644.29999999993242</v>
      </c>
      <c r="C7436" s="199">
        <v>1796.1828802369278</v>
      </c>
      <c r="D7436" s="8"/>
    </row>
    <row r="7437" spans="2:4" x14ac:dyDescent="0.25">
      <c r="B7437" s="4">
        <f t="shared" si="132"/>
        <v>644.30999999993242</v>
      </c>
      <c r="C7437" s="199">
        <v>1796.4676501587364</v>
      </c>
      <c r="D7437" s="8"/>
    </row>
    <row r="7438" spans="2:4" x14ac:dyDescent="0.25">
      <c r="B7438" s="4">
        <f t="shared" si="132"/>
        <v>644.31999999993241</v>
      </c>
      <c r="C7438" s="199">
        <v>1796.7525703864935</v>
      </c>
      <c r="D7438" s="8"/>
    </row>
    <row r="7439" spans="2:4" x14ac:dyDescent="0.25">
      <c r="B7439" s="4">
        <f t="shared" si="132"/>
        <v>644.3299999999324</v>
      </c>
      <c r="C7439" s="199">
        <v>1797.0374906142549</v>
      </c>
      <c r="D7439" s="8"/>
    </row>
    <row r="7440" spans="2:4" x14ac:dyDescent="0.25">
      <c r="B7440" s="4">
        <f t="shared" si="132"/>
        <v>644.33999999993239</v>
      </c>
      <c r="C7440" s="199">
        <v>1797.3224108420138</v>
      </c>
      <c r="D7440" s="8"/>
    </row>
    <row r="7441" spans="2:4" x14ac:dyDescent="0.25">
      <c r="B7441" s="4">
        <f t="shared" si="132"/>
        <v>644.34999999993238</v>
      </c>
      <c r="C7441" s="199">
        <v>1797.6073310697739</v>
      </c>
      <c r="D7441" s="8"/>
    </row>
    <row r="7442" spans="2:4" x14ac:dyDescent="0.25">
      <c r="B7442" s="4">
        <f t="shared" si="132"/>
        <v>644.35999999993237</v>
      </c>
      <c r="C7442" s="199">
        <v>1797.8922512975353</v>
      </c>
      <c r="D7442" s="8"/>
    </row>
    <row r="7443" spans="2:4" x14ac:dyDescent="0.25">
      <c r="B7443" s="4">
        <f t="shared" si="132"/>
        <v>644.36999999993236</v>
      </c>
      <c r="C7443" s="199">
        <v>1798.1771715252944</v>
      </c>
      <c r="D7443" s="8"/>
    </row>
    <row r="7444" spans="2:4" x14ac:dyDescent="0.25">
      <c r="B7444" s="4">
        <f t="shared" si="132"/>
        <v>644.37999999993235</v>
      </c>
      <c r="C7444" s="199">
        <v>1798.4620917530558</v>
      </c>
      <c r="D7444" s="8"/>
    </row>
    <row r="7445" spans="2:4" x14ac:dyDescent="0.25">
      <c r="B7445" s="4">
        <f t="shared" si="132"/>
        <v>644.38999999993234</v>
      </c>
      <c r="C7445" s="199">
        <v>1798.7470119808152</v>
      </c>
      <c r="D7445" s="8"/>
    </row>
    <row r="7446" spans="2:4" x14ac:dyDescent="0.25">
      <c r="B7446" s="4">
        <f t="shared" si="132"/>
        <v>644.39999999993233</v>
      </c>
      <c r="C7446" s="199">
        <v>1799.0319322085747</v>
      </c>
      <c r="D7446" s="8"/>
    </row>
    <row r="7447" spans="2:4" x14ac:dyDescent="0.25">
      <c r="B7447" s="4">
        <f t="shared" si="132"/>
        <v>644.40999999993232</v>
      </c>
      <c r="C7447" s="199">
        <v>1799.3168524363361</v>
      </c>
      <c r="D7447" s="8"/>
    </row>
    <row r="7448" spans="2:4" x14ac:dyDescent="0.25">
      <c r="B7448" s="4">
        <f t="shared" si="132"/>
        <v>644.41999999993232</v>
      </c>
      <c r="C7448" s="199">
        <v>1799.6019241882398</v>
      </c>
      <c r="D7448" s="8"/>
    </row>
    <row r="7449" spans="2:4" x14ac:dyDescent="0.25">
      <c r="B7449" s="4">
        <f t="shared" si="132"/>
        <v>644.42999999993231</v>
      </c>
      <c r="C7449" s="199">
        <v>1799.886995940142</v>
      </c>
      <c r="D7449" s="8"/>
    </row>
    <row r="7450" spans="2:4" x14ac:dyDescent="0.25">
      <c r="B7450" s="4">
        <f t="shared" si="132"/>
        <v>644.4399999999323</v>
      </c>
      <c r="C7450" s="199">
        <v>1800.1720676920449</v>
      </c>
      <c r="D7450" s="8"/>
    </row>
    <row r="7451" spans="2:4" x14ac:dyDescent="0.25">
      <c r="B7451" s="4">
        <f t="shared" si="132"/>
        <v>644.44999999993229</v>
      </c>
      <c r="C7451" s="199">
        <v>1800.457139443949</v>
      </c>
      <c r="D7451" s="8"/>
    </row>
    <row r="7452" spans="2:4" x14ac:dyDescent="0.25">
      <c r="B7452" s="4">
        <f t="shared" si="132"/>
        <v>644.45999999993228</v>
      </c>
      <c r="C7452" s="199">
        <v>1800.7422111958504</v>
      </c>
      <c r="D7452" s="8"/>
    </row>
    <row r="7453" spans="2:4" x14ac:dyDescent="0.25">
      <c r="B7453" s="4">
        <f t="shared" si="132"/>
        <v>644.46999999993227</v>
      </c>
      <c r="C7453" s="199">
        <v>1801.0272829477544</v>
      </c>
      <c r="D7453" s="8"/>
    </row>
    <row r="7454" spans="2:4" x14ac:dyDescent="0.25">
      <c r="B7454" s="4">
        <f t="shared" si="132"/>
        <v>644.47999999993226</v>
      </c>
      <c r="C7454" s="199">
        <v>1801.3123546996574</v>
      </c>
      <c r="D7454" s="8"/>
    </row>
    <row r="7455" spans="2:4" x14ac:dyDescent="0.25">
      <c r="B7455" s="4">
        <f t="shared" si="132"/>
        <v>644.48999999993225</v>
      </c>
      <c r="C7455" s="199">
        <v>1801.5974264515589</v>
      </c>
      <c r="D7455" s="8"/>
    </row>
    <row r="7456" spans="2:4" x14ac:dyDescent="0.25">
      <c r="B7456" s="4">
        <f t="shared" si="132"/>
        <v>644.49999999993224</v>
      </c>
      <c r="C7456" s="199">
        <v>1801.8824982034628</v>
      </c>
      <c r="D7456" s="8"/>
    </row>
    <row r="7457" spans="2:4" x14ac:dyDescent="0.25">
      <c r="B7457" s="4">
        <f t="shared" si="132"/>
        <v>644.50999999993223</v>
      </c>
      <c r="C7457" s="199">
        <v>1802.1675699553662</v>
      </c>
      <c r="D7457" s="8"/>
    </row>
    <row r="7458" spans="2:4" x14ac:dyDescent="0.25">
      <c r="B7458" s="4">
        <f t="shared" si="132"/>
        <v>644.51999999993222</v>
      </c>
      <c r="C7458" s="199">
        <v>1802.4527947214426</v>
      </c>
      <c r="D7458" s="8"/>
    </row>
    <row r="7459" spans="2:4" x14ac:dyDescent="0.25">
      <c r="B7459" s="4">
        <f t="shared" si="132"/>
        <v>644.52999999993222</v>
      </c>
      <c r="C7459" s="199">
        <v>1802.7380194875257</v>
      </c>
      <c r="D7459" s="8"/>
    </row>
    <row r="7460" spans="2:4" x14ac:dyDescent="0.25">
      <c r="B7460" s="4">
        <f t="shared" si="132"/>
        <v>644.53999999993221</v>
      </c>
      <c r="C7460" s="199">
        <v>1803.0232442536105</v>
      </c>
      <c r="D7460" s="8"/>
    </row>
    <row r="7461" spans="2:4" x14ac:dyDescent="0.25">
      <c r="B7461" s="4">
        <f t="shared" si="132"/>
        <v>644.5499999999322</v>
      </c>
      <c r="C7461" s="199">
        <v>1803.3084690196938</v>
      </c>
      <c r="D7461" s="8"/>
    </row>
    <row r="7462" spans="2:4" x14ac:dyDescent="0.25">
      <c r="B7462" s="4">
        <f t="shared" si="132"/>
        <v>644.55999999993219</v>
      </c>
      <c r="C7462" s="199">
        <v>1803.5936937857789</v>
      </c>
      <c r="D7462" s="8"/>
    </row>
    <row r="7463" spans="2:4" x14ac:dyDescent="0.25">
      <c r="B7463" s="4">
        <f t="shared" si="132"/>
        <v>644.56999999993218</v>
      </c>
      <c r="C7463" s="199">
        <v>1803.8789185518615</v>
      </c>
      <c r="D7463" s="8"/>
    </row>
    <row r="7464" spans="2:4" x14ac:dyDescent="0.25">
      <c r="B7464" s="4">
        <f t="shared" si="132"/>
        <v>644.57999999993217</v>
      </c>
      <c r="C7464" s="199">
        <v>1804.1641433179464</v>
      </c>
      <c r="D7464" s="8"/>
    </row>
    <row r="7465" spans="2:4" x14ac:dyDescent="0.25">
      <c r="B7465" s="4">
        <f t="shared" si="132"/>
        <v>644.58999999993216</v>
      </c>
      <c r="C7465" s="199">
        <v>1804.4493680840294</v>
      </c>
      <c r="D7465" s="8"/>
    </row>
    <row r="7466" spans="2:4" x14ac:dyDescent="0.25">
      <c r="B7466" s="4">
        <f t="shared" si="132"/>
        <v>644.59999999993215</v>
      </c>
      <c r="C7466" s="199">
        <v>1804.7345928501143</v>
      </c>
      <c r="D7466" s="8"/>
    </row>
    <row r="7467" spans="2:4" x14ac:dyDescent="0.25">
      <c r="B7467" s="4">
        <f t="shared" si="132"/>
        <v>644.60999999993214</v>
      </c>
      <c r="C7467" s="199">
        <v>1805.0198176161975</v>
      </c>
      <c r="D7467" s="8"/>
    </row>
    <row r="7468" spans="2:4" x14ac:dyDescent="0.25">
      <c r="B7468" s="4">
        <f t="shared" si="132"/>
        <v>644.61999999993213</v>
      </c>
      <c r="C7468" s="199">
        <v>1805.305195215738</v>
      </c>
      <c r="D7468" s="8"/>
    </row>
    <row r="7469" spans="2:4" x14ac:dyDescent="0.25">
      <c r="B7469" s="4">
        <f t="shared" si="132"/>
        <v>644.62999999993212</v>
      </c>
      <c r="C7469" s="199">
        <v>1805.5905728152759</v>
      </c>
      <c r="D7469" s="8"/>
    </row>
    <row r="7470" spans="2:4" x14ac:dyDescent="0.25">
      <c r="B7470" s="4">
        <f t="shared" si="132"/>
        <v>644.63999999993212</v>
      </c>
      <c r="C7470" s="199">
        <v>1805.8759504148115</v>
      </c>
      <c r="D7470" s="8"/>
    </row>
    <row r="7471" spans="2:4" x14ac:dyDescent="0.25">
      <c r="B7471" s="4">
        <f t="shared" si="132"/>
        <v>644.64999999993211</v>
      </c>
      <c r="C7471" s="199">
        <v>1806.1613280143497</v>
      </c>
      <c r="D7471" s="8"/>
    </row>
    <row r="7472" spans="2:4" x14ac:dyDescent="0.25">
      <c r="B7472" s="4">
        <f t="shared" si="132"/>
        <v>644.6599999999321</v>
      </c>
      <c r="C7472" s="199">
        <v>1806.4467056138881</v>
      </c>
      <c r="D7472" s="8"/>
    </row>
    <row r="7473" spans="2:4" x14ac:dyDescent="0.25">
      <c r="B7473" s="4">
        <f t="shared" si="132"/>
        <v>644.66999999993209</v>
      </c>
      <c r="C7473" s="199">
        <v>1806.7320832134255</v>
      </c>
      <c r="D7473" s="8"/>
    </row>
    <row r="7474" spans="2:4" x14ac:dyDescent="0.25">
      <c r="B7474" s="4">
        <f t="shared" si="132"/>
        <v>644.67999999993208</v>
      </c>
      <c r="C7474" s="199">
        <v>1807.0174608129637</v>
      </c>
      <c r="D7474" s="8"/>
    </row>
    <row r="7475" spans="2:4" x14ac:dyDescent="0.25">
      <c r="B7475" s="4">
        <f t="shared" si="132"/>
        <v>644.68999999993207</v>
      </c>
      <c r="C7475" s="199">
        <v>1807.3028384125016</v>
      </c>
      <c r="D7475" s="8"/>
    </row>
    <row r="7476" spans="2:4" x14ac:dyDescent="0.25">
      <c r="B7476" s="4">
        <f t="shared" si="132"/>
        <v>644.69999999993206</v>
      </c>
      <c r="C7476" s="199">
        <v>1807.5882160120377</v>
      </c>
      <c r="D7476" s="8"/>
    </row>
    <row r="7477" spans="2:4" x14ac:dyDescent="0.25">
      <c r="B7477" s="4">
        <f t="shared" si="132"/>
        <v>644.70999999993205</v>
      </c>
      <c r="C7477" s="199">
        <v>1807.8735936115759</v>
      </c>
      <c r="D7477" s="8"/>
    </row>
    <row r="7478" spans="2:4" x14ac:dyDescent="0.25">
      <c r="B7478" s="4">
        <f t="shared" si="132"/>
        <v>644.71999999993204</v>
      </c>
      <c r="C7478" s="199">
        <v>1808.1591234457778</v>
      </c>
      <c r="D7478" s="8"/>
    </row>
    <row r="7479" spans="2:4" x14ac:dyDescent="0.25">
      <c r="B7479" s="4">
        <f t="shared" si="132"/>
        <v>644.72999999993203</v>
      </c>
      <c r="C7479" s="199">
        <v>1808.4446532799818</v>
      </c>
      <c r="D7479" s="8"/>
    </row>
    <row r="7480" spans="2:4" x14ac:dyDescent="0.25">
      <c r="B7480" s="4">
        <f t="shared" si="132"/>
        <v>644.73999999993202</v>
      </c>
      <c r="C7480" s="199">
        <v>1808.730183114189</v>
      </c>
      <c r="D7480" s="8"/>
    </row>
    <row r="7481" spans="2:4" x14ac:dyDescent="0.25">
      <c r="B7481" s="4">
        <f t="shared" si="132"/>
        <v>644.74999999993202</v>
      </c>
      <c r="C7481" s="199">
        <v>1809.0157129483955</v>
      </c>
      <c r="D7481" s="8"/>
    </row>
    <row r="7482" spans="2:4" x14ac:dyDescent="0.25">
      <c r="B7482" s="4">
        <f t="shared" si="132"/>
        <v>644.75999999993201</v>
      </c>
      <c r="C7482" s="199">
        <v>1809.3012427826027</v>
      </c>
      <c r="D7482" s="8"/>
    </row>
    <row r="7483" spans="2:4" x14ac:dyDescent="0.25">
      <c r="B7483" s="4">
        <f t="shared" si="132"/>
        <v>644.769999999932</v>
      </c>
      <c r="C7483" s="199">
        <v>1809.5867726168096</v>
      </c>
      <c r="D7483" s="8"/>
    </row>
    <row r="7484" spans="2:4" x14ac:dyDescent="0.25">
      <c r="B7484" s="4">
        <f t="shared" si="132"/>
        <v>644.77999999993199</v>
      </c>
      <c r="C7484" s="199">
        <v>1809.8723024510159</v>
      </c>
      <c r="D7484" s="8"/>
    </row>
    <row r="7485" spans="2:4" x14ac:dyDescent="0.25">
      <c r="B7485" s="4">
        <f t="shared" si="132"/>
        <v>644.78999999993198</v>
      </c>
      <c r="C7485" s="199">
        <v>1810.1578322852229</v>
      </c>
      <c r="D7485" s="8"/>
    </row>
    <row r="7486" spans="2:4" x14ac:dyDescent="0.25">
      <c r="B7486" s="4">
        <f t="shared" si="132"/>
        <v>644.79999999993197</v>
      </c>
      <c r="C7486" s="199">
        <v>1810.4433621194294</v>
      </c>
      <c r="D7486" s="8"/>
    </row>
    <row r="7487" spans="2:4" x14ac:dyDescent="0.25">
      <c r="B7487" s="4">
        <f t="shared" si="132"/>
        <v>644.80999999993196</v>
      </c>
      <c r="C7487" s="199">
        <v>1810.7288919536365</v>
      </c>
      <c r="D7487" s="8"/>
    </row>
    <row r="7488" spans="2:4" x14ac:dyDescent="0.25">
      <c r="B7488" s="4">
        <f t="shared" si="132"/>
        <v>644.81999999993195</v>
      </c>
      <c r="C7488" s="199">
        <v>1811.0145740122753</v>
      </c>
      <c r="D7488" s="8"/>
    </row>
    <row r="7489" spans="2:4" x14ac:dyDescent="0.25">
      <c r="B7489" s="4">
        <f t="shared" si="132"/>
        <v>644.82999999993194</v>
      </c>
      <c r="C7489" s="199">
        <v>1811.3002560709122</v>
      </c>
      <c r="D7489" s="8"/>
    </row>
    <row r="7490" spans="2:4" x14ac:dyDescent="0.25">
      <c r="B7490" s="4">
        <f t="shared" si="132"/>
        <v>644.83999999993193</v>
      </c>
      <c r="C7490" s="199">
        <v>1811.5859381295495</v>
      </c>
      <c r="D7490" s="8"/>
    </row>
    <row r="7491" spans="2:4" x14ac:dyDescent="0.25">
      <c r="B7491" s="4">
        <f t="shared" si="132"/>
        <v>644.84999999993192</v>
      </c>
      <c r="C7491" s="199">
        <v>1811.8716201881864</v>
      </c>
      <c r="D7491" s="8"/>
    </row>
    <row r="7492" spans="2:4" x14ac:dyDescent="0.25">
      <c r="B7492" s="4">
        <f t="shared" si="132"/>
        <v>644.85999999993192</v>
      </c>
      <c r="C7492" s="199">
        <v>1812.157302246824</v>
      </c>
      <c r="D7492" s="8"/>
    </row>
    <row r="7493" spans="2:4" x14ac:dyDescent="0.25">
      <c r="B7493" s="4">
        <f t="shared" si="132"/>
        <v>644.86999999993191</v>
      </c>
      <c r="C7493" s="199">
        <v>1812.4429843054609</v>
      </c>
      <c r="D7493" s="8"/>
    </row>
    <row r="7494" spans="2:4" x14ac:dyDescent="0.25">
      <c r="B7494" s="4">
        <f t="shared" si="132"/>
        <v>644.8799999999319</v>
      </c>
      <c r="C7494" s="199">
        <v>1812.7286663641003</v>
      </c>
      <c r="D7494" s="8"/>
    </row>
    <row r="7495" spans="2:4" x14ac:dyDescent="0.25">
      <c r="B7495" s="4">
        <f t="shared" si="132"/>
        <v>644.88999999993189</v>
      </c>
      <c r="C7495" s="199">
        <v>1813.0143484227374</v>
      </c>
      <c r="D7495" s="8"/>
    </row>
    <row r="7496" spans="2:4" x14ac:dyDescent="0.25">
      <c r="B7496" s="4">
        <f t="shared" ref="B7496:B7559" si="133">+B7495+0.01</f>
        <v>644.89999999993188</v>
      </c>
      <c r="C7496" s="199">
        <v>1813.3000304813743</v>
      </c>
      <c r="D7496" s="8"/>
    </row>
    <row r="7497" spans="2:4" x14ac:dyDescent="0.25">
      <c r="B7497" s="4">
        <f t="shared" si="133"/>
        <v>644.90999999993187</v>
      </c>
      <c r="C7497" s="199">
        <v>1813.5857125400114</v>
      </c>
      <c r="D7497" s="8"/>
    </row>
    <row r="7498" spans="2:4" x14ac:dyDescent="0.25">
      <c r="B7498" s="4">
        <f t="shared" si="133"/>
        <v>644.91999999993186</v>
      </c>
      <c r="C7498" s="199">
        <v>1813.8715477618277</v>
      </c>
      <c r="D7498" s="8"/>
    </row>
    <row r="7499" spans="2:4" x14ac:dyDescent="0.25">
      <c r="B7499" s="4">
        <f t="shared" si="133"/>
        <v>644.92999999993185</v>
      </c>
      <c r="C7499" s="199">
        <v>1814.1573829836498</v>
      </c>
      <c r="D7499" s="8"/>
    </row>
    <row r="7500" spans="2:4" x14ac:dyDescent="0.25">
      <c r="B7500" s="4">
        <f t="shared" si="133"/>
        <v>644.93999999993184</v>
      </c>
      <c r="C7500" s="199">
        <v>1814.4432182054722</v>
      </c>
      <c r="D7500" s="8"/>
    </row>
    <row r="7501" spans="2:4" x14ac:dyDescent="0.25">
      <c r="B7501" s="4">
        <f t="shared" si="133"/>
        <v>644.94999999993183</v>
      </c>
      <c r="C7501" s="199">
        <v>1814.7290534272952</v>
      </c>
      <c r="D7501" s="8"/>
    </row>
    <row r="7502" spans="2:4" x14ac:dyDescent="0.25">
      <c r="B7502" s="4">
        <f t="shared" si="133"/>
        <v>644.95999999993182</v>
      </c>
      <c r="C7502" s="199">
        <v>1815.0148886491181</v>
      </c>
      <c r="D7502" s="8"/>
    </row>
    <row r="7503" spans="2:4" x14ac:dyDescent="0.25">
      <c r="B7503" s="4">
        <f t="shared" si="133"/>
        <v>644.96999999993182</v>
      </c>
      <c r="C7503" s="199">
        <v>1815.3007238709404</v>
      </c>
      <c r="D7503" s="8"/>
    </row>
    <row r="7504" spans="2:4" x14ac:dyDescent="0.25">
      <c r="B7504" s="4">
        <f t="shared" si="133"/>
        <v>644.97999999993181</v>
      </c>
      <c r="C7504" s="199">
        <v>1815.5865590927629</v>
      </c>
      <c r="D7504" s="8"/>
    </row>
    <row r="7505" spans="2:4" x14ac:dyDescent="0.25">
      <c r="B7505" s="4">
        <f t="shared" si="133"/>
        <v>644.9899999999318</v>
      </c>
      <c r="C7505" s="199">
        <v>1815.8723943145853</v>
      </c>
      <c r="D7505" s="8"/>
    </row>
    <row r="7506" spans="2:4" x14ac:dyDescent="0.25">
      <c r="B7506" s="4">
        <f t="shared" si="133"/>
        <v>644.99999999993179</v>
      </c>
      <c r="C7506" s="199">
        <v>1816.1582295364078</v>
      </c>
      <c r="D7506" s="8"/>
    </row>
    <row r="7507" spans="2:4" x14ac:dyDescent="0.25">
      <c r="B7507" s="4">
        <f t="shared" si="133"/>
        <v>645.00999999993178</v>
      </c>
      <c r="C7507" s="199">
        <v>1816.4440647582326</v>
      </c>
      <c r="D7507" s="8"/>
    </row>
    <row r="7508" spans="2:4" x14ac:dyDescent="0.25">
      <c r="B7508" s="4">
        <f t="shared" si="133"/>
        <v>645.01999999993177</v>
      </c>
      <c r="C7508" s="199">
        <v>1816.7300561819238</v>
      </c>
      <c r="D7508" s="8"/>
    </row>
    <row r="7509" spans="2:4" x14ac:dyDescent="0.25">
      <c r="B7509" s="4">
        <f t="shared" si="133"/>
        <v>645.02999999993176</v>
      </c>
      <c r="C7509" s="199">
        <v>1817.0160476056135</v>
      </c>
      <c r="D7509" s="8"/>
    </row>
    <row r="7510" spans="2:4" x14ac:dyDescent="0.25">
      <c r="B7510" s="4">
        <f t="shared" si="133"/>
        <v>645.03999999993175</v>
      </c>
      <c r="C7510" s="199">
        <v>1817.3020390293038</v>
      </c>
      <c r="D7510" s="8"/>
    </row>
    <row r="7511" spans="2:4" x14ac:dyDescent="0.25">
      <c r="B7511" s="4">
        <f t="shared" si="133"/>
        <v>645.04999999993174</v>
      </c>
      <c r="C7511" s="199">
        <v>1817.5880304529921</v>
      </c>
      <c r="D7511" s="8"/>
    </row>
    <row r="7512" spans="2:4" x14ac:dyDescent="0.25">
      <c r="B7512" s="4">
        <f t="shared" si="133"/>
        <v>645.05999999993173</v>
      </c>
      <c r="C7512" s="199">
        <v>1817.8740218766829</v>
      </c>
      <c r="D7512" s="8"/>
    </row>
    <row r="7513" spans="2:4" x14ac:dyDescent="0.25">
      <c r="B7513" s="4">
        <f t="shared" si="133"/>
        <v>645.06999999993172</v>
      </c>
      <c r="C7513" s="199">
        <v>1818.1600133003726</v>
      </c>
      <c r="D7513" s="8"/>
    </row>
    <row r="7514" spans="2:4" x14ac:dyDescent="0.25">
      <c r="B7514" s="4">
        <f t="shared" si="133"/>
        <v>645.07999999993172</v>
      </c>
      <c r="C7514" s="199">
        <v>1818.4460047240609</v>
      </c>
      <c r="D7514" s="8"/>
    </row>
    <row r="7515" spans="2:4" x14ac:dyDescent="0.25">
      <c r="B7515" s="4">
        <f t="shared" si="133"/>
        <v>645.08999999993171</v>
      </c>
      <c r="C7515" s="199">
        <v>1818.7319961477513</v>
      </c>
      <c r="D7515" s="8"/>
    </row>
    <row r="7516" spans="2:4" x14ac:dyDescent="0.25">
      <c r="B7516" s="4">
        <f t="shared" si="133"/>
        <v>645.0999999999317</v>
      </c>
      <c r="C7516" s="199">
        <v>1819.0179875714412</v>
      </c>
      <c r="D7516" s="8"/>
    </row>
    <row r="7517" spans="2:4" x14ac:dyDescent="0.25">
      <c r="B7517" s="4">
        <f t="shared" si="133"/>
        <v>645.10999999993169</v>
      </c>
      <c r="C7517" s="199">
        <v>1819.3039789951301</v>
      </c>
      <c r="D7517" s="8"/>
    </row>
    <row r="7518" spans="2:4" x14ac:dyDescent="0.25">
      <c r="B7518" s="4">
        <f t="shared" si="133"/>
        <v>645.11999999993168</v>
      </c>
      <c r="C7518" s="199">
        <v>1819.590127524435</v>
      </c>
      <c r="D7518" s="8"/>
    </row>
    <row r="7519" spans="2:4" x14ac:dyDescent="0.25">
      <c r="B7519" s="4">
        <f t="shared" si="133"/>
        <v>645.12999999993167</v>
      </c>
      <c r="C7519" s="199">
        <v>1819.8762760537463</v>
      </c>
      <c r="D7519" s="8"/>
    </row>
    <row r="7520" spans="2:4" x14ac:dyDescent="0.25">
      <c r="B7520" s="4">
        <f t="shared" si="133"/>
        <v>645.13999999993166</v>
      </c>
      <c r="C7520" s="199">
        <v>1820.1624245830556</v>
      </c>
      <c r="D7520" s="8"/>
    </row>
    <row r="7521" spans="2:4" x14ac:dyDescent="0.25">
      <c r="B7521" s="4">
        <f t="shared" si="133"/>
        <v>645.14999999993165</v>
      </c>
      <c r="C7521" s="199">
        <v>1820.4485731123673</v>
      </c>
      <c r="D7521" s="8"/>
    </row>
    <row r="7522" spans="2:4" x14ac:dyDescent="0.25">
      <c r="B7522" s="4">
        <f t="shared" si="133"/>
        <v>645.15999999993164</v>
      </c>
      <c r="C7522" s="199">
        <v>1820.7347216416765</v>
      </c>
      <c r="D7522" s="8"/>
    </row>
    <row r="7523" spans="2:4" x14ac:dyDescent="0.25">
      <c r="B7523" s="4">
        <f t="shared" si="133"/>
        <v>645.16999999993163</v>
      </c>
      <c r="C7523" s="199">
        <v>1821.0208701709862</v>
      </c>
      <c r="D7523" s="8"/>
    </row>
    <row r="7524" spans="2:4" x14ac:dyDescent="0.25">
      <c r="B7524" s="4">
        <f t="shared" si="133"/>
        <v>645.17999999993162</v>
      </c>
      <c r="C7524" s="199">
        <v>1821.3070187002977</v>
      </c>
      <c r="D7524" s="8"/>
    </row>
    <row r="7525" spans="2:4" x14ac:dyDescent="0.25">
      <c r="B7525" s="4">
        <f t="shared" si="133"/>
        <v>645.18999999993162</v>
      </c>
      <c r="C7525" s="199">
        <v>1821.5931672296074</v>
      </c>
      <c r="D7525" s="8"/>
    </row>
    <row r="7526" spans="2:4" x14ac:dyDescent="0.25">
      <c r="B7526" s="4">
        <f t="shared" si="133"/>
        <v>645.19999999993161</v>
      </c>
      <c r="C7526" s="199">
        <v>1821.8793157589184</v>
      </c>
      <c r="D7526" s="8"/>
    </row>
    <row r="7527" spans="2:4" x14ac:dyDescent="0.25">
      <c r="B7527" s="4">
        <f t="shared" si="133"/>
        <v>645.2099999999316</v>
      </c>
      <c r="C7527" s="199">
        <v>1822.1654642882283</v>
      </c>
      <c r="D7527" s="8"/>
    </row>
    <row r="7528" spans="2:4" x14ac:dyDescent="0.25">
      <c r="B7528" s="4">
        <f t="shared" si="133"/>
        <v>645.21999999993159</v>
      </c>
      <c r="C7528" s="199">
        <v>1822.4517735771951</v>
      </c>
      <c r="D7528" s="8"/>
    </row>
    <row r="7529" spans="2:4" x14ac:dyDescent="0.25">
      <c r="B7529" s="4">
        <f t="shared" si="133"/>
        <v>645.22999999993158</v>
      </c>
      <c r="C7529" s="199">
        <v>1822.7380828661601</v>
      </c>
      <c r="D7529" s="8"/>
    </row>
    <row r="7530" spans="2:4" x14ac:dyDescent="0.25">
      <c r="B7530" s="4">
        <f t="shared" si="133"/>
        <v>645.23999999993157</v>
      </c>
      <c r="C7530" s="199">
        <v>1823.0243921551271</v>
      </c>
      <c r="D7530" s="8"/>
    </row>
    <row r="7531" spans="2:4" x14ac:dyDescent="0.25">
      <c r="B7531" s="4">
        <f t="shared" si="133"/>
        <v>645.24999999993156</v>
      </c>
      <c r="C7531" s="199">
        <v>1823.3107014440916</v>
      </c>
      <c r="D7531" s="8"/>
    </row>
    <row r="7532" spans="2:4" x14ac:dyDescent="0.25">
      <c r="B7532" s="4">
        <f t="shared" si="133"/>
        <v>645.25999999993155</v>
      </c>
      <c r="C7532" s="199">
        <v>1823.597010733057</v>
      </c>
      <c r="D7532" s="8"/>
    </row>
    <row r="7533" spans="2:4" x14ac:dyDescent="0.25">
      <c r="B7533" s="4">
        <f t="shared" si="133"/>
        <v>645.26999999993154</v>
      </c>
      <c r="C7533" s="199">
        <v>1823.8833200220211</v>
      </c>
      <c r="D7533" s="8"/>
    </row>
    <row r="7534" spans="2:4" x14ac:dyDescent="0.25">
      <c r="B7534" s="4">
        <f t="shared" si="133"/>
        <v>645.27999999993153</v>
      </c>
      <c r="C7534" s="199">
        <v>1824.1696293109878</v>
      </c>
      <c r="D7534" s="8"/>
    </row>
    <row r="7535" spans="2:4" x14ac:dyDescent="0.25">
      <c r="B7535" s="4">
        <f t="shared" si="133"/>
        <v>645.28999999993152</v>
      </c>
      <c r="C7535" s="199">
        <v>1824.455938599953</v>
      </c>
      <c r="D7535" s="8"/>
    </row>
    <row r="7536" spans="2:4" x14ac:dyDescent="0.25">
      <c r="B7536" s="4">
        <f t="shared" si="133"/>
        <v>645.29999999993152</v>
      </c>
      <c r="C7536" s="199">
        <v>1824.7422478889175</v>
      </c>
      <c r="D7536" s="8"/>
    </row>
    <row r="7537" spans="2:4" x14ac:dyDescent="0.25">
      <c r="B7537" s="4">
        <f t="shared" si="133"/>
        <v>645.30999999993151</v>
      </c>
      <c r="C7537" s="199">
        <v>1825.0285571778827</v>
      </c>
      <c r="D7537" s="8"/>
    </row>
    <row r="7538" spans="2:4" x14ac:dyDescent="0.25">
      <c r="B7538" s="4">
        <f t="shared" si="133"/>
        <v>645.3199999999315</v>
      </c>
      <c r="C7538" s="199">
        <v>1825.3150271653265</v>
      </c>
      <c r="D7538" s="8"/>
    </row>
    <row r="7539" spans="2:4" x14ac:dyDescent="0.25">
      <c r="B7539" s="4">
        <f t="shared" si="133"/>
        <v>645.32999999993149</v>
      </c>
      <c r="C7539" s="199">
        <v>1825.6014971527745</v>
      </c>
      <c r="D7539" s="8"/>
    </row>
    <row r="7540" spans="2:4" x14ac:dyDescent="0.25">
      <c r="B7540" s="4">
        <f t="shared" si="133"/>
        <v>645.33999999993148</v>
      </c>
      <c r="C7540" s="199">
        <v>1825.8879671402237</v>
      </c>
      <c r="D7540" s="8"/>
    </row>
    <row r="7541" spans="2:4" x14ac:dyDescent="0.25">
      <c r="B7541" s="4">
        <f t="shared" si="133"/>
        <v>645.34999999993147</v>
      </c>
      <c r="C7541" s="199">
        <v>1826.1744371276734</v>
      </c>
      <c r="D7541" s="8"/>
    </row>
    <row r="7542" spans="2:4" x14ac:dyDescent="0.25">
      <c r="B7542" s="4">
        <f t="shared" si="133"/>
        <v>645.35999999993146</v>
      </c>
      <c r="C7542" s="199">
        <v>1826.4609071151233</v>
      </c>
      <c r="D7542" s="8"/>
    </row>
    <row r="7543" spans="2:4" x14ac:dyDescent="0.25">
      <c r="B7543" s="4">
        <f t="shared" si="133"/>
        <v>645.36999999993145</v>
      </c>
      <c r="C7543" s="199">
        <v>1826.7473771025727</v>
      </c>
      <c r="D7543" s="8"/>
    </row>
    <row r="7544" spans="2:4" x14ac:dyDescent="0.25">
      <c r="B7544" s="4">
        <f t="shared" si="133"/>
        <v>645.37999999993144</v>
      </c>
      <c r="C7544" s="199">
        <v>1827.0338470900208</v>
      </c>
      <c r="D7544" s="8"/>
    </row>
    <row r="7545" spans="2:4" x14ac:dyDescent="0.25">
      <c r="B7545" s="4">
        <f t="shared" si="133"/>
        <v>645.38999999993143</v>
      </c>
      <c r="C7545" s="199">
        <v>1827.3203170774705</v>
      </c>
      <c r="D7545" s="8"/>
    </row>
    <row r="7546" spans="2:4" x14ac:dyDescent="0.25">
      <c r="B7546" s="4">
        <f t="shared" si="133"/>
        <v>645.39999999993142</v>
      </c>
      <c r="C7546" s="199">
        <v>1827.6067870649201</v>
      </c>
      <c r="D7546" s="8"/>
    </row>
    <row r="7547" spans="2:4" x14ac:dyDescent="0.25">
      <c r="B7547" s="4">
        <f t="shared" si="133"/>
        <v>645.40999999993142</v>
      </c>
      <c r="C7547" s="199">
        <v>1827.89325705237</v>
      </c>
      <c r="D7547" s="8"/>
    </row>
    <row r="7548" spans="2:4" x14ac:dyDescent="0.25">
      <c r="B7548" s="4">
        <f t="shared" si="133"/>
        <v>645.41999999993141</v>
      </c>
      <c r="C7548" s="199">
        <v>1828.1798877941978</v>
      </c>
      <c r="D7548" s="8"/>
    </row>
    <row r="7549" spans="2:4" x14ac:dyDescent="0.25">
      <c r="B7549" s="4">
        <f t="shared" si="133"/>
        <v>645.4299999999314</v>
      </c>
      <c r="C7549" s="199">
        <v>1828.4665185360279</v>
      </c>
      <c r="D7549" s="8"/>
    </row>
    <row r="7550" spans="2:4" x14ac:dyDescent="0.25">
      <c r="B7550" s="4">
        <f t="shared" si="133"/>
        <v>645.43999999993139</v>
      </c>
      <c r="C7550" s="199">
        <v>1828.753149277856</v>
      </c>
      <c r="D7550" s="8"/>
    </row>
    <row r="7551" spans="2:4" x14ac:dyDescent="0.25">
      <c r="B7551" s="4">
        <f t="shared" si="133"/>
        <v>645.44999999993138</v>
      </c>
      <c r="C7551" s="199">
        <v>1829.0397800196863</v>
      </c>
      <c r="D7551" s="8"/>
    </row>
    <row r="7552" spans="2:4" x14ac:dyDescent="0.25">
      <c r="B7552" s="4">
        <f t="shared" si="133"/>
        <v>645.45999999993137</v>
      </c>
      <c r="C7552" s="199">
        <v>1829.3264107615137</v>
      </c>
      <c r="D7552" s="8"/>
    </row>
    <row r="7553" spans="2:4" x14ac:dyDescent="0.25">
      <c r="B7553" s="4">
        <f t="shared" si="133"/>
        <v>645.46999999993136</v>
      </c>
      <c r="C7553" s="199">
        <v>1829.6130415033438</v>
      </c>
      <c r="D7553" s="8"/>
    </row>
    <row r="7554" spans="2:4" x14ac:dyDescent="0.25">
      <c r="B7554" s="4">
        <f t="shared" si="133"/>
        <v>645.47999999993135</v>
      </c>
      <c r="C7554" s="199">
        <v>1829.8996722451718</v>
      </c>
      <c r="D7554" s="8"/>
    </row>
    <row r="7555" spans="2:4" x14ac:dyDescent="0.25">
      <c r="B7555" s="4">
        <f t="shared" si="133"/>
        <v>645.48999999993134</v>
      </c>
      <c r="C7555" s="199">
        <v>1830.1863029870017</v>
      </c>
      <c r="D7555" s="8"/>
    </row>
    <row r="7556" spans="2:4" x14ac:dyDescent="0.25">
      <c r="B7556" s="4">
        <f t="shared" si="133"/>
        <v>645.49999999993133</v>
      </c>
      <c r="C7556" s="199">
        <v>1830.4729337288295</v>
      </c>
      <c r="D7556" s="8"/>
    </row>
    <row r="7557" spans="2:4" x14ac:dyDescent="0.25">
      <c r="B7557" s="4">
        <f t="shared" si="133"/>
        <v>645.50999999993132</v>
      </c>
      <c r="C7557" s="199">
        <v>1830.7595644706594</v>
      </c>
      <c r="D7557" s="8"/>
    </row>
    <row r="7558" spans="2:4" x14ac:dyDescent="0.25">
      <c r="B7558" s="4">
        <f t="shared" si="133"/>
        <v>645.51999999993131</v>
      </c>
      <c r="C7558" s="199">
        <v>1831.0463541462825</v>
      </c>
      <c r="D7558" s="8"/>
    </row>
    <row r="7559" spans="2:4" x14ac:dyDescent="0.25">
      <c r="B7559" s="4">
        <f t="shared" si="133"/>
        <v>645.52999999993131</v>
      </c>
      <c r="C7559" s="199">
        <v>1831.3331438219104</v>
      </c>
      <c r="D7559" s="8"/>
    </row>
    <row r="7560" spans="2:4" x14ac:dyDescent="0.25">
      <c r="B7560" s="4">
        <f t="shared" ref="B7560:B7623" si="134">+B7559+0.01</f>
        <v>645.5399999999313</v>
      </c>
      <c r="C7560" s="199">
        <v>1831.6199334975393</v>
      </c>
      <c r="D7560" s="8"/>
    </row>
    <row r="7561" spans="2:4" x14ac:dyDescent="0.25">
      <c r="B7561" s="4">
        <f t="shared" si="134"/>
        <v>645.54999999993129</v>
      </c>
      <c r="C7561" s="199">
        <v>1831.9067231731656</v>
      </c>
      <c r="D7561" s="8"/>
    </row>
    <row r="7562" spans="2:4" x14ac:dyDescent="0.25">
      <c r="B7562" s="4">
        <f t="shared" si="134"/>
        <v>645.55999999993128</v>
      </c>
      <c r="C7562" s="199">
        <v>1832.1935128487939</v>
      </c>
      <c r="D7562" s="8"/>
    </row>
    <row r="7563" spans="2:4" x14ac:dyDescent="0.25">
      <c r="B7563" s="4">
        <f t="shared" si="134"/>
        <v>645.56999999993127</v>
      </c>
      <c r="C7563" s="199">
        <v>1832.4803025244223</v>
      </c>
      <c r="D7563" s="8"/>
    </row>
    <row r="7564" spans="2:4" x14ac:dyDescent="0.25">
      <c r="B7564" s="4">
        <f t="shared" si="134"/>
        <v>645.57999999993126</v>
      </c>
      <c r="C7564" s="199">
        <v>1832.7670922000491</v>
      </c>
      <c r="D7564" s="8"/>
    </row>
    <row r="7565" spans="2:4" x14ac:dyDescent="0.25">
      <c r="B7565" s="4">
        <f t="shared" si="134"/>
        <v>645.58999999993125</v>
      </c>
      <c r="C7565" s="199">
        <v>1833.0538818756772</v>
      </c>
      <c r="D7565" s="8"/>
    </row>
    <row r="7566" spans="2:4" x14ac:dyDescent="0.25">
      <c r="B7566" s="4">
        <f t="shared" si="134"/>
        <v>645.59999999993124</v>
      </c>
      <c r="C7566" s="199">
        <v>1833.3406715513054</v>
      </c>
      <c r="D7566" s="8"/>
    </row>
    <row r="7567" spans="2:4" x14ac:dyDescent="0.25">
      <c r="B7567" s="4">
        <f t="shared" si="134"/>
        <v>645.60999999993123</v>
      </c>
      <c r="C7567" s="199">
        <v>1833.6274612269322</v>
      </c>
      <c r="D7567" s="8"/>
    </row>
    <row r="7568" spans="2:4" x14ac:dyDescent="0.25">
      <c r="B7568" s="4">
        <f t="shared" si="134"/>
        <v>645.61999999993122</v>
      </c>
      <c r="C7568" s="199">
        <v>1833.9144065883029</v>
      </c>
      <c r="D7568" s="8"/>
    </row>
    <row r="7569" spans="2:4" x14ac:dyDescent="0.25">
      <c r="B7569" s="4">
        <f t="shared" si="134"/>
        <v>645.62999999993121</v>
      </c>
      <c r="C7569" s="199">
        <v>1834.2013519496752</v>
      </c>
      <c r="D7569" s="8"/>
    </row>
    <row r="7570" spans="2:4" x14ac:dyDescent="0.25">
      <c r="B7570" s="4">
        <f t="shared" si="134"/>
        <v>645.63999999993121</v>
      </c>
      <c r="C7570" s="199">
        <v>1834.488297311045</v>
      </c>
      <c r="D7570" s="8"/>
    </row>
    <row r="7571" spans="2:4" x14ac:dyDescent="0.25">
      <c r="B7571" s="4">
        <f t="shared" si="134"/>
        <v>645.6499999999312</v>
      </c>
      <c r="C7571" s="199">
        <v>1834.7752426724148</v>
      </c>
      <c r="D7571" s="8"/>
    </row>
    <row r="7572" spans="2:4" x14ac:dyDescent="0.25">
      <c r="B7572" s="4">
        <f t="shared" si="134"/>
        <v>645.65999999993119</v>
      </c>
      <c r="C7572" s="199">
        <v>1835.0621880337851</v>
      </c>
      <c r="D7572" s="8"/>
    </row>
    <row r="7573" spans="2:4" x14ac:dyDescent="0.25">
      <c r="B7573" s="4">
        <f t="shared" si="134"/>
        <v>645.66999999993118</v>
      </c>
      <c r="C7573" s="199">
        <v>1835.3491333951549</v>
      </c>
      <c r="D7573" s="8"/>
    </row>
    <row r="7574" spans="2:4" x14ac:dyDescent="0.25">
      <c r="B7574" s="4">
        <f t="shared" si="134"/>
        <v>645.67999999993117</v>
      </c>
      <c r="C7574" s="199">
        <v>1835.636078756527</v>
      </c>
      <c r="D7574" s="8"/>
    </row>
    <row r="7575" spans="2:4" x14ac:dyDescent="0.25">
      <c r="B7575" s="4">
        <f t="shared" si="134"/>
        <v>645.68999999993116</v>
      </c>
      <c r="C7575" s="199">
        <v>1835.9230241178966</v>
      </c>
      <c r="D7575" s="8"/>
    </row>
    <row r="7576" spans="2:4" x14ac:dyDescent="0.25">
      <c r="B7576" s="4">
        <f t="shared" si="134"/>
        <v>645.69999999993115</v>
      </c>
      <c r="C7576" s="199">
        <v>1836.2099694792666</v>
      </c>
      <c r="D7576" s="8"/>
    </row>
    <row r="7577" spans="2:4" x14ac:dyDescent="0.25">
      <c r="B7577" s="4">
        <f t="shared" si="134"/>
        <v>645.70999999993114</v>
      </c>
      <c r="C7577" s="199">
        <v>1836.4969148406367</v>
      </c>
      <c r="D7577" s="8"/>
    </row>
    <row r="7578" spans="2:4" x14ac:dyDescent="0.25">
      <c r="B7578" s="4">
        <f t="shared" si="134"/>
        <v>645.71999999993113</v>
      </c>
      <c r="C7578" s="199">
        <v>1836.7840176354446</v>
      </c>
      <c r="D7578" s="8"/>
    </row>
    <row r="7579" spans="2:4" x14ac:dyDescent="0.25">
      <c r="B7579" s="4">
        <f t="shared" si="134"/>
        <v>645.72999999993112</v>
      </c>
      <c r="C7579" s="199">
        <v>1837.0711204302581</v>
      </c>
      <c r="D7579" s="8"/>
    </row>
    <row r="7580" spans="2:4" x14ac:dyDescent="0.25">
      <c r="B7580" s="4">
        <f t="shared" si="134"/>
        <v>645.73999999993111</v>
      </c>
      <c r="C7580" s="199">
        <v>1837.3582232250724</v>
      </c>
      <c r="D7580" s="8"/>
    </row>
    <row r="7581" spans="2:4" x14ac:dyDescent="0.25">
      <c r="B7581" s="4">
        <f t="shared" si="134"/>
        <v>645.74999999993111</v>
      </c>
      <c r="C7581" s="199">
        <v>1837.6453260198862</v>
      </c>
      <c r="D7581" s="8"/>
    </row>
    <row r="7582" spans="2:4" x14ac:dyDescent="0.25">
      <c r="B7582" s="4">
        <f t="shared" si="134"/>
        <v>645.7599999999311</v>
      </c>
      <c r="C7582" s="199">
        <v>1837.9324288147002</v>
      </c>
      <c r="D7582" s="8"/>
    </row>
    <row r="7583" spans="2:4" x14ac:dyDescent="0.25">
      <c r="B7583" s="4">
        <f t="shared" si="134"/>
        <v>645.76999999993109</v>
      </c>
      <c r="C7583" s="199">
        <v>1838.2195316095138</v>
      </c>
      <c r="D7583" s="8"/>
    </row>
    <row r="7584" spans="2:4" x14ac:dyDescent="0.25">
      <c r="B7584" s="4">
        <f t="shared" si="134"/>
        <v>645.77999999993108</v>
      </c>
      <c r="C7584" s="199">
        <v>1838.5066344043275</v>
      </c>
      <c r="D7584" s="8"/>
    </row>
    <row r="7585" spans="2:4" x14ac:dyDescent="0.25">
      <c r="B7585" s="4">
        <f t="shared" si="134"/>
        <v>645.78999999993107</v>
      </c>
      <c r="C7585" s="199">
        <v>1838.7937371991413</v>
      </c>
      <c r="D7585" s="8"/>
    </row>
    <row r="7586" spans="2:4" x14ac:dyDescent="0.25">
      <c r="B7586" s="4">
        <f t="shared" si="134"/>
        <v>645.79999999993106</v>
      </c>
      <c r="C7586" s="199">
        <v>1839.0808399939554</v>
      </c>
      <c r="D7586" s="8"/>
    </row>
    <row r="7587" spans="2:4" x14ac:dyDescent="0.25">
      <c r="B7587" s="4">
        <f t="shared" si="134"/>
        <v>645.80999999993105</v>
      </c>
      <c r="C7587" s="199">
        <v>1839.3679427887691</v>
      </c>
      <c r="D7587" s="8"/>
    </row>
    <row r="7588" spans="2:4" x14ac:dyDescent="0.25">
      <c r="B7588" s="4">
        <f t="shared" si="134"/>
        <v>645.81999999993104</v>
      </c>
      <c r="C7588" s="199">
        <v>1839.6551988905344</v>
      </c>
      <c r="D7588" s="8"/>
    </row>
    <row r="7589" spans="2:4" x14ac:dyDescent="0.25">
      <c r="B7589" s="4">
        <f t="shared" si="134"/>
        <v>645.82999999993103</v>
      </c>
      <c r="C7589" s="199">
        <v>1839.9424549922981</v>
      </c>
      <c r="D7589" s="8"/>
    </row>
    <row r="7590" spans="2:4" x14ac:dyDescent="0.25">
      <c r="B7590" s="4">
        <f t="shared" si="134"/>
        <v>645.83999999993102</v>
      </c>
      <c r="C7590" s="199">
        <v>1840.2297110940624</v>
      </c>
      <c r="D7590" s="8"/>
    </row>
    <row r="7591" spans="2:4" x14ac:dyDescent="0.25">
      <c r="B7591" s="4">
        <f t="shared" si="134"/>
        <v>645.84999999993101</v>
      </c>
      <c r="C7591" s="199">
        <v>1840.5169671958245</v>
      </c>
      <c r="D7591" s="8"/>
    </row>
    <row r="7592" spans="2:4" x14ac:dyDescent="0.25">
      <c r="B7592" s="4">
        <f t="shared" si="134"/>
        <v>645.85999999993101</v>
      </c>
      <c r="C7592" s="199">
        <v>1840.8042232975879</v>
      </c>
      <c r="D7592" s="8"/>
    </row>
    <row r="7593" spans="2:4" x14ac:dyDescent="0.25">
      <c r="B7593" s="4">
        <f t="shared" si="134"/>
        <v>645.869999999931</v>
      </c>
      <c r="C7593" s="199">
        <v>1841.0914793993522</v>
      </c>
      <c r="D7593" s="8"/>
    </row>
    <row r="7594" spans="2:4" x14ac:dyDescent="0.25">
      <c r="B7594" s="4">
        <f t="shared" si="134"/>
        <v>645.87999999993099</v>
      </c>
      <c r="C7594" s="199">
        <v>1841.3787355011161</v>
      </c>
      <c r="D7594" s="8"/>
    </row>
    <row r="7595" spans="2:4" x14ac:dyDescent="0.25">
      <c r="B7595" s="4">
        <f t="shared" si="134"/>
        <v>645.88999999993098</v>
      </c>
      <c r="C7595" s="199">
        <v>1841.6659916028798</v>
      </c>
      <c r="D7595" s="8"/>
    </row>
    <row r="7596" spans="2:4" x14ac:dyDescent="0.25">
      <c r="B7596" s="4">
        <f t="shared" si="134"/>
        <v>645.89999999993097</v>
      </c>
      <c r="C7596" s="199">
        <v>1841.9532477046423</v>
      </c>
      <c r="D7596" s="8"/>
    </row>
    <row r="7597" spans="2:4" x14ac:dyDescent="0.25">
      <c r="B7597" s="4">
        <f t="shared" si="134"/>
        <v>645.90999999993096</v>
      </c>
      <c r="C7597" s="199">
        <v>1842.240503806406</v>
      </c>
      <c r="D7597" s="8"/>
    </row>
    <row r="7598" spans="2:4" x14ac:dyDescent="0.25">
      <c r="B7598" s="4">
        <f t="shared" si="134"/>
        <v>645.91999999993095</v>
      </c>
      <c r="C7598" s="199">
        <v>1842.5279112223247</v>
      </c>
      <c r="D7598" s="8"/>
    </row>
    <row r="7599" spans="2:4" x14ac:dyDescent="0.25">
      <c r="B7599" s="4">
        <f t="shared" si="134"/>
        <v>645.92999999993094</v>
      </c>
      <c r="C7599" s="199">
        <v>1842.8153186382492</v>
      </c>
      <c r="D7599" s="8"/>
    </row>
    <row r="7600" spans="2:4" x14ac:dyDescent="0.25">
      <c r="B7600" s="4">
        <f t="shared" si="134"/>
        <v>645.93999999993093</v>
      </c>
      <c r="C7600" s="199">
        <v>1843.1027260541734</v>
      </c>
      <c r="D7600" s="8"/>
    </row>
    <row r="7601" spans="2:4" x14ac:dyDescent="0.25">
      <c r="B7601" s="4">
        <f t="shared" si="134"/>
        <v>645.94999999993092</v>
      </c>
      <c r="C7601" s="199">
        <v>1843.3901334700975</v>
      </c>
      <c r="D7601" s="8"/>
    </row>
    <row r="7602" spans="2:4" x14ac:dyDescent="0.25">
      <c r="B7602" s="4">
        <f t="shared" si="134"/>
        <v>645.95999999993091</v>
      </c>
      <c r="C7602" s="199">
        <v>1843.6775408860221</v>
      </c>
      <c r="D7602" s="8"/>
    </row>
    <row r="7603" spans="2:4" x14ac:dyDescent="0.25">
      <c r="B7603" s="4">
        <f t="shared" si="134"/>
        <v>645.96999999993091</v>
      </c>
      <c r="C7603" s="199">
        <v>1843.9649483019464</v>
      </c>
      <c r="D7603" s="8"/>
    </row>
    <row r="7604" spans="2:4" x14ac:dyDescent="0.25">
      <c r="B7604" s="4">
        <f t="shared" si="134"/>
        <v>645.9799999999309</v>
      </c>
      <c r="C7604" s="199">
        <v>1844.2523557178699</v>
      </c>
      <c r="D7604" s="8"/>
    </row>
    <row r="7605" spans="2:4" x14ac:dyDescent="0.25">
      <c r="B7605" s="4">
        <f t="shared" si="134"/>
        <v>645.98999999993089</v>
      </c>
      <c r="C7605" s="199">
        <v>1844.5397631337942</v>
      </c>
      <c r="D7605" s="8"/>
    </row>
    <row r="7606" spans="2:4" x14ac:dyDescent="0.25">
      <c r="B7606" s="4">
        <f t="shared" si="134"/>
        <v>645.99999999993088</v>
      </c>
      <c r="C7606" s="199">
        <v>1844.8271705497186</v>
      </c>
      <c r="D7606" s="8"/>
    </row>
    <row r="7607" spans="2:4" x14ac:dyDescent="0.25">
      <c r="B7607" s="4">
        <f t="shared" si="134"/>
        <v>646.00999999993087</v>
      </c>
      <c r="C7607" s="199">
        <v>1845.1145779656426</v>
      </c>
      <c r="D7607" s="8"/>
    </row>
    <row r="7608" spans="2:4" x14ac:dyDescent="0.25">
      <c r="B7608" s="4">
        <f t="shared" si="134"/>
        <v>646.01999999993086</v>
      </c>
      <c r="C7608" s="199">
        <v>1845.4021348113231</v>
      </c>
      <c r="D7608" s="8"/>
    </row>
    <row r="7609" spans="2:4" x14ac:dyDescent="0.25">
      <c r="B7609" s="4">
        <f t="shared" si="134"/>
        <v>646.02999999993085</v>
      </c>
      <c r="C7609" s="199">
        <v>1845.689691657001</v>
      </c>
      <c r="D7609" s="8"/>
    </row>
    <row r="7610" spans="2:4" x14ac:dyDescent="0.25">
      <c r="B7610" s="4">
        <f t="shared" si="134"/>
        <v>646.03999999993084</v>
      </c>
      <c r="C7610" s="199">
        <v>1845.977248502679</v>
      </c>
      <c r="D7610" s="8"/>
    </row>
    <row r="7611" spans="2:4" x14ac:dyDescent="0.25">
      <c r="B7611" s="4">
        <f t="shared" si="134"/>
        <v>646.04999999993083</v>
      </c>
      <c r="C7611" s="199">
        <v>1846.264805348359</v>
      </c>
      <c r="D7611" s="8"/>
    </row>
    <row r="7612" spans="2:4" x14ac:dyDescent="0.25">
      <c r="B7612" s="4">
        <f t="shared" si="134"/>
        <v>646.05999999993082</v>
      </c>
      <c r="C7612" s="199">
        <v>1846.552362194037</v>
      </c>
      <c r="D7612" s="8"/>
    </row>
    <row r="7613" spans="2:4" x14ac:dyDescent="0.25">
      <c r="B7613" s="4">
        <f t="shared" si="134"/>
        <v>646.06999999993081</v>
      </c>
      <c r="C7613" s="199">
        <v>1846.8399190397149</v>
      </c>
      <c r="D7613" s="8"/>
    </row>
    <row r="7614" spans="2:4" x14ac:dyDescent="0.25">
      <c r="B7614" s="4">
        <f t="shared" si="134"/>
        <v>646.07999999993081</v>
      </c>
      <c r="C7614" s="199">
        <v>1847.1274758853924</v>
      </c>
      <c r="D7614" s="8"/>
    </row>
    <row r="7615" spans="2:4" x14ac:dyDescent="0.25">
      <c r="B7615" s="4">
        <f t="shared" si="134"/>
        <v>646.0899999999308</v>
      </c>
      <c r="C7615" s="199">
        <v>1847.4150327310706</v>
      </c>
      <c r="D7615" s="8"/>
    </row>
    <row r="7616" spans="2:4" x14ac:dyDescent="0.25">
      <c r="B7616" s="4">
        <f t="shared" si="134"/>
        <v>646.09999999993079</v>
      </c>
      <c r="C7616" s="199">
        <v>1847.7025895767508</v>
      </c>
      <c r="D7616" s="8"/>
    </row>
    <row r="7617" spans="2:4" x14ac:dyDescent="0.25">
      <c r="B7617" s="4">
        <f t="shared" si="134"/>
        <v>646.10999999993078</v>
      </c>
      <c r="C7617" s="199">
        <v>1847.990146422429</v>
      </c>
      <c r="D7617" s="8"/>
    </row>
    <row r="7618" spans="2:4" x14ac:dyDescent="0.25">
      <c r="B7618" s="4">
        <f t="shared" si="134"/>
        <v>646.11999999993077</v>
      </c>
      <c r="C7618" s="199">
        <v>1848.2778500049094</v>
      </c>
      <c r="D7618" s="8"/>
    </row>
    <row r="7619" spans="2:4" x14ac:dyDescent="0.25">
      <c r="B7619" s="4">
        <f t="shared" si="134"/>
        <v>646.12999999993076</v>
      </c>
      <c r="C7619" s="199">
        <v>1848.5655535873959</v>
      </c>
      <c r="D7619" s="8"/>
    </row>
    <row r="7620" spans="2:4" x14ac:dyDescent="0.25">
      <c r="B7620" s="4">
        <f t="shared" si="134"/>
        <v>646.13999999993075</v>
      </c>
      <c r="C7620" s="199">
        <v>1848.8532571698818</v>
      </c>
      <c r="D7620" s="8"/>
    </row>
    <row r="7621" spans="2:4" x14ac:dyDescent="0.25">
      <c r="B7621" s="4">
        <f t="shared" si="134"/>
        <v>646.14999999993074</v>
      </c>
      <c r="C7621" s="199">
        <v>1849.1409607523681</v>
      </c>
      <c r="D7621" s="8"/>
    </row>
    <row r="7622" spans="2:4" x14ac:dyDescent="0.25">
      <c r="B7622" s="4">
        <f t="shared" si="134"/>
        <v>646.15999999993073</v>
      </c>
      <c r="C7622" s="199">
        <v>1849.4286643348535</v>
      </c>
      <c r="D7622" s="8"/>
    </row>
    <row r="7623" spans="2:4" x14ac:dyDescent="0.25">
      <c r="B7623" s="4">
        <f t="shared" si="134"/>
        <v>646.16999999993072</v>
      </c>
      <c r="C7623" s="199">
        <v>1849.7163679173382</v>
      </c>
      <c r="D7623" s="8"/>
    </row>
    <row r="7624" spans="2:4" x14ac:dyDescent="0.25">
      <c r="B7624" s="4">
        <f t="shared" ref="B7624:B7687" si="135">+B7623+0.01</f>
        <v>646.17999999993071</v>
      </c>
      <c r="C7624" s="199">
        <v>1850.0040714998242</v>
      </c>
      <c r="D7624" s="8"/>
    </row>
    <row r="7625" spans="2:4" x14ac:dyDescent="0.25">
      <c r="B7625" s="4">
        <f t="shared" si="135"/>
        <v>646.18999999993071</v>
      </c>
      <c r="C7625" s="199">
        <v>1850.2917750823106</v>
      </c>
      <c r="D7625" s="8"/>
    </row>
    <row r="7626" spans="2:4" x14ac:dyDescent="0.25">
      <c r="B7626" s="4">
        <f t="shared" si="135"/>
        <v>646.1999999999307</v>
      </c>
      <c r="C7626" s="199">
        <v>1850.5794786647964</v>
      </c>
      <c r="D7626" s="8"/>
    </row>
    <row r="7627" spans="2:4" x14ac:dyDescent="0.25">
      <c r="B7627" s="4">
        <f t="shared" si="135"/>
        <v>646.20999999993069</v>
      </c>
      <c r="C7627" s="199">
        <v>1850.8671822472829</v>
      </c>
      <c r="D7627" s="8"/>
    </row>
    <row r="7628" spans="2:4" x14ac:dyDescent="0.25">
      <c r="B7628" s="4">
        <f t="shared" si="135"/>
        <v>646.21999999993068</v>
      </c>
      <c r="C7628" s="199">
        <v>1851.1550329070321</v>
      </c>
      <c r="D7628" s="8"/>
    </row>
    <row r="7629" spans="2:4" x14ac:dyDescent="0.25">
      <c r="B7629" s="4">
        <f t="shared" si="135"/>
        <v>646.22999999993067</v>
      </c>
      <c r="C7629" s="199">
        <v>1851.4428835667802</v>
      </c>
      <c r="D7629" s="8"/>
    </row>
    <row r="7630" spans="2:4" x14ac:dyDescent="0.25">
      <c r="B7630" s="4">
        <f t="shared" si="135"/>
        <v>646.23999999993066</v>
      </c>
      <c r="C7630" s="199">
        <v>1851.7307342265283</v>
      </c>
      <c r="D7630" s="8"/>
    </row>
    <row r="7631" spans="2:4" x14ac:dyDescent="0.25">
      <c r="B7631" s="4">
        <f t="shared" si="135"/>
        <v>646.24999999993065</v>
      </c>
      <c r="C7631" s="199">
        <v>1852.0185848862779</v>
      </c>
      <c r="D7631" s="8"/>
    </row>
    <row r="7632" spans="2:4" x14ac:dyDescent="0.25">
      <c r="B7632" s="4">
        <f t="shared" si="135"/>
        <v>646.25999999993064</v>
      </c>
      <c r="C7632" s="199">
        <v>1852.3064355460265</v>
      </c>
      <c r="D7632" s="8"/>
    </row>
    <row r="7633" spans="2:4" x14ac:dyDescent="0.25">
      <c r="B7633" s="4">
        <f t="shared" si="135"/>
        <v>646.26999999993063</v>
      </c>
      <c r="C7633" s="199">
        <v>1852.5942862057746</v>
      </c>
      <c r="D7633" s="8"/>
    </row>
    <row r="7634" spans="2:4" x14ac:dyDescent="0.25">
      <c r="B7634" s="4">
        <f t="shared" si="135"/>
        <v>646.27999999993062</v>
      </c>
      <c r="C7634" s="199">
        <v>1852.8821368655226</v>
      </c>
      <c r="D7634" s="8"/>
    </row>
    <row r="7635" spans="2:4" x14ac:dyDescent="0.25">
      <c r="B7635" s="4">
        <f t="shared" si="135"/>
        <v>646.28999999993061</v>
      </c>
      <c r="C7635" s="199">
        <v>1853.1699875252725</v>
      </c>
      <c r="D7635" s="8"/>
    </row>
    <row r="7636" spans="2:4" x14ac:dyDescent="0.25">
      <c r="B7636" s="4">
        <f t="shared" si="135"/>
        <v>646.29999999993061</v>
      </c>
      <c r="C7636" s="199">
        <v>1853.4578381850206</v>
      </c>
      <c r="D7636" s="8"/>
    </row>
    <row r="7637" spans="2:4" x14ac:dyDescent="0.25">
      <c r="B7637" s="4">
        <f t="shared" si="135"/>
        <v>646.3099999999306</v>
      </c>
      <c r="C7637" s="199">
        <v>1853.7456888447684</v>
      </c>
      <c r="D7637" s="8"/>
    </row>
    <row r="7638" spans="2:4" x14ac:dyDescent="0.25">
      <c r="B7638" s="4">
        <f t="shared" si="135"/>
        <v>646.31999999993059</v>
      </c>
      <c r="C7638" s="199">
        <v>1854.0336861799863</v>
      </c>
      <c r="D7638" s="8"/>
    </row>
    <row r="7639" spans="2:4" x14ac:dyDescent="0.25">
      <c r="B7639" s="4">
        <f t="shared" si="135"/>
        <v>646.32999999993058</v>
      </c>
      <c r="C7639" s="199">
        <v>1854.3216835152084</v>
      </c>
      <c r="D7639" s="8"/>
    </row>
    <row r="7640" spans="2:4" x14ac:dyDescent="0.25">
      <c r="B7640" s="4">
        <f t="shared" si="135"/>
        <v>646.33999999993057</v>
      </c>
      <c r="C7640" s="199">
        <v>1854.6096808504299</v>
      </c>
      <c r="D7640" s="8"/>
    </row>
    <row r="7641" spans="2:4" x14ac:dyDescent="0.25">
      <c r="B7641" s="4">
        <f t="shared" si="135"/>
        <v>646.34999999993056</v>
      </c>
      <c r="C7641" s="199">
        <v>1854.8976781856522</v>
      </c>
      <c r="D7641" s="8"/>
    </row>
    <row r="7642" spans="2:4" x14ac:dyDescent="0.25">
      <c r="B7642" s="4">
        <f t="shared" si="135"/>
        <v>646.35999999993055</v>
      </c>
      <c r="C7642" s="199">
        <v>1855.1856755208739</v>
      </c>
      <c r="D7642" s="8"/>
    </row>
    <row r="7643" spans="2:4" x14ac:dyDescent="0.25">
      <c r="B7643" s="4">
        <f t="shared" si="135"/>
        <v>646.36999999993054</v>
      </c>
      <c r="C7643" s="199">
        <v>1855.4736728560961</v>
      </c>
      <c r="D7643" s="8"/>
    </row>
    <row r="7644" spans="2:4" x14ac:dyDescent="0.25">
      <c r="B7644" s="4">
        <f t="shared" si="135"/>
        <v>646.37999999993053</v>
      </c>
      <c r="C7644" s="199">
        <v>1855.7616701913178</v>
      </c>
      <c r="D7644" s="8"/>
    </row>
    <row r="7645" spans="2:4" x14ac:dyDescent="0.25">
      <c r="B7645" s="4">
        <f t="shared" si="135"/>
        <v>646.38999999993052</v>
      </c>
      <c r="C7645" s="199">
        <v>1856.0496675265397</v>
      </c>
      <c r="D7645" s="8"/>
    </row>
    <row r="7646" spans="2:4" x14ac:dyDescent="0.25">
      <c r="B7646" s="4">
        <f t="shared" si="135"/>
        <v>646.39999999993051</v>
      </c>
      <c r="C7646" s="199">
        <v>1856.3376648617623</v>
      </c>
      <c r="D7646" s="8"/>
    </row>
    <row r="7647" spans="2:4" x14ac:dyDescent="0.25">
      <c r="B7647" s="4">
        <f t="shared" si="135"/>
        <v>646.40999999993051</v>
      </c>
      <c r="C7647" s="199">
        <v>1856.6256621969842</v>
      </c>
      <c r="D7647" s="8"/>
    </row>
    <row r="7648" spans="2:4" x14ac:dyDescent="0.25">
      <c r="B7648" s="4">
        <f t="shared" si="135"/>
        <v>646.4199999999305</v>
      </c>
      <c r="C7648" s="199">
        <v>1856.9138066812986</v>
      </c>
      <c r="D7648" s="8"/>
    </row>
    <row r="7649" spans="2:4" x14ac:dyDescent="0.25">
      <c r="B7649" s="4">
        <f t="shared" si="135"/>
        <v>646.42999999993049</v>
      </c>
      <c r="C7649" s="199">
        <v>1857.2019511656147</v>
      </c>
      <c r="D7649" s="8"/>
    </row>
    <row r="7650" spans="2:4" x14ac:dyDescent="0.25">
      <c r="B7650" s="4">
        <f t="shared" si="135"/>
        <v>646.43999999993048</v>
      </c>
      <c r="C7650" s="199">
        <v>1857.4900956499309</v>
      </c>
      <c r="D7650" s="8"/>
    </row>
    <row r="7651" spans="2:4" x14ac:dyDescent="0.25">
      <c r="B7651" s="4">
        <f t="shared" si="135"/>
        <v>646.44999999993047</v>
      </c>
      <c r="C7651" s="199">
        <v>1857.7782401342472</v>
      </c>
      <c r="D7651" s="8"/>
    </row>
    <row r="7652" spans="2:4" x14ac:dyDescent="0.25">
      <c r="B7652" s="4">
        <f t="shared" si="135"/>
        <v>646.45999999993046</v>
      </c>
      <c r="C7652" s="199">
        <v>1858.0663846185635</v>
      </c>
      <c r="D7652" s="8"/>
    </row>
    <row r="7653" spans="2:4" x14ac:dyDescent="0.25">
      <c r="B7653" s="4">
        <f t="shared" si="135"/>
        <v>646.46999999993045</v>
      </c>
      <c r="C7653" s="199">
        <v>1858.3545291028795</v>
      </c>
      <c r="D7653" s="8"/>
    </row>
    <row r="7654" spans="2:4" x14ac:dyDescent="0.25">
      <c r="B7654" s="4">
        <f t="shared" si="135"/>
        <v>646.47999999993044</v>
      </c>
      <c r="C7654" s="199">
        <v>1858.6426735871955</v>
      </c>
      <c r="D7654" s="8"/>
    </row>
    <row r="7655" spans="2:4" x14ac:dyDescent="0.25">
      <c r="B7655" s="4">
        <f t="shared" si="135"/>
        <v>646.48999999993043</v>
      </c>
      <c r="C7655" s="199">
        <v>1858.930818071512</v>
      </c>
      <c r="D7655" s="8"/>
    </row>
    <row r="7656" spans="2:4" x14ac:dyDescent="0.25">
      <c r="B7656" s="4">
        <f t="shared" si="135"/>
        <v>646.49999999993042</v>
      </c>
      <c r="C7656" s="199">
        <v>1859.2189625558278</v>
      </c>
      <c r="D7656" s="8"/>
    </row>
    <row r="7657" spans="2:4" x14ac:dyDescent="0.25">
      <c r="B7657" s="4">
        <f t="shared" si="135"/>
        <v>646.50999999993041</v>
      </c>
      <c r="C7657" s="199">
        <v>1859.5071070401441</v>
      </c>
      <c r="D7657" s="8"/>
    </row>
    <row r="7658" spans="2:4" x14ac:dyDescent="0.25">
      <c r="B7658" s="4">
        <f t="shared" si="135"/>
        <v>646.51999999993041</v>
      </c>
      <c r="C7658" s="199">
        <v>1859.7954004262822</v>
      </c>
      <c r="D7658" s="8"/>
    </row>
    <row r="7659" spans="2:4" x14ac:dyDescent="0.25">
      <c r="B7659" s="4">
        <f t="shared" si="135"/>
        <v>646.5299999999304</v>
      </c>
      <c r="C7659" s="199">
        <v>1860.0836938124276</v>
      </c>
      <c r="D7659" s="8"/>
    </row>
    <row r="7660" spans="2:4" x14ac:dyDescent="0.25">
      <c r="B7660" s="4">
        <f t="shared" si="135"/>
        <v>646.53999999993039</v>
      </c>
      <c r="C7660" s="199">
        <v>1860.3719871985709</v>
      </c>
      <c r="D7660" s="8"/>
    </row>
    <row r="7661" spans="2:4" x14ac:dyDescent="0.25">
      <c r="B7661" s="4">
        <f t="shared" si="135"/>
        <v>646.54999999993038</v>
      </c>
      <c r="C7661" s="199">
        <v>1860.6602805847144</v>
      </c>
      <c r="D7661" s="8"/>
    </row>
    <row r="7662" spans="2:4" x14ac:dyDescent="0.25">
      <c r="B7662" s="4">
        <f t="shared" si="135"/>
        <v>646.55999999993037</v>
      </c>
      <c r="C7662" s="199">
        <v>1860.948573970858</v>
      </c>
      <c r="D7662" s="8"/>
    </row>
    <row r="7663" spans="2:4" x14ac:dyDescent="0.25">
      <c r="B7663" s="4">
        <f t="shared" si="135"/>
        <v>646.56999999993036</v>
      </c>
      <c r="C7663" s="199">
        <v>1861.2368673570013</v>
      </c>
      <c r="D7663" s="8"/>
    </row>
    <row r="7664" spans="2:4" x14ac:dyDescent="0.25">
      <c r="B7664" s="4">
        <f t="shared" si="135"/>
        <v>646.57999999993035</v>
      </c>
      <c r="C7664" s="199">
        <v>1861.5251607431446</v>
      </c>
      <c r="D7664" s="8"/>
    </row>
    <row r="7665" spans="2:4" x14ac:dyDescent="0.25">
      <c r="B7665" s="4">
        <f t="shared" si="135"/>
        <v>646.58999999993034</v>
      </c>
      <c r="C7665" s="199">
        <v>1861.8134541292898</v>
      </c>
      <c r="D7665" s="8"/>
    </row>
    <row r="7666" spans="2:4" x14ac:dyDescent="0.25">
      <c r="B7666" s="4">
        <f t="shared" si="135"/>
        <v>646.59999999993033</v>
      </c>
      <c r="C7666" s="199">
        <v>1862.1017475154333</v>
      </c>
      <c r="D7666" s="8"/>
    </row>
    <row r="7667" spans="2:4" x14ac:dyDescent="0.25">
      <c r="B7667" s="4">
        <f t="shared" si="135"/>
        <v>646.60999999993032</v>
      </c>
      <c r="C7667" s="199">
        <v>1862.3900409015764</v>
      </c>
      <c r="D7667" s="8"/>
    </row>
    <row r="7668" spans="2:4" x14ac:dyDescent="0.25">
      <c r="B7668" s="4">
        <f t="shared" si="135"/>
        <v>646.61999999993031</v>
      </c>
      <c r="C7668" s="199">
        <v>1862.6784781164611</v>
      </c>
      <c r="D7668" s="8"/>
    </row>
    <row r="7669" spans="2:4" x14ac:dyDescent="0.25">
      <c r="B7669" s="4">
        <f t="shared" si="135"/>
        <v>646.62999999993031</v>
      </c>
      <c r="C7669" s="199">
        <v>1862.9669153313421</v>
      </c>
      <c r="D7669" s="8"/>
    </row>
    <row r="7670" spans="2:4" x14ac:dyDescent="0.25">
      <c r="B7670" s="4">
        <f t="shared" si="135"/>
        <v>646.6399999999303</v>
      </c>
      <c r="C7670" s="199">
        <v>1863.2553525462258</v>
      </c>
      <c r="D7670" s="8"/>
    </row>
    <row r="7671" spans="2:4" x14ac:dyDescent="0.25">
      <c r="B7671" s="4">
        <f t="shared" si="135"/>
        <v>646.64999999993029</v>
      </c>
      <c r="C7671" s="199">
        <v>1863.5437897611098</v>
      </c>
      <c r="D7671" s="8"/>
    </row>
    <row r="7672" spans="2:4" x14ac:dyDescent="0.25">
      <c r="B7672" s="4">
        <f t="shared" si="135"/>
        <v>646.65999999993028</v>
      </c>
      <c r="C7672" s="199">
        <v>1863.8322269759913</v>
      </c>
      <c r="D7672" s="8"/>
    </row>
    <row r="7673" spans="2:4" x14ac:dyDescent="0.25">
      <c r="B7673" s="4">
        <f t="shared" si="135"/>
        <v>646.66999999993027</v>
      </c>
      <c r="C7673" s="199">
        <v>1864.1206641908748</v>
      </c>
      <c r="D7673" s="8"/>
    </row>
    <row r="7674" spans="2:4" x14ac:dyDescent="0.25">
      <c r="B7674" s="4">
        <f t="shared" si="135"/>
        <v>646.67999999993026</v>
      </c>
      <c r="C7674" s="199">
        <v>1864.4091014057569</v>
      </c>
      <c r="D7674" s="8"/>
    </row>
    <row r="7675" spans="2:4" x14ac:dyDescent="0.25">
      <c r="B7675" s="4">
        <f t="shared" si="135"/>
        <v>646.68999999993025</v>
      </c>
      <c r="C7675" s="199">
        <v>1864.69753862064</v>
      </c>
      <c r="D7675" s="8"/>
    </row>
    <row r="7676" spans="2:4" x14ac:dyDescent="0.25">
      <c r="B7676" s="4">
        <f t="shared" si="135"/>
        <v>646.69999999993024</v>
      </c>
      <c r="C7676" s="199">
        <v>1864.9859758355215</v>
      </c>
      <c r="D7676" s="8"/>
    </row>
    <row r="7677" spans="2:4" x14ac:dyDescent="0.25">
      <c r="B7677" s="4">
        <f t="shared" si="135"/>
        <v>646.70999999993023</v>
      </c>
      <c r="C7677" s="199">
        <v>1865.274413050405</v>
      </c>
      <c r="D7677" s="8"/>
    </row>
    <row r="7678" spans="2:4" x14ac:dyDescent="0.25">
      <c r="B7678" s="4">
        <f t="shared" si="135"/>
        <v>646.71999999993022</v>
      </c>
      <c r="C7678" s="199">
        <v>1865.5629946788756</v>
      </c>
      <c r="D7678" s="8"/>
    </row>
    <row r="7679" spans="2:4" x14ac:dyDescent="0.25">
      <c r="B7679" s="4">
        <f t="shared" si="135"/>
        <v>646.72999999993021</v>
      </c>
      <c r="C7679" s="199">
        <v>1865.8515763073508</v>
      </c>
      <c r="D7679" s="8"/>
    </row>
    <row r="7680" spans="2:4" x14ac:dyDescent="0.25">
      <c r="B7680" s="4">
        <f t="shared" si="135"/>
        <v>646.73999999993021</v>
      </c>
      <c r="C7680" s="199">
        <v>1866.1401579358264</v>
      </c>
      <c r="D7680" s="8"/>
    </row>
    <row r="7681" spans="2:4" x14ac:dyDescent="0.25">
      <c r="B7681" s="4">
        <f t="shared" si="135"/>
        <v>646.7499999999302</v>
      </c>
      <c r="C7681" s="199">
        <v>1866.4287395643016</v>
      </c>
      <c r="D7681" s="8"/>
    </row>
    <row r="7682" spans="2:4" x14ac:dyDescent="0.25">
      <c r="B7682" s="4">
        <f t="shared" si="135"/>
        <v>646.75999999993019</v>
      </c>
      <c r="C7682" s="199">
        <v>1866.717321192777</v>
      </c>
      <c r="D7682" s="8"/>
    </row>
    <row r="7683" spans="2:4" x14ac:dyDescent="0.25">
      <c r="B7683" s="4">
        <f t="shared" si="135"/>
        <v>646.76999999993018</v>
      </c>
      <c r="C7683" s="199">
        <v>1867.005902821252</v>
      </c>
      <c r="D7683" s="8"/>
    </row>
    <row r="7684" spans="2:4" x14ac:dyDescent="0.25">
      <c r="B7684" s="4">
        <f t="shared" si="135"/>
        <v>646.77999999993017</v>
      </c>
      <c r="C7684" s="199">
        <v>1867.2944844497279</v>
      </c>
      <c r="D7684" s="8"/>
    </row>
    <row r="7685" spans="2:4" x14ac:dyDescent="0.25">
      <c r="B7685" s="4">
        <f t="shared" si="135"/>
        <v>646.78999999993016</v>
      </c>
      <c r="C7685" s="199">
        <v>1867.5830660782028</v>
      </c>
      <c r="D7685" s="8"/>
    </row>
    <row r="7686" spans="2:4" x14ac:dyDescent="0.25">
      <c r="B7686" s="4">
        <f t="shared" si="135"/>
        <v>646.79999999993015</v>
      </c>
      <c r="C7686" s="199">
        <v>1867.8716477066785</v>
      </c>
      <c r="D7686" s="8"/>
    </row>
    <row r="7687" spans="2:4" x14ac:dyDescent="0.25">
      <c r="B7687" s="4">
        <f t="shared" si="135"/>
        <v>646.80999999993014</v>
      </c>
      <c r="C7687" s="199">
        <v>1868.1602293351536</v>
      </c>
      <c r="D7687" s="8"/>
    </row>
    <row r="7688" spans="2:4" x14ac:dyDescent="0.25">
      <c r="B7688" s="4">
        <f t="shared" ref="B7688:B7751" si="136">+B7687+0.01</f>
        <v>646.81999999993013</v>
      </c>
      <c r="C7688" s="199">
        <v>1868.4489531542081</v>
      </c>
      <c r="D7688" s="8"/>
    </row>
    <row r="7689" spans="2:4" x14ac:dyDescent="0.25">
      <c r="B7689" s="4">
        <f t="shared" si="136"/>
        <v>646.82999999993012</v>
      </c>
      <c r="C7689" s="199">
        <v>1868.7376769732609</v>
      </c>
      <c r="D7689" s="8"/>
    </row>
    <row r="7690" spans="2:4" x14ac:dyDescent="0.25">
      <c r="B7690" s="4">
        <f t="shared" si="136"/>
        <v>646.83999999993011</v>
      </c>
      <c r="C7690" s="199">
        <v>1869.026400792314</v>
      </c>
      <c r="D7690" s="8"/>
    </row>
    <row r="7691" spans="2:4" x14ac:dyDescent="0.25">
      <c r="B7691" s="4">
        <f t="shared" si="136"/>
        <v>646.84999999993011</v>
      </c>
      <c r="C7691" s="199">
        <v>1869.3151246113673</v>
      </c>
      <c r="D7691" s="8"/>
    </row>
    <row r="7692" spans="2:4" x14ac:dyDescent="0.25">
      <c r="B7692" s="4">
        <f t="shared" si="136"/>
        <v>646.8599999999301</v>
      </c>
      <c r="C7692" s="199">
        <v>1869.6038484304202</v>
      </c>
      <c r="D7692" s="8"/>
    </row>
    <row r="7693" spans="2:4" x14ac:dyDescent="0.25">
      <c r="B7693" s="4">
        <f t="shared" si="136"/>
        <v>646.86999999993009</v>
      </c>
      <c r="C7693" s="199">
        <v>1869.8925722494737</v>
      </c>
      <c r="D7693" s="8"/>
    </row>
    <row r="7694" spans="2:4" x14ac:dyDescent="0.25">
      <c r="B7694" s="4">
        <f t="shared" si="136"/>
        <v>646.87999999993008</v>
      </c>
      <c r="C7694" s="199">
        <v>1870.1812960685265</v>
      </c>
      <c r="D7694" s="8"/>
    </row>
    <row r="7695" spans="2:4" x14ac:dyDescent="0.25">
      <c r="B7695" s="4">
        <f t="shared" si="136"/>
        <v>646.88999999993007</v>
      </c>
      <c r="C7695" s="199">
        <v>1870.4700198875776</v>
      </c>
      <c r="D7695" s="8"/>
    </row>
    <row r="7696" spans="2:4" x14ac:dyDescent="0.25">
      <c r="B7696" s="4">
        <f t="shared" si="136"/>
        <v>646.89999999993006</v>
      </c>
      <c r="C7696" s="199">
        <v>1870.7587437066309</v>
      </c>
      <c r="D7696" s="8"/>
    </row>
    <row r="7697" spans="2:4" x14ac:dyDescent="0.25">
      <c r="B7697" s="4">
        <f t="shared" si="136"/>
        <v>646.90999999993005</v>
      </c>
      <c r="C7697" s="199">
        <v>1871.0474675256837</v>
      </c>
      <c r="D7697" s="8"/>
    </row>
    <row r="7698" spans="2:4" x14ac:dyDescent="0.25">
      <c r="B7698" s="4">
        <f t="shared" si="136"/>
        <v>646.91999999993004</v>
      </c>
      <c r="C7698" s="199">
        <v>1871.3363318471204</v>
      </c>
      <c r="D7698" s="8"/>
    </row>
    <row r="7699" spans="2:4" x14ac:dyDescent="0.25">
      <c r="B7699" s="4">
        <f t="shared" si="136"/>
        <v>646.92999999993003</v>
      </c>
      <c r="C7699" s="199">
        <v>1871.6251961685596</v>
      </c>
      <c r="D7699" s="8"/>
    </row>
    <row r="7700" spans="2:4" x14ac:dyDescent="0.25">
      <c r="B7700" s="4">
        <f t="shared" si="136"/>
        <v>646.93999999993002</v>
      </c>
      <c r="C7700" s="199">
        <v>1871.9140604899994</v>
      </c>
      <c r="D7700" s="8"/>
    </row>
    <row r="7701" spans="2:4" x14ac:dyDescent="0.25">
      <c r="B7701" s="4">
        <f t="shared" si="136"/>
        <v>646.94999999993001</v>
      </c>
      <c r="C7701" s="199">
        <v>1872.20292481144</v>
      </c>
      <c r="D7701" s="8"/>
    </row>
    <row r="7702" spans="2:4" x14ac:dyDescent="0.25">
      <c r="B7702" s="4">
        <f t="shared" si="136"/>
        <v>646.95999999993001</v>
      </c>
      <c r="C7702" s="199">
        <v>1872.4917891328798</v>
      </c>
      <c r="D7702" s="8"/>
    </row>
    <row r="7703" spans="2:4" x14ac:dyDescent="0.25">
      <c r="B7703" s="4">
        <f t="shared" si="136"/>
        <v>646.96999999993</v>
      </c>
      <c r="C7703" s="199">
        <v>1872.7806534543204</v>
      </c>
      <c r="D7703" s="8"/>
    </row>
    <row r="7704" spans="2:4" x14ac:dyDescent="0.25">
      <c r="B7704" s="4">
        <f t="shared" si="136"/>
        <v>646.97999999992999</v>
      </c>
      <c r="C7704" s="199">
        <v>1873.0695177757605</v>
      </c>
      <c r="D7704" s="8"/>
    </row>
    <row r="7705" spans="2:4" x14ac:dyDescent="0.25">
      <c r="B7705" s="4">
        <f t="shared" si="136"/>
        <v>646.98999999992998</v>
      </c>
      <c r="C7705" s="199">
        <v>1873.3583820972012</v>
      </c>
      <c r="D7705" s="8"/>
    </row>
    <row r="7706" spans="2:4" x14ac:dyDescent="0.25">
      <c r="B7706" s="4">
        <f t="shared" si="136"/>
        <v>646.99999999992997</v>
      </c>
      <c r="C7706" s="199">
        <v>1873.6472464186418</v>
      </c>
      <c r="D7706" s="8"/>
    </row>
    <row r="7707" spans="2:4" x14ac:dyDescent="0.25">
      <c r="B7707" s="4">
        <f t="shared" si="136"/>
        <v>647.00999999992996</v>
      </c>
      <c r="C7707" s="199">
        <v>1873.9361107400823</v>
      </c>
      <c r="D7707" s="8"/>
    </row>
    <row r="7708" spans="2:4" x14ac:dyDescent="0.25">
      <c r="B7708" s="4">
        <f t="shared" si="136"/>
        <v>647.01999999992995</v>
      </c>
      <c r="C7708" s="199">
        <v>1874.2251157850644</v>
      </c>
      <c r="D7708" s="8"/>
    </row>
    <row r="7709" spans="2:4" x14ac:dyDescent="0.25">
      <c r="B7709" s="4">
        <f t="shared" si="136"/>
        <v>647.02999999992994</v>
      </c>
      <c r="C7709" s="199">
        <v>1874.5141208300461</v>
      </c>
      <c r="D7709" s="8"/>
    </row>
    <row r="7710" spans="2:4" x14ac:dyDescent="0.25">
      <c r="B7710" s="4">
        <f t="shared" si="136"/>
        <v>647.03999999992993</v>
      </c>
      <c r="C7710" s="199">
        <v>1874.8031258750295</v>
      </c>
      <c r="D7710" s="8"/>
    </row>
    <row r="7711" spans="2:4" x14ac:dyDescent="0.25">
      <c r="B7711" s="4">
        <f t="shared" si="136"/>
        <v>647.04999999992992</v>
      </c>
      <c r="C7711" s="199">
        <v>1875.0921309200114</v>
      </c>
      <c r="D7711" s="8"/>
    </row>
    <row r="7712" spans="2:4" x14ac:dyDescent="0.25">
      <c r="B7712" s="4">
        <f t="shared" si="136"/>
        <v>647.05999999992991</v>
      </c>
      <c r="C7712" s="199">
        <v>1875.3811359649931</v>
      </c>
      <c r="D7712" s="8"/>
    </row>
    <row r="7713" spans="2:4" x14ac:dyDescent="0.25">
      <c r="B7713" s="4">
        <f t="shared" si="136"/>
        <v>647.06999999992991</v>
      </c>
      <c r="C7713" s="199">
        <v>1875.6701410099765</v>
      </c>
      <c r="D7713" s="8"/>
    </row>
    <row r="7714" spans="2:4" x14ac:dyDescent="0.25">
      <c r="B7714" s="4">
        <f t="shared" si="136"/>
        <v>647.0799999999299</v>
      </c>
      <c r="C7714" s="199">
        <v>1875.9591460549582</v>
      </c>
      <c r="D7714" s="8"/>
    </row>
    <row r="7715" spans="2:4" x14ac:dyDescent="0.25">
      <c r="B7715" s="4">
        <f t="shared" si="136"/>
        <v>647.08999999992989</v>
      </c>
      <c r="C7715" s="199">
        <v>1876.2481510999417</v>
      </c>
      <c r="D7715" s="8"/>
    </row>
    <row r="7716" spans="2:4" x14ac:dyDescent="0.25">
      <c r="B7716" s="4">
        <f t="shared" si="136"/>
        <v>647.09999999992988</v>
      </c>
      <c r="C7716" s="199">
        <v>1876.5371561449235</v>
      </c>
      <c r="D7716" s="8"/>
    </row>
    <row r="7717" spans="2:4" x14ac:dyDescent="0.25">
      <c r="B7717" s="4">
        <f t="shared" si="136"/>
        <v>647.10999999992987</v>
      </c>
      <c r="C7717" s="199">
        <v>1876.8261611899054</v>
      </c>
      <c r="D7717" s="8"/>
    </row>
    <row r="7718" spans="2:4" x14ac:dyDescent="0.25">
      <c r="B7718" s="4">
        <f t="shared" si="136"/>
        <v>647.11999999992986</v>
      </c>
      <c r="C7718" s="199">
        <v>1877.1153028784665</v>
      </c>
      <c r="D7718" s="8"/>
    </row>
    <row r="7719" spans="2:4" x14ac:dyDescent="0.25">
      <c r="B7719" s="4">
        <f t="shared" si="136"/>
        <v>647.12999999992985</v>
      </c>
      <c r="C7719" s="199">
        <v>1877.4044445670313</v>
      </c>
      <c r="D7719" s="8"/>
    </row>
    <row r="7720" spans="2:4" x14ac:dyDescent="0.25">
      <c r="B7720" s="4">
        <f t="shared" si="136"/>
        <v>647.13999999992984</v>
      </c>
      <c r="C7720" s="199">
        <v>1877.693586255599</v>
      </c>
      <c r="D7720" s="8"/>
    </row>
    <row r="7721" spans="2:4" x14ac:dyDescent="0.25">
      <c r="B7721" s="4">
        <f t="shared" si="136"/>
        <v>647.14999999992983</v>
      </c>
      <c r="C7721" s="199">
        <v>1877.982727944164</v>
      </c>
      <c r="D7721" s="8"/>
    </row>
    <row r="7722" spans="2:4" x14ac:dyDescent="0.25">
      <c r="B7722" s="4">
        <f t="shared" si="136"/>
        <v>647.15999999992982</v>
      </c>
      <c r="C7722" s="199">
        <v>1878.271869632729</v>
      </c>
      <c r="D7722" s="8"/>
    </row>
    <row r="7723" spans="2:4" x14ac:dyDescent="0.25">
      <c r="B7723" s="4">
        <f t="shared" si="136"/>
        <v>647.16999999992981</v>
      </c>
      <c r="C7723" s="199">
        <v>1878.5610113212963</v>
      </c>
      <c r="D7723" s="8"/>
    </row>
    <row r="7724" spans="2:4" x14ac:dyDescent="0.25">
      <c r="B7724" s="4">
        <f t="shared" si="136"/>
        <v>647.17999999992981</v>
      </c>
      <c r="C7724" s="199">
        <v>1878.8501530098613</v>
      </c>
      <c r="D7724" s="8"/>
    </row>
    <row r="7725" spans="2:4" x14ac:dyDescent="0.25">
      <c r="B7725" s="4">
        <f t="shared" si="136"/>
        <v>647.1899999999298</v>
      </c>
      <c r="C7725" s="199">
        <v>1879.139294698427</v>
      </c>
      <c r="D7725" s="8"/>
    </row>
    <row r="7726" spans="2:4" x14ac:dyDescent="0.25">
      <c r="B7726" s="4">
        <f t="shared" si="136"/>
        <v>647.19999999992979</v>
      </c>
      <c r="C7726" s="199">
        <v>1879.428436386992</v>
      </c>
      <c r="D7726" s="8"/>
    </row>
    <row r="7727" spans="2:4" x14ac:dyDescent="0.25">
      <c r="B7727" s="4">
        <f t="shared" si="136"/>
        <v>647.20999999992978</v>
      </c>
      <c r="C7727" s="199">
        <v>1879.717578075559</v>
      </c>
      <c r="D7727" s="8"/>
    </row>
    <row r="7728" spans="2:4" x14ac:dyDescent="0.25">
      <c r="B7728" s="4">
        <f t="shared" si="136"/>
        <v>647.21999999992977</v>
      </c>
      <c r="C7728" s="199">
        <v>1880.0068554140396</v>
      </c>
      <c r="D7728" s="8"/>
    </row>
    <row r="7729" spans="2:4" x14ac:dyDescent="0.25">
      <c r="B7729" s="4">
        <f t="shared" si="136"/>
        <v>647.22999999992976</v>
      </c>
      <c r="C7729" s="199">
        <v>1880.2961327525184</v>
      </c>
      <c r="D7729" s="8"/>
    </row>
    <row r="7730" spans="2:4" x14ac:dyDescent="0.25">
      <c r="B7730" s="4">
        <f t="shared" si="136"/>
        <v>647.23999999992975</v>
      </c>
      <c r="C7730" s="199">
        <v>1880.5854100909967</v>
      </c>
      <c r="D7730" s="8"/>
    </row>
    <row r="7731" spans="2:4" x14ac:dyDescent="0.25">
      <c r="B7731" s="4">
        <f t="shared" si="136"/>
        <v>647.24999999992974</v>
      </c>
      <c r="C7731" s="199">
        <v>1880.8746874294773</v>
      </c>
      <c r="D7731" s="8"/>
    </row>
    <row r="7732" spans="2:4" x14ac:dyDescent="0.25">
      <c r="B7732" s="4">
        <f t="shared" si="136"/>
        <v>647.25999999992973</v>
      </c>
      <c r="C7732" s="199">
        <v>1881.1639647679556</v>
      </c>
      <c r="D7732" s="8"/>
    </row>
    <row r="7733" spans="2:4" x14ac:dyDescent="0.25">
      <c r="B7733" s="4">
        <f t="shared" si="136"/>
        <v>647.26999999992972</v>
      </c>
      <c r="C7733" s="199">
        <v>1881.4532421064348</v>
      </c>
      <c r="D7733" s="8"/>
    </row>
    <row r="7734" spans="2:4" x14ac:dyDescent="0.25">
      <c r="B7734" s="4">
        <f t="shared" si="136"/>
        <v>647.27999999992971</v>
      </c>
      <c r="C7734" s="199">
        <v>1881.7425194449154</v>
      </c>
      <c r="D7734" s="8"/>
    </row>
    <row r="7735" spans="2:4" x14ac:dyDescent="0.25">
      <c r="B7735" s="4">
        <f t="shared" si="136"/>
        <v>647.28999999992971</v>
      </c>
      <c r="C7735" s="199">
        <v>1882.0317967833937</v>
      </c>
      <c r="D7735" s="8"/>
    </row>
    <row r="7736" spans="2:4" x14ac:dyDescent="0.25">
      <c r="B7736" s="4">
        <f t="shared" si="136"/>
        <v>647.2999999999297</v>
      </c>
      <c r="C7736" s="199">
        <v>1882.3210741218722</v>
      </c>
      <c r="D7736" s="8"/>
    </row>
    <row r="7737" spans="2:4" x14ac:dyDescent="0.25">
      <c r="B7737" s="4">
        <f t="shared" si="136"/>
        <v>647.30999999992969</v>
      </c>
      <c r="C7737" s="199">
        <v>1882.6103514603524</v>
      </c>
      <c r="D7737" s="8"/>
    </row>
    <row r="7738" spans="2:4" x14ac:dyDescent="0.25">
      <c r="B7738" s="4">
        <f t="shared" si="136"/>
        <v>647.31999999992968</v>
      </c>
      <c r="C7738" s="199">
        <v>1882.8997624035942</v>
      </c>
      <c r="D7738" s="8"/>
    </row>
    <row r="7739" spans="2:4" x14ac:dyDescent="0.25">
      <c r="B7739" s="4">
        <f t="shared" si="136"/>
        <v>647.32999999992967</v>
      </c>
      <c r="C7739" s="199">
        <v>1883.1891733468422</v>
      </c>
      <c r="D7739" s="8"/>
    </row>
    <row r="7740" spans="2:4" x14ac:dyDescent="0.25">
      <c r="B7740" s="4">
        <f t="shared" si="136"/>
        <v>647.33999999992966</v>
      </c>
      <c r="C7740" s="199">
        <v>1883.478584290089</v>
      </c>
      <c r="D7740" s="8"/>
    </row>
    <row r="7741" spans="2:4" x14ac:dyDescent="0.25">
      <c r="B7741" s="4">
        <f t="shared" si="136"/>
        <v>647.34999999992965</v>
      </c>
      <c r="C7741" s="199">
        <v>1883.7679952333349</v>
      </c>
      <c r="D7741" s="8"/>
    </row>
    <row r="7742" spans="2:4" x14ac:dyDescent="0.25">
      <c r="B7742" s="4">
        <f t="shared" si="136"/>
        <v>647.35999999992964</v>
      </c>
      <c r="C7742" s="199">
        <v>1884.0574061765828</v>
      </c>
      <c r="D7742" s="8"/>
    </row>
    <row r="7743" spans="2:4" x14ac:dyDescent="0.25">
      <c r="B7743" s="4">
        <f t="shared" si="136"/>
        <v>647.36999999992963</v>
      </c>
      <c r="C7743" s="199">
        <v>1884.3468171198299</v>
      </c>
      <c r="D7743" s="8"/>
    </row>
    <row r="7744" spans="2:4" x14ac:dyDescent="0.25">
      <c r="B7744" s="4">
        <f t="shared" si="136"/>
        <v>647.37999999992962</v>
      </c>
      <c r="C7744" s="199">
        <v>1884.6362280630779</v>
      </c>
      <c r="D7744" s="8"/>
    </row>
    <row r="7745" spans="2:4" x14ac:dyDescent="0.25">
      <c r="B7745" s="4">
        <f t="shared" si="136"/>
        <v>647.38999999992961</v>
      </c>
      <c r="C7745" s="199">
        <v>1884.9256390063254</v>
      </c>
      <c r="D7745" s="8"/>
    </row>
    <row r="7746" spans="2:4" x14ac:dyDescent="0.25">
      <c r="B7746" s="4">
        <f t="shared" si="136"/>
        <v>647.39999999992961</v>
      </c>
      <c r="C7746" s="199">
        <v>1885.2150499495726</v>
      </c>
      <c r="D7746" s="8"/>
    </row>
    <row r="7747" spans="2:4" x14ac:dyDescent="0.25">
      <c r="B7747" s="4">
        <f t="shared" si="136"/>
        <v>647.4099999999296</v>
      </c>
      <c r="C7747" s="199">
        <v>1885.5044608928204</v>
      </c>
      <c r="D7747" s="8"/>
    </row>
    <row r="7748" spans="2:4" x14ac:dyDescent="0.25">
      <c r="B7748" s="4">
        <f t="shared" si="136"/>
        <v>647.41999999992959</v>
      </c>
      <c r="C7748" s="199">
        <v>1885.79399995777</v>
      </c>
      <c r="D7748" s="8"/>
    </row>
    <row r="7749" spans="2:4" x14ac:dyDescent="0.25">
      <c r="B7749" s="4">
        <f t="shared" si="136"/>
        <v>647.42999999992958</v>
      </c>
      <c r="C7749" s="199">
        <v>1886.0835390227176</v>
      </c>
      <c r="D7749" s="8"/>
    </row>
    <row r="7750" spans="2:4" x14ac:dyDescent="0.25">
      <c r="B7750" s="4">
        <f t="shared" si="136"/>
        <v>647.43999999992957</v>
      </c>
      <c r="C7750" s="199">
        <v>1886.3730780876679</v>
      </c>
      <c r="D7750" s="8"/>
    </row>
    <row r="7751" spans="2:4" x14ac:dyDescent="0.25">
      <c r="B7751" s="4">
        <f t="shared" si="136"/>
        <v>647.44999999992956</v>
      </c>
      <c r="C7751" s="199">
        <v>1886.6626171526161</v>
      </c>
      <c r="D7751" s="8"/>
    </row>
    <row r="7752" spans="2:4" x14ac:dyDescent="0.25">
      <c r="B7752" s="4">
        <f t="shared" ref="B7752:B7815" si="137">+B7751+0.01</f>
        <v>647.45999999992955</v>
      </c>
      <c r="C7752" s="199">
        <v>1886.9521562175642</v>
      </c>
      <c r="D7752" s="8"/>
    </row>
    <row r="7753" spans="2:4" x14ac:dyDescent="0.25">
      <c r="B7753" s="4">
        <f t="shared" si="137"/>
        <v>647.46999999992954</v>
      </c>
      <c r="C7753" s="199">
        <v>1887.2416952825145</v>
      </c>
      <c r="D7753" s="8"/>
    </row>
    <row r="7754" spans="2:4" x14ac:dyDescent="0.25">
      <c r="B7754" s="4">
        <f t="shared" si="137"/>
        <v>647.47999999992953</v>
      </c>
      <c r="C7754" s="199">
        <v>1887.531234347462</v>
      </c>
      <c r="D7754" s="8"/>
    </row>
    <row r="7755" spans="2:4" x14ac:dyDescent="0.25">
      <c r="B7755" s="4">
        <f t="shared" si="137"/>
        <v>647.48999999992952</v>
      </c>
      <c r="C7755" s="199">
        <v>1887.8207734124126</v>
      </c>
      <c r="D7755" s="8"/>
    </row>
    <row r="7756" spans="2:4" x14ac:dyDescent="0.25">
      <c r="B7756" s="4">
        <f t="shared" si="137"/>
        <v>647.49999999992951</v>
      </c>
      <c r="C7756" s="199">
        <v>1888.1103124773608</v>
      </c>
      <c r="D7756" s="8"/>
    </row>
    <row r="7757" spans="2:4" x14ac:dyDescent="0.25">
      <c r="B7757" s="4">
        <f t="shared" si="137"/>
        <v>647.50999999992951</v>
      </c>
      <c r="C7757" s="199">
        <v>1888.3998515423093</v>
      </c>
      <c r="D7757" s="8"/>
    </row>
    <row r="7758" spans="2:4" x14ac:dyDescent="0.25">
      <c r="B7758" s="4">
        <f t="shared" si="137"/>
        <v>647.5199999999295</v>
      </c>
      <c r="C7758" s="199">
        <v>1888.6895142165931</v>
      </c>
      <c r="D7758" s="8"/>
    </row>
    <row r="7759" spans="2:4" x14ac:dyDescent="0.25">
      <c r="B7759" s="4">
        <f t="shared" si="137"/>
        <v>647.52999999992949</v>
      </c>
      <c r="C7759" s="199">
        <v>1888.9791768908822</v>
      </c>
      <c r="D7759" s="8"/>
    </row>
    <row r="7760" spans="2:4" x14ac:dyDescent="0.25">
      <c r="B7760" s="4">
        <f t="shared" si="137"/>
        <v>647.53999999992948</v>
      </c>
      <c r="C7760" s="199">
        <v>1889.2688395651712</v>
      </c>
      <c r="D7760" s="8"/>
    </row>
    <row r="7761" spans="2:4" x14ac:dyDescent="0.25">
      <c r="B7761" s="4">
        <f t="shared" si="137"/>
        <v>647.54999999992947</v>
      </c>
      <c r="C7761" s="199">
        <v>1889.55850223946</v>
      </c>
      <c r="D7761" s="8"/>
    </row>
    <row r="7762" spans="2:4" x14ac:dyDescent="0.25">
      <c r="B7762" s="4">
        <f t="shared" si="137"/>
        <v>647.55999999992946</v>
      </c>
      <c r="C7762" s="199">
        <v>1889.8481649137495</v>
      </c>
      <c r="D7762" s="8"/>
    </row>
    <row r="7763" spans="2:4" x14ac:dyDescent="0.25">
      <c r="B7763" s="4">
        <f t="shared" si="137"/>
        <v>647.56999999992945</v>
      </c>
      <c r="C7763" s="199">
        <v>1890.1378275880384</v>
      </c>
      <c r="D7763" s="8"/>
    </row>
    <row r="7764" spans="2:4" x14ac:dyDescent="0.25">
      <c r="B7764" s="4">
        <f t="shared" si="137"/>
        <v>647.57999999992944</v>
      </c>
      <c r="C7764" s="199">
        <v>1890.4274902623276</v>
      </c>
      <c r="D7764" s="8"/>
    </row>
    <row r="7765" spans="2:4" x14ac:dyDescent="0.25">
      <c r="B7765" s="4">
        <f t="shared" si="137"/>
        <v>647.58999999992943</v>
      </c>
      <c r="C7765" s="199">
        <v>1890.7171529366162</v>
      </c>
      <c r="D7765" s="8"/>
    </row>
    <row r="7766" spans="2:4" x14ac:dyDescent="0.25">
      <c r="B7766" s="4">
        <f t="shared" si="137"/>
        <v>647.59999999992942</v>
      </c>
      <c r="C7766" s="199">
        <v>1891.0068156109039</v>
      </c>
      <c r="D7766" s="8"/>
    </row>
    <row r="7767" spans="2:4" x14ac:dyDescent="0.25">
      <c r="B7767" s="4">
        <f t="shared" si="137"/>
        <v>647.60999999992941</v>
      </c>
      <c r="C7767" s="199">
        <v>1891.2964782851932</v>
      </c>
      <c r="D7767" s="8"/>
    </row>
    <row r="7768" spans="2:4" x14ac:dyDescent="0.25">
      <c r="B7768" s="4">
        <f t="shared" si="137"/>
        <v>647.61999999992941</v>
      </c>
      <c r="C7768" s="199">
        <v>1891.5862585014763</v>
      </c>
      <c r="D7768" s="8"/>
    </row>
    <row r="7769" spans="2:4" x14ac:dyDescent="0.25">
      <c r="B7769" s="4">
        <f t="shared" si="137"/>
        <v>647.6299999999294</v>
      </c>
      <c r="C7769" s="199">
        <v>1891.8760387177574</v>
      </c>
      <c r="D7769" s="8"/>
    </row>
    <row r="7770" spans="2:4" x14ac:dyDescent="0.25">
      <c r="B7770" s="4">
        <f t="shared" si="137"/>
        <v>647.63999999992939</v>
      </c>
      <c r="C7770" s="199">
        <v>1892.165818934039</v>
      </c>
      <c r="D7770" s="8"/>
    </row>
    <row r="7771" spans="2:4" x14ac:dyDescent="0.25">
      <c r="B7771" s="4">
        <f t="shared" si="137"/>
        <v>647.64999999992938</v>
      </c>
      <c r="C7771" s="199">
        <v>1892.4555991503203</v>
      </c>
      <c r="D7771" s="8"/>
    </row>
    <row r="7772" spans="2:4" x14ac:dyDescent="0.25">
      <c r="B7772" s="4">
        <f t="shared" si="137"/>
        <v>647.65999999992937</v>
      </c>
      <c r="C7772" s="199">
        <v>1892.7453793666018</v>
      </c>
      <c r="D7772" s="8"/>
    </row>
    <row r="7773" spans="2:4" x14ac:dyDescent="0.25">
      <c r="B7773" s="4">
        <f t="shared" si="137"/>
        <v>647.66999999992936</v>
      </c>
      <c r="C7773" s="199">
        <v>1893.0351595828834</v>
      </c>
      <c r="D7773" s="8"/>
    </row>
    <row r="7774" spans="2:4" x14ac:dyDescent="0.25">
      <c r="B7774" s="4">
        <f t="shared" si="137"/>
        <v>647.67999999992935</v>
      </c>
      <c r="C7774" s="199">
        <v>1893.3249397991642</v>
      </c>
      <c r="D7774" s="8"/>
    </row>
    <row r="7775" spans="2:4" x14ac:dyDescent="0.25">
      <c r="B7775" s="4">
        <f t="shared" si="137"/>
        <v>647.68999999992934</v>
      </c>
      <c r="C7775" s="199">
        <v>1893.614720015448</v>
      </c>
      <c r="D7775" s="8"/>
    </row>
    <row r="7776" spans="2:4" x14ac:dyDescent="0.25">
      <c r="B7776" s="4">
        <f t="shared" si="137"/>
        <v>647.69999999992933</v>
      </c>
      <c r="C7776" s="199">
        <v>1893.9045002317291</v>
      </c>
      <c r="D7776" s="8"/>
    </row>
    <row r="7777" spans="2:4" x14ac:dyDescent="0.25">
      <c r="B7777" s="4">
        <f t="shared" si="137"/>
        <v>647.70999999992932</v>
      </c>
      <c r="C7777" s="199">
        <v>1894.1942804480107</v>
      </c>
      <c r="D7777" s="8"/>
    </row>
    <row r="7778" spans="2:4" x14ac:dyDescent="0.25">
      <c r="B7778" s="4">
        <f t="shared" si="137"/>
        <v>647.71999999992931</v>
      </c>
      <c r="C7778" s="199">
        <v>1894.4841737584345</v>
      </c>
      <c r="D7778" s="8"/>
    </row>
    <row r="7779" spans="2:4" x14ac:dyDescent="0.25">
      <c r="B7779" s="4">
        <f t="shared" si="137"/>
        <v>647.7299999999293</v>
      </c>
      <c r="C7779" s="199">
        <v>1894.7740670688638</v>
      </c>
      <c r="D7779" s="8"/>
    </row>
    <row r="7780" spans="2:4" x14ac:dyDescent="0.25">
      <c r="B7780" s="4">
        <f t="shared" si="137"/>
        <v>647.7399999999293</v>
      </c>
      <c r="C7780" s="199">
        <v>1895.0639603792918</v>
      </c>
      <c r="D7780" s="8"/>
    </row>
    <row r="7781" spans="2:4" x14ac:dyDescent="0.25">
      <c r="B7781" s="4">
        <f t="shared" si="137"/>
        <v>647.74999999992929</v>
      </c>
      <c r="C7781" s="199">
        <v>1895.3538536897197</v>
      </c>
      <c r="D7781" s="8"/>
    </row>
    <row r="7782" spans="2:4" x14ac:dyDescent="0.25">
      <c r="B7782" s="4">
        <f t="shared" si="137"/>
        <v>647.75999999992928</v>
      </c>
      <c r="C7782" s="199">
        <v>1895.6437470001474</v>
      </c>
      <c r="D7782" s="8"/>
    </row>
    <row r="7783" spans="2:4" x14ac:dyDescent="0.25">
      <c r="B7783" s="4">
        <f t="shared" si="137"/>
        <v>647.76999999992927</v>
      </c>
      <c r="C7783" s="199">
        <v>1895.9336403105754</v>
      </c>
      <c r="D7783" s="8"/>
    </row>
    <row r="7784" spans="2:4" x14ac:dyDescent="0.25">
      <c r="B7784" s="4">
        <f t="shared" si="137"/>
        <v>647.77999999992926</v>
      </c>
      <c r="C7784" s="199">
        <v>1896.2235336210035</v>
      </c>
      <c r="D7784" s="8"/>
    </row>
    <row r="7785" spans="2:4" x14ac:dyDescent="0.25">
      <c r="B7785" s="4">
        <f t="shared" si="137"/>
        <v>647.78999999992925</v>
      </c>
      <c r="C7785" s="199">
        <v>1896.5134269314315</v>
      </c>
      <c r="D7785" s="8"/>
    </row>
    <row r="7786" spans="2:4" x14ac:dyDescent="0.25">
      <c r="B7786" s="4">
        <f t="shared" si="137"/>
        <v>647.79999999992924</v>
      </c>
      <c r="C7786" s="199">
        <v>1896.8033202418608</v>
      </c>
      <c r="D7786" s="8"/>
    </row>
    <row r="7787" spans="2:4" x14ac:dyDescent="0.25">
      <c r="B7787" s="4">
        <f t="shared" si="137"/>
        <v>647.80999999992923</v>
      </c>
      <c r="C7787" s="199">
        <v>1897.0932135522894</v>
      </c>
      <c r="D7787" s="8"/>
    </row>
    <row r="7788" spans="2:4" x14ac:dyDescent="0.25">
      <c r="B7788" s="4">
        <f t="shared" si="137"/>
        <v>647.81999999992922</v>
      </c>
      <c r="C7788" s="199">
        <v>1897.3832144002388</v>
      </c>
      <c r="D7788" s="8"/>
    </row>
    <row r="7789" spans="2:4" x14ac:dyDescent="0.25">
      <c r="B7789" s="4">
        <f t="shared" si="137"/>
        <v>647.82999999992921</v>
      </c>
      <c r="C7789" s="199">
        <v>1897.6732152481866</v>
      </c>
      <c r="D7789" s="8"/>
    </row>
    <row r="7790" spans="2:4" x14ac:dyDescent="0.25">
      <c r="B7790" s="4">
        <f t="shared" si="137"/>
        <v>647.8399999999292</v>
      </c>
      <c r="C7790" s="199">
        <v>1897.9632160961357</v>
      </c>
      <c r="D7790" s="8"/>
    </row>
    <row r="7791" spans="2:4" x14ac:dyDescent="0.25">
      <c r="B7791" s="4">
        <f t="shared" si="137"/>
        <v>647.8499999999292</v>
      </c>
      <c r="C7791" s="199">
        <v>1898.2532169440833</v>
      </c>
      <c r="D7791" s="8"/>
    </row>
    <row r="7792" spans="2:4" x14ac:dyDescent="0.25">
      <c r="B7792" s="4">
        <f t="shared" si="137"/>
        <v>647.85999999992919</v>
      </c>
      <c r="C7792" s="199">
        <v>1898.5432177920327</v>
      </c>
      <c r="D7792" s="8"/>
    </row>
    <row r="7793" spans="2:4" x14ac:dyDescent="0.25">
      <c r="B7793" s="4">
        <f t="shared" si="137"/>
        <v>647.86999999992918</v>
      </c>
      <c r="C7793" s="199">
        <v>1898.8332186399825</v>
      </c>
      <c r="D7793" s="8"/>
    </row>
    <row r="7794" spans="2:4" x14ac:dyDescent="0.25">
      <c r="B7794" s="4">
        <f t="shared" si="137"/>
        <v>647.87999999992917</v>
      </c>
      <c r="C7794" s="199">
        <v>1899.1232194879299</v>
      </c>
      <c r="D7794" s="8"/>
    </row>
    <row r="7795" spans="2:4" x14ac:dyDescent="0.25">
      <c r="B7795" s="4">
        <f t="shared" si="137"/>
        <v>647.88999999992916</v>
      </c>
      <c r="C7795" s="199">
        <v>1899.4132203358788</v>
      </c>
      <c r="D7795" s="8"/>
    </row>
    <row r="7796" spans="2:4" x14ac:dyDescent="0.25">
      <c r="B7796" s="4">
        <f t="shared" si="137"/>
        <v>647.89999999992915</v>
      </c>
      <c r="C7796" s="199">
        <v>1899.7032211838264</v>
      </c>
      <c r="D7796" s="8"/>
    </row>
    <row r="7797" spans="2:4" x14ac:dyDescent="0.25">
      <c r="B7797" s="4">
        <f t="shared" si="137"/>
        <v>647.90999999992914</v>
      </c>
      <c r="C7797" s="199">
        <v>1899.993222031776</v>
      </c>
      <c r="D7797" s="8"/>
    </row>
    <row r="7798" spans="2:4" x14ac:dyDescent="0.25">
      <c r="B7798" s="4">
        <f t="shared" si="137"/>
        <v>647.91999999992913</v>
      </c>
      <c r="C7798" s="199">
        <v>1900.2833260705031</v>
      </c>
      <c r="D7798" s="8"/>
    </row>
    <row r="7799" spans="2:4" x14ac:dyDescent="0.25">
      <c r="B7799" s="4">
        <f t="shared" si="137"/>
        <v>647.92999999992912</v>
      </c>
      <c r="C7799" s="199">
        <v>1900.5734301092334</v>
      </c>
      <c r="D7799" s="8"/>
    </row>
    <row r="7800" spans="2:4" x14ac:dyDescent="0.25">
      <c r="B7800" s="4">
        <f t="shared" si="137"/>
        <v>647.93999999992911</v>
      </c>
      <c r="C7800" s="199">
        <v>1900.8635341479642</v>
      </c>
      <c r="D7800" s="8"/>
    </row>
    <row r="7801" spans="2:4" x14ac:dyDescent="0.25">
      <c r="B7801" s="4">
        <f t="shared" si="137"/>
        <v>647.9499999999291</v>
      </c>
      <c r="C7801" s="199">
        <v>1901.1536381866947</v>
      </c>
      <c r="D7801" s="8"/>
    </row>
    <row r="7802" spans="2:4" x14ac:dyDescent="0.25">
      <c r="B7802" s="4">
        <f t="shared" si="137"/>
        <v>647.9599999999291</v>
      </c>
      <c r="C7802" s="199">
        <v>1901.443742225425</v>
      </c>
      <c r="D7802" s="8"/>
    </row>
    <row r="7803" spans="2:4" x14ac:dyDescent="0.25">
      <c r="B7803" s="4">
        <f t="shared" si="137"/>
        <v>647.96999999992909</v>
      </c>
      <c r="C7803" s="199">
        <v>1901.733846264156</v>
      </c>
      <c r="D7803" s="8"/>
    </row>
    <row r="7804" spans="2:4" x14ac:dyDescent="0.25">
      <c r="B7804" s="4">
        <f t="shared" si="137"/>
        <v>647.97999999992908</v>
      </c>
      <c r="C7804" s="199">
        <v>1902.0239503028863</v>
      </c>
      <c r="D7804" s="8"/>
    </row>
    <row r="7805" spans="2:4" x14ac:dyDescent="0.25">
      <c r="B7805" s="4">
        <f t="shared" si="137"/>
        <v>647.98999999992907</v>
      </c>
      <c r="C7805" s="199">
        <v>1902.3140543416164</v>
      </c>
      <c r="D7805" s="8"/>
    </row>
    <row r="7806" spans="2:4" x14ac:dyDescent="0.25">
      <c r="B7806" s="4">
        <f t="shared" si="137"/>
        <v>647.99999999992906</v>
      </c>
      <c r="C7806" s="199">
        <v>1902.6041583803471</v>
      </c>
      <c r="D7806" s="8"/>
    </row>
    <row r="7807" spans="2:4" x14ac:dyDescent="0.25">
      <c r="B7807" s="4">
        <f t="shared" si="137"/>
        <v>648.00999999992905</v>
      </c>
      <c r="C7807" s="199">
        <v>1902.8942624190779</v>
      </c>
      <c r="D7807" s="8"/>
    </row>
    <row r="7808" spans="2:4" x14ac:dyDescent="0.25">
      <c r="B7808" s="4">
        <f t="shared" si="137"/>
        <v>648.01999999992904</v>
      </c>
      <c r="C7808" s="199">
        <v>1903.1844668672156</v>
      </c>
      <c r="D7808" s="8"/>
    </row>
    <row r="7809" spans="2:4" x14ac:dyDescent="0.25">
      <c r="B7809" s="4">
        <f t="shared" si="137"/>
        <v>648.02999999992903</v>
      </c>
      <c r="C7809" s="199">
        <v>1903.4746713153534</v>
      </c>
      <c r="D7809" s="8"/>
    </row>
    <row r="7810" spans="2:4" x14ac:dyDescent="0.25">
      <c r="B7810" s="4">
        <f t="shared" si="137"/>
        <v>648.03999999992902</v>
      </c>
      <c r="C7810" s="199">
        <v>1903.7648757634915</v>
      </c>
      <c r="D7810" s="8"/>
    </row>
    <row r="7811" spans="2:4" x14ac:dyDescent="0.25">
      <c r="B7811" s="4">
        <f t="shared" si="137"/>
        <v>648.04999999992901</v>
      </c>
      <c r="C7811" s="199">
        <v>1904.0550802116295</v>
      </c>
      <c r="D7811" s="8"/>
    </row>
    <row r="7812" spans="2:4" x14ac:dyDescent="0.25">
      <c r="B7812" s="4">
        <f t="shared" si="137"/>
        <v>648.059999999929</v>
      </c>
      <c r="C7812" s="199">
        <v>1904.3452846597661</v>
      </c>
      <c r="D7812" s="8"/>
    </row>
    <row r="7813" spans="2:4" x14ac:dyDescent="0.25">
      <c r="B7813" s="4">
        <f t="shared" si="137"/>
        <v>648.069999999929</v>
      </c>
      <c r="C7813" s="199">
        <v>1904.6354891079038</v>
      </c>
      <c r="D7813" s="8"/>
    </row>
    <row r="7814" spans="2:4" x14ac:dyDescent="0.25">
      <c r="B7814" s="4">
        <f t="shared" si="137"/>
        <v>648.07999999992899</v>
      </c>
      <c r="C7814" s="199">
        <v>1904.9256935560422</v>
      </c>
      <c r="D7814" s="8"/>
    </row>
    <row r="7815" spans="2:4" x14ac:dyDescent="0.25">
      <c r="B7815" s="4">
        <f t="shared" si="137"/>
        <v>648.08999999992898</v>
      </c>
      <c r="C7815" s="199">
        <v>1905.2158980041802</v>
      </c>
      <c r="D7815" s="8"/>
    </row>
    <row r="7816" spans="2:4" x14ac:dyDescent="0.25">
      <c r="B7816" s="4">
        <f t="shared" ref="B7816:B7879" si="138">+B7815+0.01</f>
        <v>648.09999999992897</v>
      </c>
      <c r="C7816" s="199">
        <v>1905.5061024523181</v>
      </c>
      <c r="D7816" s="8"/>
    </row>
    <row r="7817" spans="2:4" x14ac:dyDescent="0.25">
      <c r="B7817" s="4">
        <f t="shared" si="138"/>
        <v>648.10999999992896</v>
      </c>
      <c r="C7817" s="199">
        <v>1905.7963069004563</v>
      </c>
      <c r="D7817" s="8"/>
    </row>
    <row r="7818" spans="2:4" x14ac:dyDescent="0.25">
      <c r="B7818" s="4">
        <f t="shared" si="138"/>
        <v>648.11999999992895</v>
      </c>
      <c r="C7818" s="199">
        <v>1906.0866081814975</v>
      </c>
      <c r="D7818" s="8"/>
    </row>
    <row r="7819" spans="2:4" x14ac:dyDescent="0.25">
      <c r="B7819" s="4">
        <f t="shared" si="138"/>
        <v>648.12999999992894</v>
      </c>
      <c r="C7819" s="199">
        <v>1906.3769094625422</v>
      </c>
      <c r="D7819" s="8"/>
    </row>
    <row r="7820" spans="2:4" x14ac:dyDescent="0.25">
      <c r="B7820" s="4">
        <f t="shared" si="138"/>
        <v>648.13999999992893</v>
      </c>
      <c r="C7820" s="199">
        <v>1906.6672107435868</v>
      </c>
      <c r="D7820" s="8"/>
    </row>
    <row r="7821" spans="2:4" x14ac:dyDescent="0.25">
      <c r="B7821" s="4">
        <f t="shared" si="138"/>
        <v>648.14999999992892</v>
      </c>
      <c r="C7821" s="199">
        <v>1906.957512024632</v>
      </c>
      <c r="D7821" s="8"/>
    </row>
    <row r="7822" spans="2:4" x14ac:dyDescent="0.25">
      <c r="B7822" s="4">
        <f t="shared" si="138"/>
        <v>648.15999999992891</v>
      </c>
      <c r="C7822" s="199">
        <v>1907.2478133056791</v>
      </c>
      <c r="D7822" s="8"/>
    </row>
    <row r="7823" spans="2:4" x14ac:dyDescent="0.25">
      <c r="B7823" s="4">
        <f t="shared" si="138"/>
        <v>648.1699999999289</v>
      </c>
      <c r="C7823" s="199">
        <v>1907.5381145867241</v>
      </c>
      <c r="D7823" s="8"/>
    </row>
    <row r="7824" spans="2:4" x14ac:dyDescent="0.25">
      <c r="B7824" s="4">
        <f t="shared" si="138"/>
        <v>648.1799999999289</v>
      </c>
      <c r="C7824" s="199">
        <v>1907.8284158677693</v>
      </c>
      <c r="D7824" s="8"/>
    </row>
    <row r="7825" spans="2:4" x14ac:dyDescent="0.25">
      <c r="B7825" s="4">
        <f t="shared" si="138"/>
        <v>648.18999999992889</v>
      </c>
      <c r="C7825" s="199">
        <v>1908.1187171488141</v>
      </c>
      <c r="D7825" s="8"/>
    </row>
    <row r="7826" spans="2:4" x14ac:dyDescent="0.25">
      <c r="B7826" s="4">
        <f t="shared" si="138"/>
        <v>648.19999999992888</v>
      </c>
      <c r="C7826" s="199">
        <v>1908.4090184298611</v>
      </c>
      <c r="D7826" s="8"/>
    </row>
    <row r="7827" spans="2:4" x14ac:dyDescent="0.25">
      <c r="B7827" s="4">
        <f t="shared" si="138"/>
        <v>648.20999999992887</v>
      </c>
      <c r="C7827" s="199">
        <v>1908.6993197109059</v>
      </c>
      <c r="D7827" s="8"/>
    </row>
    <row r="7828" spans="2:4" x14ac:dyDescent="0.25">
      <c r="B7828" s="4">
        <f t="shared" si="138"/>
        <v>648.21999999992886</v>
      </c>
      <c r="C7828" s="199">
        <v>1908.9897164769347</v>
      </c>
      <c r="D7828" s="8"/>
    </row>
    <row r="7829" spans="2:4" x14ac:dyDescent="0.25">
      <c r="B7829" s="4">
        <f t="shared" si="138"/>
        <v>648.22999999992885</v>
      </c>
      <c r="C7829" s="199">
        <v>1909.2801132429606</v>
      </c>
      <c r="D7829" s="8"/>
    </row>
    <row r="7830" spans="2:4" x14ac:dyDescent="0.25">
      <c r="B7830" s="4">
        <f t="shared" si="138"/>
        <v>648.23999999992884</v>
      </c>
      <c r="C7830" s="199">
        <v>1909.5705100089865</v>
      </c>
      <c r="D7830" s="8"/>
    </row>
    <row r="7831" spans="2:4" x14ac:dyDescent="0.25">
      <c r="B7831" s="4">
        <f t="shared" si="138"/>
        <v>648.24999999992883</v>
      </c>
      <c r="C7831" s="199">
        <v>1909.8609067750128</v>
      </c>
      <c r="D7831" s="8"/>
    </row>
    <row r="7832" spans="2:4" x14ac:dyDescent="0.25">
      <c r="B7832" s="4">
        <f t="shared" si="138"/>
        <v>648.25999999992882</v>
      </c>
      <c r="C7832" s="199">
        <v>1910.1513035410408</v>
      </c>
      <c r="D7832" s="8"/>
    </row>
    <row r="7833" spans="2:4" x14ac:dyDescent="0.25">
      <c r="B7833" s="4">
        <f t="shared" si="138"/>
        <v>648.26999999992881</v>
      </c>
      <c r="C7833" s="199">
        <v>1910.4417003070666</v>
      </c>
      <c r="D7833" s="8"/>
    </row>
    <row r="7834" spans="2:4" x14ac:dyDescent="0.25">
      <c r="B7834" s="4">
        <f t="shared" si="138"/>
        <v>648.2799999999288</v>
      </c>
      <c r="C7834" s="199">
        <v>1910.7320970730932</v>
      </c>
      <c r="D7834" s="8"/>
    </row>
    <row r="7835" spans="2:4" x14ac:dyDescent="0.25">
      <c r="B7835" s="4">
        <f t="shared" si="138"/>
        <v>648.2899999999288</v>
      </c>
      <c r="C7835" s="199">
        <v>1911.0224938391191</v>
      </c>
      <c r="D7835" s="8"/>
    </row>
    <row r="7836" spans="2:4" x14ac:dyDescent="0.25">
      <c r="B7836" s="4">
        <f t="shared" si="138"/>
        <v>648.29999999992879</v>
      </c>
      <c r="C7836" s="199">
        <v>1911.3128906051472</v>
      </c>
      <c r="D7836" s="8"/>
    </row>
    <row r="7837" spans="2:4" x14ac:dyDescent="0.25">
      <c r="B7837" s="4">
        <f t="shared" si="138"/>
        <v>648.30999999992878</v>
      </c>
      <c r="C7837" s="199">
        <v>1911.6032873711729</v>
      </c>
      <c r="D7837" s="8"/>
    </row>
    <row r="7838" spans="2:4" x14ac:dyDescent="0.25">
      <c r="B7838" s="4">
        <f t="shared" si="138"/>
        <v>648.31999999992877</v>
      </c>
      <c r="C7838" s="199">
        <v>1911.8937774923581</v>
      </c>
      <c r="D7838" s="8"/>
    </row>
    <row r="7839" spans="2:4" x14ac:dyDescent="0.25">
      <c r="B7839" s="4">
        <f t="shared" si="138"/>
        <v>648.32999999992876</v>
      </c>
      <c r="C7839" s="199">
        <v>1912.1842676135509</v>
      </c>
      <c r="D7839" s="8"/>
    </row>
    <row r="7840" spans="2:4" x14ac:dyDescent="0.25">
      <c r="B7840" s="4">
        <f t="shared" si="138"/>
        <v>648.33999999992875</v>
      </c>
      <c r="C7840" s="199">
        <v>1912.4747577347432</v>
      </c>
      <c r="D7840" s="8"/>
    </row>
    <row r="7841" spans="2:4" x14ac:dyDescent="0.25">
      <c r="B7841" s="4">
        <f t="shared" si="138"/>
        <v>648.34999999992874</v>
      </c>
      <c r="C7841" s="199">
        <v>1912.7652478559355</v>
      </c>
      <c r="D7841" s="8"/>
    </row>
    <row r="7842" spans="2:4" x14ac:dyDescent="0.25">
      <c r="B7842" s="4">
        <f t="shared" si="138"/>
        <v>648.35999999992873</v>
      </c>
      <c r="C7842" s="199">
        <v>1913.055737977126</v>
      </c>
      <c r="D7842" s="8"/>
    </row>
    <row r="7843" spans="2:4" x14ac:dyDescent="0.25">
      <c r="B7843" s="4">
        <f t="shared" si="138"/>
        <v>648.36999999992872</v>
      </c>
      <c r="C7843" s="199">
        <v>1913.3462280983188</v>
      </c>
      <c r="D7843" s="8"/>
    </row>
    <row r="7844" spans="2:4" x14ac:dyDescent="0.25">
      <c r="B7844" s="4">
        <f t="shared" si="138"/>
        <v>648.37999999992871</v>
      </c>
      <c r="C7844" s="199">
        <v>1913.6367182195111</v>
      </c>
      <c r="D7844" s="8"/>
    </row>
    <row r="7845" spans="2:4" x14ac:dyDescent="0.25">
      <c r="B7845" s="4">
        <f t="shared" si="138"/>
        <v>648.3899999999287</v>
      </c>
      <c r="C7845" s="199">
        <v>1913.9272083407016</v>
      </c>
      <c r="D7845" s="8"/>
    </row>
    <row r="7846" spans="2:4" x14ac:dyDescent="0.25">
      <c r="B7846" s="4">
        <f t="shared" si="138"/>
        <v>648.3999999999287</v>
      </c>
      <c r="C7846" s="199">
        <v>1914.2176984618939</v>
      </c>
      <c r="D7846" s="8"/>
    </row>
    <row r="7847" spans="2:4" x14ac:dyDescent="0.25">
      <c r="B7847" s="4">
        <f t="shared" si="138"/>
        <v>648.40999999992869</v>
      </c>
      <c r="C7847" s="199">
        <v>1914.5081885830862</v>
      </c>
      <c r="D7847" s="8"/>
    </row>
    <row r="7848" spans="2:4" x14ac:dyDescent="0.25">
      <c r="B7848" s="4">
        <f t="shared" si="138"/>
        <v>648.41999999992868</v>
      </c>
      <c r="C7848" s="199">
        <v>1914.7987707724985</v>
      </c>
      <c r="D7848" s="8"/>
    </row>
    <row r="7849" spans="2:4" x14ac:dyDescent="0.25">
      <c r="B7849" s="4">
        <f t="shared" si="138"/>
        <v>648.42999999992867</v>
      </c>
      <c r="C7849" s="199">
        <v>1915.0893529619102</v>
      </c>
      <c r="D7849" s="8"/>
    </row>
    <row r="7850" spans="2:4" x14ac:dyDescent="0.25">
      <c r="B7850" s="4">
        <f t="shared" si="138"/>
        <v>648.43999999992866</v>
      </c>
      <c r="C7850" s="199">
        <v>1915.3799351513198</v>
      </c>
      <c r="D7850" s="8"/>
    </row>
    <row r="7851" spans="2:4" x14ac:dyDescent="0.25">
      <c r="B7851" s="4">
        <f t="shared" si="138"/>
        <v>648.44999999992865</v>
      </c>
      <c r="C7851" s="199">
        <v>1915.6705173407315</v>
      </c>
      <c r="D7851" s="8"/>
    </row>
    <row r="7852" spans="2:4" x14ac:dyDescent="0.25">
      <c r="B7852" s="4">
        <f t="shared" si="138"/>
        <v>648.45999999992864</v>
      </c>
      <c r="C7852" s="199">
        <v>1915.9610995301412</v>
      </c>
      <c r="D7852" s="8"/>
    </row>
    <row r="7853" spans="2:4" x14ac:dyDescent="0.25">
      <c r="B7853" s="4">
        <f t="shared" si="138"/>
        <v>648.46999999992863</v>
      </c>
      <c r="C7853" s="199">
        <v>1916.2516817195526</v>
      </c>
      <c r="D7853" s="8"/>
    </row>
    <row r="7854" spans="2:4" x14ac:dyDescent="0.25">
      <c r="B7854" s="4">
        <f t="shared" si="138"/>
        <v>648.47999999992862</v>
      </c>
      <c r="C7854" s="199">
        <v>1916.5422639089622</v>
      </c>
      <c r="D7854" s="8"/>
    </row>
    <row r="7855" spans="2:4" x14ac:dyDescent="0.25">
      <c r="B7855" s="4">
        <f t="shared" si="138"/>
        <v>648.48999999992861</v>
      </c>
      <c r="C7855" s="199">
        <v>1916.8328460983735</v>
      </c>
      <c r="D7855" s="8"/>
    </row>
    <row r="7856" spans="2:4" x14ac:dyDescent="0.25">
      <c r="B7856" s="4">
        <f t="shared" si="138"/>
        <v>648.4999999999286</v>
      </c>
      <c r="C7856" s="199">
        <v>1917.1234282877836</v>
      </c>
      <c r="D7856" s="8"/>
    </row>
    <row r="7857" spans="2:4" x14ac:dyDescent="0.25">
      <c r="B7857" s="4">
        <f t="shared" si="138"/>
        <v>648.5099999999286</v>
      </c>
      <c r="C7857" s="199">
        <v>1917.4140104771946</v>
      </c>
      <c r="D7857" s="8"/>
    </row>
    <row r="7858" spans="2:4" x14ac:dyDescent="0.25">
      <c r="B7858" s="4">
        <f t="shared" si="138"/>
        <v>648.51999999992859</v>
      </c>
      <c r="C7858" s="199">
        <v>1917.7046842680952</v>
      </c>
      <c r="D7858" s="8"/>
    </row>
    <row r="7859" spans="2:4" x14ac:dyDescent="0.25">
      <c r="B7859" s="4">
        <f t="shared" si="138"/>
        <v>648.52999999992858</v>
      </c>
      <c r="C7859" s="199">
        <v>1917.9953580590022</v>
      </c>
      <c r="D7859" s="8"/>
    </row>
    <row r="7860" spans="2:4" x14ac:dyDescent="0.25">
      <c r="B7860" s="4">
        <f t="shared" si="138"/>
        <v>648.53999999992857</v>
      </c>
      <c r="C7860" s="199">
        <v>1918.2860318499086</v>
      </c>
      <c r="D7860" s="8"/>
    </row>
    <row r="7861" spans="2:4" x14ac:dyDescent="0.25">
      <c r="B7861" s="4">
        <f t="shared" si="138"/>
        <v>648.54999999992856</v>
      </c>
      <c r="C7861" s="199">
        <v>1918.5767056408138</v>
      </c>
      <c r="D7861" s="8"/>
    </row>
    <row r="7862" spans="2:4" x14ac:dyDescent="0.25">
      <c r="B7862" s="4">
        <f t="shared" si="138"/>
        <v>648.55999999992855</v>
      </c>
      <c r="C7862" s="199">
        <v>1918.8673794317203</v>
      </c>
      <c r="D7862" s="8"/>
    </row>
    <row r="7863" spans="2:4" x14ac:dyDescent="0.25">
      <c r="B7863" s="4">
        <f t="shared" si="138"/>
        <v>648.56999999992854</v>
      </c>
      <c r="C7863" s="199">
        <v>1919.1580532226274</v>
      </c>
      <c r="D7863" s="8"/>
    </row>
    <row r="7864" spans="2:4" x14ac:dyDescent="0.25">
      <c r="B7864" s="4">
        <f t="shared" si="138"/>
        <v>648.57999999992853</v>
      </c>
      <c r="C7864" s="199">
        <v>1919.4487270135337</v>
      </c>
      <c r="D7864" s="8"/>
    </row>
    <row r="7865" spans="2:4" x14ac:dyDescent="0.25">
      <c r="B7865" s="4">
        <f t="shared" si="138"/>
        <v>648.58999999992852</v>
      </c>
      <c r="C7865" s="199">
        <v>1919.7394008044409</v>
      </c>
      <c r="D7865" s="8"/>
    </row>
    <row r="7866" spans="2:4" x14ac:dyDescent="0.25">
      <c r="B7866" s="4">
        <f t="shared" si="138"/>
        <v>648.59999999992851</v>
      </c>
      <c r="C7866" s="199">
        <v>1920.0300745953477</v>
      </c>
      <c r="D7866" s="8"/>
    </row>
    <row r="7867" spans="2:4" x14ac:dyDescent="0.25">
      <c r="B7867" s="4">
        <f t="shared" si="138"/>
        <v>648.6099999999285</v>
      </c>
      <c r="C7867" s="199">
        <v>1920.3207483862527</v>
      </c>
      <c r="D7867" s="8"/>
    </row>
    <row r="7868" spans="2:4" x14ac:dyDescent="0.25">
      <c r="B7868" s="4">
        <f t="shared" si="138"/>
        <v>648.6199999999285</v>
      </c>
      <c r="C7868" s="199">
        <v>1920.6115119899346</v>
      </c>
      <c r="D7868" s="8"/>
    </row>
    <row r="7869" spans="2:4" x14ac:dyDescent="0.25">
      <c r="B7869" s="4">
        <f t="shared" si="138"/>
        <v>648.62999999992849</v>
      </c>
      <c r="C7869" s="199">
        <v>1920.9022755936126</v>
      </c>
      <c r="D7869" s="8"/>
    </row>
    <row r="7870" spans="2:4" x14ac:dyDescent="0.25">
      <c r="B7870" s="4">
        <f t="shared" si="138"/>
        <v>648.63999999992848</v>
      </c>
      <c r="C7870" s="199">
        <v>1921.1930391972905</v>
      </c>
      <c r="D7870" s="8"/>
    </row>
    <row r="7871" spans="2:4" x14ac:dyDescent="0.25">
      <c r="B7871" s="4">
        <f t="shared" si="138"/>
        <v>648.64999999992847</v>
      </c>
      <c r="C7871" s="199">
        <v>1921.483802800969</v>
      </c>
      <c r="D7871" s="8"/>
    </row>
    <row r="7872" spans="2:4" x14ac:dyDescent="0.25">
      <c r="B7872" s="4">
        <f t="shared" si="138"/>
        <v>648.65999999992846</v>
      </c>
      <c r="C7872" s="199">
        <v>1921.7745664046467</v>
      </c>
      <c r="D7872" s="8"/>
    </row>
    <row r="7873" spans="2:4" x14ac:dyDescent="0.25">
      <c r="B7873" s="4">
        <f t="shared" si="138"/>
        <v>648.66999999992845</v>
      </c>
      <c r="C7873" s="199">
        <v>1922.0653300083252</v>
      </c>
      <c r="D7873" s="8"/>
    </row>
    <row r="7874" spans="2:4" x14ac:dyDescent="0.25">
      <c r="B7874" s="4">
        <f t="shared" si="138"/>
        <v>648.67999999992844</v>
      </c>
      <c r="C7874" s="199">
        <v>1922.3560936120052</v>
      </c>
      <c r="D7874" s="8"/>
    </row>
    <row r="7875" spans="2:4" x14ac:dyDescent="0.25">
      <c r="B7875" s="4">
        <f t="shared" si="138"/>
        <v>648.68999999992843</v>
      </c>
      <c r="C7875" s="199">
        <v>1922.6468572156837</v>
      </c>
      <c r="D7875" s="8"/>
    </row>
    <row r="7876" spans="2:4" x14ac:dyDescent="0.25">
      <c r="B7876" s="4">
        <f t="shared" si="138"/>
        <v>648.69999999992842</v>
      </c>
      <c r="C7876" s="199">
        <v>1922.9376208193614</v>
      </c>
      <c r="D7876" s="8"/>
    </row>
    <row r="7877" spans="2:4" x14ac:dyDescent="0.25">
      <c r="B7877" s="4">
        <f t="shared" si="138"/>
        <v>648.70999999992841</v>
      </c>
      <c r="C7877" s="199">
        <v>1923.2283844230406</v>
      </c>
      <c r="D7877" s="8"/>
    </row>
    <row r="7878" spans="2:4" x14ac:dyDescent="0.25">
      <c r="B7878" s="4">
        <f t="shared" si="138"/>
        <v>648.7199999999284</v>
      </c>
      <c r="C7878" s="199">
        <v>1923.5192382247315</v>
      </c>
      <c r="D7878" s="8"/>
    </row>
    <row r="7879" spans="2:4" x14ac:dyDescent="0.25">
      <c r="B7879" s="4">
        <f t="shared" si="138"/>
        <v>648.7299999999284</v>
      </c>
      <c r="C7879" s="199">
        <v>1923.8100920264253</v>
      </c>
      <c r="D7879" s="8"/>
    </row>
    <row r="7880" spans="2:4" x14ac:dyDescent="0.25">
      <c r="B7880" s="4">
        <f t="shared" ref="B7880:B7943" si="139">+B7879+0.01</f>
        <v>648.73999999992839</v>
      </c>
      <c r="C7880" s="199">
        <v>1924.1009458281212</v>
      </c>
      <c r="D7880" s="8"/>
    </row>
    <row r="7881" spans="2:4" x14ac:dyDescent="0.25">
      <c r="B7881" s="4">
        <f t="shared" si="139"/>
        <v>648.74999999992838</v>
      </c>
      <c r="C7881" s="199">
        <v>1924.3917996298171</v>
      </c>
      <c r="D7881" s="8"/>
    </row>
    <row r="7882" spans="2:4" x14ac:dyDescent="0.25">
      <c r="B7882" s="4">
        <f t="shared" si="139"/>
        <v>648.75999999992837</v>
      </c>
      <c r="C7882" s="199">
        <v>1924.6826534315117</v>
      </c>
      <c r="D7882" s="8"/>
    </row>
    <row r="7883" spans="2:4" x14ac:dyDescent="0.25">
      <c r="B7883" s="4">
        <f t="shared" si="139"/>
        <v>648.76999999992836</v>
      </c>
      <c r="C7883" s="199">
        <v>1924.9735072332071</v>
      </c>
      <c r="D7883" s="8"/>
    </row>
    <row r="7884" spans="2:4" x14ac:dyDescent="0.25">
      <c r="B7884" s="4">
        <f t="shared" si="139"/>
        <v>648.77999999992835</v>
      </c>
      <c r="C7884" s="199">
        <v>1925.2643610349028</v>
      </c>
      <c r="D7884" s="8"/>
    </row>
    <row r="7885" spans="2:4" x14ac:dyDescent="0.25">
      <c r="B7885" s="4">
        <f t="shared" si="139"/>
        <v>648.78999999992834</v>
      </c>
      <c r="C7885" s="199">
        <v>1925.5552148365975</v>
      </c>
      <c r="D7885" s="8"/>
    </row>
    <row r="7886" spans="2:4" x14ac:dyDescent="0.25">
      <c r="B7886" s="4">
        <f t="shared" si="139"/>
        <v>648.79999999992833</v>
      </c>
      <c r="C7886" s="199">
        <v>1925.846068638293</v>
      </c>
      <c r="D7886" s="8"/>
    </row>
    <row r="7887" spans="2:4" x14ac:dyDescent="0.25">
      <c r="B7887" s="4">
        <f t="shared" si="139"/>
        <v>648.80999999992832</v>
      </c>
      <c r="C7887" s="199">
        <v>1926.1369224399893</v>
      </c>
      <c r="D7887" s="8"/>
    </row>
    <row r="7888" spans="2:4" x14ac:dyDescent="0.25">
      <c r="B7888" s="4">
        <f t="shared" si="139"/>
        <v>648.81999999992831</v>
      </c>
      <c r="C7888" s="199">
        <v>1926.4278656054955</v>
      </c>
      <c r="D7888" s="8"/>
    </row>
    <row r="7889" spans="2:4" x14ac:dyDescent="0.25">
      <c r="B7889" s="4">
        <f t="shared" si="139"/>
        <v>648.8299999999283</v>
      </c>
      <c r="C7889" s="199">
        <v>1926.718808771001</v>
      </c>
      <c r="D7889" s="8"/>
    </row>
    <row r="7890" spans="2:4" x14ac:dyDescent="0.25">
      <c r="B7890" s="4">
        <f t="shared" si="139"/>
        <v>648.8399999999283</v>
      </c>
      <c r="C7890" s="199">
        <v>1927.0097519365072</v>
      </c>
      <c r="D7890" s="8"/>
    </row>
    <row r="7891" spans="2:4" x14ac:dyDescent="0.25">
      <c r="B7891" s="4">
        <f t="shared" si="139"/>
        <v>648.84999999992829</v>
      </c>
      <c r="C7891" s="199">
        <v>1927.3006951020106</v>
      </c>
      <c r="D7891" s="8"/>
    </row>
    <row r="7892" spans="2:4" x14ac:dyDescent="0.25">
      <c r="B7892" s="4">
        <f t="shared" si="139"/>
        <v>648.85999999992828</v>
      </c>
      <c r="C7892" s="199">
        <v>1927.5916382675166</v>
      </c>
      <c r="D7892" s="8"/>
    </row>
    <row r="7893" spans="2:4" x14ac:dyDescent="0.25">
      <c r="B7893" s="4">
        <f t="shared" si="139"/>
        <v>648.86999999992827</v>
      </c>
      <c r="C7893" s="199">
        <v>1927.8825814330221</v>
      </c>
      <c r="D7893" s="8"/>
    </row>
    <row r="7894" spans="2:4" x14ac:dyDescent="0.25">
      <c r="B7894" s="4">
        <f t="shared" si="139"/>
        <v>648.87999999992826</v>
      </c>
      <c r="C7894" s="199">
        <v>1928.1735245985258</v>
      </c>
      <c r="D7894" s="8"/>
    </row>
    <row r="7895" spans="2:4" x14ac:dyDescent="0.25">
      <c r="B7895" s="4">
        <f t="shared" si="139"/>
        <v>648.88999999992825</v>
      </c>
      <c r="C7895" s="199">
        <v>1928.4644677640313</v>
      </c>
      <c r="D7895" s="8"/>
    </row>
    <row r="7896" spans="2:4" x14ac:dyDescent="0.25">
      <c r="B7896" s="4">
        <f t="shared" si="139"/>
        <v>648.89999999992824</v>
      </c>
      <c r="C7896" s="199">
        <v>1928.7554109295374</v>
      </c>
      <c r="D7896" s="8"/>
    </row>
    <row r="7897" spans="2:4" x14ac:dyDescent="0.25">
      <c r="B7897" s="4">
        <f t="shared" si="139"/>
        <v>648.90999999992823</v>
      </c>
      <c r="C7897" s="199">
        <v>1929.0463540950429</v>
      </c>
      <c r="D7897" s="8"/>
    </row>
    <row r="7898" spans="2:4" x14ac:dyDescent="0.25">
      <c r="B7898" s="4">
        <f t="shared" si="139"/>
        <v>648.91999999992822</v>
      </c>
      <c r="C7898" s="199">
        <v>1929.3373851478086</v>
      </c>
      <c r="D7898" s="8"/>
    </row>
    <row r="7899" spans="2:4" x14ac:dyDescent="0.25">
      <c r="B7899" s="4">
        <f t="shared" si="139"/>
        <v>648.92999999992821</v>
      </c>
      <c r="C7899" s="199">
        <v>1929.628416200577</v>
      </c>
      <c r="D7899" s="8"/>
    </row>
    <row r="7900" spans="2:4" x14ac:dyDescent="0.25">
      <c r="B7900" s="4">
        <f t="shared" si="139"/>
        <v>648.9399999999282</v>
      </c>
      <c r="C7900" s="199">
        <v>1929.9194472533454</v>
      </c>
      <c r="D7900" s="8"/>
    </row>
    <row r="7901" spans="2:4" x14ac:dyDescent="0.25">
      <c r="B7901" s="4">
        <f t="shared" si="139"/>
        <v>648.9499999999282</v>
      </c>
      <c r="C7901" s="199">
        <v>1930.2104783061154</v>
      </c>
      <c r="D7901" s="8"/>
    </row>
    <row r="7902" spans="2:4" x14ac:dyDescent="0.25">
      <c r="B7902" s="4">
        <f t="shared" si="139"/>
        <v>648.95999999992819</v>
      </c>
      <c r="C7902" s="199">
        <v>1930.5015093588836</v>
      </c>
      <c r="D7902" s="8"/>
    </row>
    <row r="7903" spans="2:4" x14ac:dyDescent="0.25">
      <c r="B7903" s="4">
        <f t="shared" si="139"/>
        <v>648.96999999992818</v>
      </c>
      <c r="C7903" s="199">
        <v>1930.792540411652</v>
      </c>
      <c r="D7903" s="8"/>
    </row>
    <row r="7904" spans="2:4" x14ac:dyDescent="0.25">
      <c r="B7904" s="4">
        <f t="shared" si="139"/>
        <v>648.97999999992817</v>
      </c>
      <c r="C7904" s="199">
        <v>1931.0835714644224</v>
      </c>
      <c r="D7904" s="8"/>
    </row>
    <row r="7905" spans="2:4" x14ac:dyDescent="0.25">
      <c r="B7905" s="4">
        <f t="shared" si="139"/>
        <v>648.98999999992816</v>
      </c>
      <c r="C7905" s="199">
        <v>1931.3746025171909</v>
      </c>
      <c r="D7905" s="8"/>
    </row>
    <row r="7906" spans="2:4" x14ac:dyDescent="0.25">
      <c r="B7906" s="4">
        <f t="shared" si="139"/>
        <v>648.99999999992815</v>
      </c>
      <c r="C7906" s="199">
        <v>1931.6656335699593</v>
      </c>
      <c r="D7906" s="8"/>
    </row>
    <row r="7907" spans="2:4" x14ac:dyDescent="0.25">
      <c r="B7907" s="4">
        <f t="shared" si="139"/>
        <v>649.00999999992814</v>
      </c>
      <c r="C7907" s="199">
        <v>1931.9566646227297</v>
      </c>
      <c r="D7907" s="8"/>
    </row>
    <row r="7908" spans="2:4" x14ac:dyDescent="0.25">
      <c r="B7908" s="4">
        <f t="shared" si="139"/>
        <v>649.01999999992813</v>
      </c>
      <c r="C7908" s="199">
        <v>1932.2477839273986</v>
      </c>
      <c r="D7908" s="8"/>
    </row>
    <row r="7909" spans="2:4" x14ac:dyDescent="0.25">
      <c r="B7909" s="4">
        <f t="shared" si="139"/>
        <v>649.02999999992812</v>
      </c>
      <c r="C7909" s="199">
        <v>1932.5389032320663</v>
      </c>
      <c r="D7909" s="8"/>
    </row>
    <row r="7910" spans="2:4" x14ac:dyDescent="0.25">
      <c r="B7910" s="4">
        <f t="shared" si="139"/>
        <v>649.03999999992811</v>
      </c>
      <c r="C7910" s="199">
        <v>1932.830022536735</v>
      </c>
      <c r="D7910" s="8"/>
    </row>
    <row r="7911" spans="2:4" x14ac:dyDescent="0.25">
      <c r="B7911" s="4">
        <f t="shared" si="139"/>
        <v>649.0499999999281</v>
      </c>
      <c r="C7911" s="199">
        <v>1933.1211418414046</v>
      </c>
      <c r="D7911" s="8"/>
    </row>
    <row r="7912" spans="2:4" x14ac:dyDescent="0.25">
      <c r="B7912" s="4">
        <f t="shared" si="139"/>
        <v>649.0599999999281</v>
      </c>
      <c r="C7912" s="199">
        <v>1933.4122611460716</v>
      </c>
      <c r="D7912" s="8"/>
    </row>
    <row r="7913" spans="2:4" x14ac:dyDescent="0.25">
      <c r="B7913" s="4">
        <f t="shared" si="139"/>
        <v>649.06999999992809</v>
      </c>
      <c r="C7913" s="199">
        <v>1933.7033804507405</v>
      </c>
      <c r="D7913" s="8"/>
    </row>
    <row r="7914" spans="2:4" x14ac:dyDescent="0.25">
      <c r="B7914" s="4">
        <f t="shared" si="139"/>
        <v>649.07999999992808</v>
      </c>
      <c r="C7914" s="199">
        <v>1933.9944997554098</v>
      </c>
      <c r="D7914" s="8"/>
    </row>
    <row r="7915" spans="2:4" x14ac:dyDescent="0.25">
      <c r="B7915" s="4">
        <f t="shared" si="139"/>
        <v>649.08999999992807</v>
      </c>
      <c r="C7915" s="199">
        <v>1934.2856190600774</v>
      </c>
      <c r="D7915" s="8"/>
    </row>
    <row r="7916" spans="2:4" x14ac:dyDescent="0.25">
      <c r="B7916" s="4">
        <f t="shared" si="139"/>
        <v>649.09999999992806</v>
      </c>
      <c r="C7916" s="199">
        <v>1934.5767383647467</v>
      </c>
      <c r="D7916" s="8"/>
    </row>
    <row r="7917" spans="2:4" x14ac:dyDescent="0.25">
      <c r="B7917" s="4">
        <f t="shared" si="139"/>
        <v>649.10999999992805</v>
      </c>
      <c r="C7917" s="199">
        <v>1934.8678576694156</v>
      </c>
      <c r="D7917" s="8"/>
    </row>
    <row r="7918" spans="2:4" x14ac:dyDescent="0.25">
      <c r="B7918" s="4">
        <f t="shared" si="139"/>
        <v>649.11999999992804</v>
      </c>
      <c r="C7918" s="199">
        <v>1935.1590638813866</v>
      </c>
      <c r="D7918" s="8"/>
    </row>
    <row r="7919" spans="2:4" x14ac:dyDescent="0.25">
      <c r="B7919" s="4">
        <f t="shared" si="139"/>
        <v>649.12999999992803</v>
      </c>
      <c r="C7919" s="199">
        <v>1935.450270093364</v>
      </c>
      <c r="D7919" s="8"/>
    </row>
    <row r="7920" spans="2:4" x14ac:dyDescent="0.25">
      <c r="B7920" s="4">
        <f t="shared" si="139"/>
        <v>649.13999999992802</v>
      </c>
      <c r="C7920" s="199">
        <v>1935.7414763053409</v>
      </c>
      <c r="D7920" s="8"/>
    </row>
    <row r="7921" spans="2:4" x14ac:dyDescent="0.25">
      <c r="B7921" s="4">
        <f t="shared" si="139"/>
        <v>649.14999999992801</v>
      </c>
      <c r="C7921" s="199">
        <v>1936.0326825173183</v>
      </c>
      <c r="D7921" s="8"/>
    </row>
    <row r="7922" spans="2:4" x14ac:dyDescent="0.25">
      <c r="B7922" s="4">
        <f t="shared" si="139"/>
        <v>649.159999999928</v>
      </c>
      <c r="C7922" s="199">
        <v>1936.3238887292937</v>
      </c>
      <c r="D7922" s="8"/>
    </row>
    <row r="7923" spans="2:4" x14ac:dyDescent="0.25">
      <c r="B7923" s="4">
        <f t="shared" si="139"/>
        <v>649.169999999928</v>
      </c>
      <c r="C7923" s="199">
        <v>1936.6150949412709</v>
      </c>
      <c r="D7923" s="8"/>
    </row>
    <row r="7924" spans="2:4" x14ac:dyDescent="0.25">
      <c r="B7924" s="4">
        <f t="shared" si="139"/>
        <v>649.17999999992799</v>
      </c>
      <c r="C7924" s="199">
        <v>1936.906301153248</v>
      </c>
      <c r="D7924" s="8"/>
    </row>
    <row r="7925" spans="2:4" x14ac:dyDescent="0.25">
      <c r="B7925" s="4">
        <f t="shared" si="139"/>
        <v>649.18999999992798</v>
      </c>
      <c r="C7925" s="199">
        <v>1937.1975073652252</v>
      </c>
      <c r="D7925" s="8"/>
    </row>
    <row r="7926" spans="2:4" x14ac:dyDescent="0.25">
      <c r="B7926" s="4">
        <f t="shared" si="139"/>
        <v>649.19999999992797</v>
      </c>
      <c r="C7926" s="199">
        <v>1937.4887135772026</v>
      </c>
      <c r="D7926" s="8"/>
    </row>
    <row r="7927" spans="2:4" x14ac:dyDescent="0.25">
      <c r="B7927" s="4">
        <f t="shared" si="139"/>
        <v>649.20999999992796</v>
      </c>
      <c r="C7927" s="199">
        <v>1937.7799197891798</v>
      </c>
      <c r="D7927" s="8"/>
    </row>
    <row r="7928" spans="2:4" x14ac:dyDescent="0.25">
      <c r="B7928" s="4">
        <f t="shared" si="139"/>
        <v>649.21999999992795</v>
      </c>
      <c r="C7928" s="199">
        <v>1938.0712136641446</v>
      </c>
      <c r="D7928" s="8"/>
    </row>
    <row r="7929" spans="2:4" x14ac:dyDescent="0.25">
      <c r="B7929" s="4">
        <f t="shared" si="139"/>
        <v>649.22999999992794</v>
      </c>
      <c r="C7929" s="199">
        <v>1938.3625075391053</v>
      </c>
      <c r="D7929" s="8"/>
    </row>
    <row r="7930" spans="2:4" x14ac:dyDescent="0.25">
      <c r="B7930" s="4">
        <f t="shared" si="139"/>
        <v>649.23999999992793</v>
      </c>
      <c r="C7930" s="199">
        <v>1938.6538014140654</v>
      </c>
      <c r="D7930" s="8"/>
    </row>
    <row r="7931" spans="2:4" x14ac:dyDescent="0.25">
      <c r="B7931" s="4">
        <f t="shared" si="139"/>
        <v>649.24999999992792</v>
      </c>
      <c r="C7931" s="199">
        <v>1938.9450952890265</v>
      </c>
      <c r="D7931" s="8"/>
    </row>
    <row r="7932" spans="2:4" x14ac:dyDescent="0.25">
      <c r="B7932" s="4">
        <f t="shared" si="139"/>
        <v>649.25999999992791</v>
      </c>
      <c r="C7932" s="199">
        <v>1939.2363891639864</v>
      </c>
      <c r="D7932" s="8"/>
    </row>
    <row r="7933" spans="2:4" x14ac:dyDescent="0.25">
      <c r="B7933" s="4">
        <f t="shared" si="139"/>
        <v>649.2699999999279</v>
      </c>
      <c r="C7933" s="199">
        <v>1939.5276830389471</v>
      </c>
      <c r="D7933" s="8"/>
    </row>
    <row r="7934" spans="2:4" x14ac:dyDescent="0.25">
      <c r="B7934" s="4">
        <f t="shared" si="139"/>
        <v>649.2799999999279</v>
      </c>
      <c r="C7934" s="199">
        <v>1939.8189769139087</v>
      </c>
      <c r="D7934" s="8"/>
    </row>
    <row r="7935" spans="2:4" x14ac:dyDescent="0.25">
      <c r="B7935" s="4">
        <f t="shared" si="139"/>
        <v>649.28999999992789</v>
      </c>
      <c r="C7935" s="199">
        <v>1940.1102707888683</v>
      </c>
      <c r="D7935" s="8"/>
    </row>
    <row r="7936" spans="2:4" x14ac:dyDescent="0.25">
      <c r="B7936" s="4">
        <f t="shared" si="139"/>
        <v>649.29999999992788</v>
      </c>
      <c r="C7936" s="199">
        <v>1940.4015646638295</v>
      </c>
      <c r="D7936" s="8"/>
    </row>
    <row r="7937" spans="2:4" x14ac:dyDescent="0.25">
      <c r="B7937" s="4">
        <f t="shared" si="139"/>
        <v>649.30999999992787</v>
      </c>
      <c r="C7937" s="199">
        <v>1940.6928585387896</v>
      </c>
      <c r="D7937" s="8"/>
    </row>
    <row r="7938" spans="2:4" x14ac:dyDescent="0.25">
      <c r="B7938" s="4">
        <f t="shared" si="139"/>
        <v>649.31999999992786</v>
      </c>
      <c r="C7938" s="199">
        <v>1940.9842388244717</v>
      </c>
      <c r="D7938" s="8"/>
    </row>
    <row r="7939" spans="2:4" x14ac:dyDescent="0.25">
      <c r="B7939" s="4">
        <f t="shared" si="139"/>
        <v>649.32999999992785</v>
      </c>
      <c r="C7939" s="199">
        <v>1941.2756191101616</v>
      </c>
      <c r="D7939" s="8"/>
    </row>
    <row r="7940" spans="2:4" x14ac:dyDescent="0.25">
      <c r="B7940" s="4">
        <f t="shared" si="139"/>
        <v>649.33999999992784</v>
      </c>
      <c r="C7940" s="199">
        <v>1941.5669993958486</v>
      </c>
      <c r="D7940" s="8"/>
    </row>
    <row r="7941" spans="2:4" x14ac:dyDescent="0.25">
      <c r="B7941" s="4">
        <f t="shared" si="139"/>
        <v>649.34999999992783</v>
      </c>
      <c r="C7941" s="199">
        <v>1941.8583796815367</v>
      </c>
      <c r="D7941" s="8"/>
    </row>
    <row r="7942" spans="2:4" x14ac:dyDescent="0.25">
      <c r="B7942" s="4">
        <f t="shared" si="139"/>
        <v>649.35999999992782</v>
      </c>
      <c r="C7942" s="199">
        <v>1942.1497599672257</v>
      </c>
      <c r="D7942" s="8"/>
    </row>
    <row r="7943" spans="2:4" x14ac:dyDescent="0.25">
      <c r="B7943" s="4">
        <f t="shared" si="139"/>
        <v>649.36999999992781</v>
      </c>
      <c r="C7943" s="199">
        <v>1942.4411402529136</v>
      </c>
      <c r="D7943" s="8"/>
    </row>
    <row r="7944" spans="2:4" x14ac:dyDescent="0.25">
      <c r="B7944" s="4">
        <f t="shared" ref="B7944:B8006" si="140">+B7943+0.01</f>
        <v>649.3799999999278</v>
      </c>
      <c r="C7944" s="199">
        <v>1942.7325205386032</v>
      </c>
      <c r="D7944" s="8"/>
    </row>
    <row r="7945" spans="2:4" x14ac:dyDescent="0.25">
      <c r="B7945" s="4">
        <f t="shared" si="140"/>
        <v>649.3899999999278</v>
      </c>
      <c r="C7945" s="199">
        <v>1943.0239008242904</v>
      </c>
      <c r="D7945" s="8"/>
    </row>
    <row r="7946" spans="2:4" x14ac:dyDescent="0.25">
      <c r="B7946" s="4">
        <f t="shared" si="140"/>
        <v>649.39999999992779</v>
      </c>
      <c r="C7946" s="199">
        <v>1943.3152811099783</v>
      </c>
      <c r="D7946" s="8"/>
    </row>
    <row r="7947" spans="2:4" x14ac:dyDescent="0.25">
      <c r="B7947" s="4">
        <f t="shared" si="140"/>
        <v>649.40999999992778</v>
      </c>
      <c r="C7947" s="199">
        <v>1943.6066613956684</v>
      </c>
      <c r="D7947" s="8"/>
    </row>
    <row r="7948" spans="2:4" x14ac:dyDescent="0.25">
      <c r="B7948" s="4">
        <f t="shared" si="140"/>
        <v>649.41999999992777</v>
      </c>
      <c r="C7948" s="199">
        <v>1943.8981270144282</v>
      </c>
      <c r="D7948" s="8"/>
    </row>
    <row r="7949" spans="2:4" x14ac:dyDescent="0.25">
      <c r="B7949" s="4">
        <f t="shared" si="140"/>
        <v>649.42999999992776</v>
      </c>
      <c r="C7949" s="199">
        <v>1944.1895926331831</v>
      </c>
      <c r="D7949" s="8"/>
    </row>
    <row r="7950" spans="2:4" x14ac:dyDescent="0.25">
      <c r="B7950" s="4">
        <f t="shared" si="140"/>
        <v>649.43999999992775</v>
      </c>
      <c r="C7950" s="199">
        <v>1944.4810582519376</v>
      </c>
      <c r="D7950" s="8"/>
    </row>
    <row r="7951" spans="2:4" x14ac:dyDescent="0.25">
      <c r="B7951" s="4">
        <f t="shared" si="140"/>
        <v>649.44999999992774</v>
      </c>
      <c r="C7951" s="199">
        <v>1944.7725238706942</v>
      </c>
      <c r="D7951" s="8"/>
    </row>
    <row r="7952" spans="2:4" x14ac:dyDescent="0.25">
      <c r="B7952" s="4">
        <f t="shared" si="140"/>
        <v>649.45999999992773</v>
      </c>
      <c r="C7952" s="199">
        <v>1945.0639894894489</v>
      </c>
      <c r="D7952" s="8"/>
    </row>
    <row r="7953" spans="2:4" x14ac:dyDescent="0.25">
      <c r="B7953" s="4">
        <f t="shared" si="140"/>
        <v>649.46999999992772</v>
      </c>
      <c r="C7953" s="199">
        <v>1945.3554551082041</v>
      </c>
      <c r="D7953" s="8"/>
    </row>
    <row r="7954" spans="2:4" x14ac:dyDescent="0.25">
      <c r="B7954" s="4">
        <f t="shared" si="140"/>
        <v>649.47999999992771</v>
      </c>
      <c r="C7954" s="199">
        <v>1945.6469207269606</v>
      </c>
      <c r="D7954" s="8"/>
    </row>
    <row r="7955" spans="2:4" x14ac:dyDescent="0.25">
      <c r="B7955" s="4">
        <f t="shared" si="140"/>
        <v>649.4899999999277</v>
      </c>
      <c r="C7955" s="199">
        <v>1945.9383863457153</v>
      </c>
      <c r="D7955" s="8"/>
    </row>
    <row r="7956" spans="2:4" x14ac:dyDescent="0.25">
      <c r="B7956" s="4">
        <f t="shared" si="140"/>
        <v>649.4999999999277</v>
      </c>
      <c r="C7956" s="199">
        <v>1946.2298519644698</v>
      </c>
      <c r="D7956" s="8"/>
    </row>
    <row r="7957" spans="2:4" x14ac:dyDescent="0.25">
      <c r="B7957" s="4">
        <f t="shared" si="140"/>
        <v>649.50999999992769</v>
      </c>
      <c r="C7957" s="199">
        <v>1946.5213175832264</v>
      </c>
      <c r="D7957" s="8"/>
    </row>
    <row r="7958" spans="2:4" x14ac:dyDescent="0.25">
      <c r="B7958" s="4">
        <f t="shared" si="140"/>
        <v>649.51999999992768</v>
      </c>
      <c r="C7958" s="199">
        <v>1946.8128688229656</v>
      </c>
      <c r="D7958" s="8"/>
    </row>
    <row r="7959" spans="2:4" x14ac:dyDescent="0.25">
      <c r="B7959" s="4">
        <f t="shared" si="140"/>
        <v>649.52999999992767</v>
      </c>
      <c r="C7959" s="199">
        <v>1947.1044200627091</v>
      </c>
      <c r="D7959" s="8"/>
    </row>
    <row r="7960" spans="2:4" x14ac:dyDescent="0.25">
      <c r="B7960" s="4">
        <f t="shared" si="140"/>
        <v>649.53999999992766</v>
      </c>
      <c r="C7960" s="199">
        <v>1947.3959713024537</v>
      </c>
      <c r="D7960" s="8"/>
    </row>
    <row r="7961" spans="2:4" x14ac:dyDescent="0.25">
      <c r="B7961" s="4">
        <f t="shared" si="140"/>
        <v>649.54999999992765</v>
      </c>
      <c r="C7961" s="199">
        <v>1947.6875225421979</v>
      </c>
      <c r="D7961" s="8"/>
    </row>
    <row r="7962" spans="2:4" x14ac:dyDescent="0.25">
      <c r="B7962" s="4">
        <f t="shared" si="140"/>
        <v>649.55999999992764</v>
      </c>
      <c r="C7962" s="199">
        <v>1947.9790737819412</v>
      </c>
      <c r="D7962" s="8"/>
    </row>
    <row r="7963" spans="2:4" x14ac:dyDescent="0.25">
      <c r="B7963" s="4">
        <f t="shared" si="140"/>
        <v>649.56999999992763</v>
      </c>
      <c r="C7963" s="199">
        <v>1948.2706250216854</v>
      </c>
      <c r="D7963" s="8"/>
    </row>
    <row r="7964" spans="2:4" x14ac:dyDescent="0.25">
      <c r="B7964" s="4">
        <f t="shared" si="140"/>
        <v>649.57999999992762</v>
      </c>
      <c r="C7964" s="199">
        <v>1948.5621762614292</v>
      </c>
      <c r="D7964" s="8"/>
    </row>
    <row r="7965" spans="2:4" x14ac:dyDescent="0.25">
      <c r="B7965" s="4">
        <f t="shared" si="140"/>
        <v>649.58999999992761</v>
      </c>
      <c r="C7965" s="199">
        <v>1948.8537275011724</v>
      </c>
      <c r="D7965" s="8"/>
    </row>
    <row r="7966" spans="2:4" x14ac:dyDescent="0.25">
      <c r="B7966" s="4">
        <f t="shared" si="140"/>
        <v>649.5999999999276</v>
      </c>
      <c r="C7966" s="199">
        <v>1949.1452787409178</v>
      </c>
      <c r="D7966" s="8"/>
    </row>
    <row r="7967" spans="2:4" x14ac:dyDescent="0.25">
      <c r="B7967" s="4">
        <f t="shared" si="140"/>
        <v>649.6099999999276</v>
      </c>
      <c r="C7967" s="199">
        <v>1949.4368299806611</v>
      </c>
      <c r="D7967" s="8"/>
    </row>
    <row r="7968" spans="2:4" x14ac:dyDescent="0.25">
      <c r="B7968" s="4">
        <f t="shared" si="140"/>
        <v>649.61999999992759</v>
      </c>
      <c r="C7968" s="199">
        <v>1949.7284668344857</v>
      </c>
      <c r="D7968" s="8"/>
    </row>
    <row r="7969" spans="2:4" x14ac:dyDescent="0.25">
      <c r="B7969" s="4">
        <f t="shared" si="140"/>
        <v>649.62999999992758</v>
      </c>
      <c r="C7969" s="199">
        <v>1950.0201036883107</v>
      </c>
      <c r="D7969" s="8"/>
    </row>
    <row r="7970" spans="2:4" x14ac:dyDescent="0.25">
      <c r="B7970" s="4">
        <f t="shared" si="140"/>
        <v>649.63999999992757</v>
      </c>
      <c r="C7970" s="199">
        <v>1950.3117405421356</v>
      </c>
      <c r="D7970" s="8"/>
    </row>
    <row r="7971" spans="2:4" x14ac:dyDescent="0.25">
      <c r="B7971" s="4">
        <f t="shared" si="140"/>
        <v>649.64999999992756</v>
      </c>
      <c r="C7971" s="199">
        <v>1950.6033773959607</v>
      </c>
      <c r="D7971" s="8"/>
    </row>
    <row r="7972" spans="2:4" x14ac:dyDescent="0.25">
      <c r="B7972" s="4">
        <f t="shared" si="140"/>
        <v>649.65999999992755</v>
      </c>
      <c r="C7972" s="199">
        <v>1950.8950142497852</v>
      </c>
      <c r="D7972" s="8"/>
    </row>
    <row r="7973" spans="2:4" x14ac:dyDescent="0.25">
      <c r="B7973" s="4">
        <f t="shared" si="140"/>
        <v>649.66999999992754</v>
      </c>
      <c r="C7973" s="199">
        <v>1951.1866511036105</v>
      </c>
      <c r="D7973" s="8"/>
    </row>
    <row r="7974" spans="2:4" x14ac:dyDescent="0.25">
      <c r="B7974" s="4">
        <f t="shared" si="140"/>
        <v>649.67999999992753</v>
      </c>
      <c r="C7974" s="199">
        <v>1951.4782879574352</v>
      </c>
      <c r="D7974" s="8"/>
    </row>
    <row r="7975" spans="2:4" x14ac:dyDescent="0.25">
      <c r="B7975" s="4">
        <f t="shared" si="140"/>
        <v>649.68999999992752</v>
      </c>
      <c r="C7975" s="199">
        <v>1951.7699248112622</v>
      </c>
      <c r="D7975" s="8"/>
    </row>
    <row r="7976" spans="2:4" x14ac:dyDescent="0.25">
      <c r="B7976" s="4">
        <f t="shared" si="140"/>
        <v>649.69999999992751</v>
      </c>
      <c r="C7976" s="199">
        <v>1952.0615616650869</v>
      </c>
      <c r="D7976" s="8"/>
    </row>
    <row r="7977" spans="2:4" x14ac:dyDescent="0.25">
      <c r="B7977" s="4">
        <f t="shared" si="140"/>
        <v>649.7099999999275</v>
      </c>
      <c r="C7977" s="199">
        <v>1952.353198518912</v>
      </c>
      <c r="D7977" s="8"/>
    </row>
    <row r="7978" spans="2:4" x14ac:dyDescent="0.25">
      <c r="B7978" s="4">
        <f t="shared" si="140"/>
        <v>649.7199999999275</v>
      </c>
      <c r="C7978" s="199">
        <v>1952.6449205502213</v>
      </c>
      <c r="D7978" s="8"/>
    </row>
    <row r="7979" spans="2:4" x14ac:dyDescent="0.25">
      <c r="B7979" s="4">
        <f t="shared" si="140"/>
        <v>649.72999999992749</v>
      </c>
      <c r="C7979" s="199">
        <v>1952.9366425815342</v>
      </c>
      <c r="D7979" s="8"/>
    </row>
    <row r="7980" spans="2:4" x14ac:dyDescent="0.25">
      <c r="B7980" s="4">
        <f t="shared" si="140"/>
        <v>649.73999999992748</v>
      </c>
      <c r="C7980" s="199">
        <v>1953.2283646128483</v>
      </c>
      <c r="D7980" s="8"/>
    </row>
    <row r="7981" spans="2:4" x14ac:dyDescent="0.25">
      <c r="B7981" s="4">
        <f t="shared" si="140"/>
        <v>649.74999999992747</v>
      </c>
      <c r="C7981" s="199">
        <v>1953.5200866441614</v>
      </c>
      <c r="D7981" s="8"/>
    </row>
    <row r="7982" spans="2:4" x14ac:dyDescent="0.25">
      <c r="B7982" s="4">
        <f t="shared" si="140"/>
        <v>649.75999999992746</v>
      </c>
      <c r="C7982" s="199">
        <v>1953.8118086754748</v>
      </c>
      <c r="D7982" s="8"/>
    </row>
    <row r="7983" spans="2:4" x14ac:dyDescent="0.25">
      <c r="B7983" s="4">
        <f t="shared" si="140"/>
        <v>649.76999999992745</v>
      </c>
      <c r="C7983" s="199">
        <v>1954.1035307067884</v>
      </c>
      <c r="D7983" s="8"/>
    </row>
    <row r="7984" spans="2:4" x14ac:dyDescent="0.25">
      <c r="B7984" s="4">
        <f t="shared" si="140"/>
        <v>649.77999999992744</v>
      </c>
      <c r="C7984" s="199">
        <v>1954.395252738102</v>
      </c>
      <c r="D7984" s="8"/>
    </row>
    <row r="7985" spans="2:4" x14ac:dyDescent="0.25">
      <c r="B7985" s="4">
        <f t="shared" si="140"/>
        <v>649.78999999992743</v>
      </c>
      <c r="C7985" s="199">
        <v>1954.6869747694147</v>
      </c>
      <c r="D7985" s="8"/>
    </row>
    <row r="7986" spans="2:4" x14ac:dyDescent="0.25">
      <c r="B7986" s="4">
        <f t="shared" si="140"/>
        <v>649.79999999992742</v>
      </c>
      <c r="C7986" s="199">
        <v>1954.9786968007297</v>
      </c>
      <c r="D7986" s="8"/>
    </row>
    <row r="7987" spans="2:4" x14ac:dyDescent="0.25">
      <c r="B7987" s="4">
        <f t="shared" si="140"/>
        <v>649.80999999992741</v>
      </c>
      <c r="C7987" s="199">
        <v>1955.2704188320413</v>
      </c>
      <c r="D7987" s="8"/>
    </row>
    <row r="7988" spans="2:4" x14ac:dyDescent="0.25">
      <c r="B7988" s="4">
        <f t="shared" si="140"/>
        <v>649.8199999999274</v>
      </c>
      <c r="C7988" s="199">
        <v>1955.5622264332496</v>
      </c>
      <c r="D7988" s="8"/>
    </row>
    <row r="7989" spans="2:4" x14ac:dyDescent="0.25">
      <c r="B7989" s="4">
        <f t="shared" si="140"/>
        <v>649.8299999999274</v>
      </c>
      <c r="C7989" s="199">
        <v>1955.8540340344557</v>
      </c>
      <c r="D7989" s="8"/>
    </row>
    <row r="7990" spans="2:4" x14ac:dyDescent="0.25">
      <c r="B7990" s="4">
        <f t="shared" si="140"/>
        <v>649.83999999992739</v>
      </c>
      <c r="C7990" s="199">
        <v>1956.145841635662</v>
      </c>
      <c r="D7990" s="8"/>
    </row>
    <row r="7991" spans="2:4" x14ac:dyDescent="0.25">
      <c r="B7991" s="4">
        <f t="shared" si="140"/>
        <v>649.84999999992738</v>
      </c>
      <c r="C7991" s="199">
        <v>1956.4376492368669</v>
      </c>
      <c r="D7991" s="8"/>
    </row>
    <row r="7992" spans="2:4" x14ac:dyDescent="0.25">
      <c r="B7992" s="4">
        <f t="shared" si="140"/>
        <v>649.85999999992737</v>
      </c>
      <c r="C7992" s="199">
        <v>1956.7294568380755</v>
      </c>
      <c r="D7992" s="8"/>
    </row>
    <row r="7993" spans="2:4" x14ac:dyDescent="0.25">
      <c r="B7993" s="4">
        <f t="shared" si="140"/>
        <v>649.86999999992736</v>
      </c>
      <c r="C7993" s="199">
        <v>1957.0212644392816</v>
      </c>
      <c r="D7993" s="8"/>
    </row>
    <row r="7994" spans="2:4" x14ac:dyDescent="0.25">
      <c r="B7994" s="4">
        <f t="shared" si="140"/>
        <v>649.87999999992735</v>
      </c>
      <c r="C7994" s="199">
        <v>1957.3130720404865</v>
      </c>
      <c r="D7994" s="8"/>
    </row>
    <row r="7995" spans="2:4" x14ac:dyDescent="0.25">
      <c r="B7995" s="4">
        <f t="shared" si="140"/>
        <v>649.88999999992734</v>
      </c>
      <c r="C7995" s="199">
        <v>1957.6048796416931</v>
      </c>
      <c r="D7995" s="8"/>
    </row>
    <row r="7996" spans="2:4" x14ac:dyDescent="0.25">
      <c r="B7996" s="4">
        <f t="shared" si="140"/>
        <v>649.89999999992733</v>
      </c>
      <c r="C7996" s="199">
        <v>1957.8966872428994</v>
      </c>
      <c r="D7996" s="8"/>
    </row>
    <row r="7997" spans="2:4" x14ac:dyDescent="0.25">
      <c r="B7997" s="4">
        <f t="shared" si="140"/>
        <v>649.90999999992732</v>
      </c>
      <c r="C7997" s="199">
        <v>1958.1884948441077</v>
      </c>
      <c r="D7997" s="8"/>
    </row>
    <row r="7998" spans="2:4" x14ac:dyDescent="0.25">
      <c r="B7998" s="4">
        <f t="shared" si="140"/>
        <v>649.91999999992731</v>
      </c>
      <c r="C7998" s="199">
        <v>1958.4803879997089</v>
      </c>
      <c r="D7998" s="8"/>
    </row>
    <row r="7999" spans="2:4" x14ac:dyDescent="0.25">
      <c r="B7999" s="4">
        <f t="shared" si="140"/>
        <v>649.9299999999273</v>
      </c>
      <c r="C7999" s="199">
        <v>1958.7722811553174</v>
      </c>
      <c r="D7999" s="8"/>
    </row>
    <row r="8000" spans="2:4" x14ac:dyDescent="0.25">
      <c r="B8000" s="4">
        <f t="shared" si="140"/>
        <v>649.93999999992729</v>
      </c>
      <c r="C8000" s="199">
        <v>1959.0641743109277</v>
      </c>
      <c r="D8000" s="8"/>
    </row>
    <row r="8001" spans="2:4" x14ac:dyDescent="0.25">
      <c r="B8001" s="4">
        <f t="shared" si="140"/>
        <v>649.94999999992729</v>
      </c>
      <c r="C8001" s="199">
        <v>1959.356067466535</v>
      </c>
      <c r="D8001" s="8"/>
    </row>
    <row r="8002" spans="2:4" x14ac:dyDescent="0.25">
      <c r="B8002" s="4">
        <f t="shared" si="140"/>
        <v>649.95999999992728</v>
      </c>
      <c r="C8002" s="199">
        <v>1959.6479606221433</v>
      </c>
      <c r="D8002" s="8"/>
    </row>
    <row r="8003" spans="2:4" x14ac:dyDescent="0.25">
      <c r="B8003" s="4">
        <f t="shared" si="140"/>
        <v>649.96999999992727</v>
      </c>
      <c r="C8003" s="199">
        <v>1959.9398537777508</v>
      </c>
      <c r="D8003" s="8"/>
    </row>
    <row r="8004" spans="2:4" x14ac:dyDescent="0.25">
      <c r="B8004" s="4">
        <f t="shared" si="140"/>
        <v>649.97999999992726</v>
      </c>
      <c r="C8004" s="199">
        <v>1960.2317469333593</v>
      </c>
      <c r="D8004" s="8"/>
    </row>
    <row r="8005" spans="2:4" x14ac:dyDescent="0.25">
      <c r="B8005" s="4">
        <f t="shared" si="140"/>
        <v>649.98999999992725</v>
      </c>
      <c r="C8005" s="199">
        <v>1960.5236400889676</v>
      </c>
      <c r="D8005" s="8"/>
    </row>
    <row r="8006" spans="2:4" x14ac:dyDescent="0.25">
      <c r="B8006" s="4">
        <f t="shared" si="140"/>
        <v>649.99999999992724</v>
      </c>
      <c r="C8006" s="199">
        <v>1960.8155332445745</v>
      </c>
      <c r="D8006" s="8"/>
    </row>
  </sheetData>
  <mergeCells count="4">
    <mergeCell ref="B3:B5"/>
    <mergeCell ref="C3:C5"/>
    <mergeCell ref="E3:E5"/>
    <mergeCell ref="F3:F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0B4D19-0043-4705-8EB9-289822A8ADB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dd02d64-b7f3-43f7-a145-cfd68d338edf}" enabled="1" method="Standard" siteId="{0693b5ba-4b18-4d7b-9341-f32f400a549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115</vt:i4>
      </vt:variant>
    </vt:vector>
  </HeadingPairs>
  <TitlesOfParts>
    <vt:vector size="124" baseType="lpstr">
      <vt:lpstr>Input</vt:lpstr>
      <vt:lpstr>MWD-Pump</vt:lpstr>
      <vt:lpstr>Davis Maint</vt:lpstr>
      <vt:lpstr>Parker Maint</vt:lpstr>
      <vt:lpstr>Output</vt:lpstr>
      <vt:lpstr>CAP_Schedule</vt:lpstr>
      <vt:lpstr>Havasu_Release</vt:lpstr>
      <vt:lpstr>Hoover17Mon</vt:lpstr>
      <vt:lpstr>Res Lookup Tables</vt:lpstr>
      <vt:lpstr>CAPschedule</vt:lpstr>
      <vt:lpstr>CAPscheduleSTART</vt:lpstr>
      <vt:lpstr>CurrentMonthHistoric</vt:lpstr>
      <vt:lpstr>CurrentMonthModeled</vt:lpstr>
      <vt:lpstr>EffectiveHooverInput</vt:lpstr>
      <vt:lpstr>EffectiveHooverInputEnd</vt:lpstr>
      <vt:lpstr>EffectiveHooverStart</vt:lpstr>
      <vt:lpstr>Havasu_Release!ExternalData_1</vt:lpstr>
      <vt:lpstr>Havasu_Release!ExternalData_10</vt:lpstr>
      <vt:lpstr>Havasu_Release!ExternalData_100</vt:lpstr>
      <vt:lpstr>Havasu_Release!ExternalData_101</vt:lpstr>
      <vt:lpstr>Havasu_Release!ExternalData_102</vt:lpstr>
      <vt:lpstr>Havasu_Release!ExternalData_11</vt:lpstr>
      <vt:lpstr>Havasu_Release!ExternalData_12</vt:lpstr>
      <vt:lpstr>Havasu_Release!ExternalData_13</vt:lpstr>
      <vt:lpstr>Havasu_Release!ExternalData_14</vt:lpstr>
      <vt:lpstr>Havasu_Release!ExternalData_15</vt:lpstr>
      <vt:lpstr>Havasu_Release!ExternalData_16</vt:lpstr>
      <vt:lpstr>Havasu_Release!ExternalData_17</vt:lpstr>
      <vt:lpstr>Havasu_Release!ExternalData_18</vt:lpstr>
      <vt:lpstr>Havasu_Release!ExternalData_19</vt:lpstr>
      <vt:lpstr>Havasu_Release!ExternalData_2</vt:lpstr>
      <vt:lpstr>Havasu_Release!ExternalData_20</vt:lpstr>
      <vt:lpstr>Havasu_Release!ExternalData_21</vt:lpstr>
      <vt:lpstr>Havasu_Release!ExternalData_22</vt:lpstr>
      <vt:lpstr>Havasu_Release!ExternalData_23</vt:lpstr>
      <vt:lpstr>Havasu_Release!ExternalData_24</vt:lpstr>
      <vt:lpstr>Havasu_Release!ExternalData_25</vt:lpstr>
      <vt:lpstr>Havasu_Release!ExternalData_26</vt:lpstr>
      <vt:lpstr>Havasu_Release!ExternalData_27</vt:lpstr>
      <vt:lpstr>Havasu_Release!ExternalData_28</vt:lpstr>
      <vt:lpstr>Havasu_Release!ExternalData_29</vt:lpstr>
      <vt:lpstr>Havasu_Release!ExternalData_3</vt:lpstr>
      <vt:lpstr>Havasu_Release!ExternalData_30</vt:lpstr>
      <vt:lpstr>Havasu_Release!ExternalData_31</vt:lpstr>
      <vt:lpstr>Havasu_Release!ExternalData_32</vt:lpstr>
      <vt:lpstr>Havasu_Release!ExternalData_33</vt:lpstr>
      <vt:lpstr>Havasu_Release!ExternalData_34</vt:lpstr>
      <vt:lpstr>Havasu_Release!ExternalData_35</vt:lpstr>
      <vt:lpstr>Havasu_Release!ExternalData_36</vt:lpstr>
      <vt:lpstr>Havasu_Release!ExternalData_37</vt:lpstr>
      <vt:lpstr>Havasu_Release!ExternalData_38</vt:lpstr>
      <vt:lpstr>Havasu_Release!ExternalData_39</vt:lpstr>
      <vt:lpstr>Havasu_Release!ExternalData_4</vt:lpstr>
      <vt:lpstr>Havasu_Release!ExternalData_40</vt:lpstr>
      <vt:lpstr>Havasu_Release!ExternalData_41</vt:lpstr>
      <vt:lpstr>Havasu_Release!ExternalData_42</vt:lpstr>
      <vt:lpstr>Havasu_Release!ExternalData_43</vt:lpstr>
      <vt:lpstr>Havasu_Release!ExternalData_44</vt:lpstr>
      <vt:lpstr>Havasu_Release!ExternalData_45</vt:lpstr>
      <vt:lpstr>Havasu_Release!ExternalData_46</vt:lpstr>
      <vt:lpstr>Havasu_Release!ExternalData_47</vt:lpstr>
      <vt:lpstr>Havasu_Release!ExternalData_48</vt:lpstr>
      <vt:lpstr>Havasu_Release!ExternalData_49</vt:lpstr>
      <vt:lpstr>Havasu_Release!ExternalData_5</vt:lpstr>
      <vt:lpstr>Havasu_Release!ExternalData_50</vt:lpstr>
      <vt:lpstr>Havasu_Release!ExternalData_51</vt:lpstr>
      <vt:lpstr>Havasu_Release!ExternalData_52</vt:lpstr>
      <vt:lpstr>Havasu_Release!ExternalData_53</vt:lpstr>
      <vt:lpstr>Havasu_Release!ExternalData_54</vt:lpstr>
      <vt:lpstr>Havasu_Release!ExternalData_55</vt:lpstr>
      <vt:lpstr>Havasu_Release!ExternalData_56</vt:lpstr>
      <vt:lpstr>Havasu_Release!ExternalData_57</vt:lpstr>
      <vt:lpstr>Havasu_Release!ExternalData_58</vt:lpstr>
      <vt:lpstr>Havasu_Release!ExternalData_59</vt:lpstr>
      <vt:lpstr>Havasu_Release!ExternalData_6</vt:lpstr>
      <vt:lpstr>Havasu_Release!ExternalData_60</vt:lpstr>
      <vt:lpstr>Havasu_Release!ExternalData_61</vt:lpstr>
      <vt:lpstr>Havasu_Release!ExternalData_62</vt:lpstr>
      <vt:lpstr>Havasu_Release!ExternalData_63</vt:lpstr>
      <vt:lpstr>Havasu_Release!ExternalData_64</vt:lpstr>
      <vt:lpstr>Havasu_Release!ExternalData_65</vt:lpstr>
      <vt:lpstr>Havasu_Release!ExternalData_66</vt:lpstr>
      <vt:lpstr>Havasu_Release!ExternalData_67</vt:lpstr>
      <vt:lpstr>Havasu_Release!ExternalData_68</vt:lpstr>
      <vt:lpstr>Havasu_Release!ExternalData_69</vt:lpstr>
      <vt:lpstr>Havasu_Release!ExternalData_7</vt:lpstr>
      <vt:lpstr>Havasu_Release!ExternalData_70</vt:lpstr>
      <vt:lpstr>Havasu_Release!ExternalData_71</vt:lpstr>
      <vt:lpstr>Havasu_Release!ExternalData_72</vt:lpstr>
      <vt:lpstr>Havasu_Release!ExternalData_73</vt:lpstr>
      <vt:lpstr>Havasu_Release!ExternalData_74</vt:lpstr>
      <vt:lpstr>Havasu_Release!ExternalData_75</vt:lpstr>
      <vt:lpstr>Havasu_Release!ExternalData_76</vt:lpstr>
      <vt:lpstr>Havasu_Release!ExternalData_77</vt:lpstr>
      <vt:lpstr>Havasu_Release!ExternalData_78</vt:lpstr>
      <vt:lpstr>Havasu_Release!ExternalData_79</vt:lpstr>
      <vt:lpstr>Havasu_Release!ExternalData_8</vt:lpstr>
      <vt:lpstr>Havasu_Release!ExternalData_80</vt:lpstr>
      <vt:lpstr>Havasu_Release!ExternalData_81</vt:lpstr>
      <vt:lpstr>Havasu_Release!ExternalData_82</vt:lpstr>
      <vt:lpstr>Havasu_Release!ExternalData_83</vt:lpstr>
      <vt:lpstr>Havasu_Release!ExternalData_84</vt:lpstr>
      <vt:lpstr>Havasu_Release!ExternalData_85</vt:lpstr>
      <vt:lpstr>Havasu_Release!ExternalData_86</vt:lpstr>
      <vt:lpstr>Havasu_Release!ExternalData_87</vt:lpstr>
      <vt:lpstr>Havasu_Release!ExternalData_88</vt:lpstr>
      <vt:lpstr>Havasu_Release!ExternalData_89</vt:lpstr>
      <vt:lpstr>Havasu_Release!ExternalData_9</vt:lpstr>
      <vt:lpstr>Havasu_Release!ExternalData_90</vt:lpstr>
      <vt:lpstr>Havasu_Release!ExternalData_91</vt:lpstr>
      <vt:lpstr>Havasu_Release!ExternalData_92</vt:lpstr>
      <vt:lpstr>Havasu_Release!ExternalData_93</vt:lpstr>
      <vt:lpstr>Havasu_Release!ExternalData_94</vt:lpstr>
      <vt:lpstr>Havasu_Release!ExternalData_95</vt:lpstr>
      <vt:lpstr>Havasu_Release!ExternalData_96</vt:lpstr>
      <vt:lpstr>Havasu_Release!ExternalData_97</vt:lpstr>
      <vt:lpstr>Havasu_Release!ExternalData_98</vt:lpstr>
      <vt:lpstr>Havasu_Release!ExternalData_99</vt:lpstr>
      <vt:lpstr>HavasuOutflowStart</vt:lpstr>
      <vt:lpstr>HvrFile</vt:lpstr>
      <vt:lpstr>Input!Month</vt:lpstr>
      <vt:lpstr>'Res Lookup Tables'!Month</vt:lpstr>
      <vt:lpstr>Month</vt:lpstr>
      <vt:lpstr>OutMonth</vt:lpstr>
    </vt:vector>
  </TitlesOfParts>
  <Company>Department of the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Paul Miller</dc:creator>
  <cp:lastModifiedBy>Yasui, Ian D</cp:lastModifiedBy>
  <cp:lastPrinted>2013-11-29T21:12:01Z</cp:lastPrinted>
  <dcterms:created xsi:type="dcterms:W3CDTF">2008-04-24T16:43:50Z</dcterms:created>
  <dcterms:modified xsi:type="dcterms:W3CDTF">2026-05-08T16:57:43Z</dcterms:modified>
</cp:coreProperties>
</file>